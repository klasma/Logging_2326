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46033</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46033</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46033</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46033</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46033</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46033</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46033</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33400-2024</t>
        </is>
      </c>
      <c r="B21" s="1" t="n">
        <v>45519</v>
      </c>
      <c r="C21" s="1" t="n">
        <v>46033</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46033</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46033</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46033</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46033</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46033</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46938-2025</t>
        </is>
      </c>
      <c r="B27" s="1" t="n">
        <v>45929.45290509259</v>
      </c>
      <c r="C27" s="1" t="n">
        <v>46033</v>
      </c>
      <c r="D27" t="inlineStr">
        <is>
          <t>JÄMTLANDS LÄN</t>
        </is>
      </c>
      <c r="E27" t="inlineStr">
        <is>
          <t>BERG</t>
        </is>
      </c>
      <c r="G27" t="n">
        <v>10.7</v>
      </c>
      <c r="H27" t="n">
        <v>6</v>
      </c>
      <c r="I27" t="n">
        <v>4</v>
      </c>
      <c r="J27" t="n">
        <v>6</v>
      </c>
      <c r="K27" t="n">
        <v>1</v>
      </c>
      <c r="L27" t="n">
        <v>0</v>
      </c>
      <c r="M27" t="n">
        <v>0</v>
      </c>
      <c r="N27" t="n">
        <v>0</v>
      </c>
      <c r="O27" t="n">
        <v>7</v>
      </c>
      <c r="P27" t="n">
        <v>1</v>
      </c>
      <c r="Q27" t="n">
        <v>12</v>
      </c>
      <c r="R27" s="2" t="inlineStr">
        <is>
          <t>Knärot
Garnlav
Granticka
Harticka
Talltita
Tretåig hackspett
Ullticka
Korallrot
Spindelblomster
Stuplav
Ögonpyrola
Tjäder</t>
        </is>
      </c>
      <c r="S27">
        <f>HYPERLINK("https://klasma.github.io/Logging_2326/artfynd/A 46938-2025 artfynd.xlsx", "A 46938-2025")</f>
        <v/>
      </c>
      <c r="T27">
        <f>HYPERLINK("https://klasma.github.io/Logging_2326/kartor/A 46938-2025 karta.png", "A 46938-2025")</f>
        <v/>
      </c>
      <c r="U27">
        <f>HYPERLINK("https://klasma.github.io/Logging_2326/knärot/A 46938-2025 karta knärot.png", "A 46938-2025")</f>
        <v/>
      </c>
      <c r="V27">
        <f>HYPERLINK("https://klasma.github.io/Logging_2326/klagomål/A 46938-2025 FSC-klagomål.docx", "A 46938-2025")</f>
        <v/>
      </c>
      <c r="W27">
        <f>HYPERLINK("https://klasma.github.io/Logging_2326/klagomålsmail/A 46938-2025 FSC-klagomål mail.docx", "A 46938-2025")</f>
        <v/>
      </c>
      <c r="X27">
        <f>HYPERLINK("https://klasma.github.io/Logging_2326/tillsyn/A 46938-2025 tillsynsbegäran.docx", "A 46938-2025")</f>
        <v/>
      </c>
      <c r="Y27">
        <f>HYPERLINK("https://klasma.github.io/Logging_2326/tillsynsmail/A 46938-2025 tillsynsbegäran mail.docx", "A 46938-2025")</f>
        <v/>
      </c>
      <c r="Z27">
        <f>HYPERLINK("https://klasma.github.io/Logging_2326/fåglar/A 46938-2025 prioriterade fågelarter.docx", "A 46938-2025")</f>
        <v/>
      </c>
    </row>
    <row r="28" ht="15" customHeight="1">
      <c r="A28" t="inlineStr">
        <is>
          <t>A 47986-2022</t>
        </is>
      </c>
      <c r="B28" s="1" t="n">
        <v>44853</v>
      </c>
      <c r="C28" s="1" t="n">
        <v>46033</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46033</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46033</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46033</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46033</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46033</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46033</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46033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46033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46033</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46033</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46033</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46033</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46033</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16246-2024</t>
        </is>
      </c>
      <c r="B44" s="1" t="n">
        <v>45407.05788194444</v>
      </c>
      <c r="C44" s="1" t="n">
        <v>46033</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46033</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21519-2025</t>
        </is>
      </c>
      <c r="B46" s="1" t="n">
        <v>45782</v>
      </c>
      <c r="C46" s="1" t="n">
        <v>46033</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46033</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37406-2022</t>
        </is>
      </c>
      <c r="B48" s="1" t="n">
        <v>44806</v>
      </c>
      <c r="C48" s="1" t="n">
        <v>46033</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56364-2024</t>
        </is>
      </c>
      <c r="B49" s="1" t="n">
        <v>45625.32383101852</v>
      </c>
      <c r="C49" s="1" t="n">
        <v>46033</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46033</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39281-2025</t>
        </is>
      </c>
      <c r="B51" s="1" t="n">
        <v>45889</v>
      </c>
      <c r="C51" s="1" t="n">
        <v>46033</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33044-2024</t>
        </is>
      </c>
      <c r="B52" s="1" t="n">
        <v>45517</v>
      </c>
      <c r="C52" s="1" t="n">
        <v>46033</v>
      </c>
      <c r="D52" t="inlineStr">
        <is>
          <t>JÄMTLANDS LÄN</t>
        </is>
      </c>
      <c r="E52" t="inlineStr">
        <is>
          <t>BERG</t>
        </is>
      </c>
      <c r="G52" t="n">
        <v>2.1</v>
      </c>
      <c r="H52" t="n">
        <v>1</v>
      </c>
      <c r="I52" t="n">
        <v>0</v>
      </c>
      <c r="J52" t="n">
        <v>5</v>
      </c>
      <c r="K52" t="n">
        <v>2</v>
      </c>
      <c r="L52" t="n">
        <v>0</v>
      </c>
      <c r="M52" t="n">
        <v>0</v>
      </c>
      <c r="N52" t="n">
        <v>0</v>
      </c>
      <c r="O52" t="n">
        <v>7</v>
      </c>
      <c r="P52" t="n">
        <v>2</v>
      </c>
      <c r="Q52" t="n">
        <v>7</v>
      </c>
      <c r="R52" s="2" t="inlineStr">
        <is>
          <t>Knärot
Rynkskinn
Blanksvart spiklav
Garnlav
Kolflarnlav
Lunglav
Mörk kolflarnlav</t>
        </is>
      </c>
      <c r="S52">
        <f>HYPERLINK("https://klasma.github.io/Logging_2326/artfynd/A 33044-2024 artfynd.xlsx", "A 33044-2024")</f>
        <v/>
      </c>
      <c r="T52">
        <f>HYPERLINK("https://klasma.github.io/Logging_2326/kartor/A 33044-2024 karta.png", "A 33044-2024")</f>
        <v/>
      </c>
      <c r="U52">
        <f>HYPERLINK("https://klasma.github.io/Logging_2326/knärot/A 33044-2024 karta knärot.png", "A 33044-2024")</f>
        <v/>
      </c>
      <c r="V52">
        <f>HYPERLINK("https://klasma.github.io/Logging_2326/klagomål/A 33044-2024 FSC-klagomål.docx", "A 33044-2024")</f>
        <v/>
      </c>
      <c r="W52">
        <f>HYPERLINK("https://klasma.github.io/Logging_2326/klagomålsmail/A 33044-2024 FSC-klagomål mail.docx", "A 33044-2024")</f>
        <v/>
      </c>
      <c r="X52">
        <f>HYPERLINK("https://klasma.github.io/Logging_2326/tillsyn/A 33044-2024 tillsynsbegäran.docx", "A 33044-2024")</f>
        <v/>
      </c>
      <c r="Y52">
        <f>HYPERLINK("https://klasma.github.io/Logging_2326/tillsynsmail/A 33044-2024 tillsynsbegäran mail.docx", "A 33044-2024")</f>
        <v/>
      </c>
    </row>
    <row r="53" ht="15" customHeight="1">
      <c r="A53" t="inlineStr">
        <is>
          <t>A 24670-2025</t>
        </is>
      </c>
      <c r="B53" s="1" t="n">
        <v>45798.64947916667</v>
      </c>
      <c r="C53" s="1" t="n">
        <v>46033</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31719-2022</t>
        </is>
      </c>
      <c r="B54" s="1" t="n">
        <v>44776</v>
      </c>
      <c r="C54" s="1" t="n">
        <v>46033</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46033</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46033</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49626-2024</t>
        </is>
      </c>
      <c r="B57" s="1" t="n">
        <v>45596.59109953704</v>
      </c>
      <c r="C57" s="1" t="n">
        <v>46033</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54406-2023</t>
        </is>
      </c>
      <c r="B58" s="1" t="n">
        <v>45233.38612268519</v>
      </c>
      <c r="C58" s="1" t="n">
        <v>46033</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46033</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46033</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46033</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46033</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46033</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46033</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46033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46033</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46033</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46033</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46033</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46033</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46033</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13487-2024</t>
        </is>
      </c>
      <c r="B73" s="1" t="n">
        <v>45387</v>
      </c>
      <c r="C73" s="1" t="n">
        <v>46033</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12962-2024</t>
        </is>
      </c>
      <c r="B74" s="1" t="n">
        <v>45385.49314814815</v>
      </c>
      <c r="C74" s="1" t="n">
        <v>46033</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59823-2022</t>
        </is>
      </c>
      <c r="B75" s="1" t="n">
        <v>44900</v>
      </c>
      <c r="C75" s="1" t="n">
        <v>46033</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40913-2025</t>
        </is>
      </c>
      <c r="B76" s="1" t="n">
        <v>45897.61719907408</v>
      </c>
      <c r="C76" s="1" t="n">
        <v>46033</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46033</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46033</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27100-2025</t>
        </is>
      </c>
      <c r="B79" s="1" t="n">
        <v>45811.67803240741</v>
      </c>
      <c r="C79" s="1" t="n">
        <v>46033</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56224-2024</t>
        </is>
      </c>
      <c r="B80" s="1" t="n">
        <v>45624.61491898148</v>
      </c>
      <c r="C80" s="1" t="n">
        <v>46033</v>
      </c>
      <c r="D80" t="inlineStr">
        <is>
          <t>JÄMTLANDS LÄN</t>
        </is>
      </c>
      <c r="E80" t="inlineStr">
        <is>
          <t>BERG</t>
        </is>
      </c>
      <c r="F80" t="inlineStr">
        <is>
          <t>SCA</t>
        </is>
      </c>
      <c r="G80" t="n">
        <v>21</v>
      </c>
      <c r="H80" t="n">
        <v>0</v>
      </c>
      <c r="I80" t="n">
        <v>0</v>
      </c>
      <c r="J80" t="n">
        <v>4</v>
      </c>
      <c r="K80" t="n">
        <v>0</v>
      </c>
      <c r="L80" t="n">
        <v>0</v>
      </c>
      <c r="M80" t="n">
        <v>0</v>
      </c>
      <c r="N80" t="n">
        <v>0</v>
      </c>
      <c r="O80" t="n">
        <v>4</v>
      </c>
      <c r="P80" t="n">
        <v>0</v>
      </c>
      <c r="Q80" t="n">
        <v>4</v>
      </c>
      <c r="R80" s="2" t="inlineStr">
        <is>
          <t>Dvärgbägarlav
Nordtagging
Vedflamlav
Vedskivlav</t>
        </is>
      </c>
      <c r="S80">
        <f>HYPERLINK("https://klasma.github.io/Logging_2326/artfynd/A 56224-2024 artfynd.xlsx", "A 56224-2024")</f>
        <v/>
      </c>
      <c r="T80">
        <f>HYPERLINK("https://klasma.github.io/Logging_2326/kartor/A 56224-2024 karta.png", "A 56224-2024")</f>
        <v/>
      </c>
      <c r="V80">
        <f>HYPERLINK("https://klasma.github.io/Logging_2326/klagomål/A 56224-2024 FSC-klagomål.docx", "A 56224-2024")</f>
        <v/>
      </c>
      <c r="W80">
        <f>HYPERLINK("https://klasma.github.io/Logging_2326/klagomålsmail/A 56224-2024 FSC-klagomål mail.docx", "A 56224-2024")</f>
        <v/>
      </c>
      <c r="X80">
        <f>HYPERLINK("https://klasma.github.io/Logging_2326/tillsyn/A 56224-2024 tillsynsbegäran.docx", "A 56224-2024")</f>
        <v/>
      </c>
      <c r="Y80">
        <f>HYPERLINK("https://klasma.github.io/Logging_2326/tillsynsmail/A 56224-2024 tillsynsbegäran mail.docx", "A 56224-2024")</f>
        <v/>
      </c>
    </row>
    <row r="81" ht="15" customHeight="1">
      <c r="A81" t="inlineStr">
        <is>
          <t>A 37381-2022</t>
        </is>
      </c>
      <c r="B81" s="1" t="n">
        <v>44806</v>
      </c>
      <c r="C81" s="1" t="n">
        <v>46033</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46795-2025</t>
        </is>
      </c>
      <c r="B82" s="1" t="n">
        <v>45926.65668981482</v>
      </c>
      <c r="C82" s="1" t="n">
        <v>46033</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31715-2025</t>
        </is>
      </c>
      <c r="B83" s="1" t="n">
        <v>45834.45671296296</v>
      </c>
      <c r="C83" s="1" t="n">
        <v>46033</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46033</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7891-2022</t>
        </is>
      </c>
      <c r="B85" s="1" t="n">
        <v>44607</v>
      </c>
      <c r="C85" s="1" t="n">
        <v>46033</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53305-2025</t>
        </is>
      </c>
      <c r="B86" s="1" t="n">
        <v>45959.334375</v>
      </c>
      <c r="C86" s="1" t="n">
        <v>46033</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38156-2024</t>
        </is>
      </c>
      <c r="B87" s="1" t="n">
        <v>45545</v>
      </c>
      <c r="C87" s="1" t="n">
        <v>46033</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57276-2025</t>
        </is>
      </c>
      <c r="B88" s="1" t="n">
        <v>45979.68783564815</v>
      </c>
      <c r="C88" s="1" t="n">
        <v>46033</v>
      </c>
      <c r="D88" t="inlineStr">
        <is>
          <t>JÄMTLANDS LÄN</t>
        </is>
      </c>
      <c r="E88" t="inlineStr">
        <is>
          <t>BERG</t>
        </is>
      </c>
      <c r="G88" t="n">
        <v>4.8</v>
      </c>
      <c r="H88" t="n">
        <v>0</v>
      </c>
      <c r="I88" t="n">
        <v>1</v>
      </c>
      <c r="J88" t="n">
        <v>3</v>
      </c>
      <c r="K88" t="n">
        <v>0</v>
      </c>
      <c r="L88" t="n">
        <v>0</v>
      </c>
      <c r="M88" t="n">
        <v>0</v>
      </c>
      <c r="N88" t="n">
        <v>0</v>
      </c>
      <c r="O88" t="n">
        <v>3</v>
      </c>
      <c r="P88" t="n">
        <v>0</v>
      </c>
      <c r="Q88" t="n">
        <v>4</v>
      </c>
      <c r="R88" s="2" t="inlineStr">
        <is>
          <t>Garnlav
Lunglav
Vitgrynig nållav
Trådticka</t>
        </is>
      </c>
      <c r="S88">
        <f>HYPERLINK("https://klasma.github.io/Logging_2326/artfynd/A 57276-2025 artfynd.xlsx", "A 57276-2025")</f>
        <v/>
      </c>
      <c r="T88">
        <f>HYPERLINK("https://klasma.github.io/Logging_2326/kartor/A 57276-2025 karta.png", "A 57276-2025")</f>
        <v/>
      </c>
      <c r="V88">
        <f>HYPERLINK("https://klasma.github.io/Logging_2326/klagomål/A 57276-2025 FSC-klagomål.docx", "A 57276-2025")</f>
        <v/>
      </c>
      <c r="W88">
        <f>HYPERLINK("https://klasma.github.io/Logging_2326/klagomålsmail/A 57276-2025 FSC-klagomål mail.docx", "A 57276-2025")</f>
        <v/>
      </c>
      <c r="X88">
        <f>HYPERLINK("https://klasma.github.io/Logging_2326/tillsyn/A 57276-2025 tillsynsbegäran.docx", "A 57276-2025")</f>
        <v/>
      </c>
      <c r="Y88">
        <f>HYPERLINK("https://klasma.github.io/Logging_2326/tillsynsmail/A 57276-2025 tillsynsbegäran mail.docx", "A 57276-2025")</f>
        <v/>
      </c>
    </row>
    <row r="89" ht="15" customHeight="1">
      <c r="A89" t="inlineStr">
        <is>
          <t>A 58238-2025</t>
        </is>
      </c>
      <c r="B89" s="1" t="n">
        <v>45985.38775462963</v>
      </c>
      <c r="C89" s="1" t="n">
        <v>46033</v>
      </c>
      <c r="D89" t="inlineStr">
        <is>
          <t>JÄMTLANDS LÄN</t>
        </is>
      </c>
      <c r="E89" t="inlineStr">
        <is>
          <t>BERG</t>
        </is>
      </c>
      <c r="F89" t="inlineStr">
        <is>
          <t>SCA</t>
        </is>
      </c>
      <c r="G89" t="n">
        <v>7.6</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45424-2024</t>
        </is>
      </c>
      <c r="B90" s="1" t="n">
        <v>45576.60398148148</v>
      </c>
      <c r="C90" s="1" t="n">
        <v>46033</v>
      </c>
      <c r="D90" t="inlineStr">
        <is>
          <t>JÄMTLANDS LÄN</t>
        </is>
      </c>
      <c r="E90" t="inlineStr">
        <is>
          <t>BERG</t>
        </is>
      </c>
      <c r="G90" t="n">
        <v>11.8</v>
      </c>
      <c r="H90" t="n">
        <v>2</v>
      </c>
      <c r="I90" t="n">
        <v>1</v>
      </c>
      <c r="J90" t="n">
        <v>3</v>
      </c>
      <c r="K90" t="n">
        <v>0</v>
      </c>
      <c r="L90" t="n">
        <v>0</v>
      </c>
      <c r="M90" t="n">
        <v>0</v>
      </c>
      <c r="N90" t="n">
        <v>0</v>
      </c>
      <c r="O90" t="n">
        <v>3</v>
      </c>
      <c r="P90" t="n">
        <v>0</v>
      </c>
      <c r="Q90" t="n">
        <v>4</v>
      </c>
      <c r="R90" s="2" t="inlineStr">
        <is>
          <t>Garnlav
Lunglav
Spillkråka
Plattlummer</t>
        </is>
      </c>
      <c r="S90">
        <f>HYPERLINK("https://klasma.github.io/Logging_2326/artfynd/A 45424-2024 artfynd.xlsx", "A 45424-2024")</f>
        <v/>
      </c>
      <c r="T90">
        <f>HYPERLINK("https://klasma.github.io/Logging_2326/kartor/A 45424-2024 karta.png", "A 45424-2024")</f>
        <v/>
      </c>
      <c r="U90">
        <f>HYPERLINK("https://klasma.github.io/Logging_2326/knärot/A 45424-2024 karta knärot.png", "A 45424-2024")</f>
        <v/>
      </c>
      <c r="V90">
        <f>HYPERLINK("https://klasma.github.io/Logging_2326/klagomål/A 45424-2024 FSC-klagomål.docx", "A 45424-2024")</f>
        <v/>
      </c>
      <c r="W90">
        <f>HYPERLINK("https://klasma.github.io/Logging_2326/klagomålsmail/A 45424-2024 FSC-klagomål mail.docx", "A 45424-2024")</f>
        <v/>
      </c>
      <c r="X90">
        <f>HYPERLINK("https://klasma.github.io/Logging_2326/tillsyn/A 45424-2024 tillsynsbegäran.docx", "A 45424-2024")</f>
        <v/>
      </c>
      <c r="Y90">
        <f>HYPERLINK("https://klasma.github.io/Logging_2326/tillsynsmail/A 45424-2024 tillsynsbegäran mail.docx", "A 45424-2024")</f>
        <v/>
      </c>
      <c r="Z90">
        <f>HYPERLINK("https://klasma.github.io/Logging_2326/fåglar/A 45424-2024 prioriterade fågelarter.docx", "A 45424-2024")</f>
        <v/>
      </c>
    </row>
    <row r="91" ht="15" customHeight="1">
      <c r="A91" t="inlineStr">
        <is>
          <t>A 16830-2021</t>
        </is>
      </c>
      <c r="B91" s="1" t="n">
        <v>44293</v>
      </c>
      <c r="C91" s="1" t="n">
        <v>46033</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46033</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19848-2025</t>
        </is>
      </c>
      <c r="B93" s="1" t="n">
        <v>45771.49020833334</v>
      </c>
      <c r="C93" s="1" t="n">
        <v>46033</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3062-2025</t>
        </is>
      </c>
      <c r="B94" s="1" t="n">
        <v>45678</v>
      </c>
      <c r="C94" s="1" t="n">
        <v>46033</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47122-2024</t>
        </is>
      </c>
      <c r="B95" s="1" t="n">
        <v>45586.5674074074</v>
      </c>
      <c r="C95" s="1" t="n">
        <v>46033</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14218-2021</t>
        </is>
      </c>
      <c r="B96" s="1" t="n">
        <v>44277</v>
      </c>
      <c r="C96" s="1" t="n">
        <v>46033</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52007-2025</t>
        </is>
      </c>
      <c r="B97" s="1" t="n">
        <v>45952.59424768519</v>
      </c>
      <c r="C97" s="1" t="n">
        <v>46033</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12995-2024</t>
        </is>
      </c>
      <c r="B98" s="1" t="n">
        <v>45385</v>
      </c>
      <c r="C98" s="1" t="n">
        <v>46033</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68433-2021</t>
        </is>
      </c>
      <c r="B99" s="1" t="n">
        <v>44529</v>
      </c>
      <c r="C99" s="1" t="n">
        <v>46033</v>
      </c>
      <c r="D99" t="inlineStr">
        <is>
          <t>JÄMTLANDS LÄN</t>
        </is>
      </c>
      <c r="E99" t="inlineStr">
        <is>
          <t>BERG</t>
        </is>
      </c>
      <c r="G99" t="n">
        <v>17.9</v>
      </c>
      <c r="H99" t="n">
        <v>0</v>
      </c>
      <c r="I99" t="n">
        <v>0</v>
      </c>
      <c r="J99" t="n">
        <v>3</v>
      </c>
      <c r="K99" t="n">
        <v>0</v>
      </c>
      <c r="L99" t="n">
        <v>0</v>
      </c>
      <c r="M99" t="n">
        <v>0</v>
      </c>
      <c r="N99" t="n">
        <v>0</v>
      </c>
      <c r="O99" t="n">
        <v>3</v>
      </c>
      <c r="P99" t="n">
        <v>0</v>
      </c>
      <c r="Q99" t="n">
        <v>3</v>
      </c>
      <c r="R99" s="2" t="inlineStr">
        <is>
          <t>Doftskinn
Vaddporing
Vedskivlav</t>
        </is>
      </c>
      <c r="S99">
        <f>HYPERLINK("https://klasma.github.io/Logging_2326/artfynd/A 68433-2021 artfynd.xlsx", "A 68433-2021")</f>
        <v/>
      </c>
      <c r="T99">
        <f>HYPERLINK("https://klasma.github.io/Logging_2326/kartor/A 68433-2021 karta.png", "A 68433-2021")</f>
        <v/>
      </c>
      <c r="V99">
        <f>HYPERLINK("https://klasma.github.io/Logging_2326/klagomål/A 68433-2021 FSC-klagomål.docx", "A 68433-2021")</f>
        <v/>
      </c>
      <c r="W99">
        <f>HYPERLINK("https://klasma.github.io/Logging_2326/klagomålsmail/A 68433-2021 FSC-klagomål mail.docx", "A 68433-2021")</f>
        <v/>
      </c>
      <c r="X99">
        <f>HYPERLINK("https://klasma.github.io/Logging_2326/tillsyn/A 68433-2021 tillsynsbegäran.docx", "A 68433-2021")</f>
        <v/>
      </c>
      <c r="Y99">
        <f>HYPERLINK("https://klasma.github.io/Logging_2326/tillsynsmail/A 68433-2021 tillsynsbegäran mail.docx", "A 68433-2021")</f>
        <v/>
      </c>
    </row>
    <row r="100" ht="15" customHeight="1">
      <c r="A100" t="inlineStr">
        <is>
          <t>A 49611-2025</t>
        </is>
      </c>
      <c r="B100" s="1" t="n">
        <v>45939.5735300926</v>
      </c>
      <c r="C100" s="1" t="n">
        <v>46033</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6784-2022</t>
        </is>
      </c>
      <c r="B101" s="1" t="n">
        <v>44602</v>
      </c>
      <c r="C101" s="1" t="n">
        <v>46033</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37063-2025</t>
        </is>
      </c>
      <c r="B102" s="1" t="n">
        <v>45875.38596064815</v>
      </c>
      <c r="C102" s="1" t="n">
        <v>46033</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52189-2024</t>
        </is>
      </c>
      <c r="B103" s="1" t="n">
        <v>45608</v>
      </c>
      <c r="C103" s="1" t="n">
        <v>46033</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54802-2021</t>
        </is>
      </c>
      <c r="B104" s="1" t="n">
        <v>44473</v>
      </c>
      <c r="C104" s="1" t="n">
        <v>46033</v>
      </c>
      <c r="D104" t="inlineStr">
        <is>
          <t>JÄMTLANDS LÄN</t>
        </is>
      </c>
      <c r="E104" t="inlineStr">
        <is>
          <t>BERG</t>
        </is>
      </c>
      <c r="F104" t="inlineStr">
        <is>
          <t>SCA</t>
        </is>
      </c>
      <c r="G104" t="n">
        <v>2.8</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HYPERLINK("https://klasma.github.io/Logging_2326/artfynd/A 54802-2021 artfynd.xlsx", "A 54802-2021")</f>
        <v/>
      </c>
      <c r="T104">
        <f>HYPERLINK("https://klasma.github.io/Logging_2326/kartor/A 54802-2021 karta.png", "A 54802-2021")</f>
        <v/>
      </c>
      <c r="V104">
        <f>HYPERLINK("https://klasma.github.io/Logging_2326/klagomål/A 54802-2021 FSC-klagomål.docx", "A 54802-2021")</f>
        <v/>
      </c>
      <c r="W104">
        <f>HYPERLINK("https://klasma.github.io/Logging_2326/klagomålsmail/A 54802-2021 FSC-klagomål mail.docx", "A 54802-2021")</f>
        <v/>
      </c>
      <c r="X104">
        <f>HYPERLINK("https://klasma.github.io/Logging_2326/tillsyn/A 54802-2021 tillsynsbegäran.docx", "A 54802-2021")</f>
        <v/>
      </c>
      <c r="Y104">
        <f>HYPERLINK("https://klasma.github.io/Logging_2326/tillsynsmail/A 54802-2021 tillsynsbegäran mail.docx", "A 54802-2021")</f>
        <v/>
      </c>
      <c r="Z104">
        <f>HYPERLINK("https://klasma.github.io/Logging_2326/fåglar/A 54802-2021 prioriterade fågelarter.docx", "A 54802-2021")</f>
        <v/>
      </c>
    </row>
    <row r="105" ht="15" customHeight="1">
      <c r="A105" t="inlineStr">
        <is>
          <t>A 20242-2025</t>
        </is>
      </c>
      <c r="B105" s="1" t="n">
        <v>45772.69864583333</v>
      </c>
      <c r="C105" s="1" t="n">
        <v>46033</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56368-2024</t>
        </is>
      </c>
      <c r="B106" s="1" t="n">
        <v>45625.32978009259</v>
      </c>
      <c r="C106" s="1" t="n">
        <v>46033</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14599-2021</t>
        </is>
      </c>
      <c r="B107" s="1" t="n">
        <v>44279</v>
      </c>
      <c r="C107" s="1" t="n">
        <v>46033</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35925-2024</t>
        </is>
      </c>
      <c r="B108" s="1" t="n">
        <v>45533.43868055556</v>
      </c>
      <c r="C108" s="1" t="n">
        <v>46033</v>
      </c>
      <c r="D108" t="inlineStr">
        <is>
          <t>JÄMTLANDS LÄN</t>
        </is>
      </c>
      <c r="E108" t="inlineStr">
        <is>
          <t>BERG</t>
        </is>
      </c>
      <c r="G108" t="n">
        <v>21.3</v>
      </c>
      <c r="H108" t="n">
        <v>0</v>
      </c>
      <c r="I108" t="n">
        <v>1</v>
      </c>
      <c r="J108" t="n">
        <v>2</v>
      </c>
      <c r="K108" t="n">
        <v>0</v>
      </c>
      <c r="L108" t="n">
        <v>0</v>
      </c>
      <c r="M108" t="n">
        <v>0</v>
      </c>
      <c r="N108" t="n">
        <v>0</v>
      </c>
      <c r="O108" t="n">
        <v>2</v>
      </c>
      <c r="P108" t="n">
        <v>0</v>
      </c>
      <c r="Q108" t="n">
        <v>3</v>
      </c>
      <c r="R108" s="2" t="inlineStr">
        <is>
          <t>Lunglav
Parknål
Bårdlav</t>
        </is>
      </c>
      <c r="S108">
        <f>HYPERLINK("https://klasma.github.io/Logging_2326/artfynd/A 35925-2024 artfynd.xlsx", "A 35925-2024")</f>
        <v/>
      </c>
      <c r="T108">
        <f>HYPERLINK("https://klasma.github.io/Logging_2326/kartor/A 35925-2024 karta.png", "A 35925-2024")</f>
        <v/>
      </c>
      <c r="V108">
        <f>HYPERLINK("https://klasma.github.io/Logging_2326/klagomål/A 35925-2024 FSC-klagomål.docx", "A 35925-2024")</f>
        <v/>
      </c>
      <c r="W108">
        <f>HYPERLINK("https://klasma.github.io/Logging_2326/klagomålsmail/A 35925-2024 FSC-klagomål mail.docx", "A 35925-2024")</f>
        <v/>
      </c>
      <c r="X108">
        <f>HYPERLINK("https://klasma.github.io/Logging_2326/tillsyn/A 35925-2024 tillsynsbegäran.docx", "A 35925-2024")</f>
        <v/>
      </c>
      <c r="Y108">
        <f>HYPERLINK("https://klasma.github.io/Logging_2326/tillsynsmail/A 35925-2024 tillsynsbegäran mail.docx", "A 35925-2024")</f>
        <v/>
      </c>
    </row>
    <row r="109" ht="15" customHeight="1">
      <c r="A109" t="inlineStr">
        <is>
          <t>A 54999-2023</t>
        </is>
      </c>
      <c r="B109" s="1" t="n">
        <v>45236</v>
      </c>
      <c r="C109" s="1" t="n">
        <v>46033</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51950-2021</t>
        </is>
      </c>
      <c r="B110" s="1" t="n">
        <v>44462.9562037037</v>
      </c>
      <c r="C110" s="1" t="n">
        <v>46033</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46033</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60333-2024</t>
        </is>
      </c>
      <c r="B112" s="1" t="n">
        <v>45643</v>
      </c>
      <c r="C112" s="1" t="n">
        <v>46033</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Ängsvaxskivling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21518-2025</t>
        </is>
      </c>
      <c r="B113" s="1" t="n">
        <v>45782</v>
      </c>
      <c r="C113" s="1" t="n">
        <v>46033</v>
      </c>
      <c r="D113" t="inlineStr">
        <is>
          <t>JÄMTLANDS LÄN</t>
        </is>
      </c>
      <c r="E113" t="inlineStr">
        <is>
          <t>BERG</t>
        </is>
      </c>
      <c r="F113" t="inlineStr">
        <is>
          <t>SCA</t>
        </is>
      </c>
      <c r="G113" t="n">
        <v>3.6</v>
      </c>
      <c r="H113" t="n">
        <v>0</v>
      </c>
      <c r="I113" t="n">
        <v>1</v>
      </c>
      <c r="J113" t="n">
        <v>1</v>
      </c>
      <c r="K113" t="n">
        <v>0</v>
      </c>
      <c r="L113" t="n">
        <v>0</v>
      </c>
      <c r="M113" t="n">
        <v>0</v>
      </c>
      <c r="N113" t="n">
        <v>0</v>
      </c>
      <c r="O113" t="n">
        <v>1</v>
      </c>
      <c r="P113" t="n">
        <v>0</v>
      </c>
      <c r="Q113" t="n">
        <v>2</v>
      </c>
      <c r="R113" s="2" t="inlineStr">
        <is>
          <t>Dvärgbägarlav
Skarp dropptaggsvamp</t>
        </is>
      </c>
      <c r="S113">
        <f>HYPERLINK("https://klasma.github.io/Logging_2326/artfynd/A 21518-2025 artfynd.xlsx", "A 21518-2025")</f>
        <v/>
      </c>
      <c r="T113">
        <f>HYPERLINK("https://klasma.github.io/Logging_2326/kartor/A 21518-2025 karta.png", "A 21518-2025")</f>
        <v/>
      </c>
      <c r="V113">
        <f>HYPERLINK("https://klasma.github.io/Logging_2326/klagomål/A 21518-2025 FSC-klagomål.docx", "A 21518-2025")</f>
        <v/>
      </c>
      <c r="W113">
        <f>HYPERLINK("https://klasma.github.io/Logging_2326/klagomålsmail/A 21518-2025 FSC-klagomål mail.docx", "A 21518-2025")</f>
        <v/>
      </c>
      <c r="X113">
        <f>HYPERLINK("https://klasma.github.io/Logging_2326/tillsyn/A 21518-2025 tillsynsbegäran.docx", "A 21518-2025")</f>
        <v/>
      </c>
      <c r="Y113">
        <f>HYPERLINK("https://klasma.github.io/Logging_2326/tillsynsmail/A 21518-2025 tillsynsbegäran mail.docx", "A 21518-2025")</f>
        <v/>
      </c>
    </row>
    <row r="114" ht="15" customHeight="1">
      <c r="A114" t="inlineStr">
        <is>
          <t>A 42120-2025</t>
        </is>
      </c>
      <c r="B114" s="1" t="n">
        <v>45904.34236111111</v>
      </c>
      <c r="C114" s="1" t="n">
        <v>46033</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26748-2025</t>
        </is>
      </c>
      <c r="B115" s="1" t="n">
        <v>45810.53988425926</v>
      </c>
      <c r="C115" s="1" t="n">
        <v>46033</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46033</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31709-2025</t>
        </is>
      </c>
      <c r="B117" s="1" t="n">
        <v>45834.42543981481</v>
      </c>
      <c r="C117" s="1" t="n">
        <v>46033</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47858-2025</t>
        </is>
      </c>
      <c r="B118" s="1" t="n">
        <v>45932.40699074074</v>
      </c>
      <c r="C118" s="1" t="n">
        <v>46033</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52611-2025</t>
        </is>
      </c>
      <c r="B119" s="1" t="n">
        <v>45954.66971064815</v>
      </c>
      <c r="C119" s="1" t="n">
        <v>46033</v>
      </c>
      <c r="D119" t="inlineStr">
        <is>
          <t>JÄMTLANDS LÄN</t>
        </is>
      </c>
      <c r="E119" t="inlineStr">
        <is>
          <t>BERG</t>
        </is>
      </c>
      <c r="F119" t="inlineStr">
        <is>
          <t>Kyrkan</t>
        </is>
      </c>
      <c r="G119" t="n">
        <v>6.3</v>
      </c>
      <c r="H119" t="n">
        <v>1</v>
      </c>
      <c r="I119" t="n">
        <v>0</v>
      </c>
      <c r="J119" t="n">
        <v>1</v>
      </c>
      <c r="K119" t="n">
        <v>0</v>
      </c>
      <c r="L119" t="n">
        <v>0</v>
      </c>
      <c r="M119" t="n">
        <v>0</v>
      </c>
      <c r="N119" t="n">
        <v>0</v>
      </c>
      <c r="O119" t="n">
        <v>1</v>
      </c>
      <c r="P119" t="n">
        <v>0</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52600-2025</t>
        </is>
      </c>
      <c r="B120" s="1" t="n">
        <v>45954.65657407408</v>
      </c>
      <c r="C120" s="1" t="n">
        <v>46033</v>
      </c>
      <c r="D120" t="inlineStr">
        <is>
          <t>JÄMTLANDS LÄN</t>
        </is>
      </c>
      <c r="E120" t="inlineStr">
        <is>
          <t>BERG</t>
        </is>
      </c>
      <c r="F120" t="inlineStr">
        <is>
          <t>Kyrkan</t>
        </is>
      </c>
      <c r="G120" t="n">
        <v>5.8</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52600-2025 artfynd.xlsx", "A 52600-2025")</f>
        <v/>
      </c>
      <c r="T120">
        <f>HYPERLINK("https://klasma.github.io/Logging_2326/kartor/A 52600-2025 karta.png", "A 52600-2025")</f>
        <v/>
      </c>
      <c r="V120">
        <f>HYPERLINK("https://klasma.github.io/Logging_2326/klagomål/A 52600-2025 FSC-klagomål.docx", "A 52600-2025")</f>
        <v/>
      </c>
      <c r="W120">
        <f>HYPERLINK("https://klasma.github.io/Logging_2326/klagomålsmail/A 52600-2025 FSC-klagomål mail.docx", "A 52600-2025")</f>
        <v/>
      </c>
      <c r="X120">
        <f>HYPERLINK("https://klasma.github.io/Logging_2326/tillsyn/A 52600-2025 tillsynsbegäran.docx", "A 52600-2025")</f>
        <v/>
      </c>
      <c r="Y120">
        <f>HYPERLINK("https://klasma.github.io/Logging_2326/tillsynsmail/A 52600-2025 tillsynsbegäran mail.docx", "A 52600-2025")</f>
        <v/>
      </c>
    </row>
    <row r="121" ht="15" customHeight="1">
      <c r="A121" t="inlineStr">
        <is>
          <t>A 50389-2025</t>
        </is>
      </c>
      <c r="B121" s="1" t="n">
        <v>45944.61539351852</v>
      </c>
      <c r="C121" s="1" t="n">
        <v>46033</v>
      </c>
      <c r="D121" t="inlineStr">
        <is>
          <t>JÄMTLANDS LÄN</t>
        </is>
      </c>
      <c r="E121" t="inlineStr">
        <is>
          <t>BERG</t>
        </is>
      </c>
      <c r="F121" t="inlineStr">
        <is>
          <t>SCA</t>
        </is>
      </c>
      <c r="G121" t="n">
        <v>11.4</v>
      </c>
      <c r="H121" t="n">
        <v>1</v>
      </c>
      <c r="I121" t="n">
        <v>0</v>
      </c>
      <c r="J121" t="n">
        <v>0</v>
      </c>
      <c r="K121" t="n">
        <v>0</v>
      </c>
      <c r="L121" t="n">
        <v>0</v>
      </c>
      <c r="M121" t="n">
        <v>0</v>
      </c>
      <c r="N121" t="n">
        <v>0</v>
      </c>
      <c r="O121" t="n">
        <v>1</v>
      </c>
      <c r="P121" t="n">
        <v>0</v>
      </c>
      <c r="Q121" t="n">
        <v>2</v>
      </c>
      <c r="R121" s="2" t="inlineStr">
        <is>
          <t>Halsfibbla
Fläcknycklar</t>
        </is>
      </c>
      <c r="S121">
        <f>HYPERLINK("https://klasma.github.io/Logging_2326/artfynd/A 50389-2025 artfynd.xlsx", "A 50389-2025")</f>
        <v/>
      </c>
      <c r="T121">
        <f>HYPERLINK("https://klasma.github.io/Logging_2326/kartor/A 50389-2025 karta.png", "A 50389-2025")</f>
        <v/>
      </c>
      <c r="V121">
        <f>HYPERLINK("https://klasma.github.io/Logging_2326/klagomål/A 50389-2025 FSC-klagomål.docx", "A 50389-2025")</f>
        <v/>
      </c>
      <c r="W121">
        <f>HYPERLINK("https://klasma.github.io/Logging_2326/klagomålsmail/A 50389-2025 FSC-klagomål mail.docx", "A 50389-2025")</f>
        <v/>
      </c>
      <c r="X121">
        <f>HYPERLINK("https://klasma.github.io/Logging_2326/tillsyn/A 50389-2025 tillsynsbegäran.docx", "A 50389-2025")</f>
        <v/>
      </c>
      <c r="Y121">
        <f>HYPERLINK("https://klasma.github.io/Logging_2326/tillsynsmail/A 50389-2025 tillsynsbegäran mail.docx", "A 50389-2025")</f>
        <v/>
      </c>
    </row>
    <row r="122" ht="15" customHeight="1">
      <c r="A122" t="inlineStr">
        <is>
          <t>A 8734-2025</t>
        </is>
      </c>
      <c r="B122" s="1" t="n">
        <v>45712.53209490741</v>
      </c>
      <c r="C122" s="1" t="n">
        <v>46033</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62159-2025</t>
        </is>
      </c>
      <c r="B123" s="1" t="n">
        <v>46006.49081018518</v>
      </c>
      <c r="C123" s="1" t="n">
        <v>46033</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62161-2025</t>
        </is>
      </c>
      <c r="B124" s="1" t="n">
        <v>46006.49113425926</v>
      </c>
      <c r="C124" s="1" t="n">
        <v>46033</v>
      </c>
      <c r="D124" t="inlineStr">
        <is>
          <t>JÄMTLANDS LÄN</t>
        </is>
      </c>
      <c r="E124" t="inlineStr">
        <is>
          <t>BERG</t>
        </is>
      </c>
      <c r="F124" t="inlineStr">
        <is>
          <t>SCA</t>
        </is>
      </c>
      <c r="G124" t="n">
        <v>2.6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62161-2025 artfynd.xlsx", "A 62161-2025")</f>
        <v/>
      </c>
      <c r="T124">
        <f>HYPERLINK("https://klasma.github.io/Logging_2326/kartor/A 62161-2025 karta.png", "A 62161-2025")</f>
        <v/>
      </c>
      <c r="V124">
        <f>HYPERLINK("https://klasma.github.io/Logging_2326/klagomål/A 62161-2025 FSC-klagomål.docx", "A 62161-2025")</f>
        <v/>
      </c>
      <c r="W124">
        <f>HYPERLINK("https://klasma.github.io/Logging_2326/klagomålsmail/A 62161-2025 FSC-klagomål mail.docx", "A 62161-2025")</f>
        <v/>
      </c>
      <c r="X124">
        <f>HYPERLINK("https://klasma.github.io/Logging_2326/tillsyn/A 62161-2025 tillsynsbegäran.docx", "A 62161-2025")</f>
        <v/>
      </c>
      <c r="Y124">
        <f>HYPERLINK("https://klasma.github.io/Logging_2326/tillsynsmail/A 62161-2025 tillsynsbegäran mail.docx", "A 62161-2025")</f>
        <v/>
      </c>
      <c r="Z124">
        <f>HYPERLINK("https://klasma.github.io/Logging_2326/fåglar/A 62161-2025 prioriterade fågelarter.docx", "A 62161-2025")</f>
        <v/>
      </c>
    </row>
    <row r="125" ht="15" customHeight="1">
      <c r="A125" t="inlineStr">
        <is>
          <t>A 19948-2025</t>
        </is>
      </c>
      <c r="B125" s="1" t="n">
        <v>45771</v>
      </c>
      <c r="C125" s="1" t="n">
        <v>46033</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30334-2024</t>
        </is>
      </c>
      <c r="B126" s="1" t="n">
        <v>45490.95396990741</v>
      </c>
      <c r="C126" s="1" t="n">
        <v>46033</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14344-2025</t>
        </is>
      </c>
      <c r="B127" s="1" t="n">
        <v>45741</v>
      </c>
      <c r="C127" s="1" t="n">
        <v>46033</v>
      </c>
      <c r="D127" t="inlineStr">
        <is>
          <t>JÄMTLANDS LÄN</t>
        </is>
      </c>
      <c r="E127" t="inlineStr">
        <is>
          <t>BERG</t>
        </is>
      </c>
      <c r="G127" t="n">
        <v>3.4</v>
      </c>
      <c r="H127" t="n">
        <v>1</v>
      </c>
      <c r="I127" t="n">
        <v>1</v>
      </c>
      <c r="J127" t="n">
        <v>0</v>
      </c>
      <c r="K127" t="n">
        <v>0</v>
      </c>
      <c r="L127" t="n">
        <v>0</v>
      </c>
      <c r="M127" t="n">
        <v>0</v>
      </c>
      <c r="N127" t="n">
        <v>0</v>
      </c>
      <c r="O127" t="n">
        <v>0</v>
      </c>
      <c r="P127" t="n">
        <v>0</v>
      </c>
      <c r="Q127" t="n">
        <v>2</v>
      </c>
      <c r="R127" s="2" t="inlineStr">
        <is>
          <t>Svart trolldruva
Revlummer</t>
        </is>
      </c>
      <c r="S127">
        <f>HYPERLINK("https://klasma.github.io/Logging_2326/artfynd/A 14344-2025 artfynd.xlsx", "A 14344-2025")</f>
        <v/>
      </c>
      <c r="T127">
        <f>HYPERLINK("https://klasma.github.io/Logging_2326/kartor/A 14344-2025 karta.png", "A 14344-2025")</f>
        <v/>
      </c>
      <c r="V127">
        <f>HYPERLINK("https://klasma.github.io/Logging_2326/klagomål/A 14344-2025 FSC-klagomål.docx", "A 14344-2025")</f>
        <v/>
      </c>
      <c r="W127">
        <f>HYPERLINK("https://klasma.github.io/Logging_2326/klagomålsmail/A 14344-2025 FSC-klagomål mail.docx", "A 14344-2025")</f>
        <v/>
      </c>
      <c r="X127">
        <f>HYPERLINK("https://klasma.github.io/Logging_2326/tillsyn/A 14344-2025 tillsynsbegäran.docx", "A 14344-2025")</f>
        <v/>
      </c>
      <c r="Y127">
        <f>HYPERLINK("https://klasma.github.io/Logging_2326/tillsynsmail/A 14344-2025 tillsynsbegäran mail.docx", "A 14344-2025")</f>
        <v/>
      </c>
    </row>
    <row r="128" ht="15" customHeight="1">
      <c r="A128" t="inlineStr">
        <is>
          <t>A 27919-2024</t>
        </is>
      </c>
      <c r="B128" s="1" t="n">
        <v>45475.94865740741</v>
      </c>
      <c r="C128" s="1" t="n">
        <v>46033</v>
      </c>
      <c r="D128" t="inlineStr">
        <is>
          <t>JÄMTLANDS LÄN</t>
        </is>
      </c>
      <c r="E128" t="inlineStr">
        <is>
          <t>BERG</t>
        </is>
      </c>
      <c r="F128" t="inlineStr">
        <is>
          <t>SCA</t>
        </is>
      </c>
      <c r="G128" t="n">
        <v>17.2</v>
      </c>
      <c r="H128" t="n">
        <v>0</v>
      </c>
      <c r="I128" t="n">
        <v>1</v>
      </c>
      <c r="J128" t="n">
        <v>1</v>
      </c>
      <c r="K128" t="n">
        <v>0</v>
      </c>
      <c r="L128" t="n">
        <v>0</v>
      </c>
      <c r="M128" t="n">
        <v>0</v>
      </c>
      <c r="N128" t="n">
        <v>0</v>
      </c>
      <c r="O128" t="n">
        <v>1</v>
      </c>
      <c r="P128" t="n">
        <v>0</v>
      </c>
      <c r="Q128" t="n">
        <v>2</v>
      </c>
      <c r="R128" s="2" t="inlineStr">
        <is>
          <t>Reliktbock
Dropptaggsvamp</t>
        </is>
      </c>
      <c r="S128">
        <f>HYPERLINK("https://klasma.github.io/Logging_2326/artfynd/A 27919-2024 artfynd.xlsx", "A 27919-2024")</f>
        <v/>
      </c>
      <c r="T128">
        <f>HYPERLINK("https://klasma.github.io/Logging_2326/kartor/A 27919-2024 karta.png", "A 27919-2024")</f>
        <v/>
      </c>
      <c r="V128">
        <f>HYPERLINK("https://klasma.github.io/Logging_2326/klagomål/A 27919-2024 FSC-klagomål.docx", "A 27919-2024")</f>
        <v/>
      </c>
      <c r="W128">
        <f>HYPERLINK("https://klasma.github.io/Logging_2326/klagomålsmail/A 27919-2024 FSC-klagomål mail.docx", "A 27919-2024")</f>
        <v/>
      </c>
      <c r="X128">
        <f>HYPERLINK("https://klasma.github.io/Logging_2326/tillsyn/A 27919-2024 tillsynsbegäran.docx", "A 27919-2024")</f>
        <v/>
      </c>
      <c r="Y128">
        <f>HYPERLINK("https://klasma.github.io/Logging_2326/tillsynsmail/A 27919-2024 tillsynsbegäran mail.docx", "A 27919-2024")</f>
        <v/>
      </c>
    </row>
    <row r="129" ht="15" customHeight="1">
      <c r="A129" t="inlineStr">
        <is>
          <t>A 37387-2022</t>
        </is>
      </c>
      <c r="B129" s="1" t="n">
        <v>44806</v>
      </c>
      <c r="C129" s="1" t="n">
        <v>46033</v>
      </c>
      <c r="D129" t="inlineStr">
        <is>
          <t>JÄMTLANDS LÄN</t>
        </is>
      </c>
      <c r="E129" t="inlineStr">
        <is>
          <t>BERG</t>
        </is>
      </c>
      <c r="G129" t="n">
        <v>20.2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14588-2021</t>
        </is>
      </c>
      <c r="B130" s="1" t="n">
        <v>44279</v>
      </c>
      <c r="C130" s="1" t="n">
        <v>46033</v>
      </c>
      <c r="D130" t="inlineStr">
        <is>
          <t>JÄMTLANDS LÄN</t>
        </is>
      </c>
      <c r="E130" t="inlineStr">
        <is>
          <t>BERG</t>
        </is>
      </c>
      <c r="G130" t="n">
        <v>6.3</v>
      </c>
      <c r="H130" t="n">
        <v>0</v>
      </c>
      <c r="I130" t="n">
        <v>0</v>
      </c>
      <c r="J130" t="n">
        <v>2</v>
      </c>
      <c r="K130" t="n">
        <v>0</v>
      </c>
      <c r="L130" t="n">
        <v>0</v>
      </c>
      <c r="M130" t="n">
        <v>0</v>
      </c>
      <c r="N130" t="n">
        <v>0</v>
      </c>
      <c r="O130" t="n">
        <v>2</v>
      </c>
      <c r="P130" t="n">
        <v>0</v>
      </c>
      <c r="Q130" t="n">
        <v>2</v>
      </c>
      <c r="R130" s="2" t="inlineStr">
        <is>
          <t>Garnlav
Harticka</t>
        </is>
      </c>
      <c r="S130">
        <f>HYPERLINK("https://klasma.github.io/Logging_2326/artfynd/A 14588-2021 artfynd.xlsx", "A 14588-2021")</f>
        <v/>
      </c>
      <c r="T130">
        <f>HYPERLINK("https://klasma.github.io/Logging_2326/kartor/A 14588-2021 karta.png", "A 14588-2021")</f>
        <v/>
      </c>
      <c r="V130">
        <f>HYPERLINK("https://klasma.github.io/Logging_2326/klagomål/A 14588-2021 FSC-klagomål.docx", "A 14588-2021")</f>
        <v/>
      </c>
      <c r="W130">
        <f>HYPERLINK("https://klasma.github.io/Logging_2326/klagomålsmail/A 14588-2021 FSC-klagomål mail.docx", "A 14588-2021")</f>
        <v/>
      </c>
      <c r="X130">
        <f>HYPERLINK("https://klasma.github.io/Logging_2326/tillsyn/A 14588-2021 tillsynsbegäran.docx", "A 14588-2021")</f>
        <v/>
      </c>
      <c r="Y130">
        <f>HYPERLINK("https://klasma.github.io/Logging_2326/tillsynsmail/A 14588-2021 tillsynsbegäran mail.docx", "A 14588-2021")</f>
        <v/>
      </c>
    </row>
    <row r="131" ht="15" customHeight="1">
      <c r="A131" t="inlineStr">
        <is>
          <t>A 48880-2023</t>
        </is>
      </c>
      <c r="B131" s="1" t="n">
        <v>45209</v>
      </c>
      <c r="C131" s="1" t="n">
        <v>46033</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47-2023</t>
        </is>
      </c>
      <c r="B132" s="1" t="n">
        <v>44928</v>
      </c>
      <c r="C132" s="1" t="n">
        <v>46033</v>
      </c>
      <c r="D132" t="inlineStr">
        <is>
          <t>JÄMTLANDS LÄN</t>
        </is>
      </c>
      <c r="E132" t="inlineStr">
        <is>
          <t>BERG</t>
        </is>
      </c>
      <c r="F132" t="inlineStr">
        <is>
          <t>Naturvårdsverket</t>
        </is>
      </c>
      <c r="G132" t="n">
        <v>1.5</v>
      </c>
      <c r="H132" t="n">
        <v>1</v>
      </c>
      <c r="I132" t="n">
        <v>0</v>
      </c>
      <c r="J132" t="n">
        <v>1</v>
      </c>
      <c r="K132" t="n">
        <v>1</v>
      </c>
      <c r="L132" t="n">
        <v>0</v>
      </c>
      <c r="M132" t="n">
        <v>0</v>
      </c>
      <c r="N132" t="n">
        <v>0</v>
      </c>
      <c r="O132" t="n">
        <v>2</v>
      </c>
      <c r="P132" t="n">
        <v>1</v>
      </c>
      <c r="Q132" t="n">
        <v>2</v>
      </c>
      <c r="R132" s="2" t="inlineStr">
        <is>
          <t>Knärot
Violettgrå tagellav</t>
        </is>
      </c>
      <c r="S132">
        <f>HYPERLINK("https://klasma.github.io/Logging_2326/artfynd/A 47-2023 artfynd.xlsx", "A 47-2023")</f>
        <v/>
      </c>
      <c r="T132">
        <f>HYPERLINK("https://klasma.github.io/Logging_2326/kartor/A 47-2023 karta.png", "A 47-2023")</f>
        <v/>
      </c>
      <c r="U132">
        <f>HYPERLINK("https://klasma.github.io/Logging_2326/knärot/A 47-2023 karta knärot.png", "A 47-2023")</f>
        <v/>
      </c>
      <c r="V132">
        <f>HYPERLINK("https://klasma.github.io/Logging_2326/klagomål/A 47-2023 FSC-klagomål.docx", "A 47-2023")</f>
        <v/>
      </c>
      <c r="W132">
        <f>HYPERLINK("https://klasma.github.io/Logging_2326/klagomålsmail/A 47-2023 FSC-klagomål mail.docx", "A 47-2023")</f>
        <v/>
      </c>
      <c r="X132">
        <f>HYPERLINK("https://klasma.github.io/Logging_2326/tillsyn/A 47-2023 tillsynsbegäran.docx", "A 47-2023")</f>
        <v/>
      </c>
      <c r="Y132">
        <f>HYPERLINK("https://klasma.github.io/Logging_2326/tillsynsmail/A 47-2023 tillsynsbegäran mail.docx", "A 47-2023")</f>
        <v/>
      </c>
    </row>
    <row r="133" ht="15" customHeight="1">
      <c r="A133" t="inlineStr">
        <is>
          <t>A 26944-2024</t>
        </is>
      </c>
      <c r="B133" s="1" t="n">
        <v>45470.96880787037</v>
      </c>
      <c r="C133" s="1" t="n">
        <v>46033</v>
      </c>
      <c r="D133" t="inlineStr">
        <is>
          <t>JÄMTLANDS LÄN</t>
        </is>
      </c>
      <c r="E133" t="inlineStr">
        <is>
          <t>BERG</t>
        </is>
      </c>
      <c r="F133" t="inlineStr">
        <is>
          <t>SCA</t>
        </is>
      </c>
      <c r="G133" t="n">
        <v>5.7</v>
      </c>
      <c r="H133" t="n">
        <v>0</v>
      </c>
      <c r="I133" t="n">
        <v>0</v>
      </c>
      <c r="J133" t="n">
        <v>2</v>
      </c>
      <c r="K133" t="n">
        <v>0</v>
      </c>
      <c r="L133" t="n">
        <v>0</v>
      </c>
      <c r="M133" t="n">
        <v>0</v>
      </c>
      <c r="N133" t="n">
        <v>0</v>
      </c>
      <c r="O133" t="n">
        <v>2</v>
      </c>
      <c r="P133" t="n">
        <v>0</v>
      </c>
      <c r="Q133" t="n">
        <v>2</v>
      </c>
      <c r="R133" s="2" t="inlineStr">
        <is>
          <t>Blå taggsvamp
Gammelgransskål</t>
        </is>
      </c>
      <c r="S133">
        <f>HYPERLINK("https://klasma.github.io/Logging_2326/artfynd/A 26944-2024 artfynd.xlsx", "A 26944-2024")</f>
        <v/>
      </c>
      <c r="T133">
        <f>HYPERLINK("https://klasma.github.io/Logging_2326/kartor/A 26944-2024 karta.png", "A 26944-2024")</f>
        <v/>
      </c>
      <c r="V133">
        <f>HYPERLINK("https://klasma.github.io/Logging_2326/klagomål/A 26944-2024 FSC-klagomål.docx", "A 26944-2024")</f>
        <v/>
      </c>
      <c r="W133">
        <f>HYPERLINK("https://klasma.github.io/Logging_2326/klagomålsmail/A 26944-2024 FSC-klagomål mail.docx", "A 26944-2024")</f>
        <v/>
      </c>
      <c r="X133">
        <f>HYPERLINK("https://klasma.github.io/Logging_2326/tillsyn/A 26944-2024 tillsynsbegäran.docx", "A 26944-2024")</f>
        <v/>
      </c>
      <c r="Y133">
        <f>HYPERLINK("https://klasma.github.io/Logging_2326/tillsynsmail/A 26944-2024 tillsynsbegäran mail.docx", "A 26944-2024")</f>
        <v/>
      </c>
    </row>
    <row r="134" ht="15" customHeight="1">
      <c r="A134" t="inlineStr">
        <is>
          <t>A 33009-2024</t>
        </is>
      </c>
      <c r="B134" s="1" t="n">
        <v>45517.50332175926</v>
      </c>
      <c r="C134" s="1" t="n">
        <v>46033</v>
      </c>
      <c r="D134" t="inlineStr">
        <is>
          <t>JÄMTLANDS LÄN</t>
        </is>
      </c>
      <c r="E134" t="inlineStr">
        <is>
          <t>BERG</t>
        </is>
      </c>
      <c r="G134" t="n">
        <v>2.7</v>
      </c>
      <c r="H134" t="n">
        <v>1</v>
      </c>
      <c r="I134" t="n">
        <v>0</v>
      </c>
      <c r="J134" t="n">
        <v>2</v>
      </c>
      <c r="K134" t="n">
        <v>0</v>
      </c>
      <c r="L134" t="n">
        <v>0</v>
      </c>
      <c r="M134" t="n">
        <v>0</v>
      </c>
      <c r="N134" t="n">
        <v>0</v>
      </c>
      <c r="O134" t="n">
        <v>2</v>
      </c>
      <c r="P134" t="n">
        <v>0</v>
      </c>
      <c r="Q134" t="n">
        <v>2</v>
      </c>
      <c r="R134" s="2" t="inlineStr">
        <is>
          <t>Garnlav
Talltita</t>
        </is>
      </c>
      <c r="S134">
        <f>HYPERLINK("https://klasma.github.io/Logging_2326/artfynd/A 33009-2024 artfynd.xlsx", "A 33009-2024")</f>
        <v/>
      </c>
      <c r="T134">
        <f>HYPERLINK("https://klasma.github.io/Logging_2326/kartor/A 33009-2024 karta.png", "A 33009-2024")</f>
        <v/>
      </c>
      <c r="V134">
        <f>HYPERLINK("https://klasma.github.io/Logging_2326/klagomål/A 33009-2024 FSC-klagomål.docx", "A 33009-2024")</f>
        <v/>
      </c>
      <c r="W134">
        <f>HYPERLINK("https://klasma.github.io/Logging_2326/klagomålsmail/A 33009-2024 FSC-klagomål mail.docx", "A 33009-2024")</f>
        <v/>
      </c>
      <c r="X134">
        <f>HYPERLINK("https://klasma.github.io/Logging_2326/tillsyn/A 33009-2024 tillsynsbegäran.docx", "A 33009-2024")</f>
        <v/>
      </c>
      <c r="Y134">
        <f>HYPERLINK("https://klasma.github.io/Logging_2326/tillsynsmail/A 33009-2024 tillsynsbegäran mail.docx", "A 33009-2024")</f>
        <v/>
      </c>
      <c r="Z134">
        <f>HYPERLINK("https://klasma.github.io/Logging_2326/fåglar/A 33009-2024 prioriterade fågelarter.docx", "A 33009-2024")</f>
        <v/>
      </c>
    </row>
    <row r="135" ht="15" customHeight="1">
      <c r="A135" t="inlineStr">
        <is>
          <t>A 12734-2024</t>
        </is>
      </c>
      <c r="B135" s="1" t="n">
        <v>45384</v>
      </c>
      <c r="C135" s="1" t="n">
        <v>46033</v>
      </c>
      <c r="D135" t="inlineStr">
        <is>
          <t>JÄMTLANDS LÄN</t>
        </is>
      </c>
      <c r="E135" t="inlineStr">
        <is>
          <t>BERG</t>
        </is>
      </c>
      <c r="G135" t="n">
        <v>7.2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12734-2024 artfynd.xlsx", "A 12734-2024")</f>
        <v/>
      </c>
      <c r="T135">
        <f>HYPERLINK("https://klasma.github.io/Logging_2326/kartor/A 12734-2024 karta.png", "A 12734-2024")</f>
        <v/>
      </c>
      <c r="V135">
        <f>HYPERLINK("https://klasma.github.io/Logging_2326/klagomål/A 12734-2024 FSC-klagomål.docx", "A 12734-2024")</f>
        <v/>
      </c>
      <c r="W135">
        <f>HYPERLINK("https://klasma.github.io/Logging_2326/klagomålsmail/A 12734-2024 FSC-klagomål mail.docx", "A 12734-2024")</f>
        <v/>
      </c>
      <c r="X135">
        <f>HYPERLINK("https://klasma.github.io/Logging_2326/tillsyn/A 12734-2024 tillsynsbegäran.docx", "A 12734-2024")</f>
        <v/>
      </c>
      <c r="Y135">
        <f>HYPERLINK("https://klasma.github.io/Logging_2326/tillsynsmail/A 12734-2024 tillsynsbegäran mail.docx", "A 12734-2024")</f>
        <v/>
      </c>
      <c r="Z135">
        <f>HYPERLINK("https://klasma.github.io/Logging_2326/fåglar/A 12734-2024 prioriterade fågelarter.docx", "A 12734-2024")</f>
        <v/>
      </c>
    </row>
    <row r="136" ht="15" customHeight="1">
      <c r="A136" t="inlineStr">
        <is>
          <t>A 55331-2023</t>
        </is>
      </c>
      <c r="B136" s="1" t="n">
        <v>45237</v>
      </c>
      <c r="C136" s="1" t="n">
        <v>46033</v>
      </c>
      <c r="D136" t="inlineStr">
        <is>
          <t>JÄMTLANDS LÄN</t>
        </is>
      </c>
      <c r="E136" t="inlineStr">
        <is>
          <t>BERG</t>
        </is>
      </c>
      <c r="F136" t="inlineStr">
        <is>
          <t>SCA</t>
        </is>
      </c>
      <c r="G136" t="n">
        <v>8.800000000000001</v>
      </c>
      <c r="H136" t="n">
        <v>1</v>
      </c>
      <c r="I136" t="n">
        <v>1</v>
      </c>
      <c r="J136" t="n">
        <v>0</v>
      </c>
      <c r="K136" t="n">
        <v>0</v>
      </c>
      <c r="L136" t="n">
        <v>0</v>
      </c>
      <c r="M136" t="n">
        <v>0</v>
      </c>
      <c r="N136" t="n">
        <v>0</v>
      </c>
      <c r="O136" t="n">
        <v>0</v>
      </c>
      <c r="P136" t="n">
        <v>0</v>
      </c>
      <c r="Q136" t="n">
        <v>2</v>
      </c>
      <c r="R136" s="2" t="inlineStr">
        <is>
          <t>Tibast
Fläcknycklar</t>
        </is>
      </c>
      <c r="S136">
        <f>HYPERLINK("https://klasma.github.io/Logging_2326/artfynd/A 55331-2023 artfynd.xlsx", "A 55331-2023")</f>
        <v/>
      </c>
      <c r="T136">
        <f>HYPERLINK("https://klasma.github.io/Logging_2326/kartor/A 55331-2023 karta.png", "A 55331-2023")</f>
        <v/>
      </c>
      <c r="V136">
        <f>HYPERLINK("https://klasma.github.io/Logging_2326/klagomål/A 55331-2023 FSC-klagomål.docx", "A 55331-2023")</f>
        <v/>
      </c>
      <c r="W136">
        <f>HYPERLINK("https://klasma.github.io/Logging_2326/klagomålsmail/A 55331-2023 FSC-klagomål mail.docx", "A 55331-2023")</f>
        <v/>
      </c>
      <c r="X136">
        <f>HYPERLINK("https://klasma.github.io/Logging_2326/tillsyn/A 55331-2023 tillsynsbegäran.docx", "A 55331-2023")</f>
        <v/>
      </c>
      <c r="Y136">
        <f>HYPERLINK("https://klasma.github.io/Logging_2326/tillsynsmail/A 55331-2023 tillsynsbegäran mail.docx", "A 55331-2023")</f>
        <v/>
      </c>
    </row>
    <row r="137" ht="15" customHeight="1">
      <c r="A137" t="inlineStr">
        <is>
          <t>A 10133-2023</t>
        </is>
      </c>
      <c r="B137" s="1" t="n">
        <v>44986</v>
      </c>
      <c r="C137" s="1" t="n">
        <v>46033</v>
      </c>
      <c r="D137" t="inlineStr">
        <is>
          <t>JÄMTLANDS LÄN</t>
        </is>
      </c>
      <c r="E137" t="inlineStr">
        <is>
          <t>BERG</t>
        </is>
      </c>
      <c r="F137" t="inlineStr">
        <is>
          <t>Holmen skog AB</t>
        </is>
      </c>
      <c r="G137" t="n">
        <v>3</v>
      </c>
      <c r="H137" t="n">
        <v>0</v>
      </c>
      <c r="I137" t="n">
        <v>0</v>
      </c>
      <c r="J137" t="n">
        <v>2</v>
      </c>
      <c r="K137" t="n">
        <v>0</v>
      </c>
      <c r="L137" t="n">
        <v>0</v>
      </c>
      <c r="M137" t="n">
        <v>0</v>
      </c>
      <c r="N137" t="n">
        <v>0</v>
      </c>
      <c r="O137" t="n">
        <v>2</v>
      </c>
      <c r="P137" t="n">
        <v>0</v>
      </c>
      <c r="Q137" t="n">
        <v>2</v>
      </c>
      <c r="R137" s="2" t="inlineStr">
        <is>
          <t>Garnlav
Vitgrynig nållav</t>
        </is>
      </c>
      <c r="S137">
        <f>HYPERLINK("https://klasma.github.io/Logging_2326/artfynd/A 10133-2023 artfynd.xlsx", "A 10133-2023")</f>
        <v/>
      </c>
      <c r="T137">
        <f>HYPERLINK("https://klasma.github.io/Logging_2326/kartor/A 10133-2023 karta.png", "A 10133-2023")</f>
        <v/>
      </c>
      <c r="V137">
        <f>HYPERLINK("https://klasma.github.io/Logging_2326/klagomål/A 10133-2023 FSC-klagomål.docx", "A 10133-2023")</f>
        <v/>
      </c>
      <c r="W137">
        <f>HYPERLINK("https://klasma.github.io/Logging_2326/klagomålsmail/A 10133-2023 FSC-klagomål mail.docx", "A 10133-2023")</f>
        <v/>
      </c>
      <c r="X137">
        <f>HYPERLINK("https://klasma.github.io/Logging_2326/tillsyn/A 10133-2023 tillsynsbegäran.docx", "A 10133-2023")</f>
        <v/>
      </c>
      <c r="Y137">
        <f>HYPERLINK("https://klasma.github.io/Logging_2326/tillsynsmail/A 10133-2023 tillsynsbegäran mail.docx", "A 10133-2023")</f>
        <v/>
      </c>
    </row>
    <row r="138" ht="15" customHeight="1">
      <c r="A138" t="inlineStr">
        <is>
          <t>A 28769-2024</t>
        </is>
      </c>
      <c r="B138" s="1" t="n">
        <v>45478</v>
      </c>
      <c r="C138" s="1" t="n">
        <v>46033</v>
      </c>
      <c r="D138" t="inlineStr">
        <is>
          <t>JÄMTLANDS LÄN</t>
        </is>
      </c>
      <c r="E138" t="inlineStr">
        <is>
          <t>BERG</t>
        </is>
      </c>
      <c r="F138" t="inlineStr">
        <is>
          <t>Sveaskog</t>
        </is>
      </c>
      <c r="G138" t="n">
        <v>2.2</v>
      </c>
      <c r="H138" t="n">
        <v>1</v>
      </c>
      <c r="I138" t="n">
        <v>0</v>
      </c>
      <c r="J138" t="n">
        <v>1</v>
      </c>
      <c r="K138" t="n">
        <v>0</v>
      </c>
      <c r="L138" t="n">
        <v>0</v>
      </c>
      <c r="M138" t="n">
        <v>0</v>
      </c>
      <c r="N138" t="n">
        <v>0</v>
      </c>
      <c r="O138" t="n">
        <v>1</v>
      </c>
      <c r="P138" t="n">
        <v>0</v>
      </c>
      <c r="Q138" t="n">
        <v>2</v>
      </c>
      <c r="R138" s="2" t="inlineStr">
        <is>
          <t>Lunglav
Fläcknycklar</t>
        </is>
      </c>
      <c r="S138">
        <f>HYPERLINK("https://klasma.github.io/Logging_2326/artfynd/A 28769-2024 artfynd.xlsx", "A 28769-2024")</f>
        <v/>
      </c>
      <c r="T138">
        <f>HYPERLINK("https://klasma.github.io/Logging_2326/kartor/A 28769-2024 karta.png", "A 28769-2024")</f>
        <v/>
      </c>
      <c r="V138">
        <f>HYPERLINK("https://klasma.github.io/Logging_2326/klagomål/A 28769-2024 FSC-klagomål.docx", "A 28769-2024")</f>
        <v/>
      </c>
      <c r="W138">
        <f>HYPERLINK("https://klasma.github.io/Logging_2326/klagomålsmail/A 28769-2024 FSC-klagomål mail.docx", "A 28769-2024")</f>
        <v/>
      </c>
      <c r="X138">
        <f>HYPERLINK("https://klasma.github.io/Logging_2326/tillsyn/A 28769-2024 tillsynsbegäran.docx", "A 28769-2024")</f>
        <v/>
      </c>
      <c r="Y138">
        <f>HYPERLINK("https://klasma.github.io/Logging_2326/tillsynsmail/A 28769-2024 tillsynsbegäran mail.docx", "A 28769-2024")</f>
        <v/>
      </c>
    </row>
    <row r="139" ht="15" customHeight="1">
      <c r="A139" t="inlineStr">
        <is>
          <t>A 16834-2021</t>
        </is>
      </c>
      <c r="B139" s="1" t="n">
        <v>44293</v>
      </c>
      <c r="C139" s="1" t="n">
        <v>46033</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46033</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53708-2024</t>
        </is>
      </c>
      <c r="B141" s="1" t="n">
        <v>45615.40983796296</v>
      </c>
      <c r="C141" s="1" t="n">
        <v>46033</v>
      </c>
      <c r="D141" t="inlineStr">
        <is>
          <t>JÄMTLANDS LÄN</t>
        </is>
      </c>
      <c r="E141" t="inlineStr">
        <is>
          <t>BERG</t>
        </is>
      </c>
      <c r="G141" t="n">
        <v>8.199999999999999</v>
      </c>
      <c r="H141" t="n">
        <v>0</v>
      </c>
      <c r="I141" t="n">
        <v>0</v>
      </c>
      <c r="J141" t="n">
        <v>1</v>
      </c>
      <c r="K141" t="n">
        <v>0</v>
      </c>
      <c r="L141" t="n">
        <v>0</v>
      </c>
      <c r="M141" t="n">
        <v>0</v>
      </c>
      <c r="N141" t="n">
        <v>0</v>
      </c>
      <c r="O141" t="n">
        <v>1</v>
      </c>
      <c r="P141" t="n">
        <v>0</v>
      </c>
      <c r="Q141" t="n">
        <v>1</v>
      </c>
      <c r="R141" s="2" t="inlineStr">
        <is>
          <t>Lunglav</t>
        </is>
      </c>
      <c r="S141">
        <f>HYPERLINK("https://klasma.github.io/Logging_2326/artfynd/A 53708-2024 artfynd.xlsx", "A 53708-2024")</f>
        <v/>
      </c>
      <c r="T141">
        <f>HYPERLINK("https://klasma.github.io/Logging_2326/kartor/A 53708-2024 karta.png", "A 53708-2024")</f>
        <v/>
      </c>
      <c r="V141">
        <f>HYPERLINK("https://klasma.github.io/Logging_2326/klagomål/A 53708-2024 FSC-klagomål.docx", "A 53708-2024")</f>
        <v/>
      </c>
      <c r="W141">
        <f>HYPERLINK("https://klasma.github.io/Logging_2326/klagomålsmail/A 53708-2024 FSC-klagomål mail.docx", "A 53708-2024")</f>
        <v/>
      </c>
      <c r="X141">
        <f>HYPERLINK("https://klasma.github.io/Logging_2326/tillsyn/A 53708-2024 tillsynsbegäran.docx", "A 53708-2024")</f>
        <v/>
      </c>
      <c r="Y141">
        <f>HYPERLINK("https://klasma.github.io/Logging_2326/tillsynsmail/A 53708-2024 tillsynsbegäran mail.docx", "A 53708-2024")</f>
        <v/>
      </c>
    </row>
    <row r="142" ht="15" customHeight="1">
      <c r="A142" t="inlineStr">
        <is>
          <t>A 49276-2024</t>
        </is>
      </c>
      <c r="B142" s="1" t="n">
        <v>45595.50819444445</v>
      </c>
      <c r="C142" s="1" t="n">
        <v>46033</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32171-2024</t>
        </is>
      </c>
      <c r="B143" s="1" t="n">
        <v>45511</v>
      </c>
      <c r="C143" s="1" t="n">
        <v>46033</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33126-2024</t>
        </is>
      </c>
      <c r="B144" s="1" t="n">
        <v>45517.9575462963</v>
      </c>
      <c r="C144" s="1" t="n">
        <v>46033</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39001-2025</t>
        </is>
      </c>
      <c r="B145" s="1" t="n">
        <v>45888.344375</v>
      </c>
      <c r="C145" s="1" t="n">
        <v>46033</v>
      </c>
      <c r="D145" t="inlineStr">
        <is>
          <t>JÄMTLANDS LÄN</t>
        </is>
      </c>
      <c r="E145" t="inlineStr">
        <is>
          <t>BERG</t>
        </is>
      </c>
      <c r="F145" t="inlineStr">
        <is>
          <t>SCA</t>
        </is>
      </c>
      <c r="G145" t="n">
        <v>4.4</v>
      </c>
      <c r="H145" t="n">
        <v>0</v>
      </c>
      <c r="I145" t="n">
        <v>0</v>
      </c>
      <c r="J145" t="n">
        <v>1</v>
      </c>
      <c r="K145" t="n">
        <v>0</v>
      </c>
      <c r="L145" t="n">
        <v>0</v>
      </c>
      <c r="M145" t="n">
        <v>0</v>
      </c>
      <c r="N145" t="n">
        <v>0</v>
      </c>
      <c r="O145" t="n">
        <v>1</v>
      </c>
      <c r="P145" t="n">
        <v>0</v>
      </c>
      <c r="Q145" t="n">
        <v>1</v>
      </c>
      <c r="R145" s="2" t="inlineStr">
        <is>
          <t>Vedflamlav</t>
        </is>
      </c>
      <c r="S145">
        <f>HYPERLINK("https://klasma.github.io/Logging_2326/artfynd/A 39001-2025 artfynd.xlsx", "A 39001-2025")</f>
        <v/>
      </c>
      <c r="T145">
        <f>HYPERLINK("https://klasma.github.io/Logging_2326/kartor/A 39001-2025 karta.png", "A 39001-2025")</f>
        <v/>
      </c>
      <c r="V145">
        <f>HYPERLINK("https://klasma.github.io/Logging_2326/klagomål/A 39001-2025 FSC-klagomål.docx", "A 39001-2025")</f>
        <v/>
      </c>
      <c r="W145">
        <f>HYPERLINK("https://klasma.github.io/Logging_2326/klagomålsmail/A 39001-2025 FSC-klagomål mail.docx", "A 39001-2025")</f>
        <v/>
      </c>
      <c r="X145">
        <f>HYPERLINK("https://klasma.github.io/Logging_2326/tillsyn/A 39001-2025 tillsynsbegäran.docx", "A 39001-2025")</f>
        <v/>
      </c>
      <c r="Y145">
        <f>HYPERLINK("https://klasma.github.io/Logging_2326/tillsynsmail/A 39001-2025 tillsynsbegäran mail.docx", "A 39001-2025")</f>
        <v/>
      </c>
    </row>
    <row r="146" ht="15" customHeight="1">
      <c r="A146" t="inlineStr">
        <is>
          <t>A 44259-2024</t>
        </is>
      </c>
      <c r="B146" s="1" t="n">
        <v>45573</v>
      </c>
      <c r="C146" s="1" t="n">
        <v>46033</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24331-2025</t>
        </is>
      </c>
      <c r="B147" s="1" t="n">
        <v>45797</v>
      </c>
      <c r="C147" s="1" t="n">
        <v>46033</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52193-2024</t>
        </is>
      </c>
      <c r="B148" s="1" t="n">
        <v>45608</v>
      </c>
      <c r="C148" s="1" t="n">
        <v>46033</v>
      </c>
      <c r="D148" t="inlineStr">
        <is>
          <t>JÄMTLANDS LÄN</t>
        </is>
      </c>
      <c r="E148" t="inlineStr">
        <is>
          <t>BERG</t>
        </is>
      </c>
      <c r="G148" t="n">
        <v>7.4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52193-2024 artfynd.xlsx", "A 52193-2024")</f>
        <v/>
      </c>
      <c r="T148">
        <f>HYPERLINK("https://klasma.github.io/Logging_2326/kartor/A 52193-2024 karta.png", "A 52193-2024")</f>
        <v/>
      </c>
      <c r="V148">
        <f>HYPERLINK("https://klasma.github.io/Logging_2326/klagomål/A 52193-2024 FSC-klagomål.docx", "A 52193-2024")</f>
        <v/>
      </c>
      <c r="W148">
        <f>HYPERLINK("https://klasma.github.io/Logging_2326/klagomålsmail/A 52193-2024 FSC-klagomål mail.docx", "A 52193-2024")</f>
        <v/>
      </c>
      <c r="X148">
        <f>HYPERLINK("https://klasma.github.io/Logging_2326/tillsyn/A 52193-2024 tillsynsbegäran.docx", "A 52193-2024")</f>
        <v/>
      </c>
      <c r="Y148">
        <f>HYPERLINK("https://klasma.github.io/Logging_2326/tillsynsmail/A 52193-2024 tillsynsbegäran mail.docx", "A 52193-2024")</f>
        <v/>
      </c>
      <c r="Z148">
        <f>HYPERLINK("https://klasma.github.io/Logging_2326/fåglar/A 52193-2024 prioriterade fågelarter.docx", "A 52193-2024")</f>
        <v/>
      </c>
    </row>
    <row r="149" ht="15" customHeight="1">
      <c r="A149" t="inlineStr">
        <is>
          <t>A 25556-2025</t>
        </is>
      </c>
      <c r="B149" s="1" t="n">
        <v>45803.45106481481</v>
      </c>
      <c r="C149" s="1" t="n">
        <v>46033</v>
      </c>
      <c r="D149" t="inlineStr">
        <is>
          <t>JÄMTLANDS LÄN</t>
        </is>
      </c>
      <c r="E149" t="inlineStr">
        <is>
          <t>BERG</t>
        </is>
      </c>
      <c r="G149" t="n">
        <v>6.2</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25556-2025 artfynd.xlsx", "A 25556-2025")</f>
        <v/>
      </c>
      <c r="T149">
        <f>HYPERLINK("https://klasma.github.io/Logging_2326/kartor/A 25556-2025 karta.png", "A 25556-2025")</f>
        <v/>
      </c>
      <c r="V149">
        <f>HYPERLINK("https://klasma.github.io/Logging_2326/klagomål/A 25556-2025 FSC-klagomål.docx", "A 25556-2025")</f>
        <v/>
      </c>
      <c r="W149">
        <f>HYPERLINK("https://klasma.github.io/Logging_2326/klagomålsmail/A 25556-2025 FSC-klagomål mail.docx", "A 25556-2025")</f>
        <v/>
      </c>
      <c r="X149">
        <f>HYPERLINK("https://klasma.github.io/Logging_2326/tillsyn/A 25556-2025 tillsynsbegäran.docx", "A 25556-2025")</f>
        <v/>
      </c>
      <c r="Y149">
        <f>HYPERLINK("https://klasma.github.io/Logging_2326/tillsynsmail/A 25556-2025 tillsynsbegäran mail.docx", "A 25556-2025")</f>
        <v/>
      </c>
      <c r="Z149">
        <f>HYPERLINK("https://klasma.github.io/Logging_2326/fåglar/A 25556-2025 prioriterade fågelarter.docx", "A 25556-2025")</f>
        <v/>
      </c>
    </row>
    <row r="150" ht="15" customHeight="1">
      <c r="A150" t="inlineStr">
        <is>
          <t>A 25853-2025</t>
        </is>
      </c>
      <c r="B150" s="1" t="n">
        <v>45804.46908564815</v>
      </c>
      <c r="C150" s="1" t="n">
        <v>46033</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56202-2021</t>
        </is>
      </c>
      <c r="B151" s="1" t="n">
        <v>44477</v>
      </c>
      <c r="C151" s="1" t="n">
        <v>46033</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60150-2025</t>
        </is>
      </c>
      <c r="B152" s="1" t="n">
        <v>45994.38944444444</v>
      </c>
      <c r="C152" s="1" t="n">
        <v>46033</v>
      </c>
      <c r="D152" t="inlineStr">
        <is>
          <t>JÄMTLANDS LÄN</t>
        </is>
      </c>
      <c r="E152" t="inlineStr">
        <is>
          <t>BERG</t>
        </is>
      </c>
      <c r="G152" t="n">
        <v>17.6</v>
      </c>
      <c r="H152" t="n">
        <v>0</v>
      </c>
      <c r="I152" t="n">
        <v>0</v>
      </c>
      <c r="J152" t="n">
        <v>1</v>
      </c>
      <c r="K152" t="n">
        <v>0</v>
      </c>
      <c r="L152" t="n">
        <v>0</v>
      </c>
      <c r="M152" t="n">
        <v>0</v>
      </c>
      <c r="N152" t="n">
        <v>0</v>
      </c>
      <c r="O152" t="n">
        <v>1</v>
      </c>
      <c r="P152" t="n">
        <v>0</v>
      </c>
      <c r="Q152" t="n">
        <v>1</v>
      </c>
      <c r="R152" s="2" t="inlineStr">
        <is>
          <t>Kolflarnlav</t>
        </is>
      </c>
      <c r="S152">
        <f>HYPERLINK("https://klasma.github.io/Logging_2326/artfynd/A 60150-2025 artfynd.xlsx", "A 60150-2025")</f>
        <v/>
      </c>
      <c r="T152">
        <f>HYPERLINK("https://klasma.github.io/Logging_2326/kartor/A 60150-2025 karta.png", "A 60150-2025")</f>
        <v/>
      </c>
      <c r="V152">
        <f>HYPERLINK("https://klasma.github.io/Logging_2326/klagomål/A 60150-2025 FSC-klagomål.docx", "A 60150-2025")</f>
        <v/>
      </c>
      <c r="W152">
        <f>HYPERLINK("https://klasma.github.io/Logging_2326/klagomålsmail/A 60150-2025 FSC-klagomål mail.docx", "A 60150-2025")</f>
        <v/>
      </c>
      <c r="X152">
        <f>HYPERLINK("https://klasma.github.io/Logging_2326/tillsyn/A 60150-2025 tillsynsbegäran.docx", "A 60150-2025")</f>
        <v/>
      </c>
      <c r="Y152">
        <f>HYPERLINK("https://klasma.github.io/Logging_2326/tillsynsmail/A 60150-2025 tillsynsbegäran mail.docx", "A 60150-2025")</f>
        <v/>
      </c>
    </row>
    <row r="153" ht="15" customHeight="1">
      <c r="A153" t="inlineStr">
        <is>
          <t>A 47656-2025</t>
        </is>
      </c>
      <c r="B153" s="1" t="n">
        <v>45931.55247685185</v>
      </c>
      <c r="C153" s="1" t="n">
        <v>46033</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46033</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54595-2024</t>
        </is>
      </c>
      <c r="B155" s="1" t="n">
        <v>45617.67353009259</v>
      </c>
      <c r="C155" s="1" t="n">
        <v>46033</v>
      </c>
      <c r="D155" t="inlineStr">
        <is>
          <t>JÄMTLANDS LÄN</t>
        </is>
      </c>
      <c r="E155" t="inlineStr">
        <is>
          <t>BERG</t>
        </is>
      </c>
      <c r="G155" t="n">
        <v>4.4</v>
      </c>
      <c r="H155" t="n">
        <v>1</v>
      </c>
      <c r="I155" t="n">
        <v>0</v>
      </c>
      <c r="J155" t="n">
        <v>0</v>
      </c>
      <c r="K155" t="n">
        <v>0</v>
      </c>
      <c r="L155" t="n">
        <v>0</v>
      </c>
      <c r="M155" t="n">
        <v>0</v>
      </c>
      <c r="N155" t="n">
        <v>0</v>
      </c>
      <c r="O155" t="n">
        <v>0</v>
      </c>
      <c r="P155" t="n">
        <v>0</v>
      </c>
      <c r="Q155" t="n">
        <v>1</v>
      </c>
      <c r="R155" s="2" t="inlineStr">
        <is>
          <t>Tjäder</t>
        </is>
      </c>
      <c r="S155">
        <f>HYPERLINK("https://klasma.github.io/Logging_2326/artfynd/A 54595-2024 artfynd.xlsx", "A 54595-2024")</f>
        <v/>
      </c>
      <c r="T155">
        <f>HYPERLINK("https://klasma.github.io/Logging_2326/kartor/A 54595-2024 karta.png", "A 54595-2024")</f>
        <v/>
      </c>
      <c r="V155">
        <f>HYPERLINK("https://klasma.github.io/Logging_2326/klagomål/A 54595-2024 FSC-klagomål.docx", "A 54595-2024")</f>
        <v/>
      </c>
      <c r="W155">
        <f>HYPERLINK("https://klasma.github.io/Logging_2326/klagomålsmail/A 54595-2024 FSC-klagomål mail.docx", "A 54595-2024")</f>
        <v/>
      </c>
      <c r="X155">
        <f>HYPERLINK("https://klasma.github.io/Logging_2326/tillsyn/A 54595-2024 tillsynsbegäran.docx", "A 54595-2024")</f>
        <v/>
      </c>
      <c r="Y155">
        <f>HYPERLINK("https://klasma.github.io/Logging_2326/tillsynsmail/A 54595-2024 tillsynsbegäran mail.docx", "A 54595-2024")</f>
        <v/>
      </c>
      <c r="Z155">
        <f>HYPERLINK("https://klasma.github.io/Logging_2326/fåglar/A 54595-2024 prioriterade fågelarter.docx", "A 54595-2024")</f>
        <v/>
      </c>
    </row>
    <row r="156" ht="15" customHeight="1">
      <c r="A156" t="inlineStr">
        <is>
          <t>A 31837-2025</t>
        </is>
      </c>
      <c r="B156" s="1" t="n">
        <v>45834.59467592592</v>
      </c>
      <c r="C156" s="1" t="n">
        <v>46033</v>
      </c>
      <c r="D156" t="inlineStr">
        <is>
          <t>JÄMTLANDS LÄN</t>
        </is>
      </c>
      <c r="E156" t="inlineStr">
        <is>
          <t>BERG</t>
        </is>
      </c>
      <c r="F156" t="inlineStr">
        <is>
          <t>SCA</t>
        </is>
      </c>
      <c r="G156" t="n">
        <v>12.2</v>
      </c>
      <c r="H156" t="n">
        <v>0</v>
      </c>
      <c r="I156" t="n">
        <v>0</v>
      </c>
      <c r="J156" t="n">
        <v>0</v>
      </c>
      <c r="K156" t="n">
        <v>1</v>
      </c>
      <c r="L156" t="n">
        <v>0</v>
      </c>
      <c r="M156" t="n">
        <v>0</v>
      </c>
      <c r="N156" t="n">
        <v>0</v>
      </c>
      <c r="O156" t="n">
        <v>1</v>
      </c>
      <c r="P156" t="n">
        <v>1</v>
      </c>
      <c r="Q156" t="n">
        <v>1</v>
      </c>
      <c r="R156" s="2" t="inlineStr">
        <is>
          <t>Gräddporing</t>
        </is>
      </c>
      <c r="S156">
        <f>HYPERLINK("https://klasma.github.io/Logging_2326/artfynd/A 31837-2025 artfynd.xlsx", "A 31837-2025")</f>
        <v/>
      </c>
      <c r="T156">
        <f>HYPERLINK("https://klasma.github.io/Logging_2326/kartor/A 31837-2025 karta.png", "A 31837-2025")</f>
        <v/>
      </c>
      <c r="V156">
        <f>HYPERLINK("https://klasma.github.io/Logging_2326/klagomål/A 31837-2025 FSC-klagomål.docx", "A 31837-2025")</f>
        <v/>
      </c>
      <c r="W156">
        <f>HYPERLINK("https://klasma.github.io/Logging_2326/klagomålsmail/A 31837-2025 FSC-klagomål mail.docx", "A 31837-2025")</f>
        <v/>
      </c>
      <c r="X156">
        <f>HYPERLINK("https://klasma.github.io/Logging_2326/tillsyn/A 31837-2025 tillsynsbegäran.docx", "A 31837-2025")</f>
        <v/>
      </c>
      <c r="Y156">
        <f>HYPERLINK("https://klasma.github.io/Logging_2326/tillsynsmail/A 31837-2025 tillsynsbegäran mail.docx", "A 31837-2025")</f>
        <v/>
      </c>
    </row>
    <row r="157" ht="15" customHeight="1">
      <c r="A157" t="inlineStr">
        <is>
          <t>A 60633-2025</t>
        </is>
      </c>
      <c r="B157" s="1" t="n">
        <v>45996.42788194444</v>
      </c>
      <c r="C157" s="1" t="n">
        <v>46033</v>
      </c>
      <c r="D157" t="inlineStr">
        <is>
          <t>JÄMTLANDS LÄN</t>
        </is>
      </c>
      <c r="E157" t="inlineStr">
        <is>
          <t>BERG</t>
        </is>
      </c>
      <c r="F157" t="inlineStr">
        <is>
          <t>SCA</t>
        </is>
      </c>
      <c r="G157" t="n">
        <v>18.3</v>
      </c>
      <c r="H157" t="n">
        <v>1</v>
      </c>
      <c r="I157" t="n">
        <v>1</v>
      </c>
      <c r="J157" t="n">
        <v>0</v>
      </c>
      <c r="K157" t="n">
        <v>0</v>
      </c>
      <c r="L157" t="n">
        <v>0</v>
      </c>
      <c r="M157" t="n">
        <v>0</v>
      </c>
      <c r="N157" t="n">
        <v>0</v>
      </c>
      <c r="O157" t="n">
        <v>0</v>
      </c>
      <c r="P157" t="n">
        <v>0</v>
      </c>
      <c r="Q157" t="n">
        <v>1</v>
      </c>
      <c r="R157" s="2" t="inlineStr">
        <is>
          <t>Plattlummer</t>
        </is>
      </c>
      <c r="S157">
        <f>HYPERLINK("https://klasma.github.io/Logging_2326/artfynd/A 60633-2025 artfynd.xlsx", "A 60633-2025")</f>
        <v/>
      </c>
      <c r="T157">
        <f>HYPERLINK("https://klasma.github.io/Logging_2326/kartor/A 60633-2025 karta.png", "A 60633-2025")</f>
        <v/>
      </c>
      <c r="V157">
        <f>HYPERLINK("https://klasma.github.io/Logging_2326/klagomål/A 60633-2025 FSC-klagomål.docx", "A 60633-2025")</f>
        <v/>
      </c>
      <c r="W157">
        <f>HYPERLINK("https://klasma.github.io/Logging_2326/klagomålsmail/A 60633-2025 FSC-klagomål mail.docx", "A 60633-2025")</f>
        <v/>
      </c>
      <c r="X157">
        <f>HYPERLINK("https://klasma.github.io/Logging_2326/tillsyn/A 60633-2025 tillsynsbegäran.docx", "A 60633-2025")</f>
        <v/>
      </c>
      <c r="Y157">
        <f>HYPERLINK("https://klasma.github.io/Logging_2326/tillsynsmail/A 60633-2025 tillsynsbegäran mail.docx", "A 60633-2025")</f>
        <v/>
      </c>
    </row>
    <row r="158" ht="15" customHeight="1">
      <c r="A158" t="inlineStr">
        <is>
          <t>A 47946-2025</t>
        </is>
      </c>
      <c r="B158" s="1" t="n">
        <v>45932.57346064815</v>
      </c>
      <c r="C158" s="1" t="n">
        <v>46033</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60833-2025</t>
        </is>
      </c>
      <c r="B159" s="1" t="n">
        <v>45999.46969907408</v>
      </c>
      <c r="C159" s="1" t="n">
        <v>46033</v>
      </c>
      <c r="D159" t="inlineStr">
        <is>
          <t>JÄMTLANDS LÄN</t>
        </is>
      </c>
      <c r="E159" t="inlineStr">
        <is>
          <t>BERG</t>
        </is>
      </c>
      <c r="F159" t="inlineStr">
        <is>
          <t>SCA</t>
        </is>
      </c>
      <c r="G159" t="n">
        <v>18.1</v>
      </c>
      <c r="H159" t="n">
        <v>1</v>
      </c>
      <c r="I159" t="n">
        <v>0</v>
      </c>
      <c r="J159" t="n">
        <v>1</v>
      </c>
      <c r="K159" t="n">
        <v>0</v>
      </c>
      <c r="L159" t="n">
        <v>0</v>
      </c>
      <c r="M159" t="n">
        <v>0</v>
      </c>
      <c r="N159" t="n">
        <v>0</v>
      </c>
      <c r="O159" t="n">
        <v>1</v>
      </c>
      <c r="P159" t="n">
        <v>0</v>
      </c>
      <c r="Q159" t="n">
        <v>1</v>
      </c>
      <c r="R159" s="2" t="inlineStr">
        <is>
          <t>Spillkråka</t>
        </is>
      </c>
      <c r="S159">
        <f>HYPERLINK("https://klasma.github.io/Logging_2326/artfynd/A 60833-2025 artfynd.xlsx", "A 60833-2025")</f>
        <v/>
      </c>
      <c r="T159">
        <f>HYPERLINK("https://klasma.github.io/Logging_2326/kartor/A 60833-2025 karta.png", "A 60833-2025")</f>
        <v/>
      </c>
      <c r="V159">
        <f>HYPERLINK("https://klasma.github.io/Logging_2326/klagomål/A 60833-2025 FSC-klagomål.docx", "A 60833-2025")</f>
        <v/>
      </c>
      <c r="W159">
        <f>HYPERLINK("https://klasma.github.io/Logging_2326/klagomålsmail/A 60833-2025 FSC-klagomål mail.docx", "A 60833-2025")</f>
        <v/>
      </c>
      <c r="X159">
        <f>HYPERLINK("https://klasma.github.io/Logging_2326/tillsyn/A 60833-2025 tillsynsbegäran.docx", "A 60833-2025")</f>
        <v/>
      </c>
      <c r="Y159">
        <f>HYPERLINK("https://klasma.github.io/Logging_2326/tillsynsmail/A 60833-2025 tillsynsbegäran mail.docx", "A 60833-2025")</f>
        <v/>
      </c>
      <c r="Z159">
        <f>HYPERLINK("https://klasma.github.io/Logging_2326/fåglar/A 60833-2025 prioriterade fågelarter.docx", "A 60833-2025")</f>
        <v/>
      </c>
    </row>
    <row r="160" ht="15" customHeight="1">
      <c r="A160" t="inlineStr">
        <is>
          <t>A 33501-2025</t>
        </is>
      </c>
      <c r="B160" s="1" t="n">
        <v>45841</v>
      </c>
      <c r="C160" s="1" t="n">
        <v>46033</v>
      </c>
      <c r="D160" t="inlineStr">
        <is>
          <t>JÄMTLANDS LÄN</t>
        </is>
      </c>
      <c r="E160" t="inlineStr">
        <is>
          <t>BERG</t>
        </is>
      </c>
      <c r="G160" t="n">
        <v>6.9</v>
      </c>
      <c r="H160" t="n">
        <v>1</v>
      </c>
      <c r="I160" t="n">
        <v>1</v>
      </c>
      <c r="J160" t="n">
        <v>0</v>
      </c>
      <c r="K160" t="n">
        <v>0</v>
      </c>
      <c r="L160" t="n">
        <v>0</v>
      </c>
      <c r="M160" t="n">
        <v>0</v>
      </c>
      <c r="N160" t="n">
        <v>0</v>
      </c>
      <c r="O160" t="n">
        <v>0</v>
      </c>
      <c r="P160" t="n">
        <v>0</v>
      </c>
      <c r="Q160" t="n">
        <v>1</v>
      </c>
      <c r="R160" s="2" t="inlineStr">
        <is>
          <t>Korallrot</t>
        </is>
      </c>
      <c r="S160">
        <f>HYPERLINK("https://klasma.github.io/Logging_2326/artfynd/A 33501-2025 artfynd.xlsx", "A 33501-2025")</f>
        <v/>
      </c>
      <c r="T160">
        <f>HYPERLINK("https://klasma.github.io/Logging_2326/kartor/A 33501-2025 karta.png", "A 33501-2025")</f>
        <v/>
      </c>
      <c r="V160">
        <f>HYPERLINK("https://klasma.github.io/Logging_2326/klagomål/A 33501-2025 FSC-klagomål.docx", "A 33501-2025")</f>
        <v/>
      </c>
      <c r="W160">
        <f>HYPERLINK("https://klasma.github.io/Logging_2326/klagomålsmail/A 33501-2025 FSC-klagomål mail.docx", "A 33501-2025")</f>
        <v/>
      </c>
      <c r="X160">
        <f>HYPERLINK("https://klasma.github.io/Logging_2326/tillsyn/A 33501-2025 tillsynsbegäran.docx", "A 33501-2025")</f>
        <v/>
      </c>
      <c r="Y160">
        <f>HYPERLINK("https://klasma.github.io/Logging_2326/tillsynsmail/A 33501-2025 tillsynsbegäran mail.docx", "A 33501-2025")</f>
        <v/>
      </c>
    </row>
    <row r="161" ht="15" customHeight="1">
      <c r="A161" t="inlineStr">
        <is>
          <t>A 50182-2025</t>
        </is>
      </c>
      <c r="B161" s="1" t="n">
        <v>45943.61550925926</v>
      </c>
      <c r="C161" s="1" t="n">
        <v>46033</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35211-2025</t>
        </is>
      </c>
      <c r="B162" s="1" t="n">
        <v>45853.45060185185</v>
      </c>
      <c r="C162" s="1" t="n">
        <v>46033</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35535-2025</t>
        </is>
      </c>
      <c r="B163" s="1" t="n">
        <v>45856.45047453704</v>
      </c>
      <c r="C163" s="1" t="n">
        <v>46033</v>
      </c>
      <c r="D163" t="inlineStr">
        <is>
          <t>JÄMTLANDS LÄN</t>
        </is>
      </c>
      <c r="E163" t="inlineStr">
        <is>
          <t>BERG</t>
        </is>
      </c>
      <c r="F163" t="inlineStr">
        <is>
          <t>Sveaskog</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HYPERLINK("https://klasma.github.io/Logging_2326/artfynd/A 35535-2025 artfynd.xlsx", "A 35535-2025")</f>
        <v/>
      </c>
      <c r="T163">
        <f>HYPERLINK("https://klasma.github.io/Logging_2326/kartor/A 35535-2025 karta.png", "A 35535-2025")</f>
        <v/>
      </c>
      <c r="V163">
        <f>HYPERLINK("https://klasma.github.io/Logging_2326/klagomål/A 35535-2025 FSC-klagomål.docx", "A 35535-2025")</f>
        <v/>
      </c>
      <c r="W163">
        <f>HYPERLINK("https://klasma.github.io/Logging_2326/klagomålsmail/A 35535-2025 FSC-klagomål mail.docx", "A 35535-2025")</f>
        <v/>
      </c>
      <c r="X163">
        <f>HYPERLINK("https://klasma.github.io/Logging_2326/tillsyn/A 35535-2025 tillsynsbegäran.docx", "A 35535-2025")</f>
        <v/>
      </c>
      <c r="Y163">
        <f>HYPERLINK("https://klasma.github.io/Logging_2326/tillsynsmail/A 35535-2025 tillsynsbegäran mail.docx", "A 35535-2025")</f>
        <v/>
      </c>
    </row>
    <row r="164" ht="15" customHeight="1">
      <c r="A164" t="inlineStr">
        <is>
          <t>A 20808-2024</t>
        </is>
      </c>
      <c r="B164" s="1" t="n">
        <v>45439</v>
      </c>
      <c r="C164" s="1" t="n">
        <v>46033</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20808-2024 artfynd.xlsx", "A 20808-2024")</f>
        <v/>
      </c>
      <c r="T164">
        <f>HYPERLINK("https://klasma.github.io/Logging_2326/kartor/A 20808-2024 karta.png", "A 20808-2024")</f>
        <v/>
      </c>
      <c r="V164">
        <f>HYPERLINK("https://klasma.github.io/Logging_2326/klagomål/A 20808-2024 FSC-klagomål.docx", "A 20808-2024")</f>
        <v/>
      </c>
      <c r="W164">
        <f>HYPERLINK("https://klasma.github.io/Logging_2326/klagomålsmail/A 20808-2024 FSC-klagomål mail.docx", "A 20808-2024")</f>
        <v/>
      </c>
      <c r="X164">
        <f>HYPERLINK("https://klasma.github.io/Logging_2326/tillsyn/A 20808-2024 tillsynsbegäran.docx", "A 20808-2024")</f>
        <v/>
      </c>
      <c r="Y164">
        <f>HYPERLINK("https://klasma.github.io/Logging_2326/tillsynsmail/A 20808-2024 tillsynsbegäran mail.docx", "A 20808-2024")</f>
        <v/>
      </c>
      <c r="Z164">
        <f>HYPERLINK("https://klasma.github.io/Logging_2326/fåglar/A 20808-2024 prioriterade fågelarter.docx", "A 20808-2024")</f>
        <v/>
      </c>
    </row>
    <row r="165" ht="15" customHeight="1">
      <c r="A165" t="inlineStr">
        <is>
          <t>A 37513-2025</t>
        </is>
      </c>
      <c r="B165" s="1" t="n">
        <v>45877.69828703703</v>
      </c>
      <c r="C165" s="1" t="n">
        <v>46033</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37651-2025</t>
        </is>
      </c>
      <c r="B166" s="1" t="n">
        <v>45880.49006944444</v>
      </c>
      <c r="C166" s="1" t="n">
        <v>46033</v>
      </c>
      <c r="D166" t="inlineStr">
        <is>
          <t>JÄMTLANDS LÄN</t>
        </is>
      </c>
      <c r="E166" t="inlineStr">
        <is>
          <t>BERG</t>
        </is>
      </c>
      <c r="F166" t="inlineStr">
        <is>
          <t>SCA</t>
        </is>
      </c>
      <c r="G166" t="n">
        <v>8.5</v>
      </c>
      <c r="H166" t="n">
        <v>0</v>
      </c>
      <c r="I166" t="n">
        <v>0</v>
      </c>
      <c r="J166" t="n">
        <v>1</v>
      </c>
      <c r="K166" t="n">
        <v>0</v>
      </c>
      <c r="L166" t="n">
        <v>0</v>
      </c>
      <c r="M166" t="n">
        <v>0</v>
      </c>
      <c r="N166" t="n">
        <v>0</v>
      </c>
      <c r="O166" t="n">
        <v>1</v>
      </c>
      <c r="P166" t="n">
        <v>0</v>
      </c>
      <c r="Q166" t="n">
        <v>1</v>
      </c>
      <c r="R166" s="2" t="inlineStr">
        <is>
          <t>Vedflamlav</t>
        </is>
      </c>
      <c r="S166">
        <f>HYPERLINK("https://klasma.github.io/Logging_2326/artfynd/A 37651-2025 artfynd.xlsx", "A 37651-2025")</f>
        <v/>
      </c>
      <c r="T166">
        <f>HYPERLINK("https://klasma.github.io/Logging_2326/kartor/A 37651-2025 karta.png", "A 37651-2025")</f>
        <v/>
      </c>
      <c r="V166">
        <f>HYPERLINK("https://klasma.github.io/Logging_2326/klagomål/A 37651-2025 FSC-klagomål.docx", "A 37651-2025")</f>
        <v/>
      </c>
      <c r="W166">
        <f>HYPERLINK("https://klasma.github.io/Logging_2326/klagomålsmail/A 37651-2025 FSC-klagomål mail.docx", "A 37651-2025")</f>
        <v/>
      </c>
      <c r="X166">
        <f>HYPERLINK("https://klasma.github.io/Logging_2326/tillsyn/A 37651-2025 tillsynsbegäran.docx", "A 37651-2025")</f>
        <v/>
      </c>
      <c r="Y166">
        <f>HYPERLINK("https://klasma.github.io/Logging_2326/tillsynsmail/A 37651-2025 tillsynsbegäran mail.docx", "A 37651-2025")</f>
        <v/>
      </c>
    </row>
    <row r="167" ht="15" customHeight="1">
      <c r="A167" t="inlineStr">
        <is>
          <t>A 53086-2024</t>
        </is>
      </c>
      <c r="B167" s="1" t="n">
        <v>45611.51084490741</v>
      </c>
      <c r="C167" s="1" t="n">
        <v>46033</v>
      </c>
      <c r="D167" t="inlineStr">
        <is>
          <t>JÄMTLANDS LÄN</t>
        </is>
      </c>
      <c r="E167" t="inlineStr">
        <is>
          <t>BERG</t>
        </is>
      </c>
      <c r="F167" t="inlineStr">
        <is>
          <t>SCA</t>
        </is>
      </c>
      <c r="G167" t="n">
        <v>7.7</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53086-2024 artfynd.xlsx", "A 53086-2024")</f>
        <v/>
      </c>
      <c r="T167">
        <f>HYPERLINK("https://klasma.github.io/Logging_2326/kartor/A 53086-2024 karta.png", "A 53086-2024")</f>
        <v/>
      </c>
      <c r="V167">
        <f>HYPERLINK("https://klasma.github.io/Logging_2326/klagomål/A 53086-2024 FSC-klagomål.docx", "A 53086-2024")</f>
        <v/>
      </c>
      <c r="W167">
        <f>HYPERLINK("https://klasma.github.io/Logging_2326/klagomålsmail/A 53086-2024 FSC-klagomål mail.docx", "A 53086-2024")</f>
        <v/>
      </c>
      <c r="X167">
        <f>HYPERLINK("https://klasma.github.io/Logging_2326/tillsyn/A 53086-2024 tillsynsbegäran.docx", "A 53086-2024")</f>
        <v/>
      </c>
      <c r="Y167">
        <f>HYPERLINK("https://klasma.github.io/Logging_2326/tillsynsmail/A 53086-2024 tillsynsbegäran mail.docx", "A 53086-2024")</f>
        <v/>
      </c>
    </row>
    <row r="168" ht="15" customHeight="1">
      <c r="A168" t="inlineStr">
        <is>
          <t>A 34891-2024</t>
        </is>
      </c>
      <c r="B168" s="1" t="n">
        <v>45527.36498842593</v>
      </c>
      <c r="C168" s="1" t="n">
        <v>46033</v>
      </c>
      <c r="D168" t="inlineStr">
        <is>
          <t>JÄMTLANDS LÄN</t>
        </is>
      </c>
      <c r="E168" t="inlineStr">
        <is>
          <t>BERG</t>
        </is>
      </c>
      <c r="F168" t="inlineStr">
        <is>
          <t>SCA</t>
        </is>
      </c>
      <c r="G168" t="n">
        <v>1.5</v>
      </c>
      <c r="H168" t="n">
        <v>1</v>
      </c>
      <c r="I168" t="n">
        <v>0</v>
      </c>
      <c r="J168" t="n">
        <v>0</v>
      </c>
      <c r="K168" t="n">
        <v>1</v>
      </c>
      <c r="L168" t="n">
        <v>0</v>
      </c>
      <c r="M168" t="n">
        <v>0</v>
      </c>
      <c r="N168" t="n">
        <v>0</v>
      </c>
      <c r="O168" t="n">
        <v>1</v>
      </c>
      <c r="P168" t="n">
        <v>1</v>
      </c>
      <c r="Q168" t="n">
        <v>1</v>
      </c>
      <c r="R168" s="2" t="inlineStr">
        <is>
          <t>Knärot</t>
        </is>
      </c>
      <c r="S168">
        <f>HYPERLINK("https://klasma.github.io/Logging_2326/artfynd/A 34891-2024 artfynd.xlsx", "A 34891-2024")</f>
        <v/>
      </c>
      <c r="T168">
        <f>HYPERLINK("https://klasma.github.io/Logging_2326/kartor/A 34891-2024 karta.png", "A 34891-2024")</f>
        <v/>
      </c>
      <c r="U168">
        <f>HYPERLINK("https://klasma.github.io/Logging_2326/knärot/A 34891-2024 karta knärot.png", "A 34891-2024")</f>
        <v/>
      </c>
      <c r="V168">
        <f>HYPERLINK("https://klasma.github.io/Logging_2326/klagomål/A 34891-2024 FSC-klagomål.docx", "A 34891-2024")</f>
        <v/>
      </c>
      <c r="W168">
        <f>HYPERLINK("https://klasma.github.io/Logging_2326/klagomålsmail/A 34891-2024 FSC-klagomål mail.docx", "A 34891-2024")</f>
        <v/>
      </c>
      <c r="X168">
        <f>HYPERLINK("https://klasma.github.io/Logging_2326/tillsyn/A 34891-2024 tillsynsbegäran.docx", "A 34891-2024")</f>
        <v/>
      </c>
      <c r="Y168">
        <f>HYPERLINK("https://klasma.github.io/Logging_2326/tillsynsmail/A 34891-2024 tillsynsbegäran mail.docx", "A 34891-2024")</f>
        <v/>
      </c>
    </row>
    <row r="169" ht="15" customHeight="1">
      <c r="A169" t="inlineStr">
        <is>
          <t>A 56198-2025</t>
        </is>
      </c>
      <c r="B169" s="1" t="n">
        <v>45974.45760416667</v>
      </c>
      <c r="C169" s="1" t="n">
        <v>46033</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21370-2025</t>
        </is>
      </c>
      <c r="B170" s="1" t="n">
        <v>45782</v>
      </c>
      <c r="C170" s="1" t="n">
        <v>46033</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9657-2023</t>
        </is>
      </c>
      <c r="B171" s="1" t="n">
        <v>44978</v>
      </c>
      <c r="C171" s="1" t="n">
        <v>46033</v>
      </c>
      <c r="D171" t="inlineStr">
        <is>
          <t>JÄMTLANDS LÄN</t>
        </is>
      </c>
      <c r="E171" t="inlineStr">
        <is>
          <t>BERG</t>
        </is>
      </c>
      <c r="G171" t="n">
        <v>2.7</v>
      </c>
      <c r="H171" t="n">
        <v>0</v>
      </c>
      <c r="I171" t="n">
        <v>0</v>
      </c>
      <c r="J171" t="n">
        <v>1</v>
      </c>
      <c r="K171" t="n">
        <v>0</v>
      </c>
      <c r="L171" t="n">
        <v>0</v>
      </c>
      <c r="M171" t="n">
        <v>0</v>
      </c>
      <c r="N171" t="n">
        <v>0</v>
      </c>
      <c r="O171" t="n">
        <v>1</v>
      </c>
      <c r="P171" t="n">
        <v>0</v>
      </c>
      <c r="Q171" t="n">
        <v>1</v>
      </c>
      <c r="R171" s="2" t="inlineStr">
        <is>
          <t>Garnlav</t>
        </is>
      </c>
      <c r="S171">
        <f>HYPERLINK("https://klasma.github.io/Logging_2326/artfynd/A 9657-2023 artfynd.xlsx", "A 9657-2023")</f>
        <v/>
      </c>
      <c r="T171">
        <f>HYPERLINK("https://klasma.github.io/Logging_2326/kartor/A 9657-2023 karta.png", "A 9657-2023")</f>
        <v/>
      </c>
      <c r="V171">
        <f>HYPERLINK("https://klasma.github.io/Logging_2326/klagomål/A 9657-2023 FSC-klagomål.docx", "A 9657-2023")</f>
        <v/>
      </c>
      <c r="W171">
        <f>HYPERLINK("https://klasma.github.io/Logging_2326/klagomålsmail/A 9657-2023 FSC-klagomål mail.docx", "A 9657-2023")</f>
        <v/>
      </c>
      <c r="X171">
        <f>HYPERLINK("https://klasma.github.io/Logging_2326/tillsyn/A 9657-2023 tillsynsbegäran.docx", "A 9657-2023")</f>
        <v/>
      </c>
      <c r="Y171">
        <f>HYPERLINK("https://klasma.github.io/Logging_2326/tillsynsmail/A 9657-2023 tillsynsbegäran mail.docx", "A 9657-2023")</f>
        <v/>
      </c>
    </row>
    <row r="172" ht="15" customHeight="1">
      <c r="A172" t="inlineStr">
        <is>
          <t>A 21632-2025</t>
        </is>
      </c>
      <c r="B172" s="1" t="n">
        <v>45783.42753472222</v>
      </c>
      <c r="C172" s="1" t="n">
        <v>46033</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49049-2024</t>
        </is>
      </c>
      <c r="B173" s="1" t="n">
        <v>45594.5742824074</v>
      </c>
      <c r="C173" s="1" t="n">
        <v>46033</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971-2026</t>
        </is>
      </c>
      <c r="B174" s="1" t="n">
        <v>46029</v>
      </c>
      <c r="C174" s="1" t="n">
        <v>46033</v>
      </c>
      <c r="D174" t="inlineStr">
        <is>
          <t>JÄMTLANDS LÄN</t>
        </is>
      </c>
      <c r="E174" t="inlineStr">
        <is>
          <t>BERG</t>
        </is>
      </c>
      <c r="F174" t="inlineStr">
        <is>
          <t>SCA</t>
        </is>
      </c>
      <c r="G174" t="n">
        <v>9.699999999999999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HYPERLINK("https://klasma.github.io/Logging_2326/artfynd/A 971-2026 artfynd.xlsx", "A 971-2026")</f>
        <v/>
      </c>
      <c r="T174">
        <f>HYPERLINK("https://klasma.github.io/Logging_2326/kartor/A 971-2026 karta.png", "A 971-2026")</f>
        <v/>
      </c>
      <c r="V174">
        <f>HYPERLINK("https://klasma.github.io/Logging_2326/klagomål/A 971-2026 FSC-klagomål.docx", "A 971-2026")</f>
        <v/>
      </c>
      <c r="W174">
        <f>HYPERLINK("https://klasma.github.io/Logging_2326/klagomålsmail/A 971-2026 FSC-klagomål mail.docx", "A 971-2026")</f>
        <v/>
      </c>
      <c r="X174">
        <f>HYPERLINK("https://klasma.github.io/Logging_2326/tillsyn/A 971-2026 tillsynsbegäran.docx", "A 971-2026")</f>
        <v/>
      </c>
      <c r="Y174">
        <f>HYPERLINK("https://klasma.github.io/Logging_2326/tillsynsmail/A 971-2026 tillsynsbegäran mail.docx", "A 971-2026")</f>
        <v/>
      </c>
      <c r="Z174">
        <f>HYPERLINK("https://klasma.github.io/Logging_2326/fåglar/A 971-2026 prioriterade fågelarter.docx", "A 971-2026")</f>
        <v/>
      </c>
    </row>
    <row r="175" ht="15" customHeight="1">
      <c r="A175" t="inlineStr">
        <is>
          <t>A 23177-2024</t>
        </is>
      </c>
      <c r="B175" s="1" t="n">
        <v>45450</v>
      </c>
      <c r="C175" s="1" t="n">
        <v>46033</v>
      </c>
      <c r="D175" t="inlineStr">
        <is>
          <t>JÄMTLANDS LÄN</t>
        </is>
      </c>
      <c r="E175" t="inlineStr">
        <is>
          <t>BERG</t>
        </is>
      </c>
      <c r="F175" t="inlineStr">
        <is>
          <t>SCA</t>
        </is>
      </c>
      <c r="G175" t="n">
        <v>3.2</v>
      </c>
      <c r="H175" t="n">
        <v>0</v>
      </c>
      <c r="I175" t="n">
        <v>1</v>
      </c>
      <c r="J175" t="n">
        <v>0</v>
      </c>
      <c r="K175" t="n">
        <v>0</v>
      </c>
      <c r="L175" t="n">
        <v>0</v>
      </c>
      <c r="M175" t="n">
        <v>0</v>
      </c>
      <c r="N175" t="n">
        <v>0</v>
      </c>
      <c r="O175" t="n">
        <v>0</v>
      </c>
      <c r="P175" t="n">
        <v>0</v>
      </c>
      <c r="Q175" t="n">
        <v>1</v>
      </c>
      <c r="R175" s="2" t="inlineStr">
        <is>
          <t>Stuplav</t>
        </is>
      </c>
      <c r="S175">
        <f>HYPERLINK("https://klasma.github.io/Logging_2326/artfynd/A 23177-2024 artfynd.xlsx", "A 23177-2024")</f>
        <v/>
      </c>
      <c r="T175">
        <f>HYPERLINK("https://klasma.github.io/Logging_2326/kartor/A 23177-2024 karta.png", "A 23177-2024")</f>
        <v/>
      </c>
      <c r="V175">
        <f>HYPERLINK("https://klasma.github.io/Logging_2326/klagomål/A 23177-2024 FSC-klagomål.docx", "A 23177-2024")</f>
        <v/>
      </c>
      <c r="W175">
        <f>HYPERLINK("https://klasma.github.io/Logging_2326/klagomålsmail/A 23177-2024 FSC-klagomål mail.docx", "A 23177-2024")</f>
        <v/>
      </c>
      <c r="X175">
        <f>HYPERLINK("https://klasma.github.io/Logging_2326/tillsyn/A 23177-2024 tillsynsbegäran.docx", "A 23177-2024")</f>
        <v/>
      </c>
      <c r="Y175">
        <f>HYPERLINK("https://klasma.github.io/Logging_2326/tillsynsmail/A 23177-2024 tillsynsbegäran mail.docx", "A 23177-2024")</f>
        <v/>
      </c>
    </row>
    <row r="176" ht="15" customHeight="1">
      <c r="A176" t="inlineStr">
        <is>
          <t>A 53014-2022</t>
        </is>
      </c>
      <c r="B176" s="1" t="n">
        <v>44875</v>
      </c>
      <c r="C176" s="1" t="n">
        <v>46033</v>
      </c>
      <c r="D176" t="inlineStr">
        <is>
          <t>JÄMTLANDS LÄN</t>
        </is>
      </c>
      <c r="E176" t="inlineStr">
        <is>
          <t>BERG</t>
        </is>
      </c>
      <c r="F176" t="inlineStr">
        <is>
          <t>SCA</t>
        </is>
      </c>
      <c r="G176" t="n">
        <v>13</v>
      </c>
      <c r="H176" t="n">
        <v>0</v>
      </c>
      <c r="I176" t="n">
        <v>0</v>
      </c>
      <c r="J176" t="n">
        <v>0</v>
      </c>
      <c r="K176" t="n">
        <v>1</v>
      </c>
      <c r="L176" t="n">
        <v>0</v>
      </c>
      <c r="M176" t="n">
        <v>0</v>
      </c>
      <c r="N176" t="n">
        <v>0</v>
      </c>
      <c r="O176" t="n">
        <v>1</v>
      </c>
      <c r="P176" t="n">
        <v>1</v>
      </c>
      <c r="Q176" t="n">
        <v>1</v>
      </c>
      <c r="R176" s="2" t="inlineStr">
        <is>
          <t>Gräddporing</t>
        </is>
      </c>
      <c r="S176">
        <f>HYPERLINK("https://klasma.github.io/Logging_2326/artfynd/A 53014-2022 artfynd.xlsx", "A 53014-2022")</f>
        <v/>
      </c>
      <c r="T176">
        <f>HYPERLINK("https://klasma.github.io/Logging_2326/kartor/A 53014-2022 karta.png", "A 53014-2022")</f>
        <v/>
      </c>
      <c r="V176">
        <f>HYPERLINK("https://klasma.github.io/Logging_2326/klagomål/A 53014-2022 FSC-klagomål.docx", "A 53014-2022")</f>
        <v/>
      </c>
      <c r="W176">
        <f>HYPERLINK("https://klasma.github.io/Logging_2326/klagomålsmail/A 53014-2022 FSC-klagomål mail.docx", "A 53014-2022")</f>
        <v/>
      </c>
      <c r="X176">
        <f>HYPERLINK("https://klasma.github.io/Logging_2326/tillsyn/A 53014-2022 tillsynsbegäran.docx", "A 53014-2022")</f>
        <v/>
      </c>
      <c r="Y176">
        <f>HYPERLINK("https://klasma.github.io/Logging_2326/tillsynsmail/A 53014-2022 tillsynsbegäran mail.docx", "A 53014-2022")</f>
        <v/>
      </c>
    </row>
    <row r="177" ht="15" customHeight="1">
      <c r="A177" t="inlineStr">
        <is>
          <t>A 24309-2023</t>
        </is>
      </c>
      <c r="B177" s="1" t="n">
        <v>45079</v>
      </c>
      <c r="C177" s="1" t="n">
        <v>46033</v>
      </c>
      <c r="D177" t="inlineStr">
        <is>
          <t>JÄMTLANDS LÄN</t>
        </is>
      </c>
      <c r="E177" t="inlineStr">
        <is>
          <t>BERG</t>
        </is>
      </c>
      <c r="F177" t="inlineStr">
        <is>
          <t>SCA</t>
        </is>
      </c>
      <c r="G177" t="n">
        <v>3.3</v>
      </c>
      <c r="H177" t="n">
        <v>1</v>
      </c>
      <c r="I177" t="n">
        <v>0</v>
      </c>
      <c r="J177" t="n">
        <v>0</v>
      </c>
      <c r="K177" t="n">
        <v>0</v>
      </c>
      <c r="L177" t="n">
        <v>0</v>
      </c>
      <c r="M177" t="n">
        <v>0</v>
      </c>
      <c r="N177" t="n">
        <v>0</v>
      </c>
      <c r="O177" t="n">
        <v>0</v>
      </c>
      <c r="P177" t="n">
        <v>0</v>
      </c>
      <c r="Q177" t="n">
        <v>1</v>
      </c>
      <c r="R177" s="2" t="inlineStr">
        <is>
          <t>Vanlig groda</t>
        </is>
      </c>
      <c r="S177">
        <f>HYPERLINK("https://klasma.github.io/Logging_2326/artfynd/A 24309-2023 artfynd.xlsx", "A 24309-2023")</f>
        <v/>
      </c>
      <c r="T177">
        <f>HYPERLINK("https://klasma.github.io/Logging_2326/kartor/A 24309-2023 karta.png", "A 24309-2023")</f>
        <v/>
      </c>
      <c r="V177">
        <f>HYPERLINK("https://klasma.github.io/Logging_2326/klagomål/A 24309-2023 FSC-klagomål.docx", "A 24309-2023")</f>
        <v/>
      </c>
      <c r="W177">
        <f>HYPERLINK("https://klasma.github.io/Logging_2326/klagomålsmail/A 24309-2023 FSC-klagomål mail.docx", "A 24309-2023")</f>
        <v/>
      </c>
      <c r="X177">
        <f>HYPERLINK("https://klasma.github.io/Logging_2326/tillsyn/A 24309-2023 tillsynsbegäran.docx", "A 24309-2023")</f>
        <v/>
      </c>
      <c r="Y177">
        <f>HYPERLINK("https://klasma.github.io/Logging_2326/tillsynsmail/A 24309-2023 tillsynsbegäran mail.docx", "A 24309-2023")</f>
        <v/>
      </c>
    </row>
    <row r="178" ht="15" customHeight="1">
      <c r="A178" t="inlineStr">
        <is>
          <t>A 32686-2022</t>
        </is>
      </c>
      <c r="B178" s="1" t="n">
        <v>44776</v>
      </c>
      <c r="C178" s="1" t="n">
        <v>46033</v>
      </c>
      <c r="D178" t="inlineStr">
        <is>
          <t>JÄMTLANDS LÄN</t>
        </is>
      </c>
      <c r="E178" t="inlineStr">
        <is>
          <t>BERG</t>
        </is>
      </c>
      <c r="G178" t="n">
        <v>4.8</v>
      </c>
      <c r="H178" t="n">
        <v>1</v>
      </c>
      <c r="I178" t="n">
        <v>0</v>
      </c>
      <c r="J178" t="n">
        <v>0</v>
      </c>
      <c r="K178" t="n">
        <v>1</v>
      </c>
      <c r="L178" t="n">
        <v>0</v>
      </c>
      <c r="M178" t="n">
        <v>0</v>
      </c>
      <c r="N178" t="n">
        <v>0</v>
      </c>
      <c r="O178" t="n">
        <v>1</v>
      </c>
      <c r="P178" t="n">
        <v>1</v>
      </c>
      <c r="Q178" t="n">
        <v>1</v>
      </c>
      <c r="R178" s="2" t="inlineStr">
        <is>
          <t>Knärot</t>
        </is>
      </c>
      <c r="S178">
        <f>HYPERLINK("https://klasma.github.io/Logging_2326/artfynd/A 32686-2022 artfynd.xlsx", "A 32686-2022")</f>
        <v/>
      </c>
      <c r="T178">
        <f>HYPERLINK("https://klasma.github.io/Logging_2326/kartor/A 32686-2022 karta.png", "A 32686-2022")</f>
        <v/>
      </c>
      <c r="U178">
        <f>HYPERLINK("https://klasma.github.io/Logging_2326/knärot/A 32686-2022 karta knärot.png", "A 32686-2022")</f>
        <v/>
      </c>
      <c r="V178">
        <f>HYPERLINK("https://klasma.github.io/Logging_2326/klagomål/A 32686-2022 FSC-klagomål.docx", "A 32686-2022")</f>
        <v/>
      </c>
      <c r="W178">
        <f>HYPERLINK("https://klasma.github.io/Logging_2326/klagomålsmail/A 32686-2022 FSC-klagomål mail.docx", "A 32686-2022")</f>
        <v/>
      </c>
      <c r="X178">
        <f>HYPERLINK("https://klasma.github.io/Logging_2326/tillsyn/A 32686-2022 tillsynsbegäran.docx", "A 32686-2022")</f>
        <v/>
      </c>
      <c r="Y178">
        <f>HYPERLINK("https://klasma.github.io/Logging_2326/tillsynsmail/A 32686-2022 tillsynsbegäran mail.docx", "A 32686-2022")</f>
        <v/>
      </c>
    </row>
    <row r="179" ht="15" customHeight="1">
      <c r="A179" t="inlineStr">
        <is>
          <t>A 68434-2021</t>
        </is>
      </c>
      <c r="B179" s="1" t="n">
        <v>44529</v>
      </c>
      <c r="C179" s="1" t="n">
        <v>46033</v>
      </c>
      <c r="D179" t="inlineStr">
        <is>
          <t>JÄMTLANDS LÄN</t>
        </is>
      </c>
      <c r="E179" t="inlineStr">
        <is>
          <t>BERG</t>
        </is>
      </c>
      <c r="G179" t="n">
        <v>14</v>
      </c>
      <c r="H179" t="n">
        <v>0</v>
      </c>
      <c r="I179" t="n">
        <v>0</v>
      </c>
      <c r="J179" t="n">
        <v>0</v>
      </c>
      <c r="K179" t="n">
        <v>1</v>
      </c>
      <c r="L179" t="n">
        <v>0</v>
      </c>
      <c r="M179" t="n">
        <v>0</v>
      </c>
      <c r="N179" t="n">
        <v>0</v>
      </c>
      <c r="O179" t="n">
        <v>1</v>
      </c>
      <c r="P179" t="n">
        <v>1</v>
      </c>
      <c r="Q179" t="n">
        <v>1</v>
      </c>
      <c r="R179" s="2" t="inlineStr">
        <is>
          <t>Ostticka</t>
        </is>
      </c>
      <c r="S179">
        <f>HYPERLINK("https://klasma.github.io/Logging_2326/artfynd/A 68434-2021 artfynd.xlsx", "A 68434-2021")</f>
        <v/>
      </c>
      <c r="T179">
        <f>HYPERLINK("https://klasma.github.io/Logging_2326/kartor/A 68434-2021 karta.png", "A 68434-2021")</f>
        <v/>
      </c>
      <c r="V179">
        <f>HYPERLINK("https://klasma.github.io/Logging_2326/klagomål/A 68434-2021 FSC-klagomål.docx", "A 68434-2021")</f>
        <v/>
      </c>
      <c r="W179">
        <f>HYPERLINK("https://klasma.github.io/Logging_2326/klagomålsmail/A 68434-2021 FSC-klagomål mail.docx", "A 68434-2021")</f>
        <v/>
      </c>
      <c r="X179">
        <f>HYPERLINK("https://klasma.github.io/Logging_2326/tillsyn/A 68434-2021 tillsynsbegäran.docx", "A 68434-2021")</f>
        <v/>
      </c>
      <c r="Y179">
        <f>HYPERLINK("https://klasma.github.io/Logging_2326/tillsynsmail/A 68434-2021 tillsynsbegäran mail.docx", "A 68434-2021")</f>
        <v/>
      </c>
    </row>
    <row r="180" ht="15" customHeight="1">
      <c r="A180" t="inlineStr">
        <is>
          <t>A 33083-2024</t>
        </is>
      </c>
      <c r="B180" s="1" t="n">
        <v>45517.675</v>
      </c>
      <c r="C180" s="1" t="n">
        <v>46033</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40440-2024</t>
        </is>
      </c>
      <c r="B181" s="1" t="n">
        <v>45555.48267361111</v>
      </c>
      <c r="C181" s="1" t="n">
        <v>46033</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12733-2024</t>
        </is>
      </c>
      <c r="B182" s="1" t="n">
        <v>45384</v>
      </c>
      <c r="C182" s="1" t="n">
        <v>46033</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50556-2024</t>
        </is>
      </c>
      <c r="B183" s="1" t="n">
        <v>45601.59604166666</v>
      </c>
      <c r="C183" s="1" t="n">
        <v>46033</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41635-2024</t>
        </is>
      </c>
      <c r="B184" s="1" t="n">
        <v>45560.61601851852</v>
      </c>
      <c r="C184" s="1" t="n">
        <v>46033</v>
      </c>
      <c r="D184" t="inlineStr">
        <is>
          <t>JÄMTLANDS LÄN</t>
        </is>
      </c>
      <c r="E184" t="inlineStr">
        <is>
          <t>BERG</t>
        </is>
      </c>
      <c r="F184" t="inlineStr">
        <is>
          <t>SCA</t>
        </is>
      </c>
      <c r="G184" t="n">
        <v>4.2</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41635-2024 artfynd.xlsx", "A 41635-2024")</f>
        <v/>
      </c>
      <c r="T184">
        <f>HYPERLINK("https://klasma.github.io/Logging_2326/kartor/A 41635-2024 karta.png", "A 41635-2024")</f>
        <v/>
      </c>
      <c r="V184">
        <f>HYPERLINK("https://klasma.github.io/Logging_2326/klagomål/A 41635-2024 FSC-klagomål.docx", "A 41635-2024")</f>
        <v/>
      </c>
      <c r="W184">
        <f>HYPERLINK("https://klasma.github.io/Logging_2326/klagomålsmail/A 41635-2024 FSC-klagomål mail.docx", "A 41635-2024")</f>
        <v/>
      </c>
      <c r="X184">
        <f>HYPERLINK("https://klasma.github.io/Logging_2326/tillsyn/A 41635-2024 tillsynsbegäran.docx", "A 41635-2024")</f>
        <v/>
      </c>
      <c r="Y184">
        <f>HYPERLINK("https://klasma.github.io/Logging_2326/tillsynsmail/A 41635-2024 tillsynsbegäran mail.docx", "A 41635-2024")</f>
        <v/>
      </c>
    </row>
    <row r="185" ht="15" customHeight="1">
      <c r="A185" t="inlineStr">
        <is>
          <t>A 40382-2024</t>
        </is>
      </c>
      <c r="B185" s="1" t="n">
        <v>45555.42225694445</v>
      </c>
      <c r="C185" s="1" t="n">
        <v>46033</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20444-2025</t>
        </is>
      </c>
      <c r="B186" s="1" t="n">
        <v>45775.48989583334</v>
      </c>
      <c r="C186" s="1" t="n">
        <v>46033</v>
      </c>
      <c r="D186" t="inlineStr">
        <is>
          <t>JÄMTLANDS LÄN</t>
        </is>
      </c>
      <c r="E186" t="inlineStr">
        <is>
          <t>BERG</t>
        </is>
      </c>
      <c r="F186" t="inlineStr">
        <is>
          <t>SCA</t>
        </is>
      </c>
      <c r="G186" t="n">
        <v>2.3</v>
      </c>
      <c r="H186" t="n">
        <v>0</v>
      </c>
      <c r="I186" t="n">
        <v>0</v>
      </c>
      <c r="J186" t="n">
        <v>0</v>
      </c>
      <c r="K186" t="n">
        <v>1</v>
      </c>
      <c r="L186" t="n">
        <v>0</v>
      </c>
      <c r="M186" t="n">
        <v>0</v>
      </c>
      <c r="N186" t="n">
        <v>0</v>
      </c>
      <c r="O186" t="n">
        <v>1</v>
      </c>
      <c r="P186" t="n">
        <v>1</v>
      </c>
      <c r="Q186" t="n">
        <v>1</v>
      </c>
      <c r="R186" s="2" t="inlineStr">
        <is>
          <t>Gräddporing</t>
        </is>
      </c>
      <c r="S186">
        <f>HYPERLINK("https://klasma.github.io/Logging_2326/artfynd/A 20444-2025 artfynd.xlsx", "A 20444-2025")</f>
        <v/>
      </c>
      <c r="T186">
        <f>HYPERLINK("https://klasma.github.io/Logging_2326/kartor/A 20444-2025 karta.png", "A 20444-2025")</f>
        <v/>
      </c>
      <c r="V186">
        <f>HYPERLINK("https://klasma.github.io/Logging_2326/klagomål/A 20444-2025 FSC-klagomål.docx", "A 20444-2025")</f>
        <v/>
      </c>
      <c r="W186">
        <f>HYPERLINK("https://klasma.github.io/Logging_2326/klagomålsmail/A 20444-2025 FSC-klagomål mail.docx", "A 20444-2025")</f>
        <v/>
      </c>
      <c r="X186">
        <f>HYPERLINK("https://klasma.github.io/Logging_2326/tillsyn/A 20444-2025 tillsynsbegäran.docx", "A 20444-2025")</f>
        <v/>
      </c>
      <c r="Y186">
        <f>HYPERLINK("https://klasma.github.io/Logging_2326/tillsynsmail/A 20444-2025 tillsynsbegäran mail.docx", "A 20444-2025")</f>
        <v/>
      </c>
    </row>
    <row r="187" ht="15" customHeight="1">
      <c r="A187" t="inlineStr">
        <is>
          <t>A 21681-2025</t>
        </is>
      </c>
      <c r="B187" s="1" t="n">
        <v>45783.49015046296</v>
      </c>
      <c r="C187" s="1" t="n">
        <v>46033</v>
      </c>
      <c r="D187" t="inlineStr">
        <is>
          <t>JÄMTLANDS LÄN</t>
        </is>
      </c>
      <c r="E187" t="inlineStr">
        <is>
          <t>BERG</t>
        </is>
      </c>
      <c r="F187" t="inlineStr">
        <is>
          <t>SCA</t>
        </is>
      </c>
      <c r="G187" t="n">
        <v>10.2</v>
      </c>
      <c r="H187" t="n">
        <v>0</v>
      </c>
      <c r="I187" t="n">
        <v>0</v>
      </c>
      <c r="J187" t="n">
        <v>0</v>
      </c>
      <c r="K187" t="n">
        <v>1</v>
      </c>
      <c r="L187" t="n">
        <v>0</v>
      </c>
      <c r="M187" t="n">
        <v>0</v>
      </c>
      <c r="N187" t="n">
        <v>0</v>
      </c>
      <c r="O187" t="n">
        <v>1</v>
      </c>
      <c r="P187" t="n">
        <v>1</v>
      </c>
      <c r="Q187" t="n">
        <v>1</v>
      </c>
      <c r="R187" s="2" t="inlineStr">
        <is>
          <t>Gräddporing</t>
        </is>
      </c>
      <c r="S187">
        <f>HYPERLINK("https://klasma.github.io/Logging_2326/artfynd/A 21681-2025 artfynd.xlsx", "A 21681-2025")</f>
        <v/>
      </c>
      <c r="T187">
        <f>HYPERLINK("https://klasma.github.io/Logging_2326/kartor/A 21681-2025 karta.png", "A 21681-2025")</f>
        <v/>
      </c>
      <c r="V187">
        <f>HYPERLINK("https://klasma.github.io/Logging_2326/klagomål/A 21681-2025 FSC-klagomål.docx", "A 21681-2025")</f>
        <v/>
      </c>
      <c r="W187">
        <f>HYPERLINK("https://klasma.github.io/Logging_2326/klagomålsmail/A 21681-2025 FSC-klagomål mail.docx", "A 21681-2025")</f>
        <v/>
      </c>
      <c r="X187">
        <f>HYPERLINK("https://klasma.github.io/Logging_2326/tillsyn/A 21681-2025 tillsynsbegäran.docx", "A 21681-2025")</f>
        <v/>
      </c>
      <c r="Y187">
        <f>HYPERLINK("https://klasma.github.io/Logging_2326/tillsynsmail/A 21681-2025 tillsynsbegäran mail.docx", "A 21681-2025")</f>
        <v/>
      </c>
    </row>
    <row r="188" ht="15" customHeight="1">
      <c r="A188" t="inlineStr">
        <is>
          <t>A 49196-2022</t>
        </is>
      </c>
      <c r="B188" s="1" t="n">
        <v>44860.95508101852</v>
      </c>
      <c r="C188" s="1" t="n">
        <v>46033</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46033</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46033</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46033</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46033</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46033</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46033</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46033</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46033</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46033</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46033</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46033</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46033</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46033</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46033</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46033</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46033</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46033</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46033</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46033</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46033</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46033</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46033</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46033</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24136-2021</t>
        </is>
      </c>
      <c r="B212" s="1" t="n">
        <v>44336.540625</v>
      </c>
      <c r="C212" s="1" t="n">
        <v>46033</v>
      </c>
      <c r="D212" t="inlineStr">
        <is>
          <t>JÄMTLANDS LÄN</t>
        </is>
      </c>
      <c r="E212" t="inlineStr">
        <is>
          <t>BERG</t>
        </is>
      </c>
      <c r="G212" t="n">
        <v>12.6</v>
      </c>
      <c r="H212" t="n">
        <v>0</v>
      </c>
      <c r="I212" t="n">
        <v>0</v>
      </c>
      <c r="J212" t="n">
        <v>0</v>
      </c>
      <c r="K212" t="n">
        <v>0</v>
      </c>
      <c r="L212" t="n">
        <v>0</v>
      </c>
      <c r="M212" t="n">
        <v>0</v>
      </c>
      <c r="N212" t="n">
        <v>0</v>
      </c>
      <c r="O212" t="n">
        <v>0</v>
      </c>
      <c r="P212" t="n">
        <v>0</v>
      </c>
      <c r="Q212" t="n">
        <v>0</v>
      </c>
      <c r="R212" s="2" t="inlineStr"/>
    </row>
    <row r="213" ht="15" customHeight="1">
      <c r="A213" t="inlineStr">
        <is>
          <t>A 27144-2021</t>
        </is>
      </c>
      <c r="B213" s="1" t="n">
        <v>44350</v>
      </c>
      <c r="C213" s="1" t="n">
        <v>46033</v>
      </c>
      <c r="D213" t="inlineStr">
        <is>
          <t>JÄMTLANDS LÄN</t>
        </is>
      </c>
      <c r="E213" t="inlineStr">
        <is>
          <t>BERG</t>
        </is>
      </c>
      <c r="F213" t="inlineStr">
        <is>
          <t>Sveaskog</t>
        </is>
      </c>
      <c r="G213" t="n">
        <v>10.2</v>
      </c>
      <c r="H213" t="n">
        <v>0</v>
      </c>
      <c r="I213" t="n">
        <v>0</v>
      </c>
      <c r="J213" t="n">
        <v>0</v>
      </c>
      <c r="K213" t="n">
        <v>0</v>
      </c>
      <c r="L213" t="n">
        <v>0</v>
      </c>
      <c r="M213" t="n">
        <v>0</v>
      </c>
      <c r="N213" t="n">
        <v>0</v>
      </c>
      <c r="O213" t="n">
        <v>0</v>
      </c>
      <c r="P213" t="n">
        <v>0</v>
      </c>
      <c r="Q213" t="n">
        <v>0</v>
      </c>
      <c r="R213" s="2" t="inlineStr"/>
    </row>
    <row r="214" ht="15" customHeight="1">
      <c r="A214" t="inlineStr">
        <is>
          <t>A 14224-2021</t>
        </is>
      </c>
      <c r="B214" s="1" t="n">
        <v>44277</v>
      </c>
      <c r="C214" s="1" t="n">
        <v>46033</v>
      </c>
      <c r="D214" t="inlineStr">
        <is>
          <t>JÄMTLANDS LÄN</t>
        </is>
      </c>
      <c r="E214" t="inlineStr">
        <is>
          <t>BERG</t>
        </is>
      </c>
      <c r="G214" t="n">
        <v>24.9</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46033</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46033</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46033</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46033</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46033</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46033</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46033</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46033</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46033</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46033</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46033</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46033</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46033</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46033</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46033</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46033</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46033</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46033</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46033</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46033</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46033</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46033</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46033</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46033</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46033</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46033</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46033</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46033</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46033</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46033</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46033</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46033</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46033</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46033</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46033</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46033</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46033</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46033</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46033</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46033</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46033</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65209-2023</t>
        </is>
      </c>
      <c r="B256" s="1" t="n">
        <v>45289</v>
      </c>
      <c r="C256" s="1" t="n">
        <v>46033</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9482-2024</t>
        </is>
      </c>
      <c r="B257" s="1" t="n">
        <v>45359.57847222222</v>
      </c>
      <c r="C257" s="1" t="n">
        <v>46033</v>
      </c>
      <c r="D257" t="inlineStr">
        <is>
          <t>JÄMTLANDS LÄN</t>
        </is>
      </c>
      <c r="E257" t="inlineStr">
        <is>
          <t>BERG</t>
        </is>
      </c>
      <c r="G257" t="n">
        <v>3</v>
      </c>
      <c r="H257" t="n">
        <v>0</v>
      </c>
      <c r="I257" t="n">
        <v>0</v>
      </c>
      <c r="J257" t="n">
        <v>0</v>
      </c>
      <c r="K257" t="n">
        <v>0</v>
      </c>
      <c r="L257" t="n">
        <v>0</v>
      </c>
      <c r="M257" t="n">
        <v>0</v>
      </c>
      <c r="N257" t="n">
        <v>0</v>
      </c>
      <c r="O257" t="n">
        <v>0</v>
      </c>
      <c r="P257" t="n">
        <v>0</v>
      </c>
      <c r="Q257" t="n">
        <v>0</v>
      </c>
      <c r="R257" s="2" t="inlineStr"/>
    </row>
    <row r="258" ht="15" customHeight="1">
      <c r="A258" t="inlineStr">
        <is>
          <t>A 10230-2024</t>
        </is>
      </c>
      <c r="B258" s="1" t="n">
        <v>45365.31883101852</v>
      </c>
      <c r="C258" s="1" t="n">
        <v>46033</v>
      </c>
      <c r="D258" t="inlineStr">
        <is>
          <t>JÄMTLANDS LÄN</t>
        </is>
      </c>
      <c r="E258" t="inlineStr">
        <is>
          <t>BERG</t>
        </is>
      </c>
      <c r="G258" t="n">
        <v>6.3</v>
      </c>
      <c r="H258" t="n">
        <v>0</v>
      </c>
      <c r="I258" t="n">
        <v>0</v>
      </c>
      <c r="J258" t="n">
        <v>0</v>
      </c>
      <c r="K258" t="n">
        <v>0</v>
      </c>
      <c r="L258" t="n">
        <v>0</v>
      </c>
      <c r="M258" t="n">
        <v>0</v>
      </c>
      <c r="N258" t="n">
        <v>0</v>
      </c>
      <c r="O258" t="n">
        <v>0</v>
      </c>
      <c r="P258" t="n">
        <v>0</v>
      </c>
      <c r="Q258" t="n">
        <v>0</v>
      </c>
      <c r="R258" s="2" t="inlineStr"/>
    </row>
    <row r="259" ht="15" customHeight="1">
      <c r="A259" t="inlineStr">
        <is>
          <t>A 18685-2024</t>
        </is>
      </c>
      <c r="B259" s="1" t="n">
        <v>45426.38322916667</v>
      </c>
      <c r="C259" s="1" t="n">
        <v>46033</v>
      </c>
      <c r="D259" t="inlineStr">
        <is>
          <t>JÄMTLANDS LÄN</t>
        </is>
      </c>
      <c r="E259" t="inlineStr">
        <is>
          <t>BERG</t>
        </is>
      </c>
      <c r="G259" t="n">
        <v>5.1</v>
      </c>
      <c r="H259" t="n">
        <v>0</v>
      </c>
      <c r="I259" t="n">
        <v>0</v>
      </c>
      <c r="J259" t="n">
        <v>0</v>
      </c>
      <c r="K259" t="n">
        <v>0</v>
      </c>
      <c r="L259" t="n">
        <v>0</v>
      </c>
      <c r="M259" t="n">
        <v>0</v>
      </c>
      <c r="N259" t="n">
        <v>0</v>
      </c>
      <c r="O259" t="n">
        <v>0</v>
      </c>
      <c r="P259" t="n">
        <v>0</v>
      </c>
      <c r="Q259" t="n">
        <v>0</v>
      </c>
      <c r="R259" s="2" t="inlineStr"/>
    </row>
    <row r="260" ht="15" customHeight="1">
      <c r="A260" t="inlineStr">
        <is>
          <t>A 44110-2022</t>
        </is>
      </c>
      <c r="B260" s="1" t="n">
        <v>44837</v>
      </c>
      <c r="C260" s="1" t="n">
        <v>46033</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10974-2025</t>
        </is>
      </c>
      <c r="B261" s="1" t="n">
        <v>45723.38790509259</v>
      </c>
      <c r="C261" s="1" t="n">
        <v>46033</v>
      </c>
      <c r="D261" t="inlineStr">
        <is>
          <t>JÄMTLANDS LÄN</t>
        </is>
      </c>
      <c r="E261" t="inlineStr">
        <is>
          <t>BERG</t>
        </is>
      </c>
      <c r="G261" t="n">
        <v>6.9</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46033</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21717-2023</t>
        </is>
      </c>
      <c r="B263" s="1" t="n">
        <v>45063</v>
      </c>
      <c r="C263" s="1" t="n">
        <v>46033</v>
      </c>
      <c r="D263" t="inlineStr">
        <is>
          <t>JÄMTLANDS LÄN</t>
        </is>
      </c>
      <c r="E263" t="inlineStr">
        <is>
          <t>BERG</t>
        </is>
      </c>
      <c r="G263" t="n">
        <v>6</v>
      </c>
      <c r="H263" t="n">
        <v>0</v>
      </c>
      <c r="I263" t="n">
        <v>0</v>
      </c>
      <c r="J263" t="n">
        <v>0</v>
      </c>
      <c r="K263" t="n">
        <v>0</v>
      </c>
      <c r="L263" t="n">
        <v>0</v>
      </c>
      <c r="M263" t="n">
        <v>0</v>
      </c>
      <c r="N263" t="n">
        <v>0</v>
      </c>
      <c r="O263" t="n">
        <v>0</v>
      </c>
      <c r="P263" t="n">
        <v>0</v>
      </c>
      <c r="Q263" t="n">
        <v>0</v>
      </c>
      <c r="R263" s="2" t="inlineStr"/>
    </row>
    <row r="264" ht="15" customHeight="1">
      <c r="A264" t="inlineStr">
        <is>
          <t>A 56490-2024</t>
        </is>
      </c>
      <c r="B264" s="1" t="n">
        <v>45625.48765046296</v>
      </c>
      <c r="C264" s="1" t="n">
        <v>46033</v>
      </c>
      <c r="D264" t="inlineStr">
        <is>
          <t>JÄMTLANDS LÄN</t>
        </is>
      </c>
      <c r="E264" t="inlineStr">
        <is>
          <t>BERG</t>
        </is>
      </c>
      <c r="G264" t="n">
        <v>5.9</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46033</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62360-2023</t>
        </is>
      </c>
      <c r="B266" s="1" t="n">
        <v>45267</v>
      </c>
      <c r="C266" s="1" t="n">
        <v>46033</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46033</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36079-2024</t>
        </is>
      </c>
      <c r="B268" s="1" t="n">
        <v>45533.66685185185</v>
      </c>
      <c r="C268" s="1" t="n">
        <v>46033</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46033</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32654-2025</t>
        </is>
      </c>
      <c r="B270" s="1" t="n">
        <v>45838.6778587963</v>
      </c>
      <c r="C270" s="1" t="n">
        <v>46033</v>
      </c>
      <c r="D270" t="inlineStr">
        <is>
          <t>JÄMTLANDS LÄN</t>
        </is>
      </c>
      <c r="E270" t="inlineStr">
        <is>
          <t>BERG</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22180-2025</t>
        </is>
      </c>
      <c r="B271" s="1" t="n">
        <v>45785</v>
      </c>
      <c r="C271" s="1" t="n">
        <v>46033</v>
      </c>
      <c r="D271" t="inlineStr">
        <is>
          <t>JÄMTLANDS LÄN</t>
        </is>
      </c>
      <c r="E271" t="inlineStr">
        <is>
          <t>BERG</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38682-2023</t>
        </is>
      </c>
      <c r="B272" s="1" t="n">
        <v>45162</v>
      </c>
      <c r="C272" s="1" t="n">
        <v>46033</v>
      </c>
      <c r="D272" t="inlineStr">
        <is>
          <t>JÄMTLANDS LÄN</t>
        </is>
      </c>
      <c r="E272" t="inlineStr">
        <is>
          <t>BERG</t>
        </is>
      </c>
      <c r="F272" t="inlineStr">
        <is>
          <t>SCA</t>
        </is>
      </c>
      <c r="G272" t="n">
        <v>21.3</v>
      </c>
      <c r="H272" t="n">
        <v>0</v>
      </c>
      <c r="I272" t="n">
        <v>0</v>
      </c>
      <c r="J272" t="n">
        <v>0</v>
      </c>
      <c r="K272" t="n">
        <v>0</v>
      </c>
      <c r="L272" t="n">
        <v>0</v>
      </c>
      <c r="M272" t="n">
        <v>0</v>
      </c>
      <c r="N272" t="n">
        <v>0</v>
      </c>
      <c r="O272" t="n">
        <v>0</v>
      </c>
      <c r="P272" t="n">
        <v>0</v>
      </c>
      <c r="Q272" t="n">
        <v>0</v>
      </c>
      <c r="R272" s="2" t="inlineStr"/>
    </row>
    <row r="273" ht="15" customHeight="1">
      <c r="A273" t="inlineStr">
        <is>
          <t>A 36287-2024</t>
        </is>
      </c>
      <c r="B273" s="1" t="n">
        <v>45534</v>
      </c>
      <c r="C273" s="1" t="n">
        <v>46033</v>
      </c>
      <c r="D273" t="inlineStr">
        <is>
          <t>JÄMTLANDS LÄN</t>
        </is>
      </c>
      <c r="E273" t="inlineStr">
        <is>
          <t>BERG</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45346-2023</t>
        </is>
      </c>
      <c r="B274" s="1" t="n">
        <v>45191</v>
      </c>
      <c r="C274" s="1" t="n">
        <v>46033</v>
      </c>
      <c r="D274" t="inlineStr">
        <is>
          <t>JÄMTLANDS LÄN</t>
        </is>
      </c>
      <c r="E274" t="inlineStr">
        <is>
          <t>BERG</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60847-2023</t>
        </is>
      </c>
      <c r="B275" s="1" t="n">
        <v>45260</v>
      </c>
      <c r="C275" s="1" t="n">
        <v>46033</v>
      </c>
      <c r="D275" t="inlineStr">
        <is>
          <t>JÄMTLANDS LÄN</t>
        </is>
      </c>
      <c r="E275" t="inlineStr">
        <is>
          <t>BERG</t>
        </is>
      </c>
      <c r="G275" t="n">
        <v>2.5</v>
      </c>
      <c r="H275" t="n">
        <v>0</v>
      </c>
      <c r="I275" t="n">
        <v>0</v>
      </c>
      <c r="J275" t="n">
        <v>0</v>
      </c>
      <c r="K275" t="n">
        <v>0</v>
      </c>
      <c r="L275" t="n">
        <v>0</v>
      </c>
      <c r="M275" t="n">
        <v>0</v>
      </c>
      <c r="N275" t="n">
        <v>0</v>
      </c>
      <c r="O275" t="n">
        <v>0</v>
      </c>
      <c r="P275" t="n">
        <v>0</v>
      </c>
      <c r="Q275" t="n">
        <v>0</v>
      </c>
      <c r="R275" s="2" t="inlineStr"/>
    </row>
    <row r="276" ht="15" customHeight="1">
      <c r="A276" t="inlineStr">
        <is>
          <t>A 21851-2025</t>
        </is>
      </c>
      <c r="B276" s="1" t="n">
        <v>45784.34417824074</v>
      </c>
      <c r="C276" s="1" t="n">
        <v>46033</v>
      </c>
      <c r="D276" t="inlineStr">
        <is>
          <t>JÄMTLANDS LÄN</t>
        </is>
      </c>
      <c r="E276" t="inlineStr">
        <is>
          <t>BERG</t>
        </is>
      </c>
      <c r="F276" t="inlineStr">
        <is>
          <t>SCA</t>
        </is>
      </c>
      <c r="G276" t="n">
        <v>10</v>
      </c>
      <c r="H276" t="n">
        <v>0</v>
      </c>
      <c r="I276" t="n">
        <v>0</v>
      </c>
      <c r="J276" t="n">
        <v>0</v>
      </c>
      <c r="K276" t="n">
        <v>0</v>
      </c>
      <c r="L276" t="n">
        <v>0</v>
      </c>
      <c r="M276" t="n">
        <v>0</v>
      </c>
      <c r="N276" t="n">
        <v>0</v>
      </c>
      <c r="O276" t="n">
        <v>0</v>
      </c>
      <c r="P276" t="n">
        <v>0</v>
      </c>
      <c r="Q276" t="n">
        <v>0</v>
      </c>
      <c r="R276" s="2" t="inlineStr"/>
    </row>
    <row r="277" ht="15" customHeight="1">
      <c r="A277" t="inlineStr">
        <is>
          <t>A 51203-2025</t>
        </is>
      </c>
      <c r="B277" s="1" t="n">
        <v>45947.63592592593</v>
      </c>
      <c r="C277" s="1" t="n">
        <v>46033</v>
      </c>
      <c r="D277" t="inlineStr">
        <is>
          <t>JÄMTLANDS LÄN</t>
        </is>
      </c>
      <c r="E277" t="inlineStr">
        <is>
          <t>BERG</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53894-2023</t>
        </is>
      </c>
      <c r="B278" s="1" t="n">
        <v>45231.53321759259</v>
      </c>
      <c r="C278" s="1" t="n">
        <v>46033</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46366-2024</t>
        </is>
      </c>
      <c r="B279" s="1" t="n">
        <v>45582.36490740741</v>
      </c>
      <c r="C279" s="1" t="n">
        <v>46033</v>
      </c>
      <c r="D279" t="inlineStr">
        <is>
          <t>JÄMTLANDS LÄN</t>
        </is>
      </c>
      <c r="E279" t="inlineStr">
        <is>
          <t>BERG</t>
        </is>
      </c>
      <c r="G279" t="n">
        <v>5</v>
      </c>
      <c r="H279" t="n">
        <v>0</v>
      </c>
      <c r="I279" t="n">
        <v>0</v>
      </c>
      <c r="J279" t="n">
        <v>0</v>
      </c>
      <c r="K279" t="n">
        <v>0</v>
      </c>
      <c r="L279" t="n">
        <v>0</v>
      </c>
      <c r="M279" t="n">
        <v>0</v>
      </c>
      <c r="N279" t="n">
        <v>0</v>
      </c>
      <c r="O279" t="n">
        <v>0</v>
      </c>
      <c r="P279" t="n">
        <v>0</v>
      </c>
      <c r="Q279" t="n">
        <v>0</v>
      </c>
      <c r="R279" s="2" t="inlineStr"/>
    </row>
    <row r="280" ht="15" customHeight="1">
      <c r="A280" t="inlineStr">
        <is>
          <t>A 22724-2025</t>
        </is>
      </c>
      <c r="B280" s="1" t="n">
        <v>45789.57361111111</v>
      </c>
      <c r="C280" s="1" t="n">
        <v>46033</v>
      </c>
      <c r="D280" t="inlineStr">
        <is>
          <t>JÄMTLANDS LÄN</t>
        </is>
      </c>
      <c r="E280" t="inlineStr">
        <is>
          <t>BERG</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8238-2024</t>
        </is>
      </c>
      <c r="B281" s="1" t="n">
        <v>45351.98450231482</v>
      </c>
      <c r="C281" s="1" t="n">
        <v>46033</v>
      </c>
      <c r="D281" t="inlineStr">
        <is>
          <t>JÄMTLANDS LÄN</t>
        </is>
      </c>
      <c r="E281" t="inlineStr">
        <is>
          <t>BERG</t>
        </is>
      </c>
      <c r="F281" t="inlineStr">
        <is>
          <t>SCA</t>
        </is>
      </c>
      <c r="G281" t="n">
        <v>5.6</v>
      </c>
      <c r="H281" t="n">
        <v>0</v>
      </c>
      <c r="I281" t="n">
        <v>0</v>
      </c>
      <c r="J281" t="n">
        <v>0</v>
      </c>
      <c r="K281" t="n">
        <v>0</v>
      </c>
      <c r="L281" t="n">
        <v>0</v>
      </c>
      <c r="M281" t="n">
        <v>0</v>
      </c>
      <c r="N281" t="n">
        <v>0</v>
      </c>
      <c r="O281" t="n">
        <v>0</v>
      </c>
      <c r="P281" t="n">
        <v>0</v>
      </c>
      <c r="Q281" t="n">
        <v>0</v>
      </c>
      <c r="R281" s="2" t="inlineStr"/>
    </row>
    <row r="282" ht="15" customHeight="1">
      <c r="A282" t="inlineStr">
        <is>
          <t>A 50698-2025</t>
        </is>
      </c>
      <c r="B282" s="1" t="n">
        <v>45945.91894675926</v>
      </c>
      <c r="C282" s="1" t="n">
        <v>46033</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29581-2024</t>
        </is>
      </c>
      <c r="B283" s="1" t="n">
        <v>45484.5740162037</v>
      </c>
      <c r="C283" s="1" t="n">
        <v>46033</v>
      </c>
      <c r="D283" t="inlineStr">
        <is>
          <t>JÄMTLANDS LÄN</t>
        </is>
      </c>
      <c r="E283" t="inlineStr">
        <is>
          <t>BERG</t>
        </is>
      </c>
      <c r="G283" t="n">
        <v>16.7</v>
      </c>
      <c r="H283" t="n">
        <v>0</v>
      </c>
      <c r="I283" t="n">
        <v>0</v>
      </c>
      <c r="J283" t="n">
        <v>0</v>
      </c>
      <c r="K283" t="n">
        <v>0</v>
      </c>
      <c r="L283" t="n">
        <v>0</v>
      </c>
      <c r="M283" t="n">
        <v>0</v>
      </c>
      <c r="N283" t="n">
        <v>0</v>
      </c>
      <c r="O283" t="n">
        <v>0</v>
      </c>
      <c r="P283" t="n">
        <v>0</v>
      </c>
      <c r="Q283" t="n">
        <v>0</v>
      </c>
      <c r="R283" s="2" t="inlineStr"/>
    </row>
    <row r="284" ht="15" customHeight="1">
      <c r="A284" t="inlineStr">
        <is>
          <t>A 43403-2023</t>
        </is>
      </c>
      <c r="B284" s="1" t="n">
        <v>45183</v>
      </c>
      <c r="C284" s="1" t="n">
        <v>46033</v>
      </c>
      <c r="D284" t="inlineStr">
        <is>
          <t>JÄMTLANDS LÄN</t>
        </is>
      </c>
      <c r="E284" t="inlineStr">
        <is>
          <t>BERG</t>
        </is>
      </c>
      <c r="F284" t="inlineStr">
        <is>
          <t>SCA</t>
        </is>
      </c>
      <c r="G284" t="n">
        <v>0.1</v>
      </c>
      <c r="H284" t="n">
        <v>0</v>
      </c>
      <c r="I284" t="n">
        <v>0</v>
      </c>
      <c r="J284" t="n">
        <v>0</v>
      </c>
      <c r="K284" t="n">
        <v>0</v>
      </c>
      <c r="L284" t="n">
        <v>0</v>
      </c>
      <c r="M284" t="n">
        <v>0</v>
      </c>
      <c r="N284" t="n">
        <v>0</v>
      </c>
      <c r="O284" t="n">
        <v>0</v>
      </c>
      <c r="P284" t="n">
        <v>0</v>
      </c>
      <c r="Q284" t="n">
        <v>0</v>
      </c>
      <c r="R284" s="2" t="inlineStr"/>
    </row>
    <row r="285" ht="15" customHeight="1">
      <c r="A285" t="inlineStr">
        <is>
          <t>A 51083-2025</t>
        </is>
      </c>
      <c r="B285" s="1" t="n">
        <v>45947.4678587963</v>
      </c>
      <c r="C285" s="1" t="n">
        <v>46033</v>
      </c>
      <c r="D285" t="inlineStr">
        <is>
          <t>JÄMTLANDS LÄN</t>
        </is>
      </c>
      <c r="E285" t="inlineStr">
        <is>
          <t>BERG</t>
        </is>
      </c>
      <c r="F285" t="inlineStr">
        <is>
          <t>Övriga Aktiebolag</t>
        </is>
      </c>
      <c r="G285" t="n">
        <v>10.4</v>
      </c>
      <c r="H285" t="n">
        <v>0</v>
      </c>
      <c r="I285" t="n">
        <v>0</v>
      </c>
      <c r="J285" t="n">
        <v>0</v>
      </c>
      <c r="K285" t="n">
        <v>0</v>
      </c>
      <c r="L285" t="n">
        <v>0</v>
      </c>
      <c r="M285" t="n">
        <v>0</v>
      </c>
      <c r="N285" t="n">
        <v>0</v>
      </c>
      <c r="O285" t="n">
        <v>0</v>
      </c>
      <c r="P285" t="n">
        <v>0</v>
      </c>
      <c r="Q285" t="n">
        <v>0</v>
      </c>
      <c r="R285" s="2" t="inlineStr"/>
    </row>
    <row r="286" ht="15" customHeight="1">
      <c r="A286" t="inlineStr">
        <is>
          <t>A 22672-2025</t>
        </is>
      </c>
      <c r="B286" s="1" t="n">
        <v>45789.4903587963</v>
      </c>
      <c r="C286" s="1" t="n">
        <v>46033</v>
      </c>
      <c r="D286" t="inlineStr">
        <is>
          <t>JÄMTLANDS LÄN</t>
        </is>
      </c>
      <c r="E286" t="inlineStr">
        <is>
          <t>BERG</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51079-2025</t>
        </is>
      </c>
      <c r="B287" s="1" t="n">
        <v>45947.465</v>
      </c>
      <c r="C287" s="1" t="n">
        <v>46033</v>
      </c>
      <c r="D287" t="inlineStr">
        <is>
          <t>JÄMTLANDS LÄN</t>
        </is>
      </c>
      <c r="E287" t="inlineStr">
        <is>
          <t>BERG</t>
        </is>
      </c>
      <c r="F287" t="inlineStr">
        <is>
          <t>Övriga Aktiebolag</t>
        </is>
      </c>
      <c r="G287" t="n">
        <v>0.5</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46033</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46033</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46902-2024</t>
        </is>
      </c>
      <c r="B290" s="1" t="n">
        <v>45583.69847222222</v>
      </c>
      <c r="C290" s="1" t="n">
        <v>46033</v>
      </c>
      <c r="D290" t="inlineStr">
        <is>
          <t>JÄMTLANDS LÄN</t>
        </is>
      </c>
      <c r="E290" t="inlineStr">
        <is>
          <t>BERG</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22653-2025</t>
        </is>
      </c>
      <c r="B291" s="1" t="n">
        <v>45789.46931712963</v>
      </c>
      <c r="C291" s="1" t="n">
        <v>46033</v>
      </c>
      <c r="D291" t="inlineStr">
        <is>
          <t>JÄMTLANDS LÄN</t>
        </is>
      </c>
      <c r="E291" t="inlineStr">
        <is>
          <t>BERG</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14834-2025</t>
        </is>
      </c>
      <c r="B292" s="1" t="n">
        <v>45743.38224537037</v>
      </c>
      <c r="C292" s="1" t="n">
        <v>46033</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44911-2021</t>
        </is>
      </c>
      <c r="B293" s="1" t="n">
        <v>44435</v>
      </c>
      <c r="C293" s="1" t="n">
        <v>46033</v>
      </c>
      <c r="D293" t="inlineStr">
        <is>
          <t>JÄMTLANDS LÄN</t>
        </is>
      </c>
      <c r="E293" t="inlineStr">
        <is>
          <t>BERG</t>
        </is>
      </c>
      <c r="G293" t="n">
        <v>1.3</v>
      </c>
      <c r="H293" t="n">
        <v>0</v>
      </c>
      <c r="I293" t="n">
        <v>0</v>
      </c>
      <c r="J293" t="n">
        <v>0</v>
      </c>
      <c r="K293" t="n">
        <v>0</v>
      </c>
      <c r="L293" t="n">
        <v>0</v>
      </c>
      <c r="M293" t="n">
        <v>0</v>
      </c>
      <c r="N293" t="n">
        <v>0</v>
      </c>
      <c r="O293" t="n">
        <v>0</v>
      </c>
      <c r="P293" t="n">
        <v>0</v>
      </c>
      <c r="Q293" t="n">
        <v>0</v>
      </c>
      <c r="R293" s="2" t="inlineStr"/>
    </row>
    <row r="294" ht="15" customHeight="1">
      <c r="A294" t="inlineStr">
        <is>
          <t>A 22478-2025</t>
        </is>
      </c>
      <c r="B294" s="1" t="n">
        <v>45786.6349537037</v>
      </c>
      <c r="C294" s="1" t="n">
        <v>46033</v>
      </c>
      <c r="D294" t="inlineStr">
        <is>
          <t>JÄMTLANDS LÄN</t>
        </is>
      </c>
      <c r="E294" t="inlineStr">
        <is>
          <t>BERG</t>
        </is>
      </c>
      <c r="G294" t="n">
        <v>2.5</v>
      </c>
      <c r="H294" t="n">
        <v>0</v>
      </c>
      <c r="I294" t="n">
        <v>0</v>
      </c>
      <c r="J294" t="n">
        <v>0</v>
      </c>
      <c r="K294" t="n">
        <v>0</v>
      </c>
      <c r="L294" t="n">
        <v>0</v>
      </c>
      <c r="M294" t="n">
        <v>0</v>
      </c>
      <c r="N294" t="n">
        <v>0</v>
      </c>
      <c r="O294" t="n">
        <v>0</v>
      </c>
      <c r="P294" t="n">
        <v>0</v>
      </c>
      <c r="Q294" t="n">
        <v>0</v>
      </c>
      <c r="R294" s="2" t="inlineStr"/>
    </row>
    <row r="295" ht="15" customHeight="1">
      <c r="A295" t="inlineStr">
        <is>
          <t>A 4476-2025</t>
        </is>
      </c>
      <c r="B295" s="1" t="n">
        <v>45686.62828703703</v>
      </c>
      <c r="C295" s="1" t="n">
        <v>46033</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34650-2024</t>
        </is>
      </c>
      <c r="B296" s="1" t="n">
        <v>45526.48329861111</v>
      </c>
      <c r="C296" s="1" t="n">
        <v>46033</v>
      </c>
      <c r="D296" t="inlineStr">
        <is>
          <t>JÄMTLANDS LÄN</t>
        </is>
      </c>
      <c r="E296" t="inlineStr">
        <is>
          <t>BERG</t>
        </is>
      </c>
      <c r="G296" t="n">
        <v>4.9</v>
      </c>
      <c r="H296" t="n">
        <v>0</v>
      </c>
      <c r="I296" t="n">
        <v>0</v>
      </c>
      <c r="J296" t="n">
        <v>0</v>
      </c>
      <c r="K296" t="n">
        <v>0</v>
      </c>
      <c r="L296" t="n">
        <v>0</v>
      </c>
      <c r="M296" t="n">
        <v>0</v>
      </c>
      <c r="N296" t="n">
        <v>0</v>
      </c>
      <c r="O296" t="n">
        <v>0</v>
      </c>
      <c r="P296" t="n">
        <v>0</v>
      </c>
      <c r="Q296" t="n">
        <v>0</v>
      </c>
      <c r="R296" s="2" t="inlineStr"/>
    </row>
    <row r="297" ht="15" customHeight="1">
      <c r="A297" t="inlineStr">
        <is>
          <t>A 46991-2024</t>
        </is>
      </c>
      <c r="B297" s="1" t="n">
        <v>45586.365625</v>
      </c>
      <c r="C297" s="1" t="n">
        <v>46033</v>
      </c>
      <c r="D297" t="inlineStr">
        <is>
          <t>JÄMTLANDS LÄN</t>
        </is>
      </c>
      <c r="E297" t="inlineStr">
        <is>
          <t>BERG</t>
        </is>
      </c>
      <c r="G297" t="n">
        <v>2.9</v>
      </c>
      <c r="H297" t="n">
        <v>0</v>
      </c>
      <c r="I297" t="n">
        <v>0</v>
      </c>
      <c r="J297" t="n">
        <v>0</v>
      </c>
      <c r="K297" t="n">
        <v>0</v>
      </c>
      <c r="L297" t="n">
        <v>0</v>
      </c>
      <c r="M297" t="n">
        <v>0</v>
      </c>
      <c r="N297" t="n">
        <v>0</v>
      </c>
      <c r="O297" t="n">
        <v>0</v>
      </c>
      <c r="P297" t="n">
        <v>0</v>
      </c>
      <c r="Q297" t="n">
        <v>0</v>
      </c>
      <c r="R297" s="2" t="inlineStr"/>
    </row>
    <row r="298" ht="15" customHeight="1">
      <c r="A298" t="inlineStr">
        <is>
          <t>A 51080-2025</t>
        </is>
      </c>
      <c r="B298" s="1" t="n">
        <v>45947.46655092593</v>
      </c>
      <c r="C298" s="1" t="n">
        <v>46033</v>
      </c>
      <c r="D298" t="inlineStr">
        <is>
          <t>JÄMTLANDS LÄN</t>
        </is>
      </c>
      <c r="E298" t="inlineStr">
        <is>
          <t>BERG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51301-2025</t>
        </is>
      </c>
      <c r="B299" s="1" t="n">
        <v>45950.36480324074</v>
      </c>
      <c r="C299" s="1" t="n">
        <v>46033</v>
      </c>
      <c r="D299" t="inlineStr">
        <is>
          <t>JÄMTLANDS LÄN</t>
        </is>
      </c>
      <c r="E299" t="inlineStr">
        <is>
          <t>BERG</t>
        </is>
      </c>
      <c r="G299" t="n">
        <v>3.1</v>
      </c>
      <c r="H299" t="n">
        <v>0</v>
      </c>
      <c r="I299" t="n">
        <v>0</v>
      </c>
      <c r="J299" t="n">
        <v>0</v>
      </c>
      <c r="K299" t="n">
        <v>0</v>
      </c>
      <c r="L299" t="n">
        <v>0</v>
      </c>
      <c r="M299" t="n">
        <v>0</v>
      </c>
      <c r="N299" t="n">
        <v>0</v>
      </c>
      <c r="O299" t="n">
        <v>0</v>
      </c>
      <c r="P299" t="n">
        <v>0</v>
      </c>
      <c r="Q299" t="n">
        <v>0</v>
      </c>
      <c r="R299" s="2" t="inlineStr"/>
    </row>
    <row r="300" ht="15" customHeight="1">
      <c r="A300" t="inlineStr">
        <is>
          <t>A 18217-2023</t>
        </is>
      </c>
      <c r="B300" s="1" t="n">
        <v>45040</v>
      </c>
      <c r="C300" s="1" t="n">
        <v>46033</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22991-2025</t>
        </is>
      </c>
      <c r="B301" s="1" t="n">
        <v>45790.57836805555</v>
      </c>
      <c r="C301" s="1" t="n">
        <v>46033</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63819-2023</t>
        </is>
      </c>
      <c r="B302" s="1" t="n">
        <v>45278.44128472222</v>
      </c>
      <c r="C302" s="1" t="n">
        <v>46033</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46033</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23026-2025</t>
        </is>
      </c>
      <c r="B304" s="1" t="n">
        <v>45790.65690972222</v>
      </c>
      <c r="C304" s="1" t="n">
        <v>46033</v>
      </c>
      <c r="D304" t="inlineStr">
        <is>
          <t>JÄMTLANDS LÄN</t>
        </is>
      </c>
      <c r="E304" t="inlineStr">
        <is>
          <t>BERG</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22995-2025</t>
        </is>
      </c>
      <c r="B305" s="1" t="n">
        <v>45790.58265046297</v>
      </c>
      <c r="C305" s="1" t="n">
        <v>46033</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19428-2025</t>
        </is>
      </c>
      <c r="B306" s="1" t="n">
        <v>45769.79763888889</v>
      </c>
      <c r="C306" s="1" t="n">
        <v>46033</v>
      </c>
      <c r="D306" t="inlineStr">
        <is>
          <t>JÄMTLANDS LÄN</t>
        </is>
      </c>
      <c r="E306" t="inlineStr">
        <is>
          <t>BERG</t>
        </is>
      </c>
      <c r="G306" t="n">
        <v>7.1</v>
      </c>
      <c r="H306" t="n">
        <v>0</v>
      </c>
      <c r="I306" t="n">
        <v>0</v>
      </c>
      <c r="J306" t="n">
        <v>0</v>
      </c>
      <c r="K306" t="n">
        <v>0</v>
      </c>
      <c r="L306" t="n">
        <v>0</v>
      </c>
      <c r="M306" t="n">
        <v>0</v>
      </c>
      <c r="N306" t="n">
        <v>0</v>
      </c>
      <c r="O306" t="n">
        <v>0</v>
      </c>
      <c r="P306" t="n">
        <v>0</v>
      </c>
      <c r="Q306" t="n">
        <v>0</v>
      </c>
      <c r="R306" s="2" t="inlineStr"/>
    </row>
    <row r="307" ht="15" customHeight="1">
      <c r="A307" t="inlineStr">
        <is>
          <t>A 59890-2025</t>
        </is>
      </c>
      <c r="B307" s="1" t="n">
        <v>45993.33128472222</v>
      </c>
      <c r="C307" s="1" t="n">
        <v>46033</v>
      </c>
      <c r="D307" t="inlineStr">
        <is>
          <t>JÄMTLANDS LÄN</t>
        </is>
      </c>
      <c r="E307" t="inlineStr">
        <is>
          <t>BERG</t>
        </is>
      </c>
      <c r="G307" t="n">
        <v>4</v>
      </c>
      <c r="H307" t="n">
        <v>0</v>
      </c>
      <c r="I307" t="n">
        <v>0</v>
      </c>
      <c r="J307" t="n">
        <v>0</v>
      </c>
      <c r="K307" t="n">
        <v>0</v>
      </c>
      <c r="L307" t="n">
        <v>0</v>
      </c>
      <c r="M307" t="n">
        <v>0</v>
      </c>
      <c r="N307" t="n">
        <v>0</v>
      </c>
      <c r="O307" t="n">
        <v>0</v>
      </c>
      <c r="P307" t="n">
        <v>0</v>
      </c>
      <c r="Q307" t="n">
        <v>0</v>
      </c>
      <c r="R307" s="2" t="inlineStr"/>
    </row>
    <row r="308" ht="15" customHeight="1">
      <c r="A308" t="inlineStr">
        <is>
          <t>A 39418-2025</t>
        </is>
      </c>
      <c r="B308" s="1" t="n">
        <v>45889</v>
      </c>
      <c r="C308" s="1" t="n">
        <v>46033</v>
      </c>
      <c r="D308" t="inlineStr">
        <is>
          <t>JÄMTLANDS LÄN</t>
        </is>
      </c>
      <c r="E308" t="inlineStr">
        <is>
          <t>BERG</t>
        </is>
      </c>
      <c r="G308" t="n">
        <v>19.8</v>
      </c>
      <c r="H308" t="n">
        <v>0</v>
      </c>
      <c r="I308" t="n">
        <v>0</v>
      </c>
      <c r="J308" t="n">
        <v>0</v>
      </c>
      <c r="K308" t="n">
        <v>0</v>
      </c>
      <c r="L308" t="n">
        <v>0</v>
      </c>
      <c r="M308" t="n">
        <v>0</v>
      </c>
      <c r="N308" t="n">
        <v>0</v>
      </c>
      <c r="O308" t="n">
        <v>0</v>
      </c>
      <c r="P308" t="n">
        <v>0</v>
      </c>
      <c r="Q308" t="n">
        <v>0</v>
      </c>
      <c r="R308" s="2" t="inlineStr"/>
    </row>
    <row r="309" ht="15" customHeight="1">
      <c r="A309" t="inlineStr">
        <is>
          <t>A 39004-2025</t>
        </is>
      </c>
      <c r="B309" s="1" t="n">
        <v>45888.34472222222</v>
      </c>
      <c r="C309" s="1" t="n">
        <v>46033</v>
      </c>
      <c r="D309" t="inlineStr">
        <is>
          <t>JÄMTLANDS LÄN</t>
        </is>
      </c>
      <c r="E309" t="inlineStr">
        <is>
          <t>BERG</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23766-2025</t>
        </is>
      </c>
      <c r="B310" s="1" t="n">
        <v>45793.46954861111</v>
      </c>
      <c r="C310" s="1" t="n">
        <v>46033</v>
      </c>
      <c r="D310" t="inlineStr">
        <is>
          <t>JÄMTLANDS LÄN</t>
        </is>
      </c>
      <c r="E310" t="inlineStr">
        <is>
          <t>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3419-2025</t>
        </is>
      </c>
      <c r="B311" s="1" t="n">
        <v>45680.4165625</v>
      </c>
      <c r="C311" s="1" t="n">
        <v>46033</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33386-2025</t>
        </is>
      </c>
      <c r="B312" s="1" t="n">
        <v>45841.40587962963</v>
      </c>
      <c r="C312" s="1" t="n">
        <v>46033</v>
      </c>
      <c r="D312" t="inlineStr">
        <is>
          <t>JÄMTLANDS LÄN</t>
        </is>
      </c>
      <c r="E312" t="inlineStr">
        <is>
          <t>BERG</t>
        </is>
      </c>
      <c r="G312" t="n">
        <v>37.7</v>
      </c>
      <c r="H312" t="n">
        <v>0</v>
      </c>
      <c r="I312" t="n">
        <v>0</v>
      </c>
      <c r="J312" t="n">
        <v>0</v>
      </c>
      <c r="K312" t="n">
        <v>0</v>
      </c>
      <c r="L312" t="n">
        <v>0</v>
      </c>
      <c r="M312" t="n">
        <v>0</v>
      </c>
      <c r="N312" t="n">
        <v>0</v>
      </c>
      <c r="O312" t="n">
        <v>0</v>
      </c>
      <c r="P312" t="n">
        <v>0</v>
      </c>
      <c r="Q312" t="n">
        <v>0</v>
      </c>
      <c r="R312" s="2" t="inlineStr"/>
    </row>
    <row r="313" ht="15" customHeight="1">
      <c r="A313" t="inlineStr">
        <is>
          <t>A 39601-2025</t>
        </is>
      </c>
      <c r="B313" s="1" t="n">
        <v>45890.55284722222</v>
      </c>
      <c r="C313" s="1" t="n">
        <v>46033</v>
      </c>
      <c r="D313" t="inlineStr">
        <is>
          <t>JÄMTLANDS LÄN</t>
        </is>
      </c>
      <c r="E313" t="inlineStr">
        <is>
          <t>BERG</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23913-2025</t>
        </is>
      </c>
      <c r="B314" s="1" t="n">
        <v>45795.34442129629</v>
      </c>
      <c r="C314" s="1" t="n">
        <v>46033</v>
      </c>
      <c r="D314" t="inlineStr">
        <is>
          <t>JÄMTLANDS LÄN</t>
        </is>
      </c>
      <c r="E314" t="inlineStr">
        <is>
          <t>BERG</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23919-2025</t>
        </is>
      </c>
      <c r="B315" s="1" t="n">
        <v>45795.34497685185</v>
      </c>
      <c r="C315" s="1" t="n">
        <v>46033</v>
      </c>
      <c r="D315" t="inlineStr">
        <is>
          <t>JÄMTLANDS LÄN</t>
        </is>
      </c>
      <c r="E315" t="inlineStr">
        <is>
          <t>BERG</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39698-2025</t>
        </is>
      </c>
      <c r="B316" s="1" t="n">
        <v>45890.69837962963</v>
      </c>
      <c r="C316" s="1" t="n">
        <v>46033</v>
      </c>
      <c r="D316" t="inlineStr">
        <is>
          <t>JÄMTLANDS LÄN</t>
        </is>
      </c>
      <c r="E316" t="inlineStr">
        <is>
          <t>BERG</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24324-2025</t>
        </is>
      </c>
      <c r="B317" s="1" t="n">
        <v>45797.56049768518</v>
      </c>
      <c r="C317" s="1" t="n">
        <v>46033</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39544-2025</t>
        </is>
      </c>
      <c r="B318" s="1" t="n">
        <v>45890.45547453704</v>
      </c>
      <c r="C318" s="1" t="n">
        <v>46033</v>
      </c>
      <c r="D318" t="inlineStr">
        <is>
          <t>JÄMTLANDS LÄN</t>
        </is>
      </c>
      <c r="E318" t="inlineStr">
        <is>
          <t>BERG</t>
        </is>
      </c>
      <c r="G318" t="n">
        <v>7.5</v>
      </c>
      <c r="H318" t="n">
        <v>0</v>
      </c>
      <c r="I318" t="n">
        <v>0</v>
      </c>
      <c r="J318" t="n">
        <v>0</v>
      </c>
      <c r="K318" t="n">
        <v>0</v>
      </c>
      <c r="L318" t="n">
        <v>0</v>
      </c>
      <c r="M318" t="n">
        <v>0</v>
      </c>
      <c r="N318" t="n">
        <v>0</v>
      </c>
      <c r="O318" t="n">
        <v>0</v>
      </c>
      <c r="P318" t="n">
        <v>0</v>
      </c>
      <c r="Q318" t="n">
        <v>0</v>
      </c>
      <c r="R318" s="2" t="inlineStr"/>
    </row>
    <row r="319" ht="15" customHeight="1">
      <c r="A319" t="inlineStr">
        <is>
          <t>A 39539-2025</t>
        </is>
      </c>
      <c r="B319" s="1" t="n">
        <v>45890.4525</v>
      </c>
      <c r="C319" s="1" t="n">
        <v>46033</v>
      </c>
      <c r="D319" t="inlineStr">
        <is>
          <t>JÄMTLANDS LÄN</t>
        </is>
      </c>
      <c r="E319" t="inlineStr">
        <is>
          <t>BERG</t>
        </is>
      </c>
      <c r="G319" t="n">
        <v>7.7</v>
      </c>
      <c r="H319" t="n">
        <v>0</v>
      </c>
      <c r="I319" t="n">
        <v>0</v>
      </c>
      <c r="J319" t="n">
        <v>0</v>
      </c>
      <c r="K319" t="n">
        <v>0</v>
      </c>
      <c r="L319" t="n">
        <v>0</v>
      </c>
      <c r="M319" t="n">
        <v>0</v>
      </c>
      <c r="N319" t="n">
        <v>0</v>
      </c>
      <c r="O319" t="n">
        <v>0</v>
      </c>
      <c r="P319" t="n">
        <v>0</v>
      </c>
      <c r="Q319" t="n">
        <v>0</v>
      </c>
      <c r="R319" s="2" t="inlineStr"/>
    </row>
    <row r="320" ht="15" customHeight="1">
      <c r="A320" t="inlineStr">
        <is>
          <t>A 59763-2025</t>
        </is>
      </c>
      <c r="B320" s="1" t="n">
        <v>45992.59430555555</v>
      </c>
      <c r="C320" s="1" t="n">
        <v>46033</v>
      </c>
      <c r="D320" t="inlineStr">
        <is>
          <t>JÄMTLANDS LÄN</t>
        </is>
      </c>
      <c r="E320" t="inlineStr">
        <is>
          <t>BERG</t>
        </is>
      </c>
      <c r="F320" t="inlineStr">
        <is>
          <t>SCA</t>
        </is>
      </c>
      <c r="G320" t="n">
        <v>16.5</v>
      </c>
      <c r="H320" t="n">
        <v>0</v>
      </c>
      <c r="I320" t="n">
        <v>0</v>
      </c>
      <c r="J320" t="n">
        <v>0</v>
      </c>
      <c r="K320" t="n">
        <v>0</v>
      </c>
      <c r="L320" t="n">
        <v>0</v>
      </c>
      <c r="M320" t="n">
        <v>0</v>
      </c>
      <c r="N320" t="n">
        <v>0</v>
      </c>
      <c r="O320" t="n">
        <v>0</v>
      </c>
      <c r="P320" t="n">
        <v>0</v>
      </c>
      <c r="Q320" t="n">
        <v>0</v>
      </c>
      <c r="R320" s="2" t="inlineStr"/>
    </row>
    <row r="321" ht="15" customHeight="1">
      <c r="A321" t="inlineStr">
        <is>
          <t>A 40266-2025</t>
        </is>
      </c>
      <c r="B321" s="1" t="n">
        <v>45895.34478009259</v>
      </c>
      <c r="C321" s="1" t="n">
        <v>46033</v>
      </c>
      <c r="D321" t="inlineStr">
        <is>
          <t>JÄMTLANDS LÄN</t>
        </is>
      </c>
      <c r="E321" t="inlineStr">
        <is>
          <t>BERG</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40060-2025</t>
        </is>
      </c>
      <c r="B322" s="1" t="n">
        <v>45894.42746527777</v>
      </c>
      <c r="C322" s="1" t="n">
        <v>46033</v>
      </c>
      <c r="D322" t="inlineStr">
        <is>
          <t>JÄMTLANDS LÄN</t>
        </is>
      </c>
      <c r="E322" t="inlineStr">
        <is>
          <t>BERG</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29540-2024</t>
        </is>
      </c>
      <c r="B323" s="1" t="n">
        <v>45484</v>
      </c>
      <c r="C323" s="1" t="n">
        <v>46033</v>
      </c>
      <c r="D323" t="inlineStr">
        <is>
          <t>JÄMTLANDS LÄN</t>
        </is>
      </c>
      <c r="E323" t="inlineStr">
        <is>
          <t>BERG</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54799-2021</t>
        </is>
      </c>
      <c r="B324" s="1" t="n">
        <v>44473</v>
      </c>
      <c r="C324" s="1" t="n">
        <v>46033</v>
      </c>
      <c r="D324" t="inlineStr">
        <is>
          <t>JÄMTLANDS LÄN</t>
        </is>
      </c>
      <c r="E324" t="inlineStr">
        <is>
          <t>BERG</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46033</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40340-2025</t>
        </is>
      </c>
      <c r="B326" s="1" t="n">
        <v>45895.46922453704</v>
      </c>
      <c r="C326" s="1" t="n">
        <v>46033</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23900-2025</t>
        </is>
      </c>
      <c r="B327" s="1" t="n">
        <v>45794.34425925926</v>
      </c>
      <c r="C327" s="1" t="n">
        <v>46033</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23915-2025</t>
        </is>
      </c>
      <c r="B328" s="1" t="n">
        <v>45795.3446412037</v>
      </c>
      <c r="C328" s="1" t="n">
        <v>46033</v>
      </c>
      <c r="D328" t="inlineStr">
        <is>
          <t>JÄMTLANDS LÄN</t>
        </is>
      </c>
      <c r="E328" t="inlineStr">
        <is>
          <t>BERG</t>
        </is>
      </c>
      <c r="F328" t="inlineStr">
        <is>
          <t>SCA</t>
        </is>
      </c>
      <c r="G328" t="n">
        <v>16.7</v>
      </c>
      <c r="H328" t="n">
        <v>0</v>
      </c>
      <c r="I328" t="n">
        <v>0</v>
      </c>
      <c r="J328" t="n">
        <v>0</v>
      </c>
      <c r="K328" t="n">
        <v>0</v>
      </c>
      <c r="L328" t="n">
        <v>0</v>
      </c>
      <c r="M328" t="n">
        <v>0</v>
      </c>
      <c r="N328" t="n">
        <v>0</v>
      </c>
      <c r="O328" t="n">
        <v>0</v>
      </c>
      <c r="P328" t="n">
        <v>0</v>
      </c>
      <c r="Q328" t="n">
        <v>0</v>
      </c>
      <c r="R328" s="2" t="inlineStr"/>
    </row>
    <row r="329" ht="15" customHeight="1">
      <c r="A329" t="inlineStr">
        <is>
          <t>A 23916-2025</t>
        </is>
      </c>
      <c r="B329" s="1" t="n">
        <v>45795.34472222222</v>
      </c>
      <c r="C329" s="1" t="n">
        <v>46033</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40410-2025</t>
        </is>
      </c>
      <c r="B330" s="1" t="n">
        <v>45895.57349537037</v>
      </c>
      <c r="C330" s="1" t="n">
        <v>46033</v>
      </c>
      <c r="D330" t="inlineStr">
        <is>
          <t>JÄMTLANDS LÄN</t>
        </is>
      </c>
      <c r="E330" t="inlineStr">
        <is>
          <t>BERG</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24360-2025</t>
        </is>
      </c>
      <c r="B331" s="1" t="n">
        <v>45797.59502314815</v>
      </c>
      <c r="C331" s="1" t="n">
        <v>46033</v>
      </c>
      <c r="D331" t="inlineStr">
        <is>
          <t>JÄMTLANDS LÄN</t>
        </is>
      </c>
      <c r="E331" t="inlineStr">
        <is>
          <t>BERG</t>
        </is>
      </c>
      <c r="F331" t="inlineStr">
        <is>
          <t>SCA</t>
        </is>
      </c>
      <c r="G331" t="n">
        <v>10.5</v>
      </c>
      <c r="H331" t="n">
        <v>0</v>
      </c>
      <c r="I331" t="n">
        <v>0</v>
      </c>
      <c r="J331" t="n">
        <v>0</v>
      </c>
      <c r="K331" t="n">
        <v>0</v>
      </c>
      <c r="L331" t="n">
        <v>0</v>
      </c>
      <c r="M331" t="n">
        <v>0</v>
      </c>
      <c r="N331" t="n">
        <v>0</v>
      </c>
      <c r="O331" t="n">
        <v>0</v>
      </c>
      <c r="P331" t="n">
        <v>0</v>
      </c>
      <c r="Q331" t="n">
        <v>0</v>
      </c>
      <c r="R331" s="2" t="inlineStr"/>
    </row>
    <row r="332" ht="15" customHeight="1">
      <c r="A332" t="inlineStr">
        <is>
          <t>A 40341-2025</t>
        </is>
      </c>
      <c r="B332" s="1" t="n">
        <v>45895</v>
      </c>
      <c r="C332" s="1" t="n">
        <v>46033</v>
      </c>
      <c r="D332" t="inlineStr">
        <is>
          <t>JÄMTLANDS LÄN</t>
        </is>
      </c>
      <c r="E332" t="inlineStr">
        <is>
          <t>BERG</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24060-2025</t>
        </is>
      </c>
      <c r="B333" s="1" t="n">
        <v>45796.5216087963</v>
      </c>
      <c r="C333" s="1" t="n">
        <v>46033</v>
      </c>
      <c r="D333" t="inlineStr">
        <is>
          <t>JÄMTLANDS LÄN</t>
        </is>
      </c>
      <c r="E333" t="inlineStr">
        <is>
          <t>BERG</t>
        </is>
      </c>
      <c r="G333" t="n">
        <v>4.7</v>
      </c>
      <c r="H333" t="n">
        <v>0</v>
      </c>
      <c r="I333" t="n">
        <v>0</v>
      </c>
      <c r="J333" t="n">
        <v>0</v>
      </c>
      <c r="K333" t="n">
        <v>0</v>
      </c>
      <c r="L333" t="n">
        <v>0</v>
      </c>
      <c r="M333" t="n">
        <v>0</v>
      </c>
      <c r="N333" t="n">
        <v>0</v>
      </c>
      <c r="O333" t="n">
        <v>0</v>
      </c>
      <c r="P333" t="n">
        <v>0</v>
      </c>
      <c r="Q333" t="n">
        <v>0</v>
      </c>
      <c r="R333" s="2" t="inlineStr"/>
    </row>
    <row r="334" ht="15" customHeight="1">
      <c r="A334" t="inlineStr">
        <is>
          <t>A 51675-2025</t>
        </is>
      </c>
      <c r="B334" s="1" t="n">
        <v>45951.50565972222</v>
      </c>
      <c r="C334" s="1" t="n">
        <v>46033</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24390-2025</t>
        </is>
      </c>
      <c r="B335" s="1" t="n">
        <v>45797.63576388889</v>
      </c>
      <c r="C335" s="1" t="n">
        <v>46033</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23901-2025</t>
        </is>
      </c>
      <c r="B336" s="1" t="n">
        <v>45794.34436342592</v>
      </c>
      <c r="C336" s="1" t="n">
        <v>46033</v>
      </c>
      <c r="D336" t="inlineStr">
        <is>
          <t>JÄMTLANDS LÄN</t>
        </is>
      </c>
      <c r="E336" t="inlineStr">
        <is>
          <t>BERG</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23920-2025</t>
        </is>
      </c>
      <c r="B337" s="1" t="n">
        <v>45795.34505787037</v>
      </c>
      <c r="C337" s="1" t="n">
        <v>46033</v>
      </c>
      <c r="D337" t="inlineStr">
        <is>
          <t>JÄMTLANDS LÄN</t>
        </is>
      </c>
      <c r="E337" t="inlineStr">
        <is>
          <t>BERG</t>
        </is>
      </c>
      <c r="F337" t="inlineStr">
        <is>
          <t>SCA</t>
        </is>
      </c>
      <c r="G337" t="n">
        <v>8.5</v>
      </c>
      <c r="H337" t="n">
        <v>0</v>
      </c>
      <c r="I337" t="n">
        <v>0</v>
      </c>
      <c r="J337" t="n">
        <v>0</v>
      </c>
      <c r="K337" t="n">
        <v>0</v>
      </c>
      <c r="L337" t="n">
        <v>0</v>
      </c>
      <c r="M337" t="n">
        <v>0</v>
      </c>
      <c r="N337" t="n">
        <v>0</v>
      </c>
      <c r="O337" t="n">
        <v>0</v>
      </c>
      <c r="P337" t="n">
        <v>0</v>
      </c>
      <c r="Q337" t="n">
        <v>0</v>
      </c>
      <c r="R337" s="2" t="inlineStr"/>
    </row>
    <row r="338" ht="15" customHeight="1">
      <c r="A338" t="inlineStr">
        <is>
          <t>A 5014-2024</t>
        </is>
      </c>
      <c r="B338" s="1" t="n">
        <v>45329</v>
      </c>
      <c r="C338" s="1" t="n">
        <v>46033</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23902-2025</t>
        </is>
      </c>
      <c r="B339" s="1" t="n">
        <v>45794.34447916667</v>
      </c>
      <c r="C339" s="1" t="n">
        <v>46033</v>
      </c>
      <c r="D339" t="inlineStr">
        <is>
          <t>JÄMTLANDS LÄN</t>
        </is>
      </c>
      <c r="E339" t="inlineStr">
        <is>
          <t>BERG</t>
        </is>
      </c>
      <c r="F339" t="inlineStr">
        <is>
          <t>SCA</t>
        </is>
      </c>
      <c r="G339" t="n">
        <v>14.3</v>
      </c>
      <c r="H339" t="n">
        <v>0</v>
      </c>
      <c r="I339" t="n">
        <v>0</v>
      </c>
      <c r="J339" t="n">
        <v>0</v>
      </c>
      <c r="K339" t="n">
        <v>0</v>
      </c>
      <c r="L339" t="n">
        <v>0</v>
      </c>
      <c r="M339" t="n">
        <v>0</v>
      </c>
      <c r="N339" t="n">
        <v>0</v>
      </c>
      <c r="O339" t="n">
        <v>0</v>
      </c>
      <c r="P339" t="n">
        <v>0</v>
      </c>
      <c r="Q339" t="n">
        <v>0</v>
      </c>
      <c r="R339" s="2" t="inlineStr"/>
    </row>
    <row r="340" ht="15" customHeight="1">
      <c r="A340" t="inlineStr">
        <is>
          <t>A 40918-2025</t>
        </is>
      </c>
      <c r="B340" s="1" t="n">
        <v>45897.6292824074</v>
      </c>
      <c r="C340" s="1" t="n">
        <v>46033</v>
      </c>
      <c r="D340" t="inlineStr">
        <is>
          <t>JÄMTLANDS LÄN</t>
        </is>
      </c>
      <c r="E340" t="inlineStr">
        <is>
          <t>BERG</t>
        </is>
      </c>
      <c r="G340" t="n">
        <v>1.7</v>
      </c>
      <c r="H340" t="n">
        <v>0</v>
      </c>
      <c r="I340" t="n">
        <v>0</v>
      </c>
      <c r="J340" t="n">
        <v>0</v>
      </c>
      <c r="K340" t="n">
        <v>0</v>
      </c>
      <c r="L340" t="n">
        <v>0</v>
      </c>
      <c r="M340" t="n">
        <v>0</v>
      </c>
      <c r="N340" t="n">
        <v>0</v>
      </c>
      <c r="O340" t="n">
        <v>0</v>
      </c>
      <c r="P340" t="n">
        <v>0</v>
      </c>
      <c r="Q340" t="n">
        <v>0</v>
      </c>
      <c r="R340" s="2" t="inlineStr"/>
    </row>
    <row r="341" ht="15" customHeight="1">
      <c r="A341" t="inlineStr">
        <is>
          <t>A 40737-2025</t>
        </is>
      </c>
      <c r="B341" s="1" t="n">
        <v>45897.36572916667</v>
      </c>
      <c r="C341" s="1" t="n">
        <v>46033</v>
      </c>
      <c r="D341" t="inlineStr">
        <is>
          <t>JÄMTLANDS LÄN</t>
        </is>
      </c>
      <c r="E341" t="inlineStr">
        <is>
          <t>BERG</t>
        </is>
      </c>
      <c r="G341" t="n">
        <v>2.8</v>
      </c>
      <c r="H341" t="n">
        <v>0</v>
      </c>
      <c r="I341" t="n">
        <v>0</v>
      </c>
      <c r="J341" t="n">
        <v>0</v>
      </c>
      <c r="K341" t="n">
        <v>0</v>
      </c>
      <c r="L341" t="n">
        <v>0</v>
      </c>
      <c r="M341" t="n">
        <v>0</v>
      </c>
      <c r="N341" t="n">
        <v>0</v>
      </c>
      <c r="O341" t="n">
        <v>0</v>
      </c>
      <c r="P341" t="n">
        <v>0</v>
      </c>
      <c r="Q341" t="n">
        <v>0</v>
      </c>
      <c r="R341" s="2" t="inlineStr"/>
    </row>
    <row r="342" ht="15" customHeight="1">
      <c r="A342" t="inlineStr">
        <is>
          <t>A 24954-2025</t>
        </is>
      </c>
      <c r="B342" s="1" t="n">
        <v>45799.57385416667</v>
      </c>
      <c r="C342" s="1" t="n">
        <v>46033</v>
      </c>
      <c r="D342" t="inlineStr">
        <is>
          <t>JÄMTLANDS LÄN</t>
        </is>
      </c>
      <c r="E342" t="inlineStr">
        <is>
          <t>BERG</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40630-2025</t>
        </is>
      </c>
      <c r="B343" s="1" t="n">
        <v>45896</v>
      </c>
      <c r="C343" s="1" t="n">
        <v>46033</v>
      </c>
      <c r="D343" t="inlineStr">
        <is>
          <t>JÄMTLANDS LÄN</t>
        </is>
      </c>
      <c r="E343" t="inlineStr">
        <is>
          <t>BERG</t>
        </is>
      </c>
      <c r="G343" t="n">
        <v>2.1</v>
      </c>
      <c r="H343" t="n">
        <v>0</v>
      </c>
      <c r="I343" t="n">
        <v>0</v>
      </c>
      <c r="J343" t="n">
        <v>0</v>
      </c>
      <c r="K343" t="n">
        <v>0</v>
      </c>
      <c r="L343" t="n">
        <v>0</v>
      </c>
      <c r="M343" t="n">
        <v>0</v>
      </c>
      <c r="N343" t="n">
        <v>0</v>
      </c>
      <c r="O343" t="n">
        <v>0</v>
      </c>
      <c r="P343" t="n">
        <v>0</v>
      </c>
      <c r="Q343" t="n">
        <v>0</v>
      </c>
      <c r="R343" s="2" t="inlineStr"/>
    </row>
    <row r="344" ht="15" customHeight="1">
      <c r="A344" t="inlineStr">
        <is>
          <t>A 24786-2025</t>
        </is>
      </c>
      <c r="B344" s="1" t="n">
        <v>45799.42777777778</v>
      </c>
      <c r="C344" s="1" t="n">
        <v>46033</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61085-2024</t>
        </is>
      </c>
      <c r="B345" s="1" t="n">
        <v>45645.53202546296</v>
      </c>
      <c r="C345" s="1" t="n">
        <v>46033</v>
      </c>
      <c r="D345" t="inlineStr">
        <is>
          <t>JÄMTLANDS LÄN</t>
        </is>
      </c>
      <c r="E345" t="inlineStr">
        <is>
          <t>BERG</t>
        </is>
      </c>
      <c r="F345" t="inlineStr">
        <is>
          <t>SCA</t>
        </is>
      </c>
      <c r="G345" t="n">
        <v>12.2</v>
      </c>
      <c r="H345" t="n">
        <v>0</v>
      </c>
      <c r="I345" t="n">
        <v>0</v>
      </c>
      <c r="J345" t="n">
        <v>0</v>
      </c>
      <c r="K345" t="n">
        <v>0</v>
      </c>
      <c r="L345" t="n">
        <v>0</v>
      </c>
      <c r="M345" t="n">
        <v>0</v>
      </c>
      <c r="N345" t="n">
        <v>0</v>
      </c>
      <c r="O345" t="n">
        <v>0</v>
      </c>
      <c r="P345" t="n">
        <v>0</v>
      </c>
      <c r="Q345" t="n">
        <v>0</v>
      </c>
      <c r="R345" s="2" t="inlineStr"/>
    </row>
    <row r="346" ht="15" customHeight="1">
      <c r="A346" t="inlineStr">
        <is>
          <t>A 40708-2025</t>
        </is>
      </c>
      <c r="B346" s="1" t="n">
        <v>45897</v>
      </c>
      <c r="C346" s="1" t="n">
        <v>46033</v>
      </c>
      <c r="D346" t="inlineStr">
        <is>
          <t>JÄMTLANDS LÄN</t>
        </is>
      </c>
      <c r="E346" t="inlineStr">
        <is>
          <t>BERG</t>
        </is>
      </c>
      <c r="G346" t="n">
        <v>6.6</v>
      </c>
      <c r="H346" t="n">
        <v>0</v>
      </c>
      <c r="I346" t="n">
        <v>0</v>
      </c>
      <c r="J346" t="n">
        <v>0</v>
      </c>
      <c r="K346" t="n">
        <v>0</v>
      </c>
      <c r="L346" t="n">
        <v>0</v>
      </c>
      <c r="M346" t="n">
        <v>0</v>
      </c>
      <c r="N346" t="n">
        <v>0</v>
      </c>
      <c r="O346" t="n">
        <v>0</v>
      </c>
      <c r="P346" t="n">
        <v>0</v>
      </c>
      <c r="Q346" t="n">
        <v>0</v>
      </c>
      <c r="R346" s="2" t="inlineStr"/>
    </row>
    <row r="347" ht="15" customHeight="1">
      <c r="A347" t="inlineStr">
        <is>
          <t>A 40873-2025</t>
        </is>
      </c>
      <c r="B347" s="1" t="n">
        <v>45897.5744675926</v>
      </c>
      <c r="C347" s="1" t="n">
        <v>46033</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24869-2025</t>
        </is>
      </c>
      <c r="B348" s="1" t="n">
        <v>45799.48994212963</v>
      </c>
      <c r="C348" s="1" t="n">
        <v>46033</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40617-2025</t>
        </is>
      </c>
      <c r="B349" s="1" t="n">
        <v>45896.58326388889</v>
      </c>
      <c r="C349" s="1" t="n">
        <v>46033</v>
      </c>
      <c r="D349" t="inlineStr">
        <is>
          <t>JÄMTLANDS LÄN</t>
        </is>
      </c>
      <c r="E349" t="inlineStr">
        <is>
          <t>BERG</t>
        </is>
      </c>
      <c r="G349" t="n">
        <v>3.5</v>
      </c>
      <c r="H349" t="n">
        <v>0</v>
      </c>
      <c r="I349" t="n">
        <v>0</v>
      </c>
      <c r="J349" t="n">
        <v>0</v>
      </c>
      <c r="K349" t="n">
        <v>0</v>
      </c>
      <c r="L349" t="n">
        <v>0</v>
      </c>
      <c r="M349" t="n">
        <v>0</v>
      </c>
      <c r="N349" t="n">
        <v>0</v>
      </c>
      <c r="O349" t="n">
        <v>0</v>
      </c>
      <c r="P349" t="n">
        <v>0</v>
      </c>
      <c r="Q349" t="n">
        <v>0</v>
      </c>
      <c r="R349" s="2" t="inlineStr"/>
    </row>
    <row r="350" ht="15" customHeight="1">
      <c r="A350" t="inlineStr">
        <is>
          <t>A 24442-2025</t>
        </is>
      </c>
      <c r="B350" s="1" t="n">
        <v>45797.96236111111</v>
      </c>
      <c r="C350" s="1" t="n">
        <v>46033</v>
      </c>
      <c r="D350" t="inlineStr">
        <is>
          <t>JÄMTLANDS LÄN</t>
        </is>
      </c>
      <c r="E350" t="inlineStr">
        <is>
          <t>BERG</t>
        </is>
      </c>
      <c r="G350" t="n">
        <v>9</v>
      </c>
      <c r="H350" t="n">
        <v>0</v>
      </c>
      <c r="I350" t="n">
        <v>0</v>
      </c>
      <c r="J350" t="n">
        <v>0</v>
      </c>
      <c r="K350" t="n">
        <v>0</v>
      </c>
      <c r="L350" t="n">
        <v>0</v>
      </c>
      <c r="M350" t="n">
        <v>0</v>
      </c>
      <c r="N350" t="n">
        <v>0</v>
      </c>
      <c r="O350" t="n">
        <v>0</v>
      </c>
      <c r="P350" t="n">
        <v>0</v>
      </c>
      <c r="Q350" t="n">
        <v>0</v>
      </c>
      <c r="R350" s="2" t="inlineStr"/>
    </row>
    <row r="351" ht="15" customHeight="1">
      <c r="A351" t="inlineStr">
        <is>
          <t>A 24849-2025</t>
        </is>
      </c>
      <c r="B351" s="1" t="n">
        <v>45799.46949074074</v>
      </c>
      <c r="C351" s="1" t="n">
        <v>46033</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41927-2023</t>
        </is>
      </c>
      <c r="B352" s="1" t="n">
        <v>45176</v>
      </c>
      <c r="C352" s="1" t="n">
        <v>46033</v>
      </c>
      <c r="D352" t="inlineStr">
        <is>
          <t>JÄMTLANDS LÄN</t>
        </is>
      </c>
      <c r="E352" t="inlineStr">
        <is>
          <t>BERG</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51495-2025</t>
        </is>
      </c>
      <c r="B353" s="1" t="n">
        <v>45950.6366550926</v>
      </c>
      <c r="C353" s="1" t="n">
        <v>46033</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5187-2025</t>
        </is>
      </c>
      <c r="B354" s="1" t="n">
        <v>45691.64266203704</v>
      </c>
      <c r="C354" s="1" t="n">
        <v>46033</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41247-2025</t>
        </is>
      </c>
      <c r="B355" s="1" t="n">
        <v>45898.60109953704</v>
      </c>
      <c r="C355" s="1" t="n">
        <v>46033</v>
      </c>
      <c r="D355" t="inlineStr">
        <is>
          <t>JÄMTLANDS LÄN</t>
        </is>
      </c>
      <c r="E355" t="inlineStr">
        <is>
          <t>BERG</t>
        </is>
      </c>
      <c r="G355" t="n">
        <v>17.5</v>
      </c>
      <c r="H355" t="n">
        <v>0</v>
      </c>
      <c r="I355" t="n">
        <v>0</v>
      </c>
      <c r="J355" t="n">
        <v>0</v>
      </c>
      <c r="K355" t="n">
        <v>0</v>
      </c>
      <c r="L355" t="n">
        <v>0</v>
      </c>
      <c r="M355" t="n">
        <v>0</v>
      </c>
      <c r="N355" t="n">
        <v>0</v>
      </c>
      <c r="O355" t="n">
        <v>0</v>
      </c>
      <c r="P355" t="n">
        <v>0</v>
      </c>
      <c r="Q355" t="n">
        <v>0</v>
      </c>
      <c r="R355" s="2" t="inlineStr"/>
    </row>
    <row r="356" ht="15" customHeight="1">
      <c r="A356" t="inlineStr">
        <is>
          <t>A 41263-2025</t>
        </is>
      </c>
      <c r="B356" s="1" t="n">
        <v>45898.61517361111</v>
      </c>
      <c r="C356" s="1" t="n">
        <v>46033</v>
      </c>
      <c r="D356" t="inlineStr">
        <is>
          <t>JÄMTLANDS LÄN</t>
        </is>
      </c>
      <c r="E356" t="inlineStr">
        <is>
          <t>BERG</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60051-2025</t>
        </is>
      </c>
      <c r="B357" s="1" t="n">
        <v>45993.6353125</v>
      </c>
      <c r="C357" s="1" t="n">
        <v>46033</v>
      </c>
      <c r="D357" t="inlineStr">
        <is>
          <t>JÄMTLANDS LÄN</t>
        </is>
      </c>
      <c r="E357" t="inlineStr">
        <is>
          <t>BERG</t>
        </is>
      </c>
      <c r="G357" t="n">
        <v>1.4</v>
      </c>
      <c r="H357" t="n">
        <v>0</v>
      </c>
      <c r="I357" t="n">
        <v>0</v>
      </c>
      <c r="J357" t="n">
        <v>0</v>
      </c>
      <c r="K357" t="n">
        <v>0</v>
      </c>
      <c r="L357" t="n">
        <v>0</v>
      </c>
      <c r="M357" t="n">
        <v>0</v>
      </c>
      <c r="N357" t="n">
        <v>0</v>
      </c>
      <c r="O357" t="n">
        <v>0</v>
      </c>
      <c r="P357" t="n">
        <v>0</v>
      </c>
      <c r="Q357" t="n">
        <v>0</v>
      </c>
      <c r="R357" s="2" t="inlineStr"/>
    </row>
    <row r="358" ht="15" customHeight="1">
      <c r="A358" t="inlineStr">
        <is>
          <t>A 41295-2025</t>
        </is>
      </c>
      <c r="B358" s="1" t="n">
        <v>45898.65660879629</v>
      </c>
      <c r="C358" s="1" t="n">
        <v>46033</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25452-2025</t>
        </is>
      </c>
      <c r="B359" s="1" t="n">
        <v>45802.34440972222</v>
      </c>
      <c r="C359" s="1" t="n">
        <v>46033</v>
      </c>
      <c r="D359" t="inlineStr">
        <is>
          <t>JÄMTLANDS LÄN</t>
        </is>
      </c>
      <c r="E359" t="inlineStr">
        <is>
          <t>BERG</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18007-2024</t>
        </is>
      </c>
      <c r="B360" s="1" t="n">
        <v>45419.94912037037</v>
      </c>
      <c r="C360" s="1" t="n">
        <v>46033</v>
      </c>
      <c r="D360" t="inlineStr">
        <is>
          <t>JÄMTLANDS LÄN</t>
        </is>
      </c>
      <c r="E360" t="inlineStr">
        <is>
          <t>BERG</t>
        </is>
      </c>
      <c r="G360" t="n">
        <v>0.7</v>
      </c>
      <c r="H360" t="n">
        <v>0</v>
      </c>
      <c r="I360" t="n">
        <v>0</v>
      </c>
      <c r="J360" t="n">
        <v>0</v>
      </c>
      <c r="K360" t="n">
        <v>0</v>
      </c>
      <c r="L360" t="n">
        <v>0</v>
      </c>
      <c r="M360" t="n">
        <v>0</v>
      </c>
      <c r="N360" t="n">
        <v>0</v>
      </c>
      <c r="O360" t="n">
        <v>0</v>
      </c>
      <c r="P360" t="n">
        <v>0</v>
      </c>
      <c r="Q360" t="n">
        <v>0</v>
      </c>
      <c r="R360" s="2" t="inlineStr"/>
    </row>
    <row r="361" ht="15" customHeight="1">
      <c r="A361" t="inlineStr">
        <is>
          <t>A 60409-2023</t>
        </is>
      </c>
      <c r="B361" s="1" t="n">
        <v>45259.47972222222</v>
      </c>
      <c r="C361" s="1" t="n">
        <v>46033</v>
      </c>
      <c r="D361" t="inlineStr">
        <is>
          <t>JÄMTLANDS LÄN</t>
        </is>
      </c>
      <c r="E361" t="inlineStr">
        <is>
          <t>BERG</t>
        </is>
      </c>
      <c r="G361" t="n">
        <v>5.8</v>
      </c>
      <c r="H361" t="n">
        <v>0</v>
      </c>
      <c r="I361" t="n">
        <v>0</v>
      </c>
      <c r="J361" t="n">
        <v>0</v>
      </c>
      <c r="K361" t="n">
        <v>0</v>
      </c>
      <c r="L361" t="n">
        <v>0</v>
      </c>
      <c r="M361" t="n">
        <v>0</v>
      </c>
      <c r="N361" t="n">
        <v>0</v>
      </c>
      <c r="O361" t="n">
        <v>0</v>
      </c>
      <c r="P361" t="n">
        <v>0</v>
      </c>
      <c r="Q361" t="n">
        <v>0</v>
      </c>
      <c r="R361" s="2" t="inlineStr"/>
    </row>
    <row r="362" ht="15" customHeight="1">
      <c r="A362" t="inlineStr">
        <is>
          <t>A 29378-2024</t>
        </is>
      </c>
      <c r="B362" s="1" t="n">
        <v>45483.59328703704</v>
      </c>
      <c r="C362" s="1" t="n">
        <v>46033</v>
      </c>
      <c r="D362" t="inlineStr">
        <is>
          <t>JÄMTLANDS LÄN</t>
        </is>
      </c>
      <c r="E362" t="inlineStr">
        <is>
          <t>BERG</t>
        </is>
      </c>
      <c r="G362" t="n">
        <v>5.6</v>
      </c>
      <c r="H362" t="n">
        <v>0</v>
      </c>
      <c r="I362" t="n">
        <v>0</v>
      </c>
      <c r="J362" t="n">
        <v>0</v>
      </c>
      <c r="K362" t="n">
        <v>0</v>
      </c>
      <c r="L362" t="n">
        <v>0</v>
      </c>
      <c r="M362" t="n">
        <v>0</v>
      </c>
      <c r="N362" t="n">
        <v>0</v>
      </c>
      <c r="O362" t="n">
        <v>0</v>
      </c>
      <c r="P362" t="n">
        <v>0</v>
      </c>
      <c r="Q362" t="n">
        <v>0</v>
      </c>
      <c r="R362" s="2" t="inlineStr"/>
    </row>
    <row r="363" ht="15" customHeight="1">
      <c r="A363" t="inlineStr">
        <is>
          <t>A 21508-2024</t>
        </is>
      </c>
      <c r="B363" s="1" t="n">
        <v>45441.56905092593</v>
      </c>
      <c r="C363" s="1" t="n">
        <v>46033</v>
      </c>
      <c r="D363" t="inlineStr">
        <is>
          <t>JÄMTLANDS LÄN</t>
        </is>
      </c>
      <c r="E363" t="inlineStr">
        <is>
          <t>BERG</t>
        </is>
      </c>
      <c r="G363" t="n">
        <v>3.2</v>
      </c>
      <c r="H363" t="n">
        <v>0</v>
      </c>
      <c r="I363" t="n">
        <v>0</v>
      </c>
      <c r="J363" t="n">
        <v>0</v>
      </c>
      <c r="K363" t="n">
        <v>0</v>
      </c>
      <c r="L363" t="n">
        <v>0</v>
      </c>
      <c r="M363" t="n">
        <v>0</v>
      </c>
      <c r="N363" t="n">
        <v>0</v>
      </c>
      <c r="O363" t="n">
        <v>0</v>
      </c>
      <c r="P363" t="n">
        <v>0</v>
      </c>
      <c r="Q363" t="n">
        <v>0</v>
      </c>
      <c r="R363" s="2" t="inlineStr"/>
    </row>
    <row r="364" ht="15" customHeight="1">
      <c r="A364" t="inlineStr">
        <is>
          <t>A 41265-2025</t>
        </is>
      </c>
      <c r="B364" s="1" t="n">
        <v>45898.6153587963</v>
      </c>
      <c r="C364" s="1" t="n">
        <v>46033</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18775-2024</t>
        </is>
      </c>
      <c r="B365" s="1" t="n">
        <v>45426</v>
      </c>
      <c r="C365" s="1" t="n">
        <v>46033</v>
      </c>
      <c r="D365" t="inlineStr">
        <is>
          <t>JÄMTLANDS LÄN</t>
        </is>
      </c>
      <c r="E365" t="inlineStr">
        <is>
          <t>BERG</t>
        </is>
      </c>
      <c r="G365" t="n">
        <v>13.9</v>
      </c>
      <c r="H365" t="n">
        <v>0</v>
      </c>
      <c r="I365" t="n">
        <v>0</v>
      </c>
      <c r="J365" t="n">
        <v>0</v>
      </c>
      <c r="K365" t="n">
        <v>0</v>
      </c>
      <c r="L365" t="n">
        <v>0</v>
      </c>
      <c r="M365" t="n">
        <v>0</v>
      </c>
      <c r="N365" t="n">
        <v>0</v>
      </c>
      <c r="O365" t="n">
        <v>0</v>
      </c>
      <c r="P365" t="n">
        <v>0</v>
      </c>
      <c r="Q365" t="n">
        <v>0</v>
      </c>
      <c r="R365" s="2" t="inlineStr"/>
    </row>
    <row r="366" ht="15" customHeight="1">
      <c r="A366" t="inlineStr">
        <is>
          <t>A 25454-2025</t>
        </is>
      </c>
      <c r="B366" s="1" t="n">
        <v>45802.34460648148</v>
      </c>
      <c r="C366" s="1" t="n">
        <v>46033</v>
      </c>
      <c r="D366" t="inlineStr">
        <is>
          <t>JÄMTLANDS LÄN</t>
        </is>
      </c>
      <c r="E366" t="inlineStr">
        <is>
          <t>BERG</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25453-2025</t>
        </is>
      </c>
      <c r="B367" s="1" t="n">
        <v>45802.34451388889</v>
      </c>
      <c r="C367" s="1" t="n">
        <v>46033</v>
      </c>
      <c r="D367" t="inlineStr">
        <is>
          <t>JÄMTLANDS LÄN</t>
        </is>
      </c>
      <c r="E367" t="inlineStr">
        <is>
          <t>BERG</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42003-2025</t>
        </is>
      </c>
      <c r="B368" s="1" t="n">
        <v>45903.55403935185</v>
      </c>
      <c r="C368" s="1" t="n">
        <v>46033</v>
      </c>
      <c r="D368" t="inlineStr">
        <is>
          <t>JÄMTLANDS LÄN</t>
        </is>
      </c>
      <c r="E368" t="inlineStr">
        <is>
          <t>BERG</t>
        </is>
      </c>
      <c r="F368" t="inlineStr">
        <is>
          <t>Övriga statliga verk och myndigheter</t>
        </is>
      </c>
      <c r="G368" t="n">
        <v>10.5</v>
      </c>
      <c r="H368" t="n">
        <v>0</v>
      </c>
      <c r="I368" t="n">
        <v>0</v>
      </c>
      <c r="J368" t="n">
        <v>0</v>
      </c>
      <c r="K368" t="n">
        <v>0</v>
      </c>
      <c r="L368" t="n">
        <v>0</v>
      </c>
      <c r="M368" t="n">
        <v>0</v>
      </c>
      <c r="N368" t="n">
        <v>0</v>
      </c>
      <c r="O368" t="n">
        <v>0</v>
      </c>
      <c r="P368" t="n">
        <v>0</v>
      </c>
      <c r="Q368" t="n">
        <v>0</v>
      </c>
      <c r="R368" s="2" t="inlineStr"/>
    </row>
    <row r="369" ht="15" customHeight="1">
      <c r="A369" t="inlineStr">
        <is>
          <t>A 41930-2025</t>
        </is>
      </c>
      <c r="B369" s="1" t="n">
        <v>45903.43454861111</v>
      </c>
      <c r="C369" s="1" t="n">
        <v>46033</v>
      </c>
      <c r="D369" t="inlineStr">
        <is>
          <t>JÄMTLANDS LÄN</t>
        </is>
      </c>
      <c r="E369" t="inlineStr">
        <is>
          <t>BERG</t>
        </is>
      </c>
      <c r="F369" t="inlineStr">
        <is>
          <t>Övriga statliga verk och myndigheter</t>
        </is>
      </c>
      <c r="G369" t="n">
        <v>2.4</v>
      </c>
      <c r="H369" t="n">
        <v>0</v>
      </c>
      <c r="I369" t="n">
        <v>0</v>
      </c>
      <c r="J369" t="n">
        <v>0</v>
      </c>
      <c r="K369" t="n">
        <v>0</v>
      </c>
      <c r="L369" t="n">
        <v>0</v>
      </c>
      <c r="M369" t="n">
        <v>0</v>
      </c>
      <c r="N369" t="n">
        <v>0</v>
      </c>
      <c r="O369" t="n">
        <v>0</v>
      </c>
      <c r="P369" t="n">
        <v>0</v>
      </c>
      <c r="Q369" t="n">
        <v>0</v>
      </c>
      <c r="R369" s="2" t="inlineStr"/>
    </row>
    <row r="370" ht="15" customHeight="1">
      <c r="A370" t="inlineStr">
        <is>
          <t>A 3842-2023</t>
        </is>
      </c>
      <c r="B370" s="1" t="n">
        <v>44951</v>
      </c>
      <c r="C370" s="1" t="n">
        <v>46033</v>
      </c>
      <c r="D370" t="inlineStr">
        <is>
          <t>JÄMTLANDS LÄN</t>
        </is>
      </c>
      <c r="E370" t="inlineStr">
        <is>
          <t>BERG</t>
        </is>
      </c>
      <c r="G370" t="n">
        <v>0.3</v>
      </c>
      <c r="H370" t="n">
        <v>0</v>
      </c>
      <c r="I370" t="n">
        <v>0</v>
      </c>
      <c r="J370" t="n">
        <v>0</v>
      </c>
      <c r="K370" t="n">
        <v>0</v>
      </c>
      <c r="L370" t="n">
        <v>0</v>
      </c>
      <c r="M370" t="n">
        <v>0</v>
      </c>
      <c r="N370" t="n">
        <v>0</v>
      </c>
      <c r="O370" t="n">
        <v>0</v>
      </c>
      <c r="P370" t="n">
        <v>0</v>
      </c>
      <c r="Q370" t="n">
        <v>0</v>
      </c>
      <c r="R370" s="2" t="inlineStr"/>
    </row>
    <row r="371" ht="15" customHeight="1">
      <c r="A371" t="inlineStr">
        <is>
          <t>A 25441-2025</t>
        </is>
      </c>
      <c r="B371" s="1" t="n">
        <v>45801.34476851852</v>
      </c>
      <c r="C371" s="1" t="n">
        <v>46033</v>
      </c>
      <c r="D371" t="inlineStr">
        <is>
          <t>JÄMTLANDS LÄN</t>
        </is>
      </c>
      <c r="E371" t="inlineStr">
        <is>
          <t>BERG</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41997-2025</t>
        </is>
      </c>
      <c r="B372" s="1" t="n">
        <v>45903.55162037037</v>
      </c>
      <c r="C372" s="1" t="n">
        <v>46033</v>
      </c>
      <c r="D372" t="inlineStr">
        <is>
          <t>JÄMTLANDS LÄN</t>
        </is>
      </c>
      <c r="E372" t="inlineStr">
        <is>
          <t>BERG</t>
        </is>
      </c>
      <c r="F372" t="inlineStr">
        <is>
          <t>Övriga statliga verk och myndigheter</t>
        </is>
      </c>
      <c r="G372" t="n">
        <v>2.2</v>
      </c>
      <c r="H372" t="n">
        <v>0</v>
      </c>
      <c r="I372" t="n">
        <v>0</v>
      </c>
      <c r="J372" t="n">
        <v>0</v>
      </c>
      <c r="K372" t="n">
        <v>0</v>
      </c>
      <c r="L372" t="n">
        <v>0</v>
      </c>
      <c r="M372" t="n">
        <v>0</v>
      </c>
      <c r="N372" t="n">
        <v>0</v>
      </c>
      <c r="O372" t="n">
        <v>0</v>
      </c>
      <c r="P372" t="n">
        <v>0</v>
      </c>
      <c r="Q372" t="n">
        <v>0</v>
      </c>
      <c r="R372" s="2" t="inlineStr"/>
    </row>
    <row r="373" ht="15" customHeight="1">
      <c r="A373" t="inlineStr">
        <is>
          <t>A 26013-2025</t>
        </is>
      </c>
      <c r="B373" s="1" t="n">
        <v>45804.67760416667</v>
      </c>
      <c r="C373" s="1" t="n">
        <v>46033</v>
      </c>
      <c r="D373" t="inlineStr">
        <is>
          <t>JÄMTLANDS LÄN</t>
        </is>
      </c>
      <c r="E373" t="inlineStr">
        <is>
          <t>BERG</t>
        </is>
      </c>
      <c r="F373" t="inlineStr">
        <is>
          <t>SCA</t>
        </is>
      </c>
      <c r="G373" t="n">
        <v>11.7</v>
      </c>
      <c r="H373" t="n">
        <v>0</v>
      </c>
      <c r="I373" t="n">
        <v>0</v>
      </c>
      <c r="J373" t="n">
        <v>0</v>
      </c>
      <c r="K373" t="n">
        <v>0</v>
      </c>
      <c r="L373" t="n">
        <v>0</v>
      </c>
      <c r="M373" t="n">
        <v>0</v>
      </c>
      <c r="N373" t="n">
        <v>0</v>
      </c>
      <c r="O373" t="n">
        <v>0</v>
      </c>
      <c r="P373" t="n">
        <v>0</v>
      </c>
      <c r="Q373" t="n">
        <v>0</v>
      </c>
      <c r="R373" s="2" t="inlineStr"/>
    </row>
    <row r="374" ht="15" customHeight="1">
      <c r="A374" t="inlineStr">
        <is>
          <t>A 25976-2025</t>
        </is>
      </c>
      <c r="B374" s="1" t="n">
        <v>45804.63596064815</v>
      </c>
      <c r="C374" s="1" t="n">
        <v>46033</v>
      </c>
      <c r="D374" t="inlineStr">
        <is>
          <t>JÄMTLANDS LÄN</t>
        </is>
      </c>
      <c r="E374" t="inlineStr">
        <is>
          <t>BERG</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25979-2025</t>
        </is>
      </c>
      <c r="B375" s="1" t="n">
        <v>45804.63642361111</v>
      </c>
      <c r="C375" s="1" t="n">
        <v>46033</v>
      </c>
      <c r="D375" t="inlineStr">
        <is>
          <t>JÄMTLANDS LÄN</t>
        </is>
      </c>
      <c r="E375" t="inlineStr">
        <is>
          <t>BERG</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26053-2025</t>
        </is>
      </c>
      <c r="B376" s="1" t="n">
        <v>45804.75445601852</v>
      </c>
      <c r="C376" s="1" t="n">
        <v>46033</v>
      </c>
      <c r="D376" t="inlineStr">
        <is>
          <t>JÄMTLANDS LÄN</t>
        </is>
      </c>
      <c r="E376" t="inlineStr">
        <is>
          <t>BERG</t>
        </is>
      </c>
      <c r="G376" t="n">
        <v>6</v>
      </c>
      <c r="H376" t="n">
        <v>0</v>
      </c>
      <c r="I376" t="n">
        <v>0</v>
      </c>
      <c r="J376" t="n">
        <v>0</v>
      </c>
      <c r="K376" t="n">
        <v>0</v>
      </c>
      <c r="L376" t="n">
        <v>0</v>
      </c>
      <c r="M376" t="n">
        <v>0</v>
      </c>
      <c r="N376" t="n">
        <v>0</v>
      </c>
      <c r="O376" t="n">
        <v>0</v>
      </c>
      <c r="P376" t="n">
        <v>0</v>
      </c>
      <c r="Q376" t="n">
        <v>0</v>
      </c>
      <c r="R376" s="2" t="inlineStr"/>
    </row>
    <row r="377" ht="15" customHeight="1">
      <c r="A377" t="inlineStr">
        <is>
          <t>A 4527-2025</t>
        </is>
      </c>
      <c r="B377" s="1" t="n">
        <v>45686</v>
      </c>
      <c r="C377" s="1" t="n">
        <v>46033</v>
      </c>
      <c r="D377" t="inlineStr">
        <is>
          <t>JÄMTLANDS LÄN</t>
        </is>
      </c>
      <c r="E377" t="inlineStr">
        <is>
          <t>BERG</t>
        </is>
      </c>
      <c r="G377" t="n">
        <v>17.8</v>
      </c>
      <c r="H377" t="n">
        <v>0</v>
      </c>
      <c r="I377" t="n">
        <v>0</v>
      </c>
      <c r="J377" t="n">
        <v>0</v>
      </c>
      <c r="K377" t="n">
        <v>0</v>
      </c>
      <c r="L377" t="n">
        <v>0</v>
      </c>
      <c r="M377" t="n">
        <v>0</v>
      </c>
      <c r="N377" t="n">
        <v>0</v>
      </c>
      <c r="O377" t="n">
        <v>0</v>
      </c>
      <c r="P377" t="n">
        <v>0</v>
      </c>
      <c r="Q377" t="n">
        <v>0</v>
      </c>
      <c r="R377" s="2" t="inlineStr"/>
    </row>
    <row r="378" ht="15" customHeight="1">
      <c r="A378" t="inlineStr">
        <is>
          <t>A 17266-2025</t>
        </is>
      </c>
      <c r="B378" s="1" t="n">
        <v>45756</v>
      </c>
      <c r="C378" s="1" t="n">
        <v>46033</v>
      </c>
      <c r="D378" t="inlineStr">
        <is>
          <t>JÄMTLANDS LÄN</t>
        </is>
      </c>
      <c r="E378" t="inlineStr">
        <is>
          <t>BERG</t>
        </is>
      </c>
      <c r="G378" t="n">
        <v>20.1</v>
      </c>
      <c r="H378" t="n">
        <v>0</v>
      </c>
      <c r="I378" t="n">
        <v>0</v>
      </c>
      <c r="J378" t="n">
        <v>0</v>
      </c>
      <c r="K378" t="n">
        <v>0</v>
      </c>
      <c r="L378" t="n">
        <v>0</v>
      </c>
      <c r="M378" t="n">
        <v>0</v>
      </c>
      <c r="N378" t="n">
        <v>0</v>
      </c>
      <c r="O378" t="n">
        <v>0</v>
      </c>
      <c r="P378" t="n">
        <v>0</v>
      </c>
      <c r="Q378" t="n">
        <v>0</v>
      </c>
      <c r="R378" s="2" t="inlineStr"/>
    </row>
    <row r="379" ht="15" customHeight="1">
      <c r="A379" t="inlineStr">
        <is>
          <t>A 25951-2025</t>
        </is>
      </c>
      <c r="B379" s="1" t="n">
        <v>45804.5984375</v>
      </c>
      <c r="C379" s="1" t="n">
        <v>46033</v>
      </c>
      <c r="D379" t="inlineStr">
        <is>
          <t>JÄMTLANDS LÄN</t>
        </is>
      </c>
      <c r="E379" t="inlineStr">
        <is>
          <t>BERG</t>
        </is>
      </c>
      <c r="G379" t="n">
        <v>0.9</v>
      </c>
      <c r="H379" t="n">
        <v>0</v>
      </c>
      <c r="I379" t="n">
        <v>0</v>
      </c>
      <c r="J379" t="n">
        <v>0</v>
      </c>
      <c r="K379" t="n">
        <v>0</v>
      </c>
      <c r="L379" t="n">
        <v>0</v>
      </c>
      <c r="M379" t="n">
        <v>0</v>
      </c>
      <c r="N379" t="n">
        <v>0</v>
      </c>
      <c r="O379" t="n">
        <v>0</v>
      </c>
      <c r="P379" t="n">
        <v>0</v>
      </c>
      <c r="Q379" t="n">
        <v>0</v>
      </c>
      <c r="R379" s="2" t="inlineStr"/>
    </row>
    <row r="380" ht="15" customHeight="1">
      <c r="A380" t="inlineStr">
        <is>
          <t>A 25885-2025</t>
        </is>
      </c>
      <c r="B380" s="1" t="n">
        <v>45804.51075231482</v>
      </c>
      <c r="C380" s="1" t="n">
        <v>46033</v>
      </c>
      <c r="D380" t="inlineStr">
        <is>
          <t>JÄMTLANDS LÄN</t>
        </is>
      </c>
      <c r="E380" t="inlineStr">
        <is>
          <t>BERG</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25887-2025</t>
        </is>
      </c>
      <c r="B381" s="1" t="n">
        <v>45804.51104166666</v>
      </c>
      <c r="C381" s="1" t="n">
        <v>46033</v>
      </c>
      <c r="D381" t="inlineStr">
        <is>
          <t>JÄMTLANDS LÄN</t>
        </is>
      </c>
      <c r="E381" t="inlineStr">
        <is>
          <t>BERG</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25960-2025</t>
        </is>
      </c>
      <c r="B382" s="1" t="n">
        <v>45804.60972222222</v>
      </c>
      <c r="C382" s="1" t="n">
        <v>46033</v>
      </c>
      <c r="D382" t="inlineStr">
        <is>
          <t>JÄMTLANDS LÄN</t>
        </is>
      </c>
      <c r="E382" t="inlineStr">
        <is>
          <t>BERG</t>
        </is>
      </c>
      <c r="G382" t="n">
        <v>7.3</v>
      </c>
      <c r="H382" t="n">
        <v>0</v>
      </c>
      <c r="I382" t="n">
        <v>0</v>
      </c>
      <c r="J382" t="n">
        <v>0</v>
      </c>
      <c r="K382" t="n">
        <v>0</v>
      </c>
      <c r="L382" t="n">
        <v>0</v>
      </c>
      <c r="M382" t="n">
        <v>0</v>
      </c>
      <c r="N382" t="n">
        <v>0</v>
      </c>
      <c r="O382" t="n">
        <v>0</v>
      </c>
      <c r="P382" t="n">
        <v>0</v>
      </c>
      <c r="Q382" t="n">
        <v>0</v>
      </c>
      <c r="R382" s="2" t="inlineStr"/>
    </row>
    <row r="383" ht="15" customHeight="1">
      <c r="A383" t="inlineStr">
        <is>
          <t>A 64709-2021</t>
        </is>
      </c>
      <c r="B383" s="1" t="n">
        <v>44512</v>
      </c>
      <c r="C383" s="1" t="n">
        <v>46033</v>
      </c>
      <c r="D383" t="inlineStr">
        <is>
          <t>JÄMTLANDS LÄN</t>
        </is>
      </c>
      <c r="E383" t="inlineStr">
        <is>
          <t>BERG</t>
        </is>
      </c>
      <c r="G383" t="n">
        <v>1.1</v>
      </c>
      <c r="H383" t="n">
        <v>0</v>
      </c>
      <c r="I383" t="n">
        <v>0</v>
      </c>
      <c r="J383" t="n">
        <v>0</v>
      </c>
      <c r="K383" t="n">
        <v>0</v>
      </c>
      <c r="L383" t="n">
        <v>0</v>
      </c>
      <c r="M383" t="n">
        <v>0</v>
      </c>
      <c r="N383" t="n">
        <v>0</v>
      </c>
      <c r="O383" t="n">
        <v>0</v>
      </c>
      <c r="P383" t="n">
        <v>0</v>
      </c>
      <c r="Q383" t="n">
        <v>0</v>
      </c>
      <c r="R383" s="2" t="inlineStr"/>
    </row>
    <row r="384" ht="15" customHeight="1">
      <c r="A384" t="inlineStr">
        <is>
          <t>A 25938-2025</t>
        </is>
      </c>
      <c r="B384" s="1" t="n">
        <v>45804.59414351852</v>
      </c>
      <c r="C384" s="1" t="n">
        <v>46033</v>
      </c>
      <c r="D384" t="inlineStr">
        <is>
          <t>JÄMTLANDS LÄN</t>
        </is>
      </c>
      <c r="E384" t="inlineStr">
        <is>
          <t>BERG</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31024-2025</t>
        </is>
      </c>
      <c r="B385" s="1" t="n">
        <v>45832.52571759259</v>
      </c>
      <c r="C385" s="1" t="n">
        <v>46033</v>
      </c>
      <c r="D385" t="inlineStr">
        <is>
          <t>JÄMTLANDS LÄN</t>
        </is>
      </c>
      <c r="E385" t="inlineStr">
        <is>
          <t>BERG</t>
        </is>
      </c>
      <c r="G385" t="n">
        <v>3.6</v>
      </c>
      <c r="H385" t="n">
        <v>0</v>
      </c>
      <c r="I385" t="n">
        <v>0</v>
      </c>
      <c r="J385" t="n">
        <v>0</v>
      </c>
      <c r="K385" t="n">
        <v>0</v>
      </c>
      <c r="L385" t="n">
        <v>0</v>
      </c>
      <c r="M385" t="n">
        <v>0</v>
      </c>
      <c r="N385" t="n">
        <v>0</v>
      </c>
      <c r="O385" t="n">
        <v>0</v>
      </c>
      <c r="P385" t="n">
        <v>0</v>
      </c>
      <c r="Q385" t="n">
        <v>0</v>
      </c>
      <c r="R385" s="2" t="inlineStr"/>
    </row>
    <row r="386" ht="15" customHeight="1">
      <c r="A386" t="inlineStr">
        <is>
          <t>A 25886-2025</t>
        </is>
      </c>
      <c r="B386" s="1" t="n">
        <v>45804.51092592593</v>
      </c>
      <c r="C386" s="1" t="n">
        <v>46033</v>
      </c>
      <c r="D386" t="inlineStr">
        <is>
          <t>JÄMTLANDS LÄN</t>
        </is>
      </c>
      <c r="E386" t="inlineStr">
        <is>
          <t>BERG</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59526-2024</t>
        </is>
      </c>
      <c r="B387" s="1" t="n">
        <v>45638.58019675926</v>
      </c>
      <c r="C387" s="1" t="n">
        <v>46033</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46033</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26186-2025</t>
        </is>
      </c>
      <c r="B389" s="1" t="n">
        <v>45805.47840277778</v>
      </c>
      <c r="C389" s="1" t="n">
        <v>46033</v>
      </c>
      <c r="D389" t="inlineStr">
        <is>
          <t>JÄMTLANDS LÄN</t>
        </is>
      </c>
      <c r="E389" t="inlineStr">
        <is>
          <t>BERG</t>
        </is>
      </c>
      <c r="G389" t="n">
        <v>5.3</v>
      </c>
      <c r="H389" t="n">
        <v>0</v>
      </c>
      <c r="I389" t="n">
        <v>0</v>
      </c>
      <c r="J389" t="n">
        <v>0</v>
      </c>
      <c r="K389" t="n">
        <v>0</v>
      </c>
      <c r="L389" t="n">
        <v>0</v>
      </c>
      <c r="M389" t="n">
        <v>0</v>
      </c>
      <c r="N389" t="n">
        <v>0</v>
      </c>
      <c r="O389" t="n">
        <v>0</v>
      </c>
      <c r="P389" t="n">
        <v>0</v>
      </c>
      <c r="Q389" t="n">
        <v>0</v>
      </c>
      <c r="R389" s="2" t="inlineStr"/>
    </row>
    <row r="390" ht="15" customHeight="1">
      <c r="A390" t="inlineStr">
        <is>
          <t>A 26275-2025</t>
        </is>
      </c>
      <c r="B390" s="1" t="n">
        <v>45805.60230324074</v>
      </c>
      <c r="C390" s="1" t="n">
        <v>46033</v>
      </c>
      <c r="D390" t="inlineStr">
        <is>
          <t>JÄMTLANDS LÄN</t>
        </is>
      </c>
      <c r="E390" t="inlineStr">
        <is>
          <t>BERG</t>
        </is>
      </c>
      <c r="G390" t="n">
        <v>10.2</v>
      </c>
      <c r="H390" t="n">
        <v>0</v>
      </c>
      <c r="I390" t="n">
        <v>0</v>
      </c>
      <c r="J390" t="n">
        <v>0</v>
      </c>
      <c r="K390" t="n">
        <v>0</v>
      </c>
      <c r="L390" t="n">
        <v>0</v>
      </c>
      <c r="M390" t="n">
        <v>0</v>
      </c>
      <c r="N390" t="n">
        <v>0</v>
      </c>
      <c r="O390" t="n">
        <v>0</v>
      </c>
      <c r="P390" t="n">
        <v>0</v>
      </c>
      <c r="Q390" t="n">
        <v>0</v>
      </c>
      <c r="R390" s="2" t="inlineStr"/>
    </row>
    <row r="391" ht="15" customHeight="1">
      <c r="A391" t="inlineStr">
        <is>
          <t>A 25980-2025</t>
        </is>
      </c>
      <c r="B391" s="1" t="n">
        <v>45804.63658564815</v>
      </c>
      <c r="C391" s="1" t="n">
        <v>46033</v>
      </c>
      <c r="D391" t="inlineStr">
        <is>
          <t>JÄMTLANDS LÄN</t>
        </is>
      </c>
      <c r="E391" t="inlineStr">
        <is>
          <t>BERG</t>
        </is>
      </c>
      <c r="F391" t="inlineStr">
        <is>
          <t>SCA</t>
        </is>
      </c>
      <c r="G391" t="n">
        <v>8.9</v>
      </c>
      <c r="H391" t="n">
        <v>0</v>
      </c>
      <c r="I391" t="n">
        <v>0</v>
      </c>
      <c r="J391" t="n">
        <v>0</v>
      </c>
      <c r="K391" t="n">
        <v>0</v>
      </c>
      <c r="L391" t="n">
        <v>0</v>
      </c>
      <c r="M391" t="n">
        <v>0</v>
      </c>
      <c r="N391" t="n">
        <v>0</v>
      </c>
      <c r="O391" t="n">
        <v>0</v>
      </c>
      <c r="P391" t="n">
        <v>0</v>
      </c>
      <c r="Q391" t="n">
        <v>0</v>
      </c>
      <c r="R391" s="2" t="inlineStr"/>
    </row>
    <row r="392" ht="15" customHeight="1">
      <c r="A392" t="inlineStr">
        <is>
          <t>A 42415-2025</t>
        </is>
      </c>
      <c r="B392" s="1" t="n">
        <v>45905.39195601852</v>
      </c>
      <c r="C392" s="1" t="n">
        <v>46033</v>
      </c>
      <c r="D392" t="inlineStr">
        <is>
          <t>JÄMTLANDS LÄN</t>
        </is>
      </c>
      <c r="E392" t="inlineStr">
        <is>
          <t>BERG</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42378-2025</t>
        </is>
      </c>
      <c r="B393" s="1" t="n">
        <v>45905.34423611111</v>
      </c>
      <c r="C393" s="1" t="n">
        <v>46033</v>
      </c>
      <c r="D393" t="inlineStr">
        <is>
          <t>JÄMTLANDS LÄN</t>
        </is>
      </c>
      <c r="E393" t="inlineStr">
        <is>
          <t>BERG</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42439-2025</t>
        </is>
      </c>
      <c r="B394" s="1" t="n">
        <v>45905.42969907408</v>
      </c>
      <c r="C394" s="1" t="n">
        <v>46033</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26378-2025</t>
        </is>
      </c>
      <c r="B395" s="1" t="n">
        <v>45806.48989583334</v>
      </c>
      <c r="C395" s="1" t="n">
        <v>46033</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26374-2025</t>
        </is>
      </c>
      <c r="B396" s="1" t="n">
        <v>45806.42745370371</v>
      </c>
      <c r="C396" s="1" t="n">
        <v>46033</v>
      </c>
      <c r="D396" t="inlineStr">
        <is>
          <t>JÄMTLANDS LÄN</t>
        </is>
      </c>
      <c r="E396" t="inlineStr">
        <is>
          <t>BERG</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33962-2024</t>
        </is>
      </c>
      <c r="B397" s="1" t="n">
        <v>45523.48854166667</v>
      </c>
      <c r="C397" s="1" t="n">
        <v>46033</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26743-2025</t>
        </is>
      </c>
      <c r="B398" s="1" t="n">
        <v>45810.53163194445</v>
      </c>
      <c r="C398" s="1" t="n">
        <v>46033</v>
      </c>
      <c r="D398" t="inlineStr">
        <is>
          <t>JÄMTLANDS LÄN</t>
        </is>
      </c>
      <c r="E398" t="inlineStr">
        <is>
          <t>BERG</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27044-2025</t>
        </is>
      </c>
      <c r="B399" s="1" t="n">
        <v>45811.61496527777</v>
      </c>
      <c r="C399" s="1" t="n">
        <v>46033</v>
      </c>
      <c r="D399" t="inlineStr">
        <is>
          <t>JÄMTLANDS LÄN</t>
        </is>
      </c>
      <c r="E399" t="inlineStr">
        <is>
          <t>BERG</t>
        </is>
      </c>
      <c r="F399" t="inlineStr">
        <is>
          <t>SCA</t>
        </is>
      </c>
      <c r="G399" t="n">
        <v>26.1</v>
      </c>
      <c r="H399" t="n">
        <v>0</v>
      </c>
      <c r="I399" t="n">
        <v>0</v>
      </c>
      <c r="J399" t="n">
        <v>0</v>
      </c>
      <c r="K399" t="n">
        <v>0</v>
      </c>
      <c r="L399" t="n">
        <v>0</v>
      </c>
      <c r="M399" t="n">
        <v>0</v>
      </c>
      <c r="N399" t="n">
        <v>0</v>
      </c>
      <c r="O399" t="n">
        <v>0</v>
      </c>
      <c r="P399" t="n">
        <v>0</v>
      </c>
      <c r="Q399" t="n">
        <v>0</v>
      </c>
      <c r="R399" s="2" t="inlineStr"/>
    </row>
    <row r="400" ht="15" customHeight="1">
      <c r="A400" t="inlineStr">
        <is>
          <t>A 27063-2025</t>
        </is>
      </c>
      <c r="B400" s="1" t="n">
        <v>45811.63626157407</v>
      </c>
      <c r="C400" s="1" t="n">
        <v>46033</v>
      </c>
      <c r="D400" t="inlineStr">
        <is>
          <t>JÄMTLANDS LÄN</t>
        </is>
      </c>
      <c r="E400" t="inlineStr">
        <is>
          <t>BERG</t>
        </is>
      </c>
      <c r="F400" t="inlineStr">
        <is>
          <t>SCA</t>
        </is>
      </c>
      <c r="G400" t="n">
        <v>18.9</v>
      </c>
      <c r="H400" t="n">
        <v>0</v>
      </c>
      <c r="I400" t="n">
        <v>0</v>
      </c>
      <c r="J400" t="n">
        <v>0</v>
      </c>
      <c r="K400" t="n">
        <v>0</v>
      </c>
      <c r="L400" t="n">
        <v>0</v>
      </c>
      <c r="M400" t="n">
        <v>0</v>
      </c>
      <c r="N400" t="n">
        <v>0</v>
      </c>
      <c r="O400" t="n">
        <v>0</v>
      </c>
      <c r="P400" t="n">
        <v>0</v>
      </c>
      <c r="Q400" t="n">
        <v>0</v>
      </c>
      <c r="R400" s="2" t="inlineStr"/>
    </row>
    <row r="401" ht="15" customHeight="1">
      <c r="A401" t="inlineStr">
        <is>
          <t>A 42862-2025</t>
        </is>
      </c>
      <c r="B401" s="1" t="n">
        <v>45908.61515046296</v>
      </c>
      <c r="C401" s="1" t="n">
        <v>46033</v>
      </c>
      <c r="D401" t="inlineStr">
        <is>
          <t>JÄMTLANDS LÄN</t>
        </is>
      </c>
      <c r="E401" t="inlineStr">
        <is>
          <t>BERG</t>
        </is>
      </c>
      <c r="G401" t="n">
        <v>1.8</v>
      </c>
      <c r="H401" t="n">
        <v>0</v>
      </c>
      <c r="I401" t="n">
        <v>0</v>
      </c>
      <c r="J401" t="n">
        <v>0</v>
      </c>
      <c r="K401" t="n">
        <v>0</v>
      </c>
      <c r="L401" t="n">
        <v>0</v>
      </c>
      <c r="M401" t="n">
        <v>0</v>
      </c>
      <c r="N401" t="n">
        <v>0</v>
      </c>
      <c r="O401" t="n">
        <v>0</v>
      </c>
      <c r="P401" t="n">
        <v>0</v>
      </c>
      <c r="Q401" t="n">
        <v>0</v>
      </c>
      <c r="R401" s="2" t="inlineStr"/>
    </row>
    <row r="402" ht="15" customHeight="1">
      <c r="A402" t="inlineStr">
        <is>
          <t>A 43015-2025</t>
        </is>
      </c>
      <c r="B402" s="1" t="n">
        <v>45909.49278935185</v>
      </c>
      <c r="C402" s="1" t="n">
        <v>46033</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27317-2025</t>
        </is>
      </c>
      <c r="B403" s="1" t="n">
        <v>45812.59011574074</v>
      </c>
      <c r="C403" s="1" t="n">
        <v>46033</v>
      </c>
      <c r="D403" t="inlineStr">
        <is>
          <t>JÄMTLANDS LÄN</t>
        </is>
      </c>
      <c r="E403" t="inlineStr">
        <is>
          <t>BERG</t>
        </is>
      </c>
      <c r="G403" t="n">
        <v>6.2</v>
      </c>
      <c r="H403" t="n">
        <v>0</v>
      </c>
      <c r="I403" t="n">
        <v>0</v>
      </c>
      <c r="J403" t="n">
        <v>0</v>
      </c>
      <c r="K403" t="n">
        <v>0</v>
      </c>
      <c r="L403" t="n">
        <v>0</v>
      </c>
      <c r="M403" t="n">
        <v>0</v>
      </c>
      <c r="N403" t="n">
        <v>0</v>
      </c>
      <c r="O403" t="n">
        <v>0</v>
      </c>
      <c r="P403" t="n">
        <v>0</v>
      </c>
      <c r="Q403" t="n">
        <v>0</v>
      </c>
      <c r="R403" s="2" t="inlineStr"/>
    </row>
    <row r="404" ht="15" customHeight="1">
      <c r="A404" t="inlineStr">
        <is>
          <t>A 43442-2025</t>
        </is>
      </c>
      <c r="B404" s="1" t="n">
        <v>45911.44244212963</v>
      </c>
      <c r="C404" s="1" t="n">
        <v>46033</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27459-2025</t>
        </is>
      </c>
      <c r="B405" s="1" t="n">
        <v>45813.34561342592</v>
      </c>
      <c r="C405" s="1" t="n">
        <v>46033</v>
      </c>
      <c r="D405" t="inlineStr">
        <is>
          <t>JÄMTLANDS LÄN</t>
        </is>
      </c>
      <c r="E405" t="inlineStr">
        <is>
          <t>BERG</t>
        </is>
      </c>
      <c r="F405" t="inlineStr">
        <is>
          <t>SCA</t>
        </is>
      </c>
      <c r="G405" t="n">
        <v>19.2</v>
      </c>
      <c r="H405" t="n">
        <v>0</v>
      </c>
      <c r="I405" t="n">
        <v>0</v>
      </c>
      <c r="J405" t="n">
        <v>0</v>
      </c>
      <c r="K405" t="n">
        <v>0</v>
      </c>
      <c r="L405" t="n">
        <v>0</v>
      </c>
      <c r="M405" t="n">
        <v>0</v>
      </c>
      <c r="N405" t="n">
        <v>0</v>
      </c>
      <c r="O405" t="n">
        <v>0</v>
      </c>
      <c r="P405" t="n">
        <v>0</v>
      </c>
      <c r="Q405" t="n">
        <v>0</v>
      </c>
      <c r="R405" s="2" t="inlineStr"/>
    </row>
    <row r="406" ht="15" customHeight="1">
      <c r="A406" t="inlineStr">
        <is>
          <t>A 43443-2025</t>
        </is>
      </c>
      <c r="B406" s="1" t="n">
        <v>45911.44350694444</v>
      </c>
      <c r="C406" s="1" t="n">
        <v>46033</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27575-2025</t>
        </is>
      </c>
      <c r="B407" s="1" t="n">
        <v>45813.49083333334</v>
      </c>
      <c r="C407" s="1" t="n">
        <v>46033</v>
      </c>
      <c r="D407" t="inlineStr">
        <is>
          <t>JÄMTLANDS LÄN</t>
        </is>
      </c>
      <c r="E407" t="inlineStr">
        <is>
          <t>BERG</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41264-2025</t>
        </is>
      </c>
      <c r="B408" s="1" t="n">
        <v>45898</v>
      </c>
      <c r="C408" s="1" t="n">
        <v>46033</v>
      </c>
      <c r="D408" t="inlineStr">
        <is>
          <t>JÄMTLANDS LÄN</t>
        </is>
      </c>
      <c r="E408" t="inlineStr">
        <is>
          <t>BERG</t>
        </is>
      </c>
      <c r="G408" t="n">
        <v>17.4</v>
      </c>
      <c r="H408" t="n">
        <v>0</v>
      </c>
      <c r="I408" t="n">
        <v>0</v>
      </c>
      <c r="J408" t="n">
        <v>0</v>
      </c>
      <c r="K408" t="n">
        <v>0</v>
      </c>
      <c r="L408" t="n">
        <v>0</v>
      </c>
      <c r="M408" t="n">
        <v>0</v>
      </c>
      <c r="N408" t="n">
        <v>0</v>
      </c>
      <c r="O408" t="n">
        <v>0</v>
      </c>
      <c r="P408" t="n">
        <v>0</v>
      </c>
      <c r="Q408" t="n">
        <v>0</v>
      </c>
      <c r="R408" s="2" t="inlineStr"/>
    </row>
    <row r="409" ht="15" customHeight="1">
      <c r="A409" t="inlineStr">
        <is>
          <t>A 43567-2025</t>
        </is>
      </c>
      <c r="B409" s="1" t="n">
        <v>45911.6327662037</v>
      </c>
      <c r="C409" s="1" t="n">
        <v>46033</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43441-2025</t>
        </is>
      </c>
      <c r="B410" s="1" t="n">
        <v>45911.44184027778</v>
      </c>
      <c r="C410" s="1" t="n">
        <v>46033</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43456-2025</t>
        </is>
      </c>
      <c r="B411" s="1" t="n">
        <v>45911.46148148148</v>
      </c>
      <c r="C411" s="1" t="n">
        <v>46033</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43560-2025</t>
        </is>
      </c>
      <c r="B412" s="1" t="n">
        <v>45911.62758101852</v>
      </c>
      <c r="C412" s="1" t="n">
        <v>46033</v>
      </c>
      <c r="D412" t="inlineStr">
        <is>
          <t>JÄMTLANDS LÄN</t>
        </is>
      </c>
      <c r="E412" t="inlineStr">
        <is>
          <t>BERG</t>
        </is>
      </c>
      <c r="G412" t="n">
        <v>10</v>
      </c>
      <c r="H412" t="n">
        <v>0</v>
      </c>
      <c r="I412" t="n">
        <v>0</v>
      </c>
      <c r="J412" t="n">
        <v>0</v>
      </c>
      <c r="K412" t="n">
        <v>0</v>
      </c>
      <c r="L412" t="n">
        <v>0</v>
      </c>
      <c r="M412" t="n">
        <v>0</v>
      </c>
      <c r="N412" t="n">
        <v>0</v>
      </c>
      <c r="O412" t="n">
        <v>0</v>
      </c>
      <c r="P412" t="n">
        <v>0</v>
      </c>
      <c r="Q412" t="n">
        <v>0</v>
      </c>
      <c r="R412" s="2" t="inlineStr"/>
    </row>
    <row r="413" ht="15" customHeight="1">
      <c r="A413" t="inlineStr">
        <is>
          <t>A 41098-2023</t>
        </is>
      </c>
      <c r="B413" s="1" t="n">
        <v>45170</v>
      </c>
      <c r="C413" s="1" t="n">
        <v>46033</v>
      </c>
      <c r="D413" t="inlineStr">
        <is>
          <t>JÄMTLANDS LÄN</t>
        </is>
      </c>
      <c r="E413" t="inlineStr">
        <is>
          <t>BERG</t>
        </is>
      </c>
      <c r="G413" t="n">
        <v>3.1</v>
      </c>
      <c r="H413" t="n">
        <v>0</v>
      </c>
      <c r="I413" t="n">
        <v>0</v>
      </c>
      <c r="J413" t="n">
        <v>0</v>
      </c>
      <c r="K413" t="n">
        <v>0</v>
      </c>
      <c r="L413" t="n">
        <v>0</v>
      </c>
      <c r="M413" t="n">
        <v>0</v>
      </c>
      <c r="N413" t="n">
        <v>0</v>
      </c>
      <c r="O413" t="n">
        <v>0</v>
      </c>
      <c r="P413" t="n">
        <v>0</v>
      </c>
      <c r="Q413" t="n">
        <v>0</v>
      </c>
      <c r="R413" s="2" t="inlineStr"/>
    </row>
    <row r="414" ht="15" customHeight="1">
      <c r="A414" t="inlineStr">
        <is>
          <t>A 43364-2025</t>
        </is>
      </c>
      <c r="B414" s="1" t="n">
        <v>45911.34483796296</v>
      </c>
      <c r="C414" s="1" t="n">
        <v>46033</v>
      </c>
      <c r="D414" t="inlineStr">
        <is>
          <t>JÄMTLANDS LÄN</t>
        </is>
      </c>
      <c r="E414" t="inlineStr">
        <is>
          <t>BERG</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60463-2025</t>
        </is>
      </c>
      <c r="B415" s="1" t="n">
        <v>45995.55276620371</v>
      </c>
      <c r="C415" s="1" t="n">
        <v>46033</v>
      </c>
      <c r="D415" t="inlineStr">
        <is>
          <t>JÄMTLANDS LÄN</t>
        </is>
      </c>
      <c r="E415" t="inlineStr">
        <is>
          <t>BERG</t>
        </is>
      </c>
      <c r="G415" t="n">
        <v>4.3</v>
      </c>
      <c r="H415" t="n">
        <v>0</v>
      </c>
      <c r="I415" t="n">
        <v>0</v>
      </c>
      <c r="J415" t="n">
        <v>0</v>
      </c>
      <c r="K415" t="n">
        <v>0</v>
      </c>
      <c r="L415" t="n">
        <v>0</v>
      </c>
      <c r="M415" t="n">
        <v>0</v>
      </c>
      <c r="N415" t="n">
        <v>0</v>
      </c>
      <c r="O415" t="n">
        <v>0</v>
      </c>
      <c r="P415" t="n">
        <v>0</v>
      </c>
      <c r="Q415" t="n">
        <v>0</v>
      </c>
      <c r="R415" s="2" t="inlineStr"/>
    </row>
    <row r="416" ht="15" customHeight="1">
      <c r="A416" t="inlineStr">
        <is>
          <t>A 433-2023</t>
        </is>
      </c>
      <c r="B416" s="1" t="n">
        <v>44923</v>
      </c>
      <c r="C416" s="1" t="n">
        <v>46033</v>
      </c>
      <c r="D416" t="inlineStr">
        <is>
          <t>JÄMTLANDS LÄN</t>
        </is>
      </c>
      <c r="E416" t="inlineStr">
        <is>
          <t>BERG</t>
        </is>
      </c>
      <c r="G416" t="n">
        <v>1.5</v>
      </c>
      <c r="H416" t="n">
        <v>0</v>
      </c>
      <c r="I416" t="n">
        <v>0</v>
      </c>
      <c r="J416" t="n">
        <v>0</v>
      </c>
      <c r="K416" t="n">
        <v>0</v>
      </c>
      <c r="L416" t="n">
        <v>0</v>
      </c>
      <c r="M416" t="n">
        <v>0</v>
      </c>
      <c r="N416" t="n">
        <v>0</v>
      </c>
      <c r="O416" t="n">
        <v>0</v>
      </c>
      <c r="P416" t="n">
        <v>0</v>
      </c>
      <c r="Q416" t="n">
        <v>0</v>
      </c>
      <c r="R416" s="2" t="inlineStr"/>
    </row>
    <row r="417" ht="15" customHeight="1">
      <c r="A417" t="inlineStr">
        <is>
          <t>A 32147-2024</t>
        </is>
      </c>
      <c r="B417" s="1" t="n">
        <v>45511.55600694445</v>
      </c>
      <c r="C417" s="1" t="n">
        <v>46033</v>
      </c>
      <c r="D417" t="inlineStr">
        <is>
          <t>JÄMTLANDS LÄN</t>
        </is>
      </c>
      <c r="E417" t="inlineStr">
        <is>
          <t>BERG</t>
        </is>
      </c>
      <c r="G417" t="n">
        <v>2.3</v>
      </c>
      <c r="H417" t="n">
        <v>0</v>
      </c>
      <c r="I417" t="n">
        <v>0</v>
      </c>
      <c r="J417" t="n">
        <v>0</v>
      </c>
      <c r="K417" t="n">
        <v>0</v>
      </c>
      <c r="L417" t="n">
        <v>0</v>
      </c>
      <c r="M417" t="n">
        <v>0</v>
      </c>
      <c r="N417" t="n">
        <v>0</v>
      </c>
      <c r="O417" t="n">
        <v>0</v>
      </c>
      <c r="P417" t="n">
        <v>0</v>
      </c>
      <c r="Q417" t="n">
        <v>0</v>
      </c>
      <c r="R417" s="2" t="inlineStr"/>
    </row>
    <row r="418" ht="15" customHeight="1">
      <c r="A418" t="inlineStr">
        <is>
          <t>A 46872-2023</t>
        </is>
      </c>
      <c r="B418" s="1" t="n">
        <v>45200</v>
      </c>
      <c r="C418" s="1" t="n">
        <v>46033</v>
      </c>
      <c r="D418" t="inlineStr">
        <is>
          <t>JÄMTLANDS LÄN</t>
        </is>
      </c>
      <c r="E418" t="inlineStr">
        <is>
          <t>BERG</t>
        </is>
      </c>
      <c r="F418" t="inlineStr">
        <is>
          <t>Naturvårdsverket</t>
        </is>
      </c>
      <c r="G418" t="n">
        <v>1.2</v>
      </c>
      <c r="H418" t="n">
        <v>0</v>
      </c>
      <c r="I418" t="n">
        <v>0</v>
      </c>
      <c r="J418" t="n">
        <v>0</v>
      </c>
      <c r="K418" t="n">
        <v>0</v>
      </c>
      <c r="L418" t="n">
        <v>0</v>
      </c>
      <c r="M418" t="n">
        <v>0</v>
      </c>
      <c r="N418" t="n">
        <v>0</v>
      </c>
      <c r="O418" t="n">
        <v>0</v>
      </c>
      <c r="P418" t="n">
        <v>0</v>
      </c>
      <c r="Q418" t="n">
        <v>0</v>
      </c>
      <c r="R418" s="2" t="inlineStr"/>
      <c r="U418">
        <f>HYPERLINK("https://klasma.github.io/Logging_2326/knärot/A 46872-2023 karta knärot.png", "A 46872-2023")</f>
        <v/>
      </c>
      <c r="V418">
        <f>HYPERLINK("https://klasma.github.io/Logging_2326/klagomål/A 46872-2023 FSC-klagomål.docx", "A 46872-2023")</f>
        <v/>
      </c>
      <c r="W418">
        <f>HYPERLINK("https://klasma.github.io/Logging_2326/klagomålsmail/A 46872-2023 FSC-klagomål mail.docx", "A 46872-2023")</f>
        <v/>
      </c>
      <c r="X418">
        <f>HYPERLINK("https://klasma.github.io/Logging_2326/tillsyn/A 46872-2023 tillsynsbegäran.docx", "A 46872-2023")</f>
        <v/>
      </c>
      <c r="Y418">
        <f>HYPERLINK("https://klasma.github.io/Logging_2326/tillsynsmail/A 46872-2023 tillsynsbegäran mail.docx", "A 46872-2023")</f>
        <v/>
      </c>
    </row>
    <row r="419" ht="15" customHeight="1">
      <c r="A419" t="inlineStr">
        <is>
          <t>A 27603-2025</t>
        </is>
      </c>
      <c r="B419" s="1" t="n">
        <v>45813.53174768519</v>
      </c>
      <c r="C419" s="1" t="n">
        <v>46033</v>
      </c>
      <c r="D419" t="inlineStr">
        <is>
          <t>JÄMTLANDS LÄN</t>
        </is>
      </c>
      <c r="E419" t="inlineStr">
        <is>
          <t>BERG</t>
        </is>
      </c>
      <c r="F419" t="inlineStr">
        <is>
          <t>SCA</t>
        </is>
      </c>
      <c r="G419" t="n">
        <v>11.3</v>
      </c>
      <c r="H419" t="n">
        <v>0</v>
      </c>
      <c r="I419" t="n">
        <v>0</v>
      </c>
      <c r="J419" t="n">
        <v>0</v>
      </c>
      <c r="K419" t="n">
        <v>0</v>
      </c>
      <c r="L419" t="n">
        <v>0</v>
      </c>
      <c r="M419" t="n">
        <v>0</v>
      </c>
      <c r="N419" t="n">
        <v>0</v>
      </c>
      <c r="O419" t="n">
        <v>0</v>
      </c>
      <c r="P419" t="n">
        <v>0</v>
      </c>
      <c r="Q419" t="n">
        <v>0</v>
      </c>
      <c r="R419" s="2" t="inlineStr"/>
    </row>
    <row r="420" ht="15" customHeight="1">
      <c r="A420" t="inlineStr">
        <is>
          <t>A 27569-2025</t>
        </is>
      </c>
      <c r="B420" s="1" t="n">
        <v>45813.49018518518</v>
      </c>
      <c r="C420" s="1" t="n">
        <v>46033</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27312-2025</t>
        </is>
      </c>
      <c r="B421" s="1" t="n">
        <v>45812.58002314815</v>
      </c>
      <c r="C421" s="1" t="n">
        <v>46033</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44043-2025</t>
        </is>
      </c>
      <c r="B422" s="1" t="n">
        <v>45915.49266203704</v>
      </c>
      <c r="C422" s="1" t="n">
        <v>46033</v>
      </c>
      <c r="D422" t="inlineStr">
        <is>
          <t>JÄMTLANDS LÄN</t>
        </is>
      </c>
      <c r="E422" t="inlineStr">
        <is>
          <t>BERG</t>
        </is>
      </c>
      <c r="G422" t="n">
        <v>3.4</v>
      </c>
      <c r="H422" t="n">
        <v>0</v>
      </c>
      <c r="I422" t="n">
        <v>0</v>
      </c>
      <c r="J422" t="n">
        <v>0</v>
      </c>
      <c r="K422" t="n">
        <v>0</v>
      </c>
      <c r="L422" t="n">
        <v>0</v>
      </c>
      <c r="M422" t="n">
        <v>0</v>
      </c>
      <c r="N422" t="n">
        <v>0</v>
      </c>
      <c r="O422" t="n">
        <v>0</v>
      </c>
      <c r="P422" t="n">
        <v>0</v>
      </c>
      <c r="Q422" t="n">
        <v>0</v>
      </c>
      <c r="R422" s="2" t="inlineStr"/>
    </row>
    <row r="423" ht="15" customHeight="1">
      <c r="A423" t="inlineStr">
        <is>
          <t>A 43982-2025</t>
        </is>
      </c>
      <c r="B423" s="1" t="n">
        <v>45915.42771990741</v>
      </c>
      <c r="C423" s="1" t="n">
        <v>46033</v>
      </c>
      <c r="D423" t="inlineStr">
        <is>
          <t>JÄMTLANDS LÄN</t>
        </is>
      </c>
      <c r="E423" t="inlineStr">
        <is>
          <t>BERG</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60077-2025</t>
        </is>
      </c>
      <c r="B424" s="1" t="n">
        <v>45993.67987268518</v>
      </c>
      <c r="C424" s="1" t="n">
        <v>46033</v>
      </c>
      <c r="D424" t="inlineStr">
        <is>
          <t>JÄMTLANDS LÄN</t>
        </is>
      </c>
      <c r="E424" t="inlineStr">
        <is>
          <t>BERG</t>
        </is>
      </c>
      <c r="G424" t="n">
        <v>0.7</v>
      </c>
      <c r="H424" t="n">
        <v>0</v>
      </c>
      <c r="I424" t="n">
        <v>0</v>
      </c>
      <c r="J424" t="n">
        <v>0</v>
      </c>
      <c r="K424" t="n">
        <v>0</v>
      </c>
      <c r="L424" t="n">
        <v>0</v>
      </c>
      <c r="M424" t="n">
        <v>0</v>
      </c>
      <c r="N424" t="n">
        <v>0</v>
      </c>
      <c r="O424" t="n">
        <v>0</v>
      </c>
      <c r="P424" t="n">
        <v>0</v>
      </c>
      <c r="Q424" t="n">
        <v>0</v>
      </c>
      <c r="R424" s="2" t="inlineStr"/>
    </row>
    <row r="425" ht="15" customHeight="1">
      <c r="A425" t="inlineStr">
        <is>
          <t>A 44051-2025</t>
        </is>
      </c>
      <c r="B425" s="1" t="n">
        <v>45915.51079861111</v>
      </c>
      <c r="C425" s="1" t="n">
        <v>46033</v>
      </c>
      <c r="D425" t="inlineStr">
        <is>
          <t>JÄMTLANDS LÄN</t>
        </is>
      </c>
      <c r="E425" t="inlineStr">
        <is>
          <t>BERG</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27737-2025</t>
        </is>
      </c>
      <c r="B426" s="1" t="n">
        <v>45815.34414351852</v>
      </c>
      <c r="C426" s="1" t="n">
        <v>46033</v>
      </c>
      <c r="D426" t="inlineStr">
        <is>
          <t>JÄMTLANDS LÄN</t>
        </is>
      </c>
      <c r="E426" t="inlineStr">
        <is>
          <t>BERG</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44302-2025</t>
        </is>
      </c>
      <c r="B427" s="1" t="n">
        <v>45915</v>
      </c>
      <c r="C427" s="1" t="n">
        <v>46033</v>
      </c>
      <c r="D427" t="inlineStr">
        <is>
          <t>JÄMTLANDS LÄN</t>
        </is>
      </c>
      <c r="E427" t="inlineStr">
        <is>
          <t>BERG</t>
        </is>
      </c>
      <c r="G427" t="n">
        <v>1.6</v>
      </c>
      <c r="H427" t="n">
        <v>0</v>
      </c>
      <c r="I427" t="n">
        <v>0</v>
      </c>
      <c r="J427" t="n">
        <v>0</v>
      </c>
      <c r="K427" t="n">
        <v>0</v>
      </c>
      <c r="L427" t="n">
        <v>0</v>
      </c>
      <c r="M427" t="n">
        <v>0</v>
      </c>
      <c r="N427" t="n">
        <v>0</v>
      </c>
      <c r="O427" t="n">
        <v>0</v>
      </c>
      <c r="P427" t="n">
        <v>0</v>
      </c>
      <c r="Q427" t="n">
        <v>0</v>
      </c>
      <c r="R427" s="2" t="inlineStr"/>
    </row>
    <row r="428" ht="15" customHeight="1">
      <c r="A428" t="inlineStr">
        <is>
          <t>A 28079-2025</t>
        </is>
      </c>
      <c r="B428" s="1" t="n">
        <v>45817.69681712963</v>
      </c>
      <c r="C428" s="1" t="n">
        <v>46033</v>
      </c>
      <c r="D428" t="inlineStr">
        <is>
          <t>JÄMTLANDS LÄN</t>
        </is>
      </c>
      <c r="E428" t="inlineStr">
        <is>
          <t>BERG</t>
        </is>
      </c>
      <c r="G428" t="n">
        <v>3.7</v>
      </c>
      <c r="H428" t="n">
        <v>0</v>
      </c>
      <c r="I428" t="n">
        <v>0</v>
      </c>
      <c r="J428" t="n">
        <v>0</v>
      </c>
      <c r="K428" t="n">
        <v>0</v>
      </c>
      <c r="L428" t="n">
        <v>0</v>
      </c>
      <c r="M428" t="n">
        <v>0</v>
      </c>
      <c r="N428" t="n">
        <v>0</v>
      </c>
      <c r="O428" t="n">
        <v>0</v>
      </c>
      <c r="P428" t="n">
        <v>0</v>
      </c>
      <c r="Q428" t="n">
        <v>0</v>
      </c>
      <c r="R428" s="2" t="inlineStr"/>
    </row>
    <row r="429" ht="15" customHeight="1">
      <c r="A429" t="inlineStr">
        <is>
          <t>A 28077-2025</t>
        </is>
      </c>
      <c r="B429" s="1" t="n">
        <v>45817.68596064814</v>
      </c>
      <c r="C429" s="1" t="n">
        <v>46033</v>
      </c>
      <c r="D429" t="inlineStr">
        <is>
          <t>JÄMTLANDS LÄN</t>
        </is>
      </c>
      <c r="E429" t="inlineStr">
        <is>
          <t>BERG</t>
        </is>
      </c>
      <c r="G429" t="n">
        <v>6</v>
      </c>
      <c r="H429" t="n">
        <v>0</v>
      </c>
      <c r="I429" t="n">
        <v>0</v>
      </c>
      <c r="J429" t="n">
        <v>0</v>
      </c>
      <c r="K429" t="n">
        <v>0</v>
      </c>
      <c r="L429" t="n">
        <v>0</v>
      </c>
      <c r="M429" t="n">
        <v>0</v>
      </c>
      <c r="N429" t="n">
        <v>0</v>
      </c>
      <c r="O429" t="n">
        <v>0</v>
      </c>
      <c r="P429" t="n">
        <v>0</v>
      </c>
      <c r="Q429" t="n">
        <v>0</v>
      </c>
      <c r="R429" s="2" t="inlineStr"/>
    </row>
    <row r="430" ht="15" customHeight="1">
      <c r="A430" t="inlineStr">
        <is>
          <t>A 52341-2025</t>
        </is>
      </c>
      <c r="B430" s="1" t="n">
        <v>45953.71564814815</v>
      </c>
      <c r="C430" s="1" t="n">
        <v>46033</v>
      </c>
      <c r="D430" t="inlineStr">
        <is>
          <t>JÄMTLANDS LÄN</t>
        </is>
      </c>
      <c r="E430" t="inlineStr">
        <is>
          <t>BERG</t>
        </is>
      </c>
      <c r="G430" t="n">
        <v>12.2</v>
      </c>
      <c r="H430" t="n">
        <v>0</v>
      </c>
      <c r="I430" t="n">
        <v>0</v>
      </c>
      <c r="J430" t="n">
        <v>0</v>
      </c>
      <c r="K430" t="n">
        <v>0</v>
      </c>
      <c r="L430" t="n">
        <v>0</v>
      </c>
      <c r="M430" t="n">
        <v>0</v>
      </c>
      <c r="N430" t="n">
        <v>0</v>
      </c>
      <c r="O430" t="n">
        <v>0</v>
      </c>
      <c r="P430" t="n">
        <v>0</v>
      </c>
      <c r="Q430" t="n">
        <v>0</v>
      </c>
      <c r="R430" s="2" t="inlineStr"/>
    </row>
    <row r="431" ht="15" customHeight="1">
      <c r="A431" t="inlineStr">
        <is>
          <t>A 44031-2025</t>
        </is>
      </c>
      <c r="B431" s="1" t="n">
        <v>45915.49019675926</v>
      </c>
      <c r="C431" s="1" t="n">
        <v>46033</v>
      </c>
      <c r="D431" t="inlineStr">
        <is>
          <t>JÄMTLANDS LÄN</t>
        </is>
      </c>
      <c r="E431" t="inlineStr">
        <is>
          <t>BERG</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43968-2025</t>
        </is>
      </c>
      <c r="B432" s="1" t="n">
        <v>45915</v>
      </c>
      <c r="C432" s="1" t="n">
        <v>46033</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27716-2025</t>
        </is>
      </c>
      <c r="B433" s="1" t="n">
        <v>45813.961875</v>
      </c>
      <c r="C433" s="1" t="n">
        <v>46033</v>
      </c>
      <c r="D433" t="inlineStr">
        <is>
          <t>JÄMTLANDS LÄN</t>
        </is>
      </c>
      <c r="E433" t="inlineStr">
        <is>
          <t>BERG</t>
        </is>
      </c>
      <c r="G433" t="n">
        <v>6.7</v>
      </c>
      <c r="H433" t="n">
        <v>0</v>
      </c>
      <c r="I433" t="n">
        <v>0</v>
      </c>
      <c r="J433" t="n">
        <v>0</v>
      </c>
      <c r="K433" t="n">
        <v>0</v>
      </c>
      <c r="L433" t="n">
        <v>0</v>
      </c>
      <c r="M433" t="n">
        <v>0</v>
      </c>
      <c r="N433" t="n">
        <v>0</v>
      </c>
      <c r="O433" t="n">
        <v>0</v>
      </c>
      <c r="P433" t="n">
        <v>0</v>
      </c>
      <c r="Q433" t="n">
        <v>0</v>
      </c>
      <c r="R433" s="2" t="inlineStr"/>
    </row>
    <row r="434" ht="15" customHeight="1">
      <c r="A434" t="inlineStr">
        <is>
          <t>A 27750-2025</t>
        </is>
      </c>
      <c r="B434" s="1" t="n">
        <v>45815.68543981481</v>
      </c>
      <c r="C434" s="1" t="n">
        <v>46033</v>
      </c>
      <c r="D434" t="inlineStr">
        <is>
          <t>JÄMTLANDS LÄN</t>
        </is>
      </c>
      <c r="E434" t="inlineStr">
        <is>
          <t>BERG</t>
        </is>
      </c>
      <c r="G434" t="n">
        <v>2.4</v>
      </c>
      <c r="H434" t="n">
        <v>0</v>
      </c>
      <c r="I434" t="n">
        <v>0</v>
      </c>
      <c r="J434" t="n">
        <v>0</v>
      </c>
      <c r="K434" t="n">
        <v>0</v>
      </c>
      <c r="L434" t="n">
        <v>0</v>
      </c>
      <c r="M434" t="n">
        <v>0</v>
      </c>
      <c r="N434" t="n">
        <v>0</v>
      </c>
      <c r="O434" t="n">
        <v>0</v>
      </c>
      <c r="P434" t="n">
        <v>0</v>
      </c>
      <c r="Q434" t="n">
        <v>0</v>
      </c>
      <c r="R434" s="2" t="inlineStr"/>
    </row>
    <row r="435" ht="15" customHeight="1">
      <c r="A435" t="inlineStr">
        <is>
          <t>A 52128-2025</t>
        </is>
      </c>
      <c r="B435" s="1" t="n">
        <v>45952.72754629629</v>
      </c>
      <c r="C435" s="1" t="n">
        <v>46033</v>
      </c>
      <c r="D435" t="inlineStr">
        <is>
          <t>JÄMTLANDS LÄN</t>
        </is>
      </c>
      <c r="E435" t="inlineStr">
        <is>
          <t>BERG</t>
        </is>
      </c>
      <c r="G435" t="n">
        <v>2.1</v>
      </c>
      <c r="H435" t="n">
        <v>0</v>
      </c>
      <c r="I435" t="n">
        <v>0</v>
      </c>
      <c r="J435" t="n">
        <v>0</v>
      </c>
      <c r="K435" t="n">
        <v>0</v>
      </c>
      <c r="L435" t="n">
        <v>0</v>
      </c>
      <c r="M435" t="n">
        <v>0</v>
      </c>
      <c r="N435" t="n">
        <v>0</v>
      </c>
      <c r="O435" t="n">
        <v>0</v>
      </c>
      <c r="P435" t="n">
        <v>0</v>
      </c>
      <c r="Q435" t="n">
        <v>0</v>
      </c>
      <c r="R435" s="2" t="inlineStr"/>
    </row>
    <row r="436" ht="15" customHeight="1">
      <c r="A436" t="inlineStr">
        <is>
          <t>A 52256-2025</t>
        </is>
      </c>
      <c r="B436" s="1" t="n">
        <v>45953.50086805555</v>
      </c>
      <c r="C436" s="1" t="n">
        <v>46033</v>
      </c>
      <c r="D436" t="inlineStr">
        <is>
          <t>JÄMTLANDS LÄN</t>
        </is>
      </c>
      <c r="E436" t="inlineStr">
        <is>
          <t>BERG</t>
        </is>
      </c>
      <c r="G436" t="n">
        <v>3.9</v>
      </c>
      <c r="H436" t="n">
        <v>0</v>
      </c>
      <c r="I436" t="n">
        <v>0</v>
      </c>
      <c r="J436" t="n">
        <v>0</v>
      </c>
      <c r="K436" t="n">
        <v>0</v>
      </c>
      <c r="L436" t="n">
        <v>0</v>
      </c>
      <c r="M436" t="n">
        <v>0</v>
      </c>
      <c r="N436" t="n">
        <v>0</v>
      </c>
      <c r="O436" t="n">
        <v>0</v>
      </c>
      <c r="P436" t="n">
        <v>0</v>
      </c>
      <c r="Q436" t="n">
        <v>0</v>
      </c>
      <c r="R436" s="2" t="inlineStr"/>
    </row>
    <row r="437" ht="15" customHeight="1">
      <c r="A437" t="inlineStr">
        <is>
          <t>A 28232-2025</t>
        </is>
      </c>
      <c r="B437" s="1" t="n">
        <v>45818.48989583334</v>
      </c>
      <c r="C437" s="1" t="n">
        <v>46033</v>
      </c>
      <c r="D437" t="inlineStr">
        <is>
          <t>JÄMTLANDS LÄN</t>
        </is>
      </c>
      <c r="E437" t="inlineStr">
        <is>
          <t>BERG</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44303-2025</t>
        </is>
      </c>
      <c r="B438" s="1" t="n">
        <v>45915</v>
      </c>
      <c r="C438" s="1" t="n">
        <v>46033</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28257-2025</t>
        </is>
      </c>
      <c r="B439" s="1" t="n">
        <v>45818.55263888889</v>
      </c>
      <c r="C439" s="1" t="n">
        <v>46033</v>
      </c>
      <c r="D439" t="inlineStr">
        <is>
          <t>JÄMTLANDS LÄN</t>
        </is>
      </c>
      <c r="E439" t="inlineStr">
        <is>
          <t>BERG</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44572-2025</t>
        </is>
      </c>
      <c r="B440" s="1" t="n">
        <v>45917</v>
      </c>
      <c r="C440" s="1" t="n">
        <v>46033</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28657-2025</t>
        </is>
      </c>
      <c r="B441" s="1" t="n">
        <v>45819.65709490741</v>
      </c>
      <c r="C441" s="1" t="n">
        <v>46033</v>
      </c>
      <c r="D441" t="inlineStr">
        <is>
          <t>JÄMTLANDS LÄN</t>
        </is>
      </c>
      <c r="E441" t="inlineStr">
        <is>
          <t>BERG</t>
        </is>
      </c>
      <c r="G441" t="n">
        <v>2.4</v>
      </c>
      <c r="H441" t="n">
        <v>0</v>
      </c>
      <c r="I441" t="n">
        <v>0</v>
      </c>
      <c r="J441" t="n">
        <v>0</v>
      </c>
      <c r="K441" t="n">
        <v>0</v>
      </c>
      <c r="L441" t="n">
        <v>0</v>
      </c>
      <c r="M441" t="n">
        <v>0</v>
      </c>
      <c r="N441" t="n">
        <v>0</v>
      </c>
      <c r="O441" t="n">
        <v>0</v>
      </c>
      <c r="P441" t="n">
        <v>0</v>
      </c>
      <c r="Q441" t="n">
        <v>0</v>
      </c>
      <c r="R441" s="2" t="inlineStr"/>
    </row>
    <row r="442" ht="15" customHeight="1">
      <c r="A442" t="inlineStr">
        <is>
          <t>A 52340-2025</t>
        </is>
      </c>
      <c r="B442" s="1" t="n">
        <v>45953.70571759259</v>
      </c>
      <c r="C442" s="1" t="n">
        <v>46033</v>
      </c>
      <c r="D442" t="inlineStr">
        <is>
          <t>JÄMTLANDS LÄN</t>
        </is>
      </c>
      <c r="E442" t="inlineStr">
        <is>
          <t>BERG</t>
        </is>
      </c>
      <c r="G442" t="n">
        <v>6.7</v>
      </c>
      <c r="H442" t="n">
        <v>0</v>
      </c>
      <c r="I442" t="n">
        <v>0</v>
      </c>
      <c r="J442" t="n">
        <v>0</v>
      </c>
      <c r="K442" t="n">
        <v>0</v>
      </c>
      <c r="L442" t="n">
        <v>0</v>
      </c>
      <c r="M442" t="n">
        <v>0</v>
      </c>
      <c r="N442" t="n">
        <v>0</v>
      </c>
      <c r="O442" t="n">
        <v>0</v>
      </c>
      <c r="P442" t="n">
        <v>0</v>
      </c>
      <c r="Q442" t="n">
        <v>0</v>
      </c>
      <c r="R442" s="2" t="inlineStr"/>
    </row>
    <row r="443" ht="15" customHeight="1">
      <c r="A443" t="inlineStr">
        <is>
          <t>A 22297-2022</t>
        </is>
      </c>
      <c r="B443" s="1" t="n">
        <v>44712</v>
      </c>
      <c r="C443" s="1" t="n">
        <v>46033</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28196-2025</t>
        </is>
      </c>
      <c r="B444" s="1" t="n">
        <v>45818.42753472222</v>
      </c>
      <c r="C444" s="1" t="n">
        <v>46033</v>
      </c>
      <c r="D444" t="inlineStr">
        <is>
          <t>JÄMTLANDS LÄN</t>
        </is>
      </c>
      <c r="E444" t="inlineStr">
        <is>
          <t>BERG</t>
        </is>
      </c>
      <c r="F444" t="inlineStr">
        <is>
          <t>SCA</t>
        </is>
      </c>
      <c r="G444" t="n">
        <v>6.6</v>
      </c>
      <c r="H444" t="n">
        <v>0</v>
      </c>
      <c r="I444" t="n">
        <v>0</v>
      </c>
      <c r="J444" t="n">
        <v>0</v>
      </c>
      <c r="K444" t="n">
        <v>0</v>
      </c>
      <c r="L444" t="n">
        <v>0</v>
      </c>
      <c r="M444" t="n">
        <v>0</v>
      </c>
      <c r="N444" t="n">
        <v>0</v>
      </c>
      <c r="O444" t="n">
        <v>0</v>
      </c>
      <c r="P444" t="n">
        <v>0</v>
      </c>
      <c r="Q444" t="n">
        <v>0</v>
      </c>
      <c r="R444" s="2" t="inlineStr"/>
    </row>
    <row r="445" ht="15" customHeight="1">
      <c r="A445" t="inlineStr">
        <is>
          <t>A 28401-2025</t>
        </is>
      </c>
      <c r="B445" s="1" t="n">
        <v>45819.34469907408</v>
      </c>
      <c r="C445" s="1" t="n">
        <v>46033</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28453-2025</t>
        </is>
      </c>
      <c r="B446" s="1" t="n">
        <v>45819.40668981482</v>
      </c>
      <c r="C446" s="1" t="n">
        <v>46033</v>
      </c>
      <c r="D446" t="inlineStr">
        <is>
          <t>JÄMTLANDS LÄN</t>
        </is>
      </c>
      <c r="E446" t="inlineStr">
        <is>
          <t>BERG</t>
        </is>
      </c>
      <c r="G446" t="n">
        <v>4.1</v>
      </c>
      <c r="H446" t="n">
        <v>0</v>
      </c>
      <c r="I446" t="n">
        <v>0</v>
      </c>
      <c r="J446" t="n">
        <v>0</v>
      </c>
      <c r="K446" t="n">
        <v>0</v>
      </c>
      <c r="L446" t="n">
        <v>0</v>
      </c>
      <c r="M446" t="n">
        <v>0</v>
      </c>
      <c r="N446" t="n">
        <v>0</v>
      </c>
      <c r="O446" t="n">
        <v>0</v>
      </c>
      <c r="P446" t="n">
        <v>0</v>
      </c>
      <c r="Q446" t="n">
        <v>0</v>
      </c>
      <c r="R446" s="2" t="inlineStr"/>
    </row>
    <row r="447" ht="15" customHeight="1">
      <c r="A447" t="inlineStr">
        <is>
          <t>A 28157-2025</t>
        </is>
      </c>
      <c r="B447" s="1" t="n">
        <v>45818.36512731481</v>
      </c>
      <c r="C447" s="1" t="n">
        <v>46033</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52260-2025</t>
        </is>
      </c>
      <c r="B448" s="1" t="n">
        <v>45953.51113425926</v>
      </c>
      <c r="C448" s="1" t="n">
        <v>46033</v>
      </c>
      <c r="D448" t="inlineStr">
        <is>
          <t>JÄMTLANDS LÄN</t>
        </is>
      </c>
      <c r="E448" t="inlineStr">
        <is>
          <t>BERG</t>
        </is>
      </c>
      <c r="G448" t="n">
        <v>0.8</v>
      </c>
      <c r="H448" t="n">
        <v>0</v>
      </c>
      <c r="I448" t="n">
        <v>0</v>
      </c>
      <c r="J448" t="n">
        <v>0</v>
      </c>
      <c r="K448" t="n">
        <v>0</v>
      </c>
      <c r="L448" t="n">
        <v>0</v>
      </c>
      <c r="M448" t="n">
        <v>0</v>
      </c>
      <c r="N448" t="n">
        <v>0</v>
      </c>
      <c r="O448" t="n">
        <v>0</v>
      </c>
      <c r="P448" t="n">
        <v>0</v>
      </c>
      <c r="Q448" t="n">
        <v>0</v>
      </c>
      <c r="R448" s="2" t="inlineStr"/>
    </row>
    <row r="449" ht="15" customHeight="1">
      <c r="A449" t="inlineStr">
        <is>
          <t>A 28454-2025</t>
        </is>
      </c>
      <c r="B449" s="1" t="n">
        <v>45819.40679398148</v>
      </c>
      <c r="C449" s="1" t="n">
        <v>46033</v>
      </c>
      <c r="D449" t="inlineStr">
        <is>
          <t>JÄMTLANDS LÄN</t>
        </is>
      </c>
      <c r="E449" t="inlineStr">
        <is>
          <t>BERG</t>
        </is>
      </c>
      <c r="G449" t="n">
        <v>3.8</v>
      </c>
      <c r="H449" t="n">
        <v>0</v>
      </c>
      <c r="I449" t="n">
        <v>0</v>
      </c>
      <c r="J449" t="n">
        <v>0</v>
      </c>
      <c r="K449" t="n">
        <v>0</v>
      </c>
      <c r="L449" t="n">
        <v>0</v>
      </c>
      <c r="M449" t="n">
        <v>0</v>
      </c>
      <c r="N449" t="n">
        <v>0</v>
      </c>
      <c r="O449" t="n">
        <v>0</v>
      </c>
      <c r="P449" t="n">
        <v>0</v>
      </c>
      <c r="Q449" t="n">
        <v>0</v>
      </c>
      <c r="R449" s="2" t="inlineStr"/>
    </row>
    <row r="450" ht="15" customHeight="1">
      <c r="A450" t="inlineStr">
        <is>
          <t>A 51883-2025</t>
        </is>
      </c>
      <c r="B450" s="1" t="n">
        <v>45952.40701388889</v>
      </c>
      <c r="C450" s="1" t="n">
        <v>46033</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44697-2025</t>
        </is>
      </c>
      <c r="B451" s="1" t="n">
        <v>45917.59888888889</v>
      </c>
      <c r="C451" s="1" t="n">
        <v>46033</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61251-2022</t>
        </is>
      </c>
      <c r="B452" s="1" t="n">
        <v>44909</v>
      </c>
      <c r="C452" s="1" t="n">
        <v>46033</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61255-2022</t>
        </is>
      </c>
      <c r="B453" s="1" t="n">
        <v>44909</v>
      </c>
      <c r="C453" s="1" t="n">
        <v>46033</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45249-2025</t>
        </is>
      </c>
      <c r="B454" s="1" t="n">
        <v>45919.61225694444</v>
      </c>
      <c r="C454" s="1" t="n">
        <v>46033</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45171-2025</t>
        </is>
      </c>
      <c r="B455" s="1" t="n">
        <v>45919.50256944444</v>
      </c>
      <c r="C455" s="1" t="n">
        <v>46033</v>
      </c>
      <c r="D455" t="inlineStr">
        <is>
          <t>JÄMTLANDS LÄN</t>
        </is>
      </c>
      <c r="E455" t="inlineStr">
        <is>
          <t>BERG</t>
        </is>
      </c>
      <c r="F455" t="inlineStr">
        <is>
          <t>Övriga Aktiebolag</t>
        </is>
      </c>
      <c r="G455" t="n">
        <v>10.7</v>
      </c>
      <c r="H455" t="n">
        <v>0</v>
      </c>
      <c r="I455" t="n">
        <v>0</v>
      </c>
      <c r="J455" t="n">
        <v>0</v>
      </c>
      <c r="K455" t="n">
        <v>0</v>
      </c>
      <c r="L455" t="n">
        <v>0</v>
      </c>
      <c r="M455" t="n">
        <v>0</v>
      </c>
      <c r="N455" t="n">
        <v>0</v>
      </c>
      <c r="O455" t="n">
        <v>0</v>
      </c>
      <c r="P455" t="n">
        <v>0</v>
      </c>
      <c r="Q455" t="n">
        <v>0</v>
      </c>
      <c r="R455" s="2" t="inlineStr"/>
    </row>
    <row r="456" ht="15" customHeight="1">
      <c r="A456" t="inlineStr">
        <is>
          <t>A 47626-2023</t>
        </is>
      </c>
      <c r="B456" s="1" t="n">
        <v>45203</v>
      </c>
      <c r="C456" s="1" t="n">
        <v>46033</v>
      </c>
      <c r="D456" t="inlineStr">
        <is>
          <t>JÄMTLANDS LÄN</t>
        </is>
      </c>
      <c r="E456" t="inlineStr">
        <is>
          <t>BERG</t>
        </is>
      </c>
      <c r="G456" t="n">
        <v>1.2</v>
      </c>
      <c r="H456" t="n">
        <v>0</v>
      </c>
      <c r="I456" t="n">
        <v>0</v>
      </c>
      <c r="J456" t="n">
        <v>0</v>
      </c>
      <c r="K456" t="n">
        <v>0</v>
      </c>
      <c r="L456" t="n">
        <v>0</v>
      </c>
      <c r="M456" t="n">
        <v>0</v>
      </c>
      <c r="N456" t="n">
        <v>0</v>
      </c>
      <c r="O456" t="n">
        <v>0</v>
      </c>
      <c r="P456" t="n">
        <v>0</v>
      </c>
      <c r="Q456" t="n">
        <v>0</v>
      </c>
      <c r="R456" s="2" t="inlineStr"/>
    </row>
    <row r="457" ht="15" customHeight="1">
      <c r="A457" t="inlineStr">
        <is>
          <t>A 60331-2023</t>
        </is>
      </c>
      <c r="B457" s="1" t="n">
        <v>45258</v>
      </c>
      <c r="C457" s="1" t="n">
        <v>46033</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47083-2024</t>
        </is>
      </c>
      <c r="B458" s="1" t="n">
        <v>45586.50625</v>
      </c>
      <c r="C458" s="1" t="n">
        <v>46033</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46033</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45150-2025</t>
        </is>
      </c>
      <c r="B460" s="1" t="n">
        <v>45919.47131944444</v>
      </c>
      <c r="C460" s="1" t="n">
        <v>46033</v>
      </c>
      <c r="D460" t="inlineStr">
        <is>
          <t>JÄMTLANDS LÄN</t>
        </is>
      </c>
      <c r="E460" t="inlineStr">
        <is>
          <t>BERG</t>
        </is>
      </c>
      <c r="F460" t="inlineStr">
        <is>
          <t>Övriga Aktiebolag</t>
        </is>
      </c>
      <c r="G460" t="n">
        <v>9.6</v>
      </c>
      <c r="H460" t="n">
        <v>0</v>
      </c>
      <c r="I460" t="n">
        <v>0</v>
      </c>
      <c r="J460" t="n">
        <v>0</v>
      </c>
      <c r="K460" t="n">
        <v>0</v>
      </c>
      <c r="L460" t="n">
        <v>0</v>
      </c>
      <c r="M460" t="n">
        <v>0</v>
      </c>
      <c r="N460" t="n">
        <v>0</v>
      </c>
      <c r="O460" t="n">
        <v>0</v>
      </c>
      <c r="P460" t="n">
        <v>0</v>
      </c>
      <c r="Q460" t="n">
        <v>0</v>
      </c>
      <c r="R460" s="2" t="inlineStr"/>
    </row>
    <row r="461" ht="15" customHeight="1">
      <c r="A461" t="inlineStr">
        <is>
          <t>A 44811-2025</t>
        </is>
      </c>
      <c r="B461" s="1" t="n">
        <v>45918.37195601852</v>
      </c>
      <c r="C461" s="1" t="n">
        <v>46033</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45109-2025</t>
        </is>
      </c>
      <c r="B462" s="1" t="n">
        <v>45919.41850694444</v>
      </c>
      <c r="C462" s="1" t="n">
        <v>46033</v>
      </c>
      <c r="D462" t="inlineStr">
        <is>
          <t>JÄMTLANDS LÄN</t>
        </is>
      </c>
      <c r="E462" t="inlineStr">
        <is>
          <t>BERG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29199-2025</t>
        </is>
      </c>
      <c r="B463" s="1" t="n">
        <v>45823.34459490741</v>
      </c>
      <c r="C463" s="1" t="n">
        <v>46033</v>
      </c>
      <c r="D463" t="inlineStr">
        <is>
          <t>JÄMTLANDS LÄN</t>
        </is>
      </c>
      <c r="E463" t="inlineStr">
        <is>
          <t>BERG</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45254-2025</t>
        </is>
      </c>
      <c r="B464" s="1" t="n">
        <v>45919.61523148148</v>
      </c>
      <c r="C464" s="1" t="n">
        <v>46033</v>
      </c>
      <c r="D464" t="inlineStr">
        <is>
          <t>JÄMTLANDS LÄN</t>
        </is>
      </c>
      <c r="E464" t="inlineStr">
        <is>
          <t>BERG</t>
        </is>
      </c>
      <c r="G464" t="n">
        <v>0.9</v>
      </c>
      <c r="H464" t="n">
        <v>0</v>
      </c>
      <c r="I464" t="n">
        <v>0</v>
      </c>
      <c r="J464" t="n">
        <v>0</v>
      </c>
      <c r="K464" t="n">
        <v>0</v>
      </c>
      <c r="L464" t="n">
        <v>0</v>
      </c>
      <c r="M464" t="n">
        <v>0</v>
      </c>
      <c r="N464" t="n">
        <v>0</v>
      </c>
      <c r="O464" t="n">
        <v>0</v>
      </c>
      <c r="P464" t="n">
        <v>0</v>
      </c>
      <c r="Q464" t="n">
        <v>0</v>
      </c>
      <c r="R464" s="2" t="inlineStr"/>
    </row>
    <row r="465" ht="15" customHeight="1">
      <c r="A465" t="inlineStr">
        <is>
          <t>A 29197-2025</t>
        </is>
      </c>
      <c r="B465" s="1" t="n">
        <v>45823.34438657408</v>
      </c>
      <c r="C465" s="1" t="n">
        <v>46033</v>
      </c>
      <c r="D465" t="inlineStr">
        <is>
          <t>JÄMTLANDS LÄN</t>
        </is>
      </c>
      <c r="E465" t="inlineStr">
        <is>
          <t>BERG</t>
        </is>
      </c>
      <c r="F465" t="inlineStr">
        <is>
          <t>SCA</t>
        </is>
      </c>
      <c r="G465" t="n">
        <v>10</v>
      </c>
      <c r="H465" t="n">
        <v>0</v>
      </c>
      <c r="I465" t="n">
        <v>0</v>
      </c>
      <c r="J465" t="n">
        <v>0</v>
      </c>
      <c r="K465" t="n">
        <v>0</v>
      </c>
      <c r="L465" t="n">
        <v>0</v>
      </c>
      <c r="M465" t="n">
        <v>0</v>
      </c>
      <c r="N465" t="n">
        <v>0</v>
      </c>
      <c r="O465" t="n">
        <v>0</v>
      </c>
      <c r="P465" t="n">
        <v>0</v>
      </c>
      <c r="Q465" t="n">
        <v>0</v>
      </c>
      <c r="R465" s="2" t="inlineStr"/>
    </row>
    <row r="466" ht="15" customHeight="1">
      <c r="A466" t="inlineStr">
        <is>
          <t>A 45640-2025</t>
        </is>
      </c>
      <c r="B466" s="1" t="n">
        <v>45922.961875</v>
      </c>
      <c r="C466" s="1" t="n">
        <v>46033</v>
      </c>
      <c r="D466" t="inlineStr">
        <is>
          <t>JÄMTLANDS LÄN</t>
        </is>
      </c>
      <c r="E466" t="inlineStr">
        <is>
          <t>BERG</t>
        </is>
      </c>
      <c r="G466" t="n">
        <v>2.3</v>
      </c>
      <c r="H466" t="n">
        <v>0</v>
      </c>
      <c r="I466" t="n">
        <v>0</v>
      </c>
      <c r="J466" t="n">
        <v>0</v>
      </c>
      <c r="K466" t="n">
        <v>0</v>
      </c>
      <c r="L466" t="n">
        <v>0</v>
      </c>
      <c r="M466" t="n">
        <v>0</v>
      </c>
      <c r="N466" t="n">
        <v>0</v>
      </c>
      <c r="O466" t="n">
        <v>0</v>
      </c>
      <c r="P466" t="n">
        <v>0</v>
      </c>
      <c r="Q466" t="n">
        <v>0</v>
      </c>
      <c r="R466" s="2" t="inlineStr"/>
    </row>
    <row r="467" ht="15" customHeight="1">
      <c r="A467" t="inlineStr">
        <is>
          <t>A 45568-2025</t>
        </is>
      </c>
      <c r="B467" s="1" t="n">
        <v>45922.65672453704</v>
      </c>
      <c r="C467" s="1" t="n">
        <v>46033</v>
      </c>
      <c r="D467" t="inlineStr">
        <is>
          <t>JÄMTLANDS LÄN</t>
        </is>
      </c>
      <c r="E467" t="inlineStr">
        <is>
          <t>BERG</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29310-2025</t>
        </is>
      </c>
      <c r="B468" s="1" t="n">
        <v>45824.46353009259</v>
      </c>
      <c r="C468" s="1" t="n">
        <v>46033</v>
      </c>
      <c r="D468" t="inlineStr">
        <is>
          <t>JÄMTLANDS LÄN</t>
        </is>
      </c>
      <c r="E468" t="inlineStr">
        <is>
          <t>BERG</t>
        </is>
      </c>
      <c r="G468" t="n">
        <v>5.6</v>
      </c>
      <c r="H468" t="n">
        <v>0</v>
      </c>
      <c r="I468" t="n">
        <v>0</v>
      </c>
      <c r="J468" t="n">
        <v>0</v>
      </c>
      <c r="K468" t="n">
        <v>0</v>
      </c>
      <c r="L468" t="n">
        <v>0</v>
      </c>
      <c r="M468" t="n">
        <v>0</v>
      </c>
      <c r="N468" t="n">
        <v>0</v>
      </c>
      <c r="O468" t="n">
        <v>0</v>
      </c>
      <c r="P468" t="n">
        <v>0</v>
      </c>
      <c r="Q468" t="n">
        <v>0</v>
      </c>
      <c r="R468" s="2" t="inlineStr"/>
    </row>
    <row r="469" ht="15" customHeight="1">
      <c r="A469" t="inlineStr">
        <is>
          <t>A 29538-2025</t>
        </is>
      </c>
      <c r="B469" s="1" t="n">
        <v>45825.34517361111</v>
      </c>
      <c r="C469" s="1" t="n">
        <v>46033</v>
      </c>
      <c r="D469" t="inlineStr">
        <is>
          <t>JÄMTLANDS LÄN</t>
        </is>
      </c>
      <c r="E469" t="inlineStr">
        <is>
          <t>BERG</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29533-2025</t>
        </is>
      </c>
      <c r="B470" s="1" t="n">
        <v>45825.34466435185</v>
      </c>
      <c r="C470" s="1" t="n">
        <v>46033</v>
      </c>
      <c r="D470" t="inlineStr">
        <is>
          <t>JÄMTLANDS LÄN</t>
        </is>
      </c>
      <c r="E470" t="inlineStr">
        <is>
          <t>BERG</t>
        </is>
      </c>
      <c r="F470" t="inlineStr">
        <is>
          <t>SCA</t>
        </is>
      </c>
      <c r="G470" t="n">
        <v>10</v>
      </c>
      <c r="H470" t="n">
        <v>0</v>
      </c>
      <c r="I470" t="n">
        <v>0</v>
      </c>
      <c r="J470" t="n">
        <v>0</v>
      </c>
      <c r="K470" t="n">
        <v>0</v>
      </c>
      <c r="L470" t="n">
        <v>0</v>
      </c>
      <c r="M470" t="n">
        <v>0</v>
      </c>
      <c r="N470" t="n">
        <v>0</v>
      </c>
      <c r="O470" t="n">
        <v>0</v>
      </c>
      <c r="P470" t="n">
        <v>0</v>
      </c>
      <c r="Q470" t="n">
        <v>0</v>
      </c>
      <c r="R470" s="2" t="inlineStr"/>
    </row>
    <row r="471" ht="15" customHeight="1">
      <c r="A471" t="inlineStr">
        <is>
          <t>A 58157-2021</t>
        </is>
      </c>
      <c r="B471" s="1" t="n">
        <v>44487.60703703704</v>
      </c>
      <c r="C471" s="1" t="n">
        <v>46033</v>
      </c>
      <c r="D471" t="inlineStr">
        <is>
          <t>JÄMTLANDS LÄN</t>
        </is>
      </c>
      <c r="E471" t="inlineStr">
        <is>
          <t>BERG</t>
        </is>
      </c>
      <c r="G471" t="n">
        <v>4.5</v>
      </c>
      <c r="H471" t="n">
        <v>0</v>
      </c>
      <c r="I471" t="n">
        <v>0</v>
      </c>
      <c r="J471" t="n">
        <v>0</v>
      </c>
      <c r="K471" t="n">
        <v>0</v>
      </c>
      <c r="L471" t="n">
        <v>0</v>
      </c>
      <c r="M471" t="n">
        <v>0</v>
      </c>
      <c r="N471" t="n">
        <v>0</v>
      </c>
      <c r="O471" t="n">
        <v>0</v>
      </c>
      <c r="P471" t="n">
        <v>0</v>
      </c>
      <c r="Q471" t="n">
        <v>0</v>
      </c>
      <c r="R471" s="2" t="inlineStr"/>
    </row>
    <row r="472" ht="15" customHeight="1">
      <c r="A472" t="inlineStr">
        <is>
          <t>A 45570-2025</t>
        </is>
      </c>
      <c r="B472" s="1" t="n">
        <v>45922.65715277778</v>
      </c>
      <c r="C472" s="1" t="n">
        <v>46033</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29279-2025</t>
        </is>
      </c>
      <c r="B473" s="1" t="n">
        <v>45824.42381944445</v>
      </c>
      <c r="C473" s="1" t="n">
        <v>46033</v>
      </c>
      <c r="D473" t="inlineStr">
        <is>
          <t>JÄMTLANDS LÄN</t>
        </is>
      </c>
      <c r="E473" t="inlineStr">
        <is>
          <t>BERG</t>
        </is>
      </c>
      <c r="G473" t="n">
        <v>3.6</v>
      </c>
      <c r="H473" t="n">
        <v>0</v>
      </c>
      <c r="I473" t="n">
        <v>0</v>
      </c>
      <c r="J473" t="n">
        <v>0</v>
      </c>
      <c r="K473" t="n">
        <v>0</v>
      </c>
      <c r="L473" t="n">
        <v>0</v>
      </c>
      <c r="M473" t="n">
        <v>0</v>
      </c>
      <c r="N473" t="n">
        <v>0</v>
      </c>
      <c r="O473" t="n">
        <v>0</v>
      </c>
      <c r="P473" t="n">
        <v>0</v>
      </c>
      <c r="Q473" t="n">
        <v>0</v>
      </c>
      <c r="R473" s="2" t="inlineStr"/>
    </row>
    <row r="474" ht="15" customHeight="1">
      <c r="A474" t="inlineStr">
        <is>
          <t>A 26944-2022</t>
        </is>
      </c>
      <c r="B474" s="1" t="n">
        <v>44740</v>
      </c>
      <c r="C474" s="1" t="n">
        <v>46033</v>
      </c>
      <c r="D474" t="inlineStr">
        <is>
          <t>JÄMTLANDS LÄN</t>
        </is>
      </c>
      <c r="E474" t="inlineStr">
        <is>
          <t>BERG</t>
        </is>
      </c>
      <c r="G474" t="n">
        <v>3.3</v>
      </c>
      <c r="H474" t="n">
        <v>0</v>
      </c>
      <c r="I474" t="n">
        <v>0</v>
      </c>
      <c r="J474" t="n">
        <v>0</v>
      </c>
      <c r="K474" t="n">
        <v>0</v>
      </c>
      <c r="L474" t="n">
        <v>0</v>
      </c>
      <c r="M474" t="n">
        <v>0</v>
      </c>
      <c r="N474" t="n">
        <v>0</v>
      </c>
      <c r="O474" t="n">
        <v>0</v>
      </c>
      <c r="P474" t="n">
        <v>0</v>
      </c>
      <c r="Q474" t="n">
        <v>0</v>
      </c>
      <c r="R474" s="2" t="inlineStr"/>
    </row>
    <row r="475" ht="15" customHeight="1">
      <c r="A475" t="inlineStr">
        <is>
          <t>A 52348-2025</t>
        </is>
      </c>
      <c r="B475" s="1" t="n">
        <v>45953.72064814815</v>
      </c>
      <c r="C475" s="1" t="n">
        <v>46033</v>
      </c>
      <c r="D475" t="inlineStr">
        <is>
          <t>JÄMTLANDS LÄN</t>
        </is>
      </c>
      <c r="E475" t="inlineStr">
        <is>
          <t>BERG</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45459-2025</t>
        </is>
      </c>
      <c r="B476" s="1" t="n">
        <v>45922.49230324074</v>
      </c>
      <c r="C476" s="1" t="n">
        <v>46033</v>
      </c>
      <c r="D476" t="inlineStr">
        <is>
          <t>JÄMTLANDS LÄN</t>
        </is>
      </c>
      <c r="E476" t="inlineStr">
        <is>
          <t>BERG</t>
        </is>
      </c>
      <c r="F476" t="inlineStr">
        <is>
          <t>Kyrkan</t>
        </is>
      </c>
      <c r="G476" t="n">
        <v>8</v>
      </c>
      <c r="H476" t="n">
        <v>0</v>
      </c>
      <c r="I476" t="n">
        <v>0</v>
      </c>
      <c r="J476" t="n">
        <v>0</v>
      </c>
      <c r="K476" t="n">
        <v>0</v>
      </c>
      <c r="L476" t="n">
        <v>0</v>
      </c>
      <c r="M476" t="n">
        <v>0</v>
      </c>
      <c r="N476" t="n">
        <v>0</v>
      </c>
      <c r="O476" t="n">
        <v>0</v>
      </c>
      <c r="P476" t="n">
        <v>0</v>
      </c>
      <c r="Q476" t="n">
        <v>0</v>
      </c>
      <c r="R476" s="2" t="inlineStr"/>
    </row>
    <row r="477" ht="15" customHeight="1">
      <c r="A477" t="inlineStr">
        <is>
          <t>A 45912-2025</t>
        </is>
      </c>
      <c r="B477" s="1" t="n">
        <v>45923</v>
      </c>
      <c r="C477" s="1" t="n">
        <v>46033</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45657-2025</t>
        </is>
      </c>
      <c r="B478" s="1" t="n">
        <v>45923.34453703704</v>
      </c>
      <c r="C478" s="1" t="n">
        <v>46033</v>
      </c>
      <c r="D478" t="inlineStr">
        <is>
          <t>JÄMTLANDS LÄN</t>
        </is>
      </c>
      <c r="E478" t="inlineStr">
        <is>
          <t>BERG</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62555-2023</t>
        </is>
      </c>
      <c r="B479" s="1" t="n">
        <v>45268.9262962963</v>
      </c>
      <c r="C479" s="1" t="n">
        <v>46033</v>
      </c>
      <c r="D479" t="inlineStr">
        <is>
          <t>JÄMTLANDS LÄN</t>
        </is>
      </c>
      <c r="E479" t="inlineStr">
        <is>
          <t>BERG</t>
        </is>
      </c>
      <c r="G479" t="n">
        <v>5</v>
      </c>
      <c r="H479" t="n">
        <v>0</v>
      </c>
      <c r="I479" t="n">
        <v>0</v>
      </c>
      <c r="J479" t="n">
        <v>0</v>
      </c>
      <c r="K479" t="n">
        <v>0</v>
      </c>
      <c r="L479" t="n">
        <v>0</v>
      </c>
      <c r="M479" t="n">
        <v>0</v>
      </c>
      <c r="N479" t="n">
        <v>0</v>
      </c>
      <c r="O479" t="n">
        <v>0</v>
      </c>
      <c r="P479" t="n">
        <v>0</v>
      </c>
      <c r="Q479" t="n">
        <v>0</v>
      </c>
      <c r="R479" s="2" t="inlineStr"/>
    </row>
    <row r="480" ht="15" customHeight="1">
      <c r="A480" t="inlineStr">
        <is>
          <t>A 47407-2024</t>
        </is>
      </c>
      <c r="B480" s="1" t="n">
        <v>45587.47828703704</v>
      </c>
      <c r="C480" s="1" t="n">
        <v>46033</v>
      </c>
      <c r="D480" t="inlineStr">
        <is>
          <t>JÄMTLANDS LÄN</t>
        </is>
      </c>
      <c r="E480" t="inlineStr">
        <is>
          <t>BERG</t>
        </is>
      </c>
      <c r="G480" t="n">
        <v>2.7</v>
      </c>
      <c r="H480" t="n">
        <v>0</v>
      </c>
      <c r="I480" t="n">
        <v>0</v>
      </c>
      <c r="J480" t="n">
        <v>0</v>
      </c>
      <c r="K480" t="n">
        <v>0</v>
      </c>
      <c r="L480" t="n">
        <v>0</v>
      </c>
      <c r="M480" t="n">
        <v>0</v>
      </c>
      <c r="N480" t="n">
        <v>0</v>
      </c>
      <c r="O480" t="n">
        <v>0</v>
      </c>
      <c r="P480" t="n">
        <v>0</v>
      </c>
      <c r="Q480" t="n">
        <v>0</v>
      </c>
      <c r="R480" s="2" t="inlineStr"/>
    </row>
    <row r="481" ht="15" customHeight="1">
      <c r="A481" t="inlineStr">
        <is>
          <t>A 29198-2025</t>
        </is>
      </c>
      <c r="B481" s="1" t="n">
        <v>45823.34451388889</v>
      </c>
      <c r="C481" s="1" t="n">
        <v>46033</v>
      </c>
      <c r="D481" t="inlineStr">
        <is>
          <t>JÄMTLANDS LÄN</t>
        </is>
      </c>
      <c r="E481" t="inlineStr">
        <is>
          <t>BERG</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13524-2024</t>
        </is>
      </c>
      <c r="B482" s="1" t="n">
        <v>45387.78174768519</v>
      </c>
      <c r="C482" s="1" t="n">
        <v>46033</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29836-2025</t>
        </is>
      </c>
      <c r="B483" s="1" t="n">
        <v>45825.9468287037</v>
      </c>
      <c r="C483" s="1" t="n">
        <v>46033</v>
      </c>
      <c r="D483" t="inlineStr">
        <is>
          <t>JÄMTLANDS LÄN</t>
        </is>
      </c>
      <c r="E483" t="inlineStr">
        <is>
          <t>BERG</t>
        </is>
      </c>
      <c r="G483" t="n">
        <v>12.7</v>
      </c>
      <c r="H483" t="n">
        <v>0</v>
      </c>
      <c r="I483" t="n">
        <v>0</v>
      </c>
      <c r="J483" t="n">
        <v>0</v>
      </c>
      <c r="K483" t="n">
        <v>0</v>
      </c>
      <c r="L483" t="n">
        <v>0</v>
      </c>
      <c r="M483" t="n">
        <v>0</v>
      </c>
      <c r="N483" t="n">
        <v>0</v>
      </c>
      <c r="O483" t="n">
        <v>0</v>
      </c>
      <c r="P483" t="n">
        <v>0</v>
      </c>
      <c r="Q483" t="n">
        <v>0</v>
      </c>
      <c r="R483" s="2" t="inlineStr"/>
    </row>
    <row r="484" ht="15" customHeight="1">
      <c r="A484" t="inlineStr">
        <is>
          <t>A 45390-2025</t>
        </is>
      </c>
      <c r="B484" s="1" t="n">
        <v>45922.40762731482</v>
      </c>
      <c r="C484" s="1" t="n">
        <v>46033</v>
      </c>
      <c r="D484" t="inlineStr">
        <is>
          <t>JÄMTLANDS LÄN</t>
        </is>
      </c>
      <c r="E484" t="inlineStr">
        <is>
          <t>BERG</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59841-2025</t>
        </is>
      </c>
      <c r="B485" s="1" t="n">
        <v>45992</v>
      </c>
      <c r="C485" s="1" t="n">
        <v>46033</v>
      </c>
      <c r="D485" t="inlineStr">
        <is>
          <t>JÄMTLANDS LÄN</t>
        </is>
      </c>
      <c r="E485" t="inlineStr">
        <is>
          <t>BERG</t>
        </is>
      </c>
      <c r="G485" t="n">
        <v>14.9</v>
      </c>
      <c r="H485" t="n">
        <v>0</v>
      </c>
      <c r="I485" t="n">
        <v>0</v>
      </c>
      <c r="J485" t="n">
        <v>0</v>
      </c>
      <c r="K485" t="n">
        <v>0</v>
      </c>
      <c r="L485" t="n">
        <v>0</v>
      </c>
      <c r="M485" t="n">
        <v>0</v>
      </c>
      <c r="N485" t="n">
        <v>0</v>
      </c>
      <c r="O485" t="n">
        <v>0</v>
      </c>
      <c r="P485" t="n">
        <v>0</v>
      </c>
      <c r="Q485" t="n">
        <v>0</v>
      </c>
      <c r="R485" s="2" t="inlineStr"/>
    </row>
    <row r="486" ht="15" customHeight="1">
      <c r="A486" t="inlineStr">
        <is>
          <t>A 30017-2025</t>
        </is>
      </c>
      <c r="B486" s="1" t="n">
        <v>45826.55306712963</v>
      </c>
      <c r="C486" s="1" t="n">
        <v>46033</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7040-2024</t>
        </is>
      </c>
      <c r="B487" s="1" t="n">
        <v>45343</v>
      </c>
      <c r="C487" s="1" t="n">
        <v>46033</v>
      </c>
      <c r="D487" t="inlineStr">
        <is>
          <t>JÄMTLANDS LÄN</t>
        </is>
      </c>
      <c r="E487" t="inlineStr">
        <is>
          <t>BERG</t>
        </is>
      </c>
      <c r="G487" t="n">
        <v>15.9</v>
      </c>
      <c r="H487" t="n">
        <v>0</v>
      </c>
      <c r="I487" t="n">
        <v>0</v>
      </c>
      <c r="J487" t="n">
        <v>0</v>
      </c>
      <c r="K487" t="n">
        <v>0</v>
      </c>
      <c r="L487" t="n">
        <v>0</v>
      </c>
      <c r="M487" t="n">
        <v>0</v>
      </c>
      <c r="N487" t="n">
        <v>0</v>
      </c>
      <c r="O487" t="n">
        <v>0</v>
      </c>
      <c r="P487" t="n">
        <v>0</v>
      </c>
      <c r="Q487" t="n">
        <v>0</v>
      </c>
      <c r="R487" s="2" t="inlineStr"/>
    </row>
    <row r="488" ht="15" customHeight="1">
      <c r="A488" t="inlineStr">
        <is>
          <t>A 52062-2025</t>
        </is>
      </c>
      <c r="B488" s="1" t="n">
        <v>45952.63679398148</v>
      </c>
      <c r="C488" s="1" t="n">
        <v>46033</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37248-2023</t>
        </is>
      </c>
      <c r="B489" s="1" t="n">
        <v>45155.954375</v>
      </c>
      <c r="C489" s="1" t="n">
        <v>46033</v>
      </c>
      <c r="D489" t="inlineStr">
        <is>
          <t>JÄMTLANDS LÄN</t>
        </is>
      </c>
      <c r="E489" t="inlineStr">
        <is>
          <t>BERG</t>
        </is>
      </c>
      <c r="F489" t="inlineStr">
        <is>
          <t>SCA</t>
        </is>
      </c>
      <c r="G489" t="n">
        <v>5.9</v>
      </c>
      <c r="H489" t="n">
        <v>0</v>
      </c>
      <c r="I489" t="n">
        <v>0</v>
      </c>
      <c r="J489" t="n">
        <v>0</v>
      </c>
      <c r="K489" t="n">
        <v>0</v>
      </c>
      <c r="L489" t="n">
        <v>0</v>
      </c>
      <c r="M489" t="n">
        <v>0</v>
      </c>
      <c r="N489" t="n">
        <v>0</v>
      </c>
      <c r="O489" t="n">
        <v>0</v>
      </c>
      <c r="P489" t="n">
        <v>0</v>
      </c>
      <c r="Q489" t="n">
        <v>0</v>
      </c>
      <c r="R489" s="2" t="inlineStr"/>
    </row>
    <row r="490" ht="15" customHeight="1">
      <c r="A490" t="inlineStr">
        <is>
          <t>A 30314-2025</t>
        </is>
      </c>
      <c r="B490" s="1" t="n">
        <v>45827.49047453704</v>
      </c>
      <c r="C490" s="1" t="n">
        <v>46033</v>
      </c>
      <c r="D490" t="inlineStr">
        <is>
          <t>JÄMTLANDS LÄN</t>
        </is>
      </c>
      <c r="E490" t="inlineStr">
        <is>
          <t>BERG</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29902-2025</t>
        </is>
      </c>
      <c r="B491" s="1" t="n">
        <v>45826</v>
      </c>
      <c r="C491" s="1" t="n">
        <v>46033</v>
      </c>
      <c r="D491" t="inlineStr">
        <is>
          <t>JÄMTLANDS LÄN</t>
        </is>
      </c>
      <c r="E491" t="inlineStr">
        <is>
          <t>BERG</t>
        </is>
      </c>
      <c r="G491" t="n">
        <v>9.1</v>
      </c>
      <c r="H491" t="n">
        <v>0</v>
      </c>
      <c r="I491" t="n">
        <v>0</v>
      </c>
      <c r="J491" t="n">
        <v>0</v>
      </c>
      <c r="K491" t="n">
        <v>0</v>
      </c>
      <c r="L491" t="n">
        <v>0</v>
      </c>
      <c r="M491" t="n">
        <v>0</v>
      </c>
      <c r="N491" t="n">
        <v>0</v>
      </c>
      <c r="O491" t="n">
        <v>0</v>
      </c>
      <c r="P491" t="n">
        <v>0</v>
      </c>
      <c r="Q491" t="n">
        <v>0</v>
      </c>
      <c r="R491" s="2" t="inlineStr"/>
    </row>
    <row r="492" ht="15" customHeight="1">
      <c r="A492" t="inlineStr">
        <is>
          <t>A 29908-2025</t>
        </is>
      </c>
      <c r="B492" s="1" t="n">
        <v>45826</v>
      </c>
      <c r="C492" s="1" t="n">
        <v>46033</v>
      </c>
      <c r="D492" t="inlineStr">
        <is>
          <t>JÄMTLANDS LÄN</t>
        </is>
      </c>
      <c r="E492" t="inlineStr">
        <is>
          <t>BERG</t>
        </is>
      </c>
      <c r="G492" t="n">
        <v>2.2</v>
      </c>
      <c r="H492" t="n">
        <v>0</v>
      </c>
      <c r="I492" t="n">
        <v>0</v>
      </c>
      <c r="J492" t="n">
        <v>0</v>
      </c>
      <c r="K492" t="n">
        <v>0</v>
      </c>
      <c r="L492" t="n">
        <v>0</v>
      </c>
      <c r="M492" t="n">
        <v>0</v>
      </c>
      <c r="N492" t="n">
        <v>0</v>
      </c>
      <c r="O492" t="n">
        <v>0</v>
      </c>
      <c r="P492" t="n">
        <v>0</v>
      </c>
      <c r="Q492" t="n">
        <v>0</v>
      </c>
      <c r="R492" s="2" t="inlineStr"/>
    </row>
    <row r="493" ht="15" customHeight="1">
      <c r="A493" t="inlineStr">
        <is>
          <t>A 52225-2025</t>
        </is>
      </c>
      <c r="B493" s="1" t="n">
        <v>45953.44831018519</v>
      </c>
      <c r="C493" s="1" t="n">
        <v>46033</v>
      </c>
      <c r="D493" t="inlineStr">
        <is>
          <t>JÄMTLANDS LÄN</t>
        </is>
      </c>
      <c r="E493" t="inlineStr">
        <is>
          <t>BERG</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46853-2025</t>
        </is>
      </c>
      <c r="B494" s="1" t="n">
        <v>45928.86563657408</v>
      </c>
      <c r="C494" s="1" t="n">
        <v>46033</v>
      </c>
      <c r="D494" t="inlineStr">
        <is>
          <t>JÄMTLANDS LÄN</t>
        </is>
      </c>
      <c r="E494" t="inlineStr">
        <is>
          <t>BERG</t>
        </is>
      </c>
      <c r="F494" t="inlineStr">
        <is>
          <t>Kyrkan</t>
        </is>
      </c>
      <c r="G494" t="n">
        <v>7.9</v>
      </c>
      <c r="H494" t="n">
        <v>0</v>
      </c>
      <c r="I494" t="n">
        <v>0</v>
      </c>
      <c r="J494" t="n">
        <v>0</v>
      </c>
      <c r="K494" t="n">
        <v>0</v>
      </c>
      <c r="L494" t="n">
        <v>0</v>
      </c>
      <c r="M494" t="n">
        <v>0</v>
      </c>
      <c r="N494" t="n">
        <v>0</v>
      </c>
      <c r="O494" t="n">
        <v>0</v>
      </c>
      <c r="P494" t="n">
        <v>0</v>
      </c>
      <c r="Q494" t="n">
        <v>0</v>
      </c>
      <c r="R494" s="2" t="inlineStr"/>
    </row>
    <row r="495" ht="15" customHeight="1">
      <c r="A495" t="inlineStr">
        <is>
          <t>A 46854-2025</t>
        </is>
      </c>
      <c r="B495" s="1" t="n">
        <v>45928.87376157408</v>
      </c>
      <c r="C495" s="1" t="n">
        <v>46033</v>
      </c>
      <c r="D495" t="inlineStr">
        <is>
          <t>JÄMTLANDS LÄN</t>
        </is>
      </c>
      <c r="E495" t="inlineStr">
        <is>
          <t>BERG</t>
        </is>
      </c>
      <c r="F495" t="inlineStr">
        <is>
          <t>Kyrkan</t>
        </is>
      </c>
      <c r="G495" t="n">
        <v>4.8</v>
      </c>
      <c r="H495" t="n">
        <v>0</v>
      </c>
      <c r="I495" t="n">
        <v>0</v>
      </c>
      <c r="J495" t="n">
        <v>0</v>
      </c>
      <c r="K495" t="n">
        <v>0</v>
      </c>
      <c r="L495" t="n">
        <v>0</v>
      </c>
      <c r="M495" t="n">
        <v>0</v>
      </c>
      <c r="N495" t="n">
        <v>0</v>
      </c>
      <c r="O495" t="n">
        <v>0</v>
      </c>
      <c r="P495" t="n">
        <v>0</v>
      </c>
      <c r="Q495" t="n">
        <v>0</v>
      </c>
      <c r="R495" s="2" t="inlineStr"/>
    </row>
    <row r="496" ht="15" customHeight="1">
      <c r="A496" t="inlineStr">
        <is>
          <t>A 31015-2025</t>
        </is>
      </c>
      <c r="B496" s="1" t="n">
        <v>45832.51086805556</v>
      </c>
      <c r="C496" s="1" t="n">
        <v>46033</v>
      </c>
      <c r="D496" t="inlineStr">
        <is>
          <t>JÄMTLANDS LÄN</t>
        </is>
      </c>
      <c r="E496" t="inlineStr">
        <is>
          <t>BERG</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31017-2025</t>
        </is>
      </c>
      <c r="B497" s="1" t="n">
        <v>45832.51111111111</v>
      </c>
      <c r="C497" s="1" t="n">
        <v>46033</v>
      </c>
      <c r="D497" t="inlineStr">
        <is>
          <t>JÄMTLANDS LÄN</t>
        </is>
      </c>
      <c r="E497" t="inlineStr">
        <is>
          <t>BERG</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46908-2025</t>
        </is>
      </c>
      <c r="B498" s="1" t="n">
        <v>45929.40664351852</v>
      </c>
      <c r="C498" s="1" t="n">
        <v>46033</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47137-2025</t>
        </is>
      </c>
      <c r="B499" s="1" t="n">
        <v>45929.69876157407</v>
      </c>
      <c r="C499" s="1" t="n">
        <v>46033</v>
      </c>
      <c r="D499" t="inlineStr">
        <is>
          <t>JÄMTLANDS LÄN</t>
        </is>
      </c>
      <c r="E499" t="inlineStr">
        <is>
          <t>BERG</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31070-2025</t>
        </is>
      </c>
      <c r="B500" s="1" t="n">
        <v>45832.57887731482</v>
      </c>
      <c r="C500" s="1" t="n">
        <v>46033</v>
      </c>
      <c r="D500" t="inlineStr">
        <is>
          <t>JÄMTLANDS LÄN</t>
        </is>
      </c>
      <c r="E500" t="inlineStr">
        <is>
          <t>BERG</t>
        </is>
      </c>
      <c r="G500" t="n">
        <v>3.7</v>
      </c>
      <c r="H500" t="n">
        <v>0</v>
      </c>
      <c r="I500" t="n">
        <v>0</v>
      </c>
      <c r="J500" t="n">
        <v>0</v>
      </c>
      <c r="K500" t="n">
        <v>0</v>
      </c>
      <c r="L500" t="n">
        <v>0</v>
      </c>
      <c r="M500" t="n">
        <v>0</v>
      </c>
      <c r="N500" t="n">
        <v>0</v>
      </c>
      <c r="O500" t="n">
        <v>0</v>
      </c>
      <c r="P500" t="n">
        <v>0</v>
      </c>
      <c r="Q500" t="n">
        <v>0</v>
      </c>
      <c r="R500" s="2" t="inlineStr"/>
    </row>
    <row r="501" ht="15" customHeight="1">
      <c r="A501" t="inlineStr">
        <is>
          <t>A 31090-2025</t>
        </is>
      </c>
      <c r="B501" s="1" t="n">
        <v>45832.59436342592</v>
      </c>
      <c r="C501" s="1" t="n">
        <v>46033</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47145-2025</t>
        </is>
      </c>
      <c r="B502" s="1" t="n">
        <v>45929.71310185185</v>
      </c>
      <c r="C502" s="1" t="n">
        <v>46033</v>
      </c>
      <c r="D502" t="inlineStr">
        <is>
          <t>JÄMTLANDS LÄN</t>
        </is>
      </c>
      <c r="E502" t="inlineStr">
        <is>
          <t>BERG</t>
        </is>
      </c>
      <c r="G502" t="n">
        <v>3.5</v>
      </c>
      <c r="H502" t="n">
        <v>0</v>
      </c>
      <c r="I502" t="n">
        <v>0</v>
      </c>
      <c r="J502" t="n">
        <v>0</v>
      </c>
      <c r="K502" t="n">
        <v>0</v>
      </c>
      <c r="L502" t="n">
        <v>0</v>
      </c>
      <c r="M502" t="n">
        <v>0</v>
      </c>
      <c r="N502" t="n">
        <v>0</v>
      </c>
      <c r="O502" t="n">
        <v>0</v>
      </c>
      <c r="P502" t="n">
        <v>0</v>
      </c>
      <c r="Q502" t="n">
        <v>0</v>
      </c>
      <c r="R502" s="2" t="inlineStr"/>
    </row>
    <row r="503" ht="15" customHeight="1">
      <c r="A503" t="inlineStr">
        <is>
          <t>A 14226-2021</t>
        </is>
      </c>
      <c r="B503" s="1" t="n">
        <v>44277</v>
      </c>
      <c r="C503" s="1" t="n">
        <v>46033</v>
      </c>
      <c r="D503" t="inlineStr">
        <is>
          <t>JÄMTLANDS LÄN</t>
        </is>
      </c>
      <c r="E503" t="inlineStr">
        <is>
          <t>BERG</t>
        </is>
      </c>
      <c r="G503" t="n">
        <v>23.7</v>
      </c>
      <c r="H503" t="n">
        <v>0</v>
      </c>
      <c r="I503" t="n">
        <v>0</v>
      </c>
      <c r="J503" t="n">
        <v>0</v>
      </c>
      <c r="K503" t="n">
        <v>0</v>
      </c>
      <c r="L503" t="n">
        <v>0</v>
      </c>
      <c r="M503" t="n">
        <v>0</v>
      </c>
      <c r="N503" t="n">
        <v>0</v>
      </c>
      <c r="O503" t="n">
        <v>0</v>
      </c>
      <c r="P503" t="n">
        <v>0</v>
      </c>
      <c r="Q503" t="n">
        <v>0</v>
      </c>
      <c r="R503" s="2" t="inlineStr"/>
    </row>
    <row r="504" ht="15" customHeight="1">
      <c r="A504" t="inlineStr">
        <is>
          <t>A 38962-2024</t>
        </is>
      </c>
      <c r="B504" s="1" t="n">
        <v>45548.36175925926</v>
      </c>
      <c r="C504" s="1" t="n">
        <v>46033</v>
      </c>
      <c r="D504" t="inlineStr">
        <is>
          <t>JÄMTLANDS LÄN</t>
        </is>
      </c>
      <c r="E504" t="inlineStr">
        <is>
          <t>BERG</t>
        </is>
      </c>
      <c r="G504" t="n">
        <v>2.2</v>
      </c>
      <c r="H504" t="n">
        <v>0</v>
      </c>
      <c r="I504" t="n">
        <v>0</v>
      </c>
      <c r="J504" t="n">
        <v>0</v>
      </c>
      <c r="K504" t="n">
        <v>0</v>
      </c>
      <c r="L504" t="n">
        <v>0</v>
      </c>
      <c r="M504" t="n">
        <v>0</v>
      </c>
      <c r="N504" t="n">
        <v>0</v>
      </c>
      <c r="O504" t="n">
        <v>0</v>
      </c>
      <c r="P504" t="n">
        <v>0</v>
      </c>
      <c r="Q504" t="n">
        <v>0</v>
      </c>
      <c r="R504" s="2" t="inlineStr"/>
    </row>
    <row r="505" ht="15" customHeight="1">
      <c r="A505" t="inlineStr">
        <is>
          <t>A 47135-2025</t>
        </is>
      </c>
      <c r="B505" s="1" t="n">
        <v>45929.69799768519</v>
      </c>
      <c r="C505" s="1" t="n">
        <v>46033</v>
      </c>
      <c r="D505" t="inlineStr">
        <is>
          <t>JÄMTLANDS LÄN</t>
        </is>
      </c>
      <c r="E505" t="inlineStr">
        <is>
          <t>BERG</t>
        </is>
      </c>
      <c r="G505" t="n">
        <v>0.6</v>
      </c>
      <c r="H505" t="n">
        <v>0</v>
      </c>
      <c r="I505" t="n">
        <v>0</v>
      </c>
      <c r="J505" t="n">
        <v>0</v>
      </c>
      <c r="K505" t="n">
        <v>0</v>
      </c>
      <c r="L505" t="n">
        <v>0</v>
      </c>
      <c r="M505" t="n">
        <v>0</v>
      </c>
      <c r="N505" t="n">
        <v>0</v>
      </c>
      <c r="O505" t="n">
        <v>0</v>
      </c>
      <c r="P505" t="n">
        <v>0</v>
      </c>
      <c r="Q505" t="n">
        <v>0</v>
      </c>
      <c r="R505" s="2" t="inlineStr"/>
    </row>
    <row r="506" ht="15" customHeight="1">
      <c r="A506" t="inlineStr">
        <is>
          <t>A 32879-2024</t>
        </is>
      </c>
      <c r="B506" s="1" t="n">
        <v>45516.68450231481</v>
      </c>
      <c r="C506" s="1" t="n">
        <v>46033</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46811-2025</t>
        </is>
      </c>
      <c r="B507" s="1" t="n">
        <v>45926.69831018519</v>
      </c>
      <c r="C507" s="1" t="n">
        <v>46033</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46033</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22020-2024</t>
        </is>
      </c>
      <c r="B509" s="1" t="n">
        <v>45443.5894675926</v>
      </c>
      <c r="C509" s="1" t="n">
        <v>46033</v>
      </c>
      <c r="D509" t="inlineStr">
        <is>
          <t>JÄMTLANDS LÄN</t>
        </is>
      </c>
      <c r="E509" t="inlineStr">
        <is>
          <t>BERG</t>
        </is>
      </c>
      <c r="G509" t="n">
        <v>4.9</v>
      </c>
      <c r="H509" t="n">
        <v>0</v>
      </c>
      <c r="I509" t="n">
        <v>0</v>
      </c>
      <c r="J509" t="n">
        <v>0</v>
      </c>
      <c r="K509" t="n">
        <v>0</v>
      </c>
      <c r="L509" t="n">
        <v>0</v>
      </c>
      <c r="M509" t="n">
        <v>0</v>
      </c>
      <c r="N509" t="n">
        <v>0</v>
      </c>
      <c r="O509" t="n">
        <v>0</v>
      </c>
      <c r="P509" t="n">
        <v>0</v>
      </c>
      <c r="Q509" t="n">
        <v>0</v>
      </c>
      <c r="R509" s="2" t="inlineStr"/>
    </row>
    <row r="510" ht="15" customHeight="1">
      <c r="A510" t="inlineStr">
        <is>
          <t>A 17748-2024</t>
        </is>
      </c>
      <c r="B510" s="1" t="n">
        <v>45418</v>
      </c>
      <c r="C510" s="1" t="n">
        <v>46033</v>
      </c>
      <c r="D510" t="inlineStr">
        <is>
          <t>JÄMTLANDS LÄN</t>
        </is>
      </c>
      <c r="E510" t="inlineStr">
        <is>
          <t>BERG</t>
        </is>
      </c>
      <c r="G510" t="n">
        <v>0.9</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46033</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18833-2024</t>
        </is>
      </c>
      <c r="B512" s="1" t="n">
        <v>45426.65157407407</v>
      </c>
      <c r="C512" s="1" t="n">
        <v>46033</v>
      </c>
      <c r="D512" t="inlineStr">
        <is>
          <t>JÄMTLANDS LÄN</t>
        </is>
      </c>
      <c r="E512" t="inlineStr">
        <is>
          <t>BERG</t>
        </is>
      </c>
      <c r="G512" t="n">
        <v>1.3</v>
      </c>
      <c r="H512" t="n">
        <v>0</v>
      </c>
      <c r="I512" t="n">
        <v>0</v>
      </c>
      <c r="J512" t="n">
        <v>0</v>
      </c>
      <c r="K512" t="n">
        <v>0</v>
      </c>
      <c r="L512" t="n">
        <v>0</v>
      </c>
      <c r="M512" t="n">
        <v>0</v>
      </c>
      <c r="N512" t="n">
        <v>0</v>
      </c>
      <c r="O512" t="n">
        <v>0</v>
      </c>
      <c r="P512" t="n">
        <v>0</v>
      </c>
      <c r="Q512" t="n">
        <v>0</v>
      </c>
      <c r="R512" s="2" t="inlineStr"/>
    </row>
    <row r="513" ht="15" customHeight="1">
      <c r="A513" t="inlineStr">
        <is>
          <t>A 31136-2025</t>
        </is>
      </c>
      <c r="B513" s="1" t="n">
        <v>45832.63599537037</v>
      </c>
      <c r="C513" s="1" t="n">
        <v>46033</v>
      </c>
      <c r="D513" t="inlineStr">
        <is>
          <t>JÄMTLANDS LÄN</t>
        </is>
      </c>
      <c r="E513" t="inlineStr">
        <is>
          <t>BERG</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60163-2025</t>
        </is>
      </c>
      <c r="B514" s="1" t="n">
        <v>45994.43094907407</v>
      </c>
      <c r="C514" s="1" t="n">
        <v>46033</v>
      </c>
      <c r="D514" t="inlineStr">
        <is>
          <t>JÄMTLANDS LÄN</t>
        </is>
      </c>
      <c r="E514" t="inlineStr">
        <is>
          <t>BERG</t>
        </is>
      </c>
      <c r="F514" t="inlineStr">
        <is>
          <t>Övriga Aktiebolag</t>
        </is>
      </c>
      <c r="G514" t="n">
        <v>7</v>
      </c>
      <c r="H514" t="n">
        <v>0</v>
      </c>
      <c r="I514" t="n">
        <v>0</v>
      </c>
      <c r="J514" t="n">
        <v>0</v>
      </c>
      <c r="K514" t="n">
        <v>0</v>
      </c>
      <c r="L514" t="n">
        <v>0</v>
      </c>
      <c r="M514" t="n">
        <v>0</v>
      </c>
      <c r="N514" t="n">
        <v>0</v>
      </c>
      <c r="O514" t="n">
        <v>0</v>
      </c>
      <c r="P514" t="n">
        <v>0</v>
      </c>
      <c r="Q514" t="n">
        <v>0</v>
      </c>
      <c r="R514" s="2" t="inlineStr"/>
    </row>
    <row r="515" ht="15" customHeight="1">
      <c r="A515" t="inlineStr">
        <is>
          <t>A 58176-2024</t>
        </is>
      </c>
      <c r="B515" s="1" t="n">
        <v>45632.46771990741</v>
      </c>
      <c r="C515" s="1" t="n">
        <v>46033</v>
      </c>
      <c r="D515" t="inlineStr">
        <is>
          <t>JÄMTLANDS LÄN</t>
        </is>
      </c>
      <c r="E515" t="inlineStr">
        <is>
          <t>BERG</t>
        </is>
      </c>
      <c r="G515" t="n">
        <v>14.4</v>
      </c>
      <c r="H515" t="n">
        <v>0</v>
      </c>
      <c r="I515" t="n">
        <v>0</v>
      </c>
      <c r="J515" t="n">
        <v>0</v>
      </c>
      <c r="K515" t="n">
        <v>0</v>
      </c>
      <c r="L515" t="n">
        <v>0</v>
      </c>
      <c r="M515" t="n">
        <v>0</v>
      </c>
      <c r="N515" t="n">
        <v>0</v>
      </c>
      <c r="O515" t="n">
        <v>0</v>
      </c>
      <c r="P515" t="n">
        <v>0</v>
      </c>
      <c r="Q515" t="n">
        <v>0</v>
      </c>
      <c r="R515" s="2" t="inlineStr"/>
    </row>
    <row r="516" ht="15" customHeight="1">
      <c r="A516" t="inlineStr">
        <is>
          <t>A 47428-2025</t>
        </is>
      </c>
      <c r="B516" s="1" t="n">
        <v>45930</v>
      </c>
      <c r="C516" s="1" t="n">
        <v>46033</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46033</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47533-2025</t>
        </is>
      </c>
      <c r="B518" s="1" t="n">
        <v>45931.34659722223</v>
      </c>
      <c r="C518" s="1" t="n">
        <v>46033</v>
      </c>
      <c r="D518" t="inlineStr">
        <is>
          <t>JÄMTLANDS LÄN</t>
        </is>
      </c>
      <c r="E518" t="inlineStr">
        <is>
          <t>BERG</t>
        </is>
      </c>
      <c r="G518" t="n">
        <v>3.1</v>
      </c>
      <c r="H518" t="n">
        <v>0</v>
      </c>
      <c r="I518" t="n">
        <v>0</v>
      </c>
      <c r="J518" t="n">
        <v>0</v>
      </c>
      <c r="K518" t="n">
        <v>0</v>
      </c>
      <c r="L518" t="n">
        <v>0</v>
      </c>
      <c r="M518" t="n">
        <v>0</v>
      </c>
      <c r="N518" t="n">
        <v>0</v>
      </c>
      <c r="O518" t="n">
        <v>0</v>
      </c>
      <c r="P518" t="n">
        <v>0</v>
      </c>
      <c r="Q518" t="n">
        <v>0</v>
      </c>
      <c r="R518" s="2" t="inlineStr"/>
    </row>
    <row r="519" ht="15" customHeight="1">
      <c r="A519" t="inlineStr">
        <is>
          <t>A 47430-2025</t>
        </is>
      </c>
      <c r="B519" s="1" t="n">
        <v>45930.63619212963</v>
      </c>
      <c r="C519" s="1" t="n">
        <v>46033</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47431-2025</t>
        </is>
      </c>
      <c r="B520" s="1" t="n">
        <v>45930.63626157407</v>
      </c>
      <c r="C520" s="1" t="n">
        <v>46033</v>
      </c>
      <c r="D520" t="inlineStr">
        <is>
          <t>JÄMTLANDS LÄN</t>
        </is>
      </c>
      <c r="E520" t="inlineStr">
        <is>
          <t>BERG</t>
        </is>
      </c>
      <c r="F520" t="inlineStr">
        <is>
          <t>SCA</t>
        </is>
      </c>
      <c r="G520" t="n">
        <v>9.5</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46033</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60635-2025</t>
        </is>
      </c>
      <c r="B522" s="1" t="n">
        <v>45996.42826388889</v>
      </c>
      <c r="C522" s="1" t="n">
        <v>46033</v>
      </c>
      <c r="D522" t="inlineStr">
        <is>
          <t>JÄMTLANDS LÄN</t>
        </is>
      </c>
      <c r="E522" t="inlineStr">
        <is>
          <t>BERG</t>
        </is>
      </c>
      <c r="F522" t="inlineStr">
        <is>
          <t>SCA</t>
        </is>
      </c>
      <c r="G522" t="n">
        <v>7.4</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46033</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47534-2025</t>
        </is>
      </c>
      <c r="B524" s="1" t="n">
        <v>45931.3466550926</v>
      </c>
      <c r="C524" s="1" t="n">
        <v>46033</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53085-2024</t>
        </is>
      </c>
      <c r="B525" s="1" t="n">
        <v>45611.51072916666</v>
      </c>
      <c r="C525" s="1" t="n">
        <v>46033</v>
      </c>
      <c r="D525" t="inlineStr">
        <is>
          <t>JÄMTLANDS LÄN</t>
        </is>
      </c>
      <c r="E525" t="inlineStr">
        <is>
          <t>BERG</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52562-2025</t>
        </is>
      </c>
      <c r="B526" s="1" t="n">
        <v>45954.57357638889</v>
      </c>
      <c r="C526" s="1" t="n">
        <v>46033</v>
      </c>
      <c r="D526" t="inlineStr">
        <is>
          <t>JÄMTLANDS LÄN</t>
        </is>
      </c>
      <c r="E526" t="inlineStr">
        <is>
          <t>BERG</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6982-2025</t>
        </is>
      </c>
      <c r="B527" s="1" t="n">
        <v>45701.55769675926</v>
      </c>
      <c r="C527" s="1" t="n">
        <v>46033</v>
      </c>
      <c r="D527" t="inlineStr">
        <is>
          <t>JÄMTLANDS LÄN</t>
        </is>
      </c>
      <c r="E527" t="inlineStr">
        <is>
          <t>BERG</t>
        </is>
      </c>
      <c r="G527" t="n">
        <v>6.8</v>
      </c>
      <c r="H527" t="n">
        <v>0</v>
      </c>
      <c r="I527" t="n">
        <v>0</v>
      </c>
      <c r="J527" t="n">
        <v>0</v>
      </c>
      <c r="K527" t="n">
        <v>0</v>
      </c>
      <c r="L527" t="n">
        <v>0</v>
      </c>
      <c r="M527" t="n">
        <v>0</v>
      </c>
      <c r="N527" t="n">
        <v>0</v>
      </c>
      <c r="O527" t="n">
        <v>0</v>
      </c>
      <c r="P527" t="n">
        <v>0</v>
      </c>
      <c r="Q527" t="n">
        <v>0</v>
      </c>
      <c r="R527" s="2" t="inlineStr"/>
    </row>
    <row r="528" ht="15" customHeight="1">
      <c r="A528" t="inlineStr">
        <is>
          <t>A 48250-2025</t>
        </is>
      </c>
      <c r="B528" s="1" t="n">
        <v>45933.55259259259</v>
      </c>
      <c r="C528" s="1" t="n">
        <v>46033</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32160-2025</t>
        </is>
      </c>
      <c r="B529" s="1" t="n">
        <v>45835.54142361111</v>
      </c>
      <c r="C529" s="1" t="n">
        <v>46033</v>
      </c>
      <c r="D529" t="inlineStr">
        <is>
          <t>JÄMTLANDS LÄN</t>
        </is>
      </c>
      <c r="E529" t="inlineStr">
        <is>
          <t>BERG</t>
        </is>
      </c>
      <c r="G529" t="n">
        <v>10.3</v>
      </c>
      <c r="H529" t="n">
        <v>0</v>
      </c>
      <c r="I529" t="n">
        <v>0</v>
      </c>
      <c r="J529" t="n">
        <v>0</v>
      </c>
      <c r="K529" t="n">
        <v>0</v>
      </c>
      <c r="L529" t="n">
        <v>0</v>
      </c>
      <c r="M529" t="n">
        <v>0</v>
      </c>
      <c r="N529" t="n">
        <v>0</v>
      </c>
      <c r="O529" t="n">
        <v>0</v>
      </c>
      <c r="P529" t="n">
        <v>0</v>
      </c>
      <c r="Q529" t="n">
        <v>0</v>
      </c>
      <c r="R529" s="2" t="inlineStr"/>
    </row>
    <row r="530" ht="15" customHeight="1">
      <c r="A530" t="inlineStr">
        <is>
          <t>A 31820-2025</t>
        </is>
      </c>
      <c r="B530" s="1" t="n">
        <v>45834.57930555556</v>
      </c>
      <c r="C530" s="1" t="n">
        <v>46033</v>
      </c>
      <c r="D530" t="inlineStr">
        <is>
          <t>JÄMTLANDS LÄN</t>
        </is>
      </c>
      <c r="E530" t="inlineStr">
        <is>
          <t>BERG</t>
        </is>
      </c>
      <c r="G530" t="n">
        <v>13.9</v>
      </c>
      <c r="H530" t="n">
        <v>0</v>
      </c>
      <c r="I530" t="n">
        <v>0</v>
      </c>
      <c r="J530" t="n">
        <v>0</v>
      </c>
      <c r="K530" t="n">
        <v>0</v>
      </c>
      <c r="L530" t="n">
        <v>0</v>
      </c>
      <c r="M530" t="n">
        <v>0</v>
      </c>
      <c r="N530" t="n">
        <v>0</v>
      </c>
      <c r="O530" t="n">
        <v>0</v>
      </c>
      <c r="P530" t="n">
        <v>0</v>
      </c>
      <c r="Q530" t="n">
        <v>0</v>
      </c>
      <c r="R530" s="2" t="inlineStr"/>
    </row>
    <row r="531" ht="15" customHeight="1">
      <c r="A531" t="inlineStr">
        <is>
          <t>A 48056-2025</t>
        </is>
      </c>
      <c r="B531" s="1" t="n">
        <v>45932.67946759259</v>
      </c>
      <c r="C531" s="1" t="n">
        <v>46033</v>
      </c>
      <c r="D531" t="inlineStr">
        <is>
          <t>JÄMTLANDS LÄN</t>
        </is>
      </c>
      <c r="E531" t="inlineStr">
        <is>
          <t>BERG</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32064-2023</t>
        </is>
      </c>
      <c r="B532" s="1" t="n">
        <v>45119.57108796296</v>
      </c>
      <c r="C532" s="1" t="n">
        <v>46033</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52933-2025</t>
        </is>
      </c>
      <c r="B533" s="1" t="n">
        <v>45957.62528935185</v>
      </c>
      <c r="C533" s="1" t="n">
        <v>46033</v>
      </c>
      <c r="D533" t="inlineStr">
        <is>
          <t>JÄMTLANDS LÄN</t>
        </is>
      </c>
      <c r="E533" t="inlineStr">
        <is>
          <t>BERG</t>
        </is>
      </c>
      <c r="G533" t="n">
        <v>10.1</v>
      </c>
      <c r="H533" t="n">
        <v>0</v>
      </c>
      <c r="I533" t="n">
        <v>0</v>
      </c>
      <c r="J533" t="n">
        <v>0</v>
      </c>
      <c r="K533" t="n">
        <v>0</v>
      </c>
      <c r="L533" t="n">
        <v>0</v>
      </c>
      <c r="M533" t="n">
        <v>0</v>
      </c>
      <c r="N533" t="n">
        <v>0</v>
      </c>
      <c r="O533" t="n">
        <v>0</v>
      </c>
      <c r="P533" t="n">
        <v>0</v>
      </c>
      <c r="Q533" t="n">
        <v>0</v>
      </c>
      <c r="R533" s="2" t="inlineStr"/>
    </row>
    <row r="534" ht="15" customHeight="1">
      <c r="A534" t="inlineStr">
        <is>
          <t>A 48209-2025</t>
        </is>
      </c>
      <c r="B534" s="1" t="n">
        <v>45933.4900462963</v>
      </c>
      <c r="C534" s="1" t="n">
        <v>46033</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60634-2025</t>
        </is>
      </c>
      <c r="B535" s="1" t="n">
        <v>45996.42805555555</v>
      </c>
      <c r="C535" s="1" t="n">
        <v>46033</v>
      </c>
      <c r="D535" t="inlineStr">
        <is>
          <t>JÄMTLANDS LÄN</t>
        </is>
      </c>
      <c r="E535" t="inlineStr">
        <is>
          <t>BERG</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47821-2025</t>
        </is>
      </c>
      <c r="B536" s="1" t="n">
        <v>45932.34421296296</v>
      </c>
      <c r="C536" s="1" t="n">
        <v>46033</v>
      </c>
      <c r="D536" t="inlineStr">
        <is>
          <t>JÄMTLANDS LÄN</t>
        </is>
      </c>
      <c r="E536" t="inlineStr">
        <is>
          <t>BERG</t>
        </is>
      </c>
      <c r="F536" t="inlineStr">
        <is>
          <t>SCA</t>
        </is>
      </c>
      <c r="G536" t="n">
        <v>7.6</v>
      </c>
      <c r="H536" t="n">
        <v>0</v>
      </c>
      <c r="I536" t="n">
        <v>0</v>
      </c>
      <c r="J536" t="n">
        <v>0</v>
      </c>
      <c r="K536" t="n">
        <v>0</v>
      </c>
      <c r="L536" t="n">
        <v>0</v>
      </c>
      <c r="M536" t="n">
        <v>0</v>
      </c>
      <c r="N536" t="n">
        <v>0</v>
      </c>
      <c r="O536" t="n">
        <v>0</v>
      </c>
      <c r="P536" t="n">
        <v>0</v>
      </c>
      <c r="Q536" t="n">
        <v>0</v>
      </c>
      <c r="R536" s="2" t="inlineStr"/>
    </row>
    <row r="537" ht="15" customHeight="1">
      <c r="A537" t="inlineStr">
        <is>
          <t>A 48168-2025</t>
        </is>
      </c>
      <c r="B537" s="1" t="n">
        <v>45933.43004629629</v>
      </c>
      <c r="C537" s="1" t="n">
        <v>46033</v>
      </c>
      <c r="D537" t="inlineStr">
        <is>
          <t>JÄMTLANDS LÄN</t>
        </is>
      </c>
      <c r="E537" t="inlineStr">
        <is>
          <t>BERG</t>
        </is>
      </c>
      <c r="G537" t="n">
        <v>1.2</v>
      </c>
      <c r="H537" t="n">
        <v>0</v>
      </c>
      <c r="I537" t="n">
        <v>0</v>
      </c>
      <c r="J537" t="n">
        <v>0</v>
      </c>
      <c r="K537" t="n">
        <v>0</v>
      </c>
      <c r="L537" t="n">
        <v>0</v>
      </c>
      <c r="M537" t="n">
        <v>0</v>
      </c>
      <c r="N537" t="n">
        <v>0</v>
      </c>
      <c r="O537" t="n">
        <v>0</v>
      </c>
      <c r="P537" t="n">
        <v>0</v>
      </c>
      <c r="Q537" t="n">
        <v>0</v>
      </c>
      <c r="R537" s="2" t="inlineStr"/>
    </row>
    <row r="538" ht="15" customHeight="1">
      <c r="A538" t="inlineStr">
        <is>
          <t>A 48190-2025</t>
        </is>
      </c>
      <c r="B538" s="1" t="n">
        <v>45933.46930555555</v>
      </c>
      <c r="C538" s="1" t="n">
        <v>46033</v>
      </c>
      <c r="D538" t="inlineStr">
        <is>
          <t>JÄMTLANDS LÄN</t>
        </is>
      </c>
      <c r="E538" t="inlineStr">
        <is>
          <t>BERG</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48508-2025</t>
        </is>
      </c>
      <c r="B539" s="1" t="n">
        <v>45936.3859837963</v>
      </c>
      <c r="C539" s="1" t="n">
        <v>46033</v>
      </c>
      <c r="D539" t="inlineStr">
        <is>
          <t>JÄMTLANDS LÄN</t>
        </is>
      </c>
      <c r="E539" t="inlineStr">
        <is>
          <t>BERG</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34819-2023</t>
        </is>
      </c>
      <c r="B540" s="1" t="n">
        <v>45140</v>
      </c>
      <c r="C540" s="1" t="n">
        <v>46033</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32713-2025</t>
        </is>
      </c>
      <c r="B541" s="1" t="n">
        <v>45839.36935185185</v>
      </c>
      <c r="C541" s="1" t="n">
        <v>46033</v>
      </c>
      <c r="D541" t="inlineStr">
        <is>
          <t>JÄMTLANDS LÄN</t>
        </is>
      </c>
      <c r="E541" t="inlineStr">
        <is>
          <t>BERG</t>
        </is>
      </c>
      <c r="G541" t="n">
        <v>1.5</v>
      </c>
      <c r="H541" t="n">
        <v>0</v>
      </c>
      <c r="I541" t="n">
        <v>0</v>
      </c>
      <c r="J541" t="n">
        <v>0</v>
      </c>
      <c r="K541" t="n">
        <v>0</v>
      </c>
      <c r="L541" t="n">
        <v>0</v>
      </c>
      <c r="M541" t="n">
        <v>0</v>
      </c>
      <c r="N541" t="n">
        <v>0</v>
      </c>
      <c r="O541" t="n">
        <v>0</v>
      </c>
      <c r="P541" t="n">
        <v>0</v>
      </c>
      <c r="Q541" t="n">
        <v>0</v>
      </c>
      <c r="R541" s="2" t="inlineStr"/>
    </row>
    <row r="542" ht="15" customHeight="1">
      <c r="A542" t="inlineStr">
        <is>
          <t>A 28403-2025</t>
        </is>
      </c>
      <c r="B542" s="1" t="n">
        <v>45819</v>
      </c>
      <c r="C542" s="1" t="n">
        <v>46033</v>
      </c>
      <c r="D542" t="inlineStr">
        <is>
          <t>JÄMTLANDS LÄN</t>
        </is>
      </c>
      <c r="E542" t="inlineStr">
        <is>
          <t>BERG</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50780-2021</t>
        </is>
      </c>
      <c r="B543" s="1" t="n">
        <v>44459</v>
      </c>
      <c r="C543" s="1" t="n">
        <v>46033</v>
      </c>
      <c r="D543" t="inlineStr">
        <is>
          <t>JÄMTLANDS LÄN</t>
        </is>
      </c>
      <c r="E543" t="inlineStr">
        <is>
          <t>BERG</t>
        </is>
      </c>
      <c r="G543" t="n">
        <v>3.5</v>
      </c>
      <c r="H543" t="n">
        <v>0</v>
      </c>
      <c r="I543" t="n">
        <v>0</v>
      </c>
      <c r="J543" t="n">
        <v>0</v>
      </c>
      <c r="K543" t="n">
        <v>0</v>
      </c>
      <c r="L543" t="n">
        <v>0</v>
      </c>
      <c r="M543" t="n">
        <v>0</v>
      </c>
      <c r="N543" t="n">
        <v>0</v>
      </c>
      <c r="O543" t="n">
        <v>0</v>
      </c>
      <c r="P543" t="n">
        <v>0</v>
      </c>
      <c r="Q543" t="n">
        <v>0</v>
      </c>
      <c r="R543" s="2" t="inlineStr"/>
    </row>
    <row r="544" ht="15" customHeight="1">
      <c r="A544" t="inlineStr">
        <is>
          <t>A 48511-2025</t>
        </is>
      </c>
      <c r="B544" s="1" t="n">
        <v>45936.3865162037</v>
      </c>
      <c r="C544" s="1" t="n">
        <v>46033</v>
      </c>
      <c r="D544" t="inlineStr">
        <is>
          <t>JÄMTLANDS LÄN</t>
        </is>
      </c>
      <c r="E544" t="inlineStr">
        <is>
          <t>BERG</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48704-2025</t>
        </is>
      </c>
      <c r="B545" s="1" t="n">
        <v>45936.6222337963</v>
      </c>
      <c r="C545" s="1" t="n">
        <v>46033</v>
      </c>
      <c r="D545" t="inlineStr">
        <is>
          <t>JÄMTLANDS LÄN</t>
        </is>
      </c>
      <c r="E545" t="inlineStr">
        <is>
          <t>BERG</t>
        </is>
      </c>
      <c r="G545" t="n">
        <v>2.7</v>
      </c>
      <c r="H545" t="n">
        <v>0</v>
      </c>
      <c r="I545" t="n">
        <v>0</v>
      </c>
      <c r="J545" t="n">
        <v>0</v>
      </c>
      <c r="K545" t="n">
        <v>0</v>
      </c>
      <c r="L545" t="n">
        <v>0</v>
      </c>
      <c r="M545" t="n">
        <v>0</v>
      </c>
      <c r="N545" t="n">
        <v>0</v>
      </c>
      <c r="O545" t="n">
        <v>0</v>
      </c>
      <c r="P545" t="n">
        <v>0</v>
      </c>
      <c r="Q545" t="n">
        <v>0</v>
      </c>
      <c r="R545" s="2" t="inlineStr"/>
    </row>
    <row r="546" ht="15" customHeight="1">
      <c r="A546" t="inlineStr">
        <is>
          <t>A 60831-2025</t>
        </is>
      </c>
      <c r="B546" s="1" t="n">
        <v>45999.46935185185</v>
      </c>
      <c r="C546" s="1" t="n">
        <v>46033</v>
      </c>
      <c r="D546" t="inlineStr">
        <is>
          <t>JÄMTLANDS LÄN</t>
        </is>
      </c>
      <c r="E546" t="inlineStr">
        <is>
          <t>BERG</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43279-2024</t>
        </is>
      </c>
      <c r="B547" s="1" t="n">
        <v>45568.3975462963</v>
      </c>
      <c r="C547" s="1" t="n">
        <v>46033</v>
      </c>
      <c r="D547" t="inlineStr">
        <is>
          <t>JÄMTLANDS LÄN</t>
        </is>
      </c>
      <c r="E547" t="inlineStr">
        <is>
          <t>BERG</t>
        </is>
      </c>
      <c r="G547" t="n">
        <v>7.6</v>
      </c>
      <c r="H547" t="n">
        <v>0</v>
      </c>
      <c r="I547" t="n">
        <v>0</v>
      </c>
      <c r="J547" t="n">
        <v>0</v>
      </c>
      <c r="K547" t="n">
        <v>0</v>
      </c>
      <c r="L547" t="n">
        <v>0</v>
      </c>
      <c r="M547" t="n">
        <v>0</v>
      </c>
      <c r="N547" t="n">
        <v>0</v>
      </c>
      <c r="O547" t="n">
        <v>0</v>
      </c>
      <c r="P547" t="n">
        <v>0</v>
      </c>
      <c r="Q547" t="n">
        <v>0</v>
      </c>
      <c r="R547" s="2" t="inlineStr"/>
    </row>
    <row r="548" ht="15" customHeight="1">
      <c r="A548" t="inlineStr">
        <is>
          <t>A 32919-2025</t>
        </is>
      </c>
      <c r="B548" s="1" t="n">
        <v>45839.64721064815</v>
      </c>
      <c r="C548" s="1" t="n">
        <v>46033</v>
      </c>
      <c r="D548" t="inlineStr">
        <is>
          <t>JÄMTLANDS LÄN</t>
        </is>
      </c>
      <c r="E548" t="inlineStr">
        <is>
          <t>BERG</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52938-2025</t>
        </is>
      </c>
      <c r="B549" s="1" t="n">
        <v>45957.63680555556</v>
      </c>
      <c r="C549" s="1" t="n">
        <v>46033</v>
      </c>
      <c r="D549" t="inlineStr">
        <is>
          <t>JÄMTLANDS LÄN</t>
        </is>
      </c>
      <c r="E549" t="inlineStr">
        <is>
          <t>BERG</t>
        </is>
      </c>
      <c r="G549" t="n">
        <v>3.6</v>
      </c>
      <c r="H549" t="n">
        <v>0</v>
      </c>
      <c r="I549" t="n">
        <v>0</v>
      </c>
      <c r="J549" t="n">
        <v>0</v>
      </c>
      <c r="K549" t="n">
        <v>0</v>
      </c>
      <c r="L549" t="n">
        <v>0</v>
      </c>
      <c r="M549" t="n">
        <v>0</v>
      </c>
      <c r="N549" t="n">
        <v>0</v>
      </c>
      <c r="O549" t="n">
        <v>0</v>
      </c>
      <c r="P549" t="n">
        <v>0</v>
      </c>
      <c r="Q549" t="n">
        <v>0</v>
      </c>
      <c r="R549" s="2" t="inlineStr"/>
    </row>
    <row r="550" ht="15" customHeight="1">
      <c r="A550" t="inlineStr">
        <is>
          <t>A 48865-2025</t>
        </is>
      </c>
      <c r="B550" s="1" t="n">
        <v>45937.44760416666</v>
      </c>
      <c r="C550" s="1" t="n">
        <v>46033</v>
      </c>
      <c r="D550" t="inlineStr">
        <is>
          <t>JÄMTLANDS LÄN</t>
        </is>
      </c>
      <c r="E550" t="inlineStr">
        <is>
          <t>BERG</t>
        </is>
      </c>
      <c r="G550" t="n">
        <v>5.8</v>
      </c>
      <c r="H550" t="n">
        <v>0</v>
      </c>
      <c r="I550" t="n">
        <v>0</v>
      </c>
      <c r="J550" t="n">
        <v>0</v>
      </c>
      <c r="K550" t="n">
        <v>0</v>
      </c>
      <c r="L550" t="n">
        <v>0</v>
      </c>
      <c r="M550" t="n">
        <v>0</v>
      </c>
      <c r="N550" t="n">
        <v>0</v>
      </c>
      <c r="O550" t="n">
        <v>0</v>
      </c>
      <c r="P550" t="n">
        <v>0</v>
      </c>
      <c r="Q550" t="n">
        <v>0</v>
      </c>
      <c r="R550" s="2" t="inlineStr"/>
    </row>
    <row r="551" ht="15" customHeight="1">
      <c r="A551" t="inlineStr">
        <is>
          <t>A 48968-2025</t>
        </is>
      </c>
      <c r="B551" s="1" t="n">
        <v>45937.56285879629</v>
      </c>
      <c r="C551" s="1" t="n">
        <v>46033</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48770-2025</t>
        </is>
      </c>
      <c r="B552" s="1" t="n">
        <v>45936.91108796297</v>
      </c>
      <c r="C552" s="1" t="n">
        <v>46033</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46033</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49041-2025</t>
        </is>
      </c>
      <c r="B554" s="1" t="n">
        <v>45937.63592592593</v>
      </c>
      <c r="C554" s="1" t="n">
        <v>46033</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33054-2025</t>
        </is>
      </c>
      <c r="B555" s="1" t="n">
        <v>45840.42746527777</v>
      </c>
      <c r="C555" s="1" t="n">
        <v>46033</v>
      </c>
      <c r="D555" t="inlineStr">
        <is>
          <t>JÄMTLANDS LÄN</t>
        </is>
      </c>
      <c r="E555" t="inlineStr">
        <is>
          <t>BERG</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37093-2024</t>
        </is>
      </c>
      <c r="B556" s="1" t="n">
        <v>45539.50018518518</v>
      </c>
      <c r="C556" s="1" t="n">
        <v>46033</v>
      </c>
      <c r="D556" t="inlineStr">
        <is>
          <t>JÄMTLANDS LÄN</t>
        </is>
      </c>
      <c r="E556" t="inlineStr">
        <is>
          <t>BERG</t>
        </is>
      </c>
      <c r="F556" t="inlineStr">
        <is>
          <t>Övriga Aktiebolag</t>
        </is>
      </c>
      <c r="G556" t="n">
        <v>15.4</v>
      </c>
      <c r="H556" t="n">
        <v>0</v>
      </c>
      <c r="I556" t="n">
        <v>0</v>
      </c>
      <c r="J556" t="n">
        <v>0</v>
      </c>
      <c r="K556" t="n">
        <v>0</v>
      </c>
      <c r="L556" t="n">
        <v>0</v>
      </c>
      <c r="M556" t="n">
        <v>0</v>
      </c>
      <c r="N556" t="n">
        <v>0</v>
      </c>
      <c r="O556" t="n">
        <v>0</v>
      </c>
      <c r="P556" t="n">
        <v>0</v>
      </c>
      <c r="Q556" t="n">
        <v>0</v>
      </c>
      <c r="R556" s="2" t="inlineStr"/>
    </row>
    <row r="557" ht="15" customHeight="1">
      <c r="A557" t="inlineStr">
        <is>
          <t>A 49573-2025</t>
        </is>
      </c>
      <c r="B557" s="1" t="n">
        <v>45939.49037037037</v>
      </c>
      <c r="C557" s="1" t="n">
        <v>46033</v>
      </c>
      <c r="D557" t="inlineStr">
        <is>
          <t>JÄMTLANDS LÄN</t>
        </is>
      </c>
      <c r="E557" t="inlineStr">
        <is>
          <t>BERG</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49349-2025</t>
        </is>
      </c>
      <c r="B558" s="1" t="n">
        <v>45938.61060185185</v>
      </c>
      <c r="C558" s="1" t="n">
        <v>46033</v>
      </c>
      <c r="D558" t="inlineStr">
        <is>
          <t>JÄMTLANDS LÄN</t>
        </is>
      </c>
      <c r="E558" t="inlineStr">
        <is>
          <t>BERG</t>
        </is>
      </c>
      <c r="G558" t="n">
        <v>2.5</v>
      </c>
      <c r="H558" t="n">
        <v>0</v>
      </c>
      <c r="I558" t="n">
        <v>0</v>
      </c>
      <c r="J558" t="n">
        <v>0</v>
      </c>
      <c r="K558" t="n">
        <v>0</v>
      </c>
      <c r="L558" t="n">
        <v>0</v>
      </c>
      <c r="M558" t="n">
        <v>0</v>
      </c>
      <c r="N558" t="n">
        <v>0</v>
      </c>
      <c r="O558" t="n">
        <v>0</v>
      </c>
      <c r="P558" t="n">
        <v>0</v>
      </c>
      <c r="Q558" t="n">
        <v>0</v>
      </c>
      <c r="R558" s="2" t="inlineStr"/>
    </row>
    <row r="559" ht="15" customHeight="1">
      <c r="A559" t="inlineStr">
        <is>
          <t>A 49604-2025</t>
        </is>
      </c>
      <c r="B559" s="1" t="n">
        <v>45939.55241898148</v>
      </c>
      <c r="C559" s="1" t="n">
        <v>46033</v>
      </c>
      <c r="D559" t="inlineStr">
        <is>
          <t>JÄMTLANDS LÄN</t>
        </is>
      </c>
      <c r="E559" t="inlineStr">
        <is>
          <t>BERG</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49918-2025</t>
        </is>
      </c>
      <c r="B560" s="1" t="n">
        <v>45940.6290625</v>
      </c>
      <c r="C560" s="1" t="n">
        <v>46033</v>
      </c>
      <c r="D560" t="inlineStr">
        <is>
          <t>JÄMTLANDS LÄN</t>
        </is>
      </c>
      <c r="E560" t="inlineStr">
        <is>
          <t>BERG</t>
        </is>
      </c>
      <c r="G560" t="n">
        <v>0.7</v>
      </c>
      <c r="H560" t="n">
        <v>0</v>
      </c>
      <c r="I560" t="n">
        <v>0</v>
      </c>
      <c r="J560" t="n">
        <v>0</v>
      </c>
      <c r="K560" t="n">
        <v>0</v>
      </c>
      <c r="L560" t="n">
        <v>0</v>
      </c>
      <c r="M560" t="n">
        <v>0</v>
      </c>
      <c r="N560" t="n">
        <v>0</v>
      </c>
      <c r="O560" t="n">
        <v>0</v>
      </c>
      <c r="P560" t="n">
        <v>0</v>
      </c>
      <c r="Q560" t="n">
        <v>0</v>
      </c>
      <c r="R560" s="2" t="inlineStr"/>
    </row>
    <row r="561" ht="15" customHeight="1">
      <c r="A561" t="inlineStr">
        <is>
          <t>A 10861-2024</t>
        </is>
      </c>
      <c r="B561" s="1" t="n">
        <v>45370.01967592593</v>
      </c>
      <c r="C561" s="1" t="n">
        <v>46033</v>
      </c>
      <c r="D561" t="inlineStr">
        <is>
          <t>JÄMTLANDS LÄN</t>
        </is>
      </c>
      <c r="E561" t="inlineStr">
        <is>
          <t>BERG</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33750-2025</t>
        </is>
      </c>
      <c r="B562" s="1" t="n">
        <v>45842.36243055556</v>
      </c>
      <c r="C562" s="1" t="n">
        <v>46033</v>
      </c>
      <c r="D562" t="inlineStr">
        <is>
          <t>JÄMTLANDS LÄN</t>
        </is>
      </c>
      <c r="E562" t="inlineStr">
        <is>
          <t>BERG</t>
        </is>
      </c>
      <c r="G562" t="n">
        <v>0.9</v>
      </c>
      <c r="H562" t="n">
        <v>0</v>
      </c>
      <c r="I562" t="n">
        <v>0</v>
      </c>
      <c r="J562" t="n">
        <v>0</v>
      </c>
      <c r="K562" t="n">
        <v>0</v>
      </c>
      <c r="L562" t="n">
        <v>0</v>
      </c>
      <c r="M562" t="n">
        <v>0</v>
      </c>
      <c r="N562" t="n">
        <v>0</v>
      </c>
      <c r="O562" t="n">
        <v>0</v>
      </c>
      <c r="P562" t="n">
        <v>0</v>
      </c>
      <c r="Q562" t="n">
        <v>0</v>
      </c>
      <c r="R562" s="2" t="inlineStr"/>
    </row>
    <row r="563" ht="15" customHeight="1">
      <c r="A563" t="inlineStr">
        <is>
          <t>A 50024-2025</t>
        </is>
      </c>
      <c r="B563" s="1" t="n">
        <v>45943.37563657408</v>
      </c>
      <c r="C563" s="1" t="n">
        <v>46033</v>
      </c>
      <c r="D563" t="inlineStr">
        <is>
          <t>JÄMTLANDS LÄN</t>
        </is>
      </c>
      <c r="E563" t="inlineStr">
        <is>
          <t>BERG</t>
        </is>
      </c>
      <c r="G563" t="n">
        <v>2.7</v>
      </c>
      <c r="H563" t="n">
        <v>0</v>
      </c>
      <c r="I563" t="n">
        <v>0</v>
      </c>
      <c r="J563" t="n">
        <v>0</v>
      </c>
      <c r="K563" t="n">
        <v>0</v>
      </c>
      <c r="L563" t="n">
        <v>0</v>
      </c>
      <c r="M563" t="n">
        <v>0</v>
      </c>
      <c r="N563" t="n">
        <v>0</v>
      </c>
      <c r="O563" t="n">
        <v>0</v>
      </c>
      <c r="P563" t="n">
        <v>0</v>
      </c>
      <c r="Q563" t="n">
        <v>0</v>
      </c>
      <c r="R563" s="2" t="inlineStr"/>
    </row>
    <row r="564" ht="15" customHeight="1">
      <c r="A564" t="inlineStr">
        <is>
          <t>A 50094-2025</t>
        </is>
      </c>
      <c r="B564" s="1" t="n">
        <v>45943.49340277778</v>
      </c>
      <c r="C564" s="1" t="n">
        <v>46033</v>
      </c>
      <c r="D564" t="inlineStr">
        <is>
          <t>JÄMTLANDS LÄN</t>
        </is>
      </c>
      <c r="E564" t="inlineStr">
        <is>
          <t>BERG</t>
        </is>
      </c>
      <c r="G564" t="n">
        <v>3</v>
      </c>
      <c r="H564" t="n">
        <v>0</v>
      </c>
      <c r="I564" t="n">
        <v>0</v>
      </c>
      <c r="J564" t="n">
        <v>0</v>
      </c>
      <c r="K564" t="n">
        <v>0</v>
      </c>
      <c r="L564" t="n">
        <v>0</v>
      </c>
      <c r="M564" t="n">
        <v>0</v>
      </c>
      <c r="N564" t="n">
        <v>0</v>
      </c>
      <c r="O564" t="n">
        <v>0</v>
      </c>
      <c r="P564" t="n">
        <v>0</v>
      </c>
      <c r="Q564" t="n">
        <v>0</v>
      </c>
      <c r="R564" s="2" t="inlineStr"/>
    </row>
    <row r="565" ht="15" customHeight="1">
      <c r="A565" t="inlineStr">
        <is>
          <t>A 33748-2025</t>
        </is>
      </c>
      <c r="B565" s="1" t="n">
        <v>45842.35685185185</v>
      </c>
      <c r="C565" s="1" t="n">
        <v>46033</v>
      </c>
      <c r="D565" t="inlineStr">
        <is>
          <t>JÄMTLANDS LÄN</t>
        </is>
      </c>
      <c r="E565" t="inlineStr">
        <is>
          <t>BERG</t>
        </is>
      </c>
      <c r="G565" t="n">
        <v>2.1</v>
      </c>
      <c r="H565" t="n">
        <v>0</v>
      </c>
      <c r="I565" t="n">
        <v>0</v>
      </c>
      <c r="J565" t="n">
        <v>0</v>
      </c>
      <c r="K565" t="n">
        <v>0</v>
      </c>
      <c r="L565" t="n">
        <v>0</v>
      </c>
      <c r="M565" t="n">
        <v>0</v>
      </c>
      <c r="N565" t="n">
        <v>0</v>
      </c>
      <c r="O565" t="n">
        <v>0</v>
      </c>
      <c r="P565" t="n">
        <v>0</v>
      </c>
      <c r="Q565" t="n">
        <v>0</v>
      </c>
      <c r="R565" s="2" t="inlineStr"/>
    </row>
    <row r="566" ht="15" customHeight="1">
      <c r="A566" t="inlineStr">
        <is>
          <t>A 49749-2025</t>
        </is>
      </c>
      <c r="B566" s="1" t="n">
        <v>45940.34486111111</v>
      </c>
      <c r="C566" s="1" t="n">
        <v>46033</v>
      </c>
      <c r="D566" t="inlineStr">
        <is>
          <t>JÄMTLANDS LÄN</t>
        </is>
      </c>
      <c r="E566" t="inlineStr">
        <is>
          <t>BERG</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50020-2025</t>
        </is>
      </c>
      <c r="B567" s="1" t="n">
        <v>45943.36899305556</v>
      </c>
      <c r="C567" s="1" t="n">
        <v>46033</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50231-2025</t>
        </is>
      </c>
      <c r="B568" s="1" t="n">
        <v>45943.70643518519</v>
      </c>
      <c r="C568" s="1" t="n">
        <v>46033</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50233-2025</t>
        </is>
      </c>
      <c r="B569" s="1" t="n">
        <v>45943.71228009259</v>
      </c>
      <c r="C569" s="1" t="n">
        <v>46033</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34030-2025</t>
        </is>
      </c>
      <c r="B570" s="1" t="n">
        <v>45845.3633912037</v>
      </c>
      <c r="C570" s="1" t="n">
        <v>46033</v>
      </c>
      <c r="D570" t="inlineStr">
        <is>
          <t>JÄMTLANDS LÄN</t>
        </is>
      </c>
      <c r="E570" t="inlineStr">
        <is>
          <t>BERG</t>
        </is>
      </c>
      <c r="G570" t="n">
        <v>13.5</v>
      </c>
      <c r="H570" t="n">
        <v>0</v>
      </c>
      <c r="I570" t="n">
        <v>0</v>
      </c>
      <c r="J570" t="n">
        <v>0</v>
      </c>
      <c r="K570" t="n">
        <v>0</v>
      </c>
      <c r="L570" t="n">
        <v>0</v>
      </c>
      <c r="M570" t="n">
        <v>0</v>
      </c>
      <c r="N570" t="n">
        <v>0</v>
      </c>
      <c r="O570" t="n">
        <v>0</v>
      </c>
      <c r="P570" t="n">
        <v>0</v>
      </c>
      <c r="Q570" t="n">
        <v>0</v>
      </c>
      <c r="R570" s="2" t="inlineStr"/>
    </row>
    <row r="571" ht="15" customHeight="1">
      <c r="A571" t="inlineStr">
        <is>
          <t>A 33753-2025</t>
        </is>
      </c>
      <c r="B571" s="1" t="n">
        <v>45842.37199074074</v>
      </c>
      <c r="C571" s="1" t="n">
        <v>46033</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34036-2025</t>
        </is>
      </c>
      <c r="B572" s="1" t="n">
        <v>45845.36954861111</v>
      </c>
      <c r="C572" s="1" t="n">
        <v>46033</v>
      </c>
      <c r="D572" t="inlineStr">
        <is>
          <t>JÄMTLANDS LÄN</t>
        </is>
      </c>
      <c r="E572" t="inlineStr">
        <is>
          <t>BERG</t>
        </is>
      </c>
      <c r="G572" t="n">
        <v>4.8</v>
      </c>
      <c r="H572" t="n">
        <v>0</v>
      </c>
      <c r="I572" t="n">
        <v>0</v>
      </c>
      <c r="J572" t="n">
        <v>0</v>
      </c>
      <c r="K572" t="n">
        <v>0</v>
      </c>
      <c r="L572" t="n">
        <v>0</v>
      </c>
      <c r="M572" t="n">
        <v>0</v>
      </c>
      <c r="N572" t="n">
        <v>0</v>
      </c>
      <c r="O572" t="n">
        <v>0</v>
      </c>
      <c r="P572" t="n">
        <v>0</v>
      </c>
      <c r="Q572" t="n">
        <v>0</v>
      </c>
      <c r="R572" s="2" t="inlineStr"/>
    </row>
    <row r="573" ht="15" customHeight="1">
      <c r="A573" t="inlineStr">
        <is>
          <t>A 50227-2025</t>
        </is>
      </c>
      <c r="B573" s="1" t="n">
        <v>45943.69686342592</v>
      </c>
      <c r="C573" s="1" t="n">
        <v>46033</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50230-2025</t>
        </is>
      </c>
      <c r="B574" s="1" t="n">
        <v>45943.70216435185</v>
      </c>
      <c r="C574" s="1" t="n">
        <v>46033</v>
      </c>
      <c r="D574" t="inlineStr">
        <is>
          <t>JÄMTLANDS LÄN</t>
        </is>
      </c>
      <c r="E574" t="inlineStr">
        <is>
          <t>BERG</t>
        </is>
      </c>
      <c r="G574" t="n">
        <v>6.3</v>
      </c>
      <c r="H574" t="n">
        <v>0</v>
      </c>
      <c r="I574" t="n">
        <v>0</v>
      </c>
      <c r="J574" t="n">
        <v>0</v>
      </c>
      <c r="K574" t="n">
        <v>0</v>
      </c>
      <c r="L574" t="n">
        <v>0</v>
      </c>
      <c r="M574" t="n">
        <v>0</v>
      </c>
      <c r="N574" t="n">
        <v>0</v>
      </c>
      <c r="O574" t="n">
        <v>0</v>
      </c>
      <c r="P574" t="n">
        <v>0</v>
      </c>
      <c r="Q574" t="n">
        <v>0</v>
      </c>
      <c r="R574" s="2" t="inlineStr"/>
    </row>
    <row r="575" ht="15" customHeight="1">
      <c r="A575" t="inlineStr">
        <is>
          <t>A 21679-2023</t>
        </is>
      </c>
      <c r="B575" s="1" t="n">
        <v>45063.94199074074</v>
      </c>
      <c r="C575" s="1" t="n">
        <v>46033</v>
      </c>
      <c r="D575" t="inlineStr">
        <is>
          <t>JÄMTLANDS LÄN</t>
        </is>
      </c>
      <c r="E575" t="inlineStr">
        <is>
          <t>BERG</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50435-2025</t>
        </is>
      </c>
      <c r="B576" s="1" t="n">
        <v>45944.6984837963</v>
      </c>
      <c r="C576" s="1" t="n">
        <v>46033</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50273-2025</t>
        </is>
      </c>
      <c r="B577" s="1" t="n">
        <v>45944.36600694444</v>
      </c>
      <c r="C577" s="1" t="n">
        <v>46033</v>
      </c>
      <c r="D577" t="inlineStr">
        <is>
          <t>JÄMTLANDS LÄN</t>
        </is>
      </c>
      <c r="E577" t="inlineStr">
        <is>
          <t>BERG</t>
        </is>
      </c>
      <c r="G577" t="n">
        <v>5.7</v>
      </c>
      <c r="H577" t="n">
        <v>0</v>
      </c>
      <c r="I577" t="n">
        <v>0</v>
      </c>
      <c r="J577" t="n">
        <v>0</v>
      </c>
      <c r="K577" t="n">
        <v>0</v>
      </c>
      <c r="L577" t="n">
        <v>0</v>
      </c>
      <c r="M577" t="n">
        <v>0</v>
      </c>
      <c r="N577" t="n">
        <v>0</v>
      </c>
      <c r="O577" t="n">
        <v>0</v>
      </c>
      <c r="P577" t="n">
        <v>0</v>
      </c>
      <c r="Q577" t="n">
        <v>0</v>
      </c>
      <c r="R577" s="2" t="inlineStr"/>
    </row>
    <row r="578" ht="15" customHeight="1">
      <c r="A578" t="inlineStr">
        <is>
          <t>A 50408-2025</t>
        </is>
      </c>
      <c r="B578" s="1" t="n">
        <v>45944.64006944445</v>
      </c>
      <c r="C578" s="1" t="n">
        <v>46033</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43458-2025</t>
        </is>
      </c>
      <c r="B579" s="1" t="n">
        <v>45911.46315972223</v>
      </c>
      <c r="C579" s="1" t="n">
        <v>46033</v>
      </c>
      <c r="D579" t="inlineStr">
        <is>
          <t>JÄMTLANDS LÄN</t>
        </is>
      </c>
      <c r="E579" t="inlineStr">
        <is>
          <t>BERG</t>
        </is>
      </c>
      <c r="G579" t="n">
        <v>11.2</v>
      </c>
      <c r="H579" t="n">
        <v>0</v>
      </c>
      <c r="I579" t="n">
        <v>0</v>
      </c>
      <c r="J579" t="n">
        <v>0</v>
      </c>
      <c r="K579" t="n">
        <v>0</v>
      </c>
      <c r="L579" t="n">
        <v>0</v>
      </c>
      <c r="M579" t="n">
        <v>0</v>
      </c>
      <c r="N579" t="n">
        <v>0</v>
      </c>
      <c r="O579" t="n">
        <v>0</v>
      </c>
      <c r="P579" t="n">
        <v>0</v>
      </c>
      <c r="Q579" t="n">
        <v>0</v>
      </c>
      <c r="R579" s="2" t="inlineStr"/>
    </row>
    <row r="580" ht="15" customHeight="1">
      <c r="A580" t="inlineStr">
        <is>
          <t>A 50562-2025</t>
        </is>
      </c>
      <c r="B580" s="1" t="n">
        <v>45945.55256944444</v>
      </c>
      <c r="C580" s="1" t="n">
        <v>46033</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22947-2022</t>
        </is>
      </c>
      <c r="B581" s="1" t="n">
        <v>44715.92443287037</v>
      </c>
      <c r="C581" s="1" t="n">
        <v>46033</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50531-2025</t>
        </is>
      </c>
      <c r="B582" s="1" t="n">
        <v>45945.47693287037</v>
      </c>
      <c r="C582" s="1" t="n">
        <v>46033</v>
      </c>
      <c r="D582" t="inlineStr">
        <is>
          <t>JÄMTLANDS LÄN</t>
        </is>
      </c>
      <c r="E582" t="inlineStr">
        <is>
          <t>BERG</t>
        </is>
      </c>
      <c r="G582" t="n">
        <v>13.9</v>
      </c>
      <c r="H582" t="n">
        <v>0</v>
      </c>
      <c r="I582" t="n">
        <v>0</v>
      </c>
      <c r="J582" t="n">
        <v>0</v>
      </c>
      <c r="K582" t="n">
        <v>0</v>
      </c>
      <c r="L582" t="n">
        <v>0</v>
      </c>
      <c r="M582" t="n">
        <v>0</v>
      </c>
      <c r="N582" t="n">
        <v>0</v>
      </c>
      <c r="O582" t="n">
        <v>0</v>
      </c>
      <c r="P582" t="n">
        <v>0</v>
      </c>
      <c r="Q582" t="n">
        <v>0</v>
      </c>
      <c r="R582" s="2" t="inlineStr"/>
    </row>
    <row r="583" ht="15" customHeight="1">
      <c r="A583" t="inlineStr">
        <is>
          <t>A 50547-2025</t>
        </is>
      </c>
      <c r="B583" s="1" t="n">
        <v>45945.51104166666</v>
      </c>
      <c r="C583" s="1" t="n">
        <v>46033</v>
      </c>
      <c r="D583" t="inlineStr">
        <is>
          <t>JÄMTLANDS LÄN</t>
        </is>
      </c>
      <c r="E583" t="inlineStr">
        <is>
          <t>BERG</t>
        </is>
      </c>
      <c r="F583" t="inlineStr">
        <is>
          <t>SCA</t>
        </is>
      </c>
      <c r="G583" t="n">
        <v>12.6</v>
      </c>
      <c r="H583" t="n">
        <v>0</v>
      </c>
      <c r="I583" t="n">
        <v>0</v>
      </c>
      <c r="J583" t="n">
        <v>0</v>
      </c>
      <c r="K583" t="n">
        <v>0</v>
      </c>
      <c r="L583" t="n">
        <v>0</v>
      </c>
      <c r="M583" t="n">
        <v>0</v>
      </c>
      <c r="N583" t="n">
        <v>0</v>
      </c>
      <c r="O583" t="n">
        <v>0</v>
      </c>
      <c r="P583" t="n">
        <v>0</v>
      </c>
      <c r="Q583" t="n">
        <v>0</v>
      </c>
      <c r="R583" s="2" t="inlineStr"/>
    </row>
    <row r="584" ht="15" customHeight="1">
      <c r="A584" t="inlineStr">
        <is>
          <t>A 20268-2024</t>
        </is>
      </c>
      <c r="B584" s="1" t="n">
        <v>45434.94887731481</v>
      </c>
      <c r="C584" s="1" t="n">
        <v>46033</v>
      </c>
      <c r="D584" t="inlineStr">
        <is>
          <t>JÄMTLANDS LÄN</t>
        </is>
      </c>
      <c r="E584" t="inlineStr">
        <is>
          <t>BERG</t>
        </is>
      </c>
      <c r="F584" t="inlineStr">
        <is>
          <t>SCA</t>
        </is>
      </c>
      <c r="G584" t="n">
        <v>4.9</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46033</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50458-2025</t>
        </is>
      </c>
      <c r="B586" s="1" t="n">
        <v>45945</v>
      </c>
      <c r="C586" s="1" t="n">
        <v>46033</v>
      </c>
      <c r="D586" t="inlineStr">
        <is>
          <t>JÄMTLANDS LÄN</t>
        </is>
      </c>
      <c r="E586" t="inlineStr">
        <is>
          <t>BERG</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60632-2025</t>
        </is>
      </c>
      <c r="B587" s="1" t="n">
        <v>45996.42769675926</v>
      </c>
      <c r="C587" s="1" t="n">
        <v>46033</v>
      </c>
      <c r="D587" t="inlineStr">
        <is>
          <t>JÄMTLANDS LÄN</t>
        </is>
      </c>
      <c r="E587" t="inlineStr">
        <is>
          <t>BERG</t>
        </is>
      </c>
      <c r="F587" t="inlineStr">
        <is>
          <t>SCA</t>
        </is>
      </c>
      <c r="G587" t="n">
        <v>18.2</v>
      </c>
      <c r="H587" t="n">
        <v>0</v>
      </c>
      <c r="I587" t="n">
        <v>0</v>
      </c>
      <c r="J587" t="n">
        <v>0</v>
      </c>
      <c r="K587" t="n">
        <v>0</v>
      </c>
      <c r="L587" t="n">
        <v>0</v>
      </c>
      <c r="M587" t="n">
        <v>0</v>
      </c>
      <c r="N587" t="n">
        <v>0</v>
      </c>
      <c r="O587" t="n">
        <v>0</v>
      </c>
      <c r="P587" t="n">
        <v>0</v>
      </c>
      <c r="Q587" t="n">
        <v>0</v>
      </c>
      <c r="R587" s="2" t="inlineStr"/>
    </row>
    <row r="588" ht="15" customHeight="1">
      <c r="A588" t="inlineStr">
        <is>
          <t>A 31155-2024</t>
        </is>
      </c>
      <c r="B588" s="1" t="n">
        <v>45503</v>
      </c>
      <c r="C588" s="1" t="n">
        <v>46033</v>
      </c>
      <c r="D588" t="inlineStr">
        <is>
          <t>JÄMTLANDS LÄN</t>
        </is>
      </c>
      <c r="E588" t="inlineStr">
        <is>
          <t>BERG</t>
        </is>
      </c>
      <c r="G588" t="n">
        <v>1.2</v>
      </c>
      <c r="H588" t="n">
        <v>0</v>
      </c>
      <c r="I588" t="n">
        <v>0</v>
      </c>
      <c r="J588" t="n">
        <v>0</v>
      </c>
      <c r="K588" t="n">
        <v>0</v>
      </c>
      <c r="L588" t="n">
        <v>0</v>
      </c>
      <c r="M588" t="n">
        <v>0</v>
      </c>
      <c r="N588" t="n">
        <v>0</v>
      </c>
      <c r="O588" t="n">
        <v>0</v>
      </c>
      <c r="P588" t="n">
        <v>0</v>
      </c>
      <c r="Q588" t="n">
        <v>0</v>
      </c>
      <c r="R588" s="2" t="inlineStr"/>
    </row>
    <row r="589" ht="15" customHeight="1">
      <c r="A589" t="inlineStr">
        <is>
          <t>A 34892-2025</t>
        </is>
      </c>
      <c r="B589" s="1" t="n">
        <v>45849.49047453704</v>
      </c>
      <c r="C589" s="1" t="n">
        <v>46033</v>
      </c>
      <c r="D589" t="inlineStr">
        <is>
          <t>JÄMTLANDS LÄN</t>
        </is>
      </c>
      <c r="E589" t="inlineStr">
        <is>
          <t>BERG</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53155-2025</t>
        </is>
      </c>
      <c r="B590" s="1" t="n">
        <v>45958.49011574074</v>
      </c>
      <c r="C590" s="1" t="n">
        <v>46033</v>
      </c>
      <c r="D590" t="inlineStr">
        <is>
          <t>JÄMTLANDS LÄN</t>
        </is>
      </c>
      <c r="E590" t="inlineStr">
        <is>
          <t>BERG</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51172-2024</t>
        </is>
      </c>
      <c r="B591" s="1" t="n">
        <v>45603.59056712963</v>
      </c>
      <c r="C591" s="1" t="n">
        <v>46033</v>
      </c>
      <c r="D591" t="inlineStr">
        <is>
          <t>JÄMTLANDS LÄN</t>
        </is>
      </c>
      <c r="E591" t="inlineStr">
        <is>
          <t>BERG</t>
        </is>
      </c>
      <c r="G591" t="n">
        <v>12.2</v>
      </c>
      <c r="H591" t="n">
        <v>0</v>
      </c>
      <c r="I591" t="n">
        <v>0</v>
      </c>
      <c r="J591" t="n">
        <v>0</v>
      </c>
      <c r="K591" t="n">
        <v>0</v>
      </c>
      <c r="L591" t="n">
        <v>0</v>
      </c>
      <c r="M591" t="n">
        <v>0</v>
      </c>
      <c r="N591" t="n">
        <v>0</v>
      </c>
      <c r="O591" t="n">
        <v>0</v>
      </c>
      <c r="P591" t="n">
        <v>0</v>
      </c>
      <c r="Q591" t="n">
        <v>0</v>
      </c>
      <c r="R591" s="2" t="inlineStr"/>
    </row>
    <row r="592" ht="15" customHeight="1">
      <c r="A592" t="inlineStr">
        <is>
          <t>A 53157-2025</t>
        </is>
      </c>
      <c r="B592" s="1" t="n">
        <v>45958.49056712963</v>
      </c>
      <c r="C592" s="1" t="n">
        <v>46033</v>
      </c>
      <c r="D592" t="inlineStr">
        <is>
          <t>JÄMTLANDS LÄN</t>
        </is>
      </c>
      <c r="E592" t="inlineStr">
        <is>
          <t>BERG</t>
        </is>
      </c>
      <c r="F592" t="inlineStr">
        <is>
          <t>SCA</t>
        </is>
      </c>
      <c r="G592" t="n">
        <v>9.5</v>
      </c>
      <c r="H592" t="n">
        <v>0</v>
      </c>
      <c r="I592" t="n">
        <v>0</v>
      </c>
      <c r="J592" t="n">
        <v>0</v>
      </c>
      <c r="K592" t="n">
        <v>0</v>
      </c>
      <c r="L592" t="n">
        <v>0</v>
      </c>
      <c r="M592" t="n">
        <v>0</v>
      </c>
      <c r="N592" t="n">
        <v>0</v>
      </c>
      <c r="O592" t="n">
        <v>0</v>
      </c>
      <c r="P592" t="n">
        <v>0</v>
      </c>
      <c r="Q592" t="n">
        <v>0</v>
      </c>
      <c r="R592" s="2" t="inlineStr"/>
    </row>
    <row r="593" ht="15" customHeight="1">
      <c r="A593" t="inlineStr">
        <is>
          <t>A 59652-2025</t>
        </is>
      </c>
      <c r="B593" s="1" t="n">
        <v>45992</v>
      </c>
      <c r="C593" s="1" t="n">
        <v>46033</v>
      </c>
      <c r="D593" t="inlineStr">
        <is>
          <t>JÄMTLANDS LÄN</t>
        </is>
      </c>
      <c r="E593" t="inlineStr">
        <is>
          <t>BERG</t>
        </is>
      </c>
      <c r="G593" t="n">
        <v>4</v>
      </c>
      <c r="H593" t="n">
        <v>0</v>
      </c>
      <c r="I593" t="n">
        <v>0</v>
      </c>
      <c r="J593" t="n">
        <v>0</v>
      </c>
      <c r="K593" t="n">
        <v>0</v>
      </c>
      <c r="L593" t="n">
        <v>0</v>
      </c>
      <c r="M593" t="n">
        <v>0</v>
      </c>
      <c r="N593" t="n">
        <v>0</v>
      </c>
      <c r="O593" t="n">
        <v>0</v>
      </c>
      <c r="P593" t="n">
        <v>0</v>
      </c>
      <c r="Q593" t="n">
        <v>0</v>
      </c>
      <c r="R593" s="2" t="inlineStr"/>
    </row>
    <row r="594" ht="15" customHeight="1">
      <c r="A594" t="inlineStr">
        <is>
          <t>A 65210-2023</t>
        </is>
      </c>
      <c r="B594" s="1" t="n">
        <v>45289</v>
      </c>
      <c r="C594" s="1" t="n">
        <v>46033</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35183-2025</t>
        </is>
      </c>
      <c r="B595" s="1" t="n">
        <v>45853.29931712963</v>
      </c>
      <c r="C595" s="1" t="n">
        <v>46033</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35213-2025</t>
        </is>
      </c>
      <c r="B596" s="1" t="n">
        <v>45853.46494212963</v>
      </c>
      <c r="C596" s="1" t="n">
        <v>46033</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35184-2025</t>
        </is>
      </c>
      <c r="B597" s="1" t="n">
        <v>45853.30270833334</v>
      </c>
      <c r="C597" s="1" t="n">
        <v>46033</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12392-2025</t>
        </is>
      </c>
      <c r="B598" s="1" t="n">
        <v>45730.40104166666</v>
      </c>
      <c r="C598" s="1" t="n">
        <v>46033</v>
      </c>
      <c r="D598" t="inlineStr">
        <is>
          <t>JÄMTLANDS LÄN</t>
        </is>
      </c>
      <c r="E598" t="inlineStr">
        <is>
          <t>BERG</t>
        </is>
      </c>
      <c r="G598" t="n">
        <v>5.1</v>
      </c>
      <c r="H598" t="n">
        <v>0</v>
      </c>
      <c r="I598" t="n">
        <v>0</v>
      </c>
      <c r="J598" t="n">
        <v>0</v>
      </c>
      <c r="K598" t="n">
        <v>0</v>
      </c>
      <c r="L598" t="n">
        <v>0</v>
      </c>
      <c r="M598" t="n">
        <v>0</v>
      </c>
      <c r="N598" t="n">
        <v>0</v>
      </c>
      <c r="O598" t="n">
        <v>0</v>
      </c>
      <c r="P598" t="n">
        <v>0</v>
      </c>
      <c r="Q598" t="n">
        <v>0</v>
      </c>
      <c r="R598" s="2" t="inlineStr"/>
    </row>
    <row r="599" ht="15" customHeight="1">
      <c r="A599" t="inlineStr">
        <is>
          <t>A 35363-2025</t>
        </is>
      </c>
      <c r="B599" s="1" t="n">
        <v>45854.67538194444</v>
      </c>
      <c r="C599" s="1" t="n">
        <v>46033</v>
      </c>
      <c r="D599" t="inlineStr">
        <is>
          <t>JÄMTLANDS LÄN</t>
        </is>
      </c>
      <c r="E599" t="inlineStr">
        <is>
          <t>BERG</t>
        </is>
      </c>
      <c r="G599" t="n">
        <v>9.5</v>
      </c>
      <c r="H599" t="n">
        <v>0</v>
      </c>
      <c r="I599" t="n">
        <v>0</v>
      </c>
      <c r="J599" t="n">
        <v>0</v>
      </c>
      <c r="K599" t="n">
        <v>0</v>
      </c>
      <c r="L599" t="n">
        <v>0</v>
      </c>
      <c r="M599" t="n">
        <v>0</v>
      </c>
      <c r="N599" t="n">
        <v>0</v>
      </c>
      <c r="O599" t="n">
        <v>0</v>
      </c>
      <c r="P599" t="n">
        <v>0</v>
      </c>
      <c r="Q599" t="n">
        <v>0</v>
      </c>
      <c r="R599" s="2" t="inlineStr"/>
    </row>
    <row r="600" ht="15" customHeight="1">
      <c r="A600" t="inlineStr">
        <is>
          <t>A 61459-2025</t>
        </is>
      </c>
      <c r="B600" s="1" t="n">
        <v>46001.59416666667</v>
      </c>
      <c r="C600" s="1" t="n">
        <v>46033</v>
      </c>
      <c r="D600" t="inlineStr">
        <is>
          <t>JÄMTLANDS LÄN</t>
        </is>
      </c>
      <c r="E600" t="inlineStr">
        <is>
          <t>BERG</t>
        </is>
      </c>
      <c r="G600" t="n">
        <v>2.7</v>
      </c>
      <c r="H600" t="n">
        <v>0</v>
      </c>
      <c r="I600" t="n">
        <v>0</v>
      </c>
      <c r="J600" t="n">
        <v>0</v>
      </c>
      <c r="K600" t="n">
        <v>0</v>
      </c>
      <c r="L600" t="n">
        <v>0</v>
      </c>
      <c r="M600" t="n">
        <v>0</v>
      </c>
      <c r="N600" t="n">
        <v>0</v>
      </c>
      <c r="O600" t="n">
        <v>0</v>
      </c>
      <c r="P600" t="n">
        <v>0</v>
      </c>
      <c r="Q600" t="n">
        <v>0</v>
      </c>
      <c r="R600" s="2" t="inlineStr"/>
    </row>
    <row r="601" ht="15" customHeight="1">
      <c r="A601" t="inlineStr">
        <is>
          <t>A 61460-2025</t>
        </is>
      </c>
      <c r="B601" s="1" t="n">
        <v>46001.59425925926</v>
      </c>
      <c r="C601" s="1" t="n">
        <v>46033</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64251-2023</t>
        </is>
      </c>
      <c r="B602" s="1" t="n">
        <v>45279.92756944444</v>
      </c>
      <c r="C602" s="1" t="n">
        <v>46033</v>
      </c>
      <c r="D602" t="inlineStr">
        <is>
          <t>JÄMTLANDS LÄN</t>
        </is>
      </c>
      <c r="E602" t="inlineStr">
        <is>
          <t>BERG</t>
        </is>
      </c>
      <c r="G602" t="n">
        <v>0.4</v>
      </c>
      <c r="H602" t="n">
        <v>0</v>
      </c>
      <c r="I602" t="n">
        <v>0</v>
      </c>
      <c r="J602" t="n">
        <v>0</v>
      </c>
      <c r="K602" t="n">
        <v>0</v>
      </c>
      <c r="L602" t="n">
        <v>0</v>
      </c>
      <c r="M602" t="n">
        <v>0</v>
      </c>
      <c r="N602" t="n">
        <v>0</v>
      </c>
      <c r="O602" t="n">
        <v>0</v>
      </c>
      <c r="P602" t="n">
        <v>0</v>
      </c>
      <c r="Q602" t="n">
        <v>0</v>
      </c>
      <c r="R602" s="2" t="inlineStr"/>
    </row>
    <row r="603" ht="15" customHeight="1">
      <c r="A603" t="inlineStr">
        <is>
          <t>A 33481-2023</t>
        </is>
      </c>
      <c r="B603" s="1" t="n">
        <v>45131</v>
      </c>
      <c r="C603" s="1" t="n">
        <v>46033</v>
      </c>
      <c r="D603" t="inlineStr">
        <is>
          <t>JÄMTLANDS LÄN</t>
        </is>
      </c>
      <c r="E603" t="inlineStr">
        <is>
          <t>BERG</t>
        </is>
      </c>
      <c r="F603" t="inlineStr">
        <is>
          <t>Sveaskog</t>
        </is>
      </c>
      <c r="G603" t="n">
        <v>4</v>
      </c>
      <c r="H603" t="n">
        <v>0</v>
      </c>
      <c r="I603" t="n">
        <v>0</v>
      </c>
      <c r="J603" t="n">
        <v>0</v>
      </c>
      <c r="K603" t="n">
        <v>0</v>
      </c>
      <c r="L603" t="n">
        <v>0</v>
      </c>
      <c r="M603" t="n">
        <v>0</v>
      </c>
      <c r="N603" t="n">
        <v>0</v>
      </c>
      <c r="O603" t="n">
        <v>0</v>
      </c>
      <c r="P603" t="n">
        <v>0</v>
      </c>
      <c r="Q603" t="n">
        <v>0</v>
      </c>
      <c r="R603" s="2" t="inlineStr"/>
    </row>
    <row r="604" ht="15" customHeight="1">
      <c r="A604" t="inlineStr">
        <is>
          <t>A 35360-2025</t>
        </is>
      </c>
      <c r="B604" s="1" t="n">
        <v>45854.66877314815</v>
      </c>
      <c r="C604" s="1" t="n">
        <v>46033</v>
      </c>
      <c r="D604" t="inlineStr">
        <is>
          <t>JÄMTLANDS LÄN</t>
        </is>
      </c>
      <c r="E604" t="inlineStr">
        <is>
          <t>BERG</t>
        </is>
      </c>
      <c r="G604" t="n">
        <v>3.7</v>
      </c>
      <c r="H604" t="n">
        <v>0</v>
      </c>
      <c r="I604" t="n">
        <v>0</v>
      </c>
      <c r="J604" t="n">
        <v>0</v>
      </c>
      <c r="K604" t="n">
        <v>0</v>
      </c>
      <c r="L604" t="n">
        <v>0</v>
      </c>
      <c r="M604" t="n">
        <v>0</v>
      </c>
      <c r="N604" t="n">
        <v>0</v>
      </c>
      <c r="O604" t="n">
        <v>0</v>
      </c>
      <c r="P604" t="n">
        <v>0</v>
      </c>
      <c r="Q604" t="n">
        <v>0</v>
      </c>
      <c r="R604" s="2" t="inlineStr"/>
    </row>
    <row r="605" ht="15" customHeight="1">
      <c r="A605" t="inlineStr">
        <is>
          <t>A 35576-2025</t>
        </is>
      </c>
      <c r="B605" s="1" t="n">
        <v>45856.63608796296</v>
      </c>
      <c r="C605" s="1" t="n">
        <v>46033</v>
      </c>
      <c r="D605" t="inlineStr">
        <is>
          <t>JÄMTLANDS LÄN</t>
        </is>
      </c>
      <c r="E605" t="inlineStr">
        <is>
          <t>BERG</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35684-2025</t>
        </is>
      </c>
      <c r="B606" s="1" t="n">
        <v>45859.88079861111</v>
      </c>
      <c r="C606" s="1" t="n">
        <v>46033</v>
      </c>
      <c r="D606" t="inlineStr">
        <is>
          <t>JÄMTLANDS LÄN</t>
        </is>
      </c>
      <c r="E606" t="inlineStr">
        <is>
          <t>BERG</t>
        </is>
      </c>
      <c r="G606" t="n">
        <v>6.1</v>
      </c>
      <c r="H606" t="n">
        <v>0</v>
      </c>
      <c r="I606" t="n">
        <v>0</v>
      </c>
      <c r="J606" t="n">
        <v>0</v>
      </c>
      <c r="K606" t="n">
        <v>0</v>
      </c>
      <c r="L606" t="n">
        <v>0</v>
      </c>
      <c r="M606" t="n">
        <v>0</v>
      </c>
      <c r="N606" t="n">
        <v>0</v>
      </c>
      <c r="O606" t="n">
        <v>0</v>
      </c>
      <c r="P606" t="n">
        <v>0</v>
      </c>
      <c r="Q606" t="n">
        <v>0</v>
      </c>
      <c r="R606" s="2" t="inlineStr"/>
    </row>
    <row r="607" ht="15" customHeight="1">
      <c r="A607" t="inlineStr">
        <is>
          <t>A 8711-2024</t>
        </is>
      </c>
      <c r="B607" s="1" t="n">
        <v>45356</v>
      </c>
      <c r="C607" s="1" t="n">
        <v>46033</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14198-2023</t>
        </is>
      </c>
      <c r="B608" s="1" t="n">
        <v>45009.57518518518</v>
      </c>
      <c r="C608" s="1" t="n">
        <v>46033</v>
      </c>
      <c r="D608" t="inlineStr">
        <is>
          <t>JÄMTLANDS LÄN</t>
        </is>
      </c>
      <c r="E608" t="inlineStr">
        <is>
          <t>BERG</t>
        </is>
      </c>
      <c r="G608" t="n">
        <v>2.3</v>
      </c>
      <c r="H608" t="n">
        <v>0</v>
      </c>
      <c r="I608" t="n">
        <v>0</v>
      </c>
      <c r="J608" t="n">
        <v>0</v>
      </c>
      <c r="K608" t="n">
        <v>0</v>
      </c>
      <c r="L608" t="n">
        <v>0</v>
      </c>
      <c r="M608" t="n">
        <v>0</v>
      </c>
      <c r="N608" t="n">
        <v>0</v>
      </c>
      <c r="O608" t="n">
        <v>0</v>
      </c>
      <c r="P608" t="n">
        <v>0</v>
      </c>
      <c r="Q608" t="n">
        <v>0</v>
      </c>
      <c r="R608" s="2" t="inlineStr"/>
    </row>
    <row r="609" ht="15" customHeight="1">
      <c r="A609" t="inlineStr">
        <is>
          <t>A 1596-2024</t>
        </is>
      </c>
      <c r="B609" s="1" t="n">
        <v>45306</v>
      </c>
      <c r="C609" s="1" t="n">
        <v>46033</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35691-2025</t>
        </is>
      </c>
      <c r="B610" s="1" t="n">
        <v>45860.344375</v>
      </c>
      <c r="C610" s="1" t="n">
        <v>46033</v>
      </c>
      <c r="D610" t="inlineStr">
        <is>
          <t>JÄMTLANDS LÄN</t>
        </is>
      </c>
      <c r="E610" t="inlineStr">
        <is>
          <t>BERG</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35681-2025</t>
        </is>
      </c>
      <c r="B611" s="1" t="n">
        <v>45859.77703703703</v>
      </c>
      <c r="C611" s="1" t="n">
        <v>46033</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35683-2025</t>
        </is>
      </c>
      <c r="B612" s="1" t="n">
        <v>45859</v>
      </c>
      <c r="C612" s="1" t="n">
        <v>46033</v>
      </c>
      <c r="D612" t="inlineStr">
        <is>
          <t>JÄMTLANDS LÄN</t>
        </is>
      </c>
      <c r="E612" t="inlineStr">
        <is>
          <t>BERG</t>
        </is>
      </c>
      <c r="G612" t="n">
        <v>3.4</v>
      </c>
      <c r="H612" t="n">
        <v>0</v>
      </c>
      <c r="I612" t="n">
        <v>0</v>
      </c>
      <c r="J612" t="n">
        <v>0</v>
      </c>
      <c r="K612" t="n">
        <v>0</v>
      </c>
      <c r="L612" t="n">
        <v>0</v>
      </c>
      <c r="M612" t="n">
        <v>0</v>
      </c>
      <c r="N612" t="n">
        <v>0</v>
      </c>
      <c r="O612" t="n">
        <v>0</v>
      </c>
      <c r="P612" t="n">
        <v>0</v>
      </c>
      <c r="Q612" t="n">
        <v>0</v>
      </c>
      <c r="R612" s="2" t="inlineStr"/>
    </row>
    <row r="613" ht="15" customHeight="1">
      <c r="A613" t="inlineStr">
        <is>
          <t>A 1520-2022</t>
        </is>
      </c>
      <c r="B613" s="1" t="n">
        <v>44572</v>
      </c>
      <c r="C613" s="1" t="n">
        <v>46033</v>
      </c>
      <c r="D613" t="inlineStr">
        <is>
          <t>JÄMTLANDS LÄN</t>
        </is>
      </c>
      <c r="E613" t="inlineStr">
        <is>
          <t>BERG</t>
        </is>
      </c>
      <c r="G613" t="n">
        <v>7.7</v>
      </c>
      <c r="H613" t="n">
        <v>0</v>
      </c>
      <c r="I613" t="n">
        <v>0</v>
      </c>
      <c r="J613" t="n">
        <v>0</v>
      </c>
      <c r="K613" t="n">
        <v>0</v>
      </c>
      <c r="L613" t="n">
        <v>0</v>
      </c>
      <c r="M613" t="n">
        <v>0</v>
      </c>
      <c r="N613" t="n">
        <v>0</v>
      </c>
      <c r="O613" t="n">
        <v>0</v>
      </c>
      <c r="P613" t="n">
        <v>0</v>
      </c>
      <c r="Q613" t="n">
        <v>0</v>
      </c>
      <c r="R613" s="2" t="inlineStr"/>
    </row>
    <row r="614" ht="15" customHeight="1">
      <c r="A614" t="inlineStr">
        <is>
          <t>A 61501-2025</t>
        </is>
      </c>
      <c r="B614" s="1" t="n">
        <v>46001.65951388889</v>
      </c>
      <c r="C614" s="1" t="n">
        <v>46033</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27239-2023</t>
        </is>
      </c>
      <c r="B615" s="1" t="n">
        <v>45092</v>
      </c>
      <c r="C615" s="1" t="n">
        <v>46033</v>
      </c>
      <c r="D615" t="inlineStr">
        <is>
          <t>JÄMTLANDS LÄN</t>
        </is>
      </c>
      <c r="E615" t="inlineStr">
        <is>
          <t>BERG</t>
        </is>
      </c>
      <c r="G615" t="n">
        <v>5.3</v>
      </c>
      <c r="H615" t="n">
        <v>0</v>
      </c>
      <c r="I615" t="n">
        <v>0</v>
      </c>
      <c r="J615" t="n">
        <v>0</v>
      </c>
      <c r="K615" t="n">
        <v>0</v>
      </c>
      <c r="L615" t="n">
        <v>0</v>
      </c>
      <c r="M615" t="n">
        <v>0</v>
      </c>
      <c r="N615" t="n">
        <v>0</v>
      </c>
      <c r="O615" t="n">
        <v>0</v>
      </c>
      <c r="P615" t="n">
        <v>0</v>
      </c>
      <c r="Q615" t="n">
        <v>0</v>
      </c>
      <c r="R615" s="2" t="inlineStr"/>
    </row>
    <row r="616" ht="15" customHeight="1">
      <c r="A616" t="inlineStr">
        <is>
          <t>A 32248-2024</t>
        </is>
      </c>
      <c r="B616" s="1" t="n">
        <v>45511.95144675926</v>
      </c>
      <c r="C616" s="1" t="n">
        <v>46033</v>
      </c>
      <c r="D616" t="inlineStr">
        <is>
          <t>JÄMTLANDS LÄN</t>
        </is>
      </c>
      <c r="E616" t="inlineStr">
        <is>
          <t>BERG</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39103-2024</t>
        </is>
      </c>
      <c r="B617" s="1" t="n">
        <v>45548.57025462963</v>
      </c>
      <c r="C617" s="1" t="n">
        <v>46033</v>
      </c>
      <c r="D617" t="inlineStr">
        <is>
          <t>JÄMTLANDS LÄN</t>
        </is>
      </c>
      <c r="E617" t="inlineStr">
        <is>
          <t>BERG</t>
        </is>
      </c>
      <c r="G617" t="n">
        <v>38.4</v>
      </c>
      <c r="H617" t="n">
        <v>0</v>
      </c>
      <c r="I617" t="n">
        <v>0</v>
      </c>
      <c r="J617" t="n">
        <v>0</v>
      </c>
      <c r="K617" t="n">
        <v>0</v>
      </c>
      <c r="L617" t="n">
        <v>0</v>
      </c>
      <c r="M617" t="n">
        <v>0</v>
      </c>
      <c r="N617" t="n">
        <v>0</v>
      </c>
      <c r="O617" t="n">
        <v>0</v>
      </c>
      <c r="P617" t="n">
        <v>0</v>
      </c>
      <c r="Q617" t="n">
        <v>0</v>
      </c>
      <c r="R617" s="2" t="inlineStr"/>
    </row>
    <row r="618" ht="15" customHeight="1">
      <c r="A618" t="inlineStr">
        <is>
          <t>A 8191-2025</t>
        </is>
      </c>
      <c r="B618" s="1" t="n">
        <v>45708.40821759259</v>
      </c>
      <c r="C618" s="1" t="n">
        <v>46033</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53349-2025</t>
        </is>
      </c>
      <c r="B619" s="1" t="n">
        <v>45959.43579861111</v>
      </c>
      <c r="C619" s="1" t="n">
        <v>46033</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36142-2025</t>
        </is>
      </c>
      <c r="B620" s="1" t="n">
        <v>45866</v>
      </c>
      <c r="C620" s="1" t="n">
        <v>46033</v>
      </c>
      <c r="D620" t="inlineStr">
        <is>
          <t>JÄMTLANDS LÄN</t>
        </is>
      </c>
      <c r="E620" t="inlineStr">
        <is>
          <t>BERG</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53085-2025</t>
        </is>
      </c>
      <c r="B621" s="1" t="n">
        <v>45958.40675925926</v>
      </c>
      <c r="C621" s="1" t="n">
        <v>46033</v>
      </c>
      <c r="D621" t="inlineStr">
        <is>
          <t>JÄMTLANDS LÄN</t>
        </is>
      </c>
      <c r="E621" t="inlineStr">
        <is>
          <t>BERG</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46033</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22030-2025</t>
        </is>
      </c>
      <c r="B623" s="1" t="n">
        <v>45785.25814814815</v>
      </c>
      <c r="C623" s="1" t="n">
        <v>46033</v>
      </c>
      <c r="D623" t="inlineStr">
        <is>
          <t>JÄMTLANDS LÄN</t>
        </is>
      </c>
      <c r="E623" t="inlineStr">
        <is>
          <t>BERG</t>
        </is>
      </c>
      <c r="G623" t="n">
        <v>5</v>
      </c>
      <c r="H623" t="n">
        <v>0</v>
      </c>
      <c r="I623" t="n">
        <v>0</v>
      </c>
      <c r="J623" t="n">
        <v>0</v>
      </c>
      <c r="K623" t="n">
        <v>0</v>
      </c>
      <c r="L623" t="n">
        <v>0</v>
      </c>
      <c r="M623" t="n">
        <v>0</v>
      </c>
      <c r="N623" t="n">
        <v>0</v>
      </c>
      <c r="O623" t="n">
        <v>0</v>
      </c>
      <c r="P623" t="n">
        <v>0</v>
      </c>
      <c r="Q623" t="n">
        <v>0</v>
      </c>
      <c r="R623" s="2" t="inlineStr"/>
    </row>
    <row r="624" ht="15" customHeight="1">
      <c r="A624" t="inlineStr">
        <is>
          <t>A 25565-2023</t>
        </is>
      </c>
      <c r="B624" s="1" t="n">
        <v>45082</v>
      </c>
      <c r="C624" s="1" t="n">
        <v>46033</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36377-2025</t>
        </is>
      </c>
      <c r="B625" s="1" t="n">
        <v>45868.57342592593</v>
      </c>
      <c r="C625" s="1" t="n">
        <v>46033</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57661-2024</t>
        </is>
      </c>
      <c r="B626" s="1" t="n">
        <v>45630.6140162037</v>
      </c>
      <c r="C626" s="1" t="n">
        <v>46033</v>
      </c>
      <c r="D626" t="inlineStr">
        <is>
          <t>JÄMTLANDS LÄN</t>
        </is>
      </c>
      <c r="E626" t="inlineStr">
        <is>
          <t>BERG</t>
        </is>
      </c>
      <c r="G626" t="n">
        <v>0.8</v>
      </c>
      <c r="H626" t="n">
        <v>0</v>
      </c>
      <c r="I626" t="n">
        <v>0</v>
      </c>
      <c r="J626" t="n">
        <v>0</v>
      </c>
      <c r="K626" t="n">
        <v>0</v>
      </c>
      <c r="L626" t="n">
        <v>0</v>
      </c>
      <c r="M626" t="n">
        <v>0</v>
      </c>
      <c r="N626" t="n">
        <v>0</v>
      </c>
      <c r="O626" t="n">
        <v>0</v>
      </c>
      <c r="P626" t="n">
        <v>0</v>
      </c>
      <c r="Q626" t="n">
        <v>0</v>
      </c>
      <c r="R626" s="2" t="inlineStr"/>
    </row>
    <row r="627" ht="15" customHeight="1">
      <c r="A627" t="inlineStr">
        <is>
          <t>A 53625-2025</t>
        </is>
      </c>
      <c r="B627" s="1" t="n">
        <v>45960.49020833334</v>
      </c>
      <c r="C627" s="1" t="n">
        <v>46033</v>
      </c>
      <c r="D627" t="inlineStr">
        <is>
          <t>JÄMTLANDS LÄN</t>
        </is>
      </c>
      <c r="E627" t="inlineStr">
        <is>
          <t>BERG</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45208-2024</t>
        </is>
      </c>
      <c r="B628" s="1" t="n">
        <v>45575.7077662037</v>
      </c>
      <c r="C628" s="1" t="n">
        <v>46033</v>
      </c>
      <c r="D628" t="inlineStr">
        <is>
          <t>JÄMTLANDS LÄN</t>
        </is>
      </c>
      <c r="E628" t="inlineStr">
        <is>
          <t>BERG</t>
        </is>
      </c>
      <c r="G628" t="n">
        <v>1.9</v>
      </c>
      <c r="H628" t="n">
        <v>0</v>
      </c>
      <c r="I628" t="n">
        <v>0</v>
      </c>
      <c r="J628" t="n">
        <v>0</v>
      </c>
      <c r="K628" t="n">
        <v>0</v>
      </c>
      <c r="L628" t="n">
        <v>0</v>
      </c>
      <c r="M628" t="n">
        <v>0</v>
      </c>
      <c r="N628" t="n">
        <v>0</v>
      </c>
      <c r="O628" t="n">
        <v>0</v>
      </c>
      <c r="P628" t="n">
        <v>0</v>
      </c>
      <c r="Q628" t="n">
        <v>0</v>
      </c>
      <c r="R628" s="2" t="inlineStr"/>
    </row>
    <row r="629" ht="15" customHeight="1">
      <c r="A629" t="inlineStr">
        <is>
          <t>A 35866-2024</t>
        </is>
      </c>
      <c r="B629" s="1" t="n">
        <v>45533.3422337963</v>
      </c>
      <c r="C629" s="1" t="n">
        <v>46033</v>
      </c>
      <c r="D629" t="inlineStr">
        <is>
          <t>JÄMTLANDS LÄN</t>
        </is>
      </c>
      <c r="E629" t="inlineStr">
        <is>
          <t>BERG</t>
        </is>
      </c>
      <c r="G629" t="n">
        <v>2.5</v>
      </c>
      <c r="H629" t="n">
        <v>0</v>
      </c>
      <c r="I629" t="n">
        <v>0</v>
      </c>
      <c r="J629" t="n">
        <v>0</v>
      </c>
      <c r="K629" t="n">
        <v>0</v>
      </c>
      <c r="L629" t="n">
        <v>0</v>
      </c>
      <c r="M629" t="n">
        <v>0</v>
      </c>
      <c r="N629" t="n">
        <v>0</v>
      </c>
      <c r="O629" t="n">
        <v>0</v>
      </c>
      <c r="P629" t="n">
        <v>0</v>
      </c>
      <c r="Q629" t="n">
        <v>0</v>
      </c>
      <c r="R629" s="2" t="inlineStr"/>
    </row>
    <row r="630" ht="15" customHeight="1">
      <c r="A630" t="inlineStr">
        <is>
          <t>A 14772-2021</t>
        </is>
      </c>
      <c r="B630" s="1" t="n">
        <v>44280.62068287037</v>
      </c>
      <c r="C630" s="1" t="n">
        <v>46033</v>
      </c>
      <c r="D630" t="inlineStr">
        <is>
          <t>JÄMTLANDS LÄN</t>
        </is>
      </c>
      <c r="E630" t="inlineStr">
        <is>
          <t>BERG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53610-2025</t>
        </is>
      </c>
      <c r="B631" s="1" t="n">
        <v>45960.46951388889</v>
      </c>
      <c r="C631" s="1" t="n">
        <v>46033</v>
      </c>
      <c r="D631" t="inlineStr">
        <is>
          <t>JÄMTLANDS LÄN</t>
        </is>
      </c>
      <c r="E631" t="inlineStr">
        <is>
          <t>BERG</t>
        </is>
      </c>
      <c r="F631" t="inlineStr">
        <is>
          <t>SCA</t>
        </is>
      </c>
      <c r="G631" t="n">
        <v>30.7</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46033</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37101-2024</t>
        </is>
      </c>
      <c r="B633" s="1" t="n">
        <v>45539.5029050926</v>
      </c>
      <c r="C633" s="1" t="n">
        <v>46033</v>
      </c>
      <c r="D633" t="inlineStr">
        <is>
          <t>JÄMTLANDS LÄN</t>
        </is>
      </c>
      <c r="E633" t="inlineStr">
        <is>
          <t>BERG</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53680-2025</t>
        </is>
      </c>
      <c r="B634" s="1" t="n">
        <v>45960.57361111111</v>
      </c>
      <c r="C634" s="1" t="n">
        <v>46033</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37067-2023</t>
        </is>
      </c>
      <c r="B635" s="1" t="n">
        <v>45154</v>
      </c>
      <c r="C635" s="1" t="n">
        <v>46033</v>
      </c>
      <c r="D635" t="inlineStr">
        <is>
          <t>JÄMTLANDS LÄN</t>
        </is>
      </c>
      <c r="E635" t="inlineStr">
        <is>
          <t>BERG</t>
        </is>
      </c>
      <c r="G635" t="n">
        <v>7.4</v>
      </c>
      <c r="H635" t="n">
        <v>0</v>
      </c>
      <c r="I635" t="n">
        <v>0</v>
      </c>
      <c r="J635" t="n">
        <v>0</v>
      </c>
      <c r="K635" t="n">
        <v>0</v>
      </c>
      <c r="L635" t="n">
        <v>0</v>
      </c>
      <c r="M635" t="n">
        <v>0</v>
      </c>
      <c r="N635" t="n">
        <v>0</v>
      </c>
      <c r="O635" t="n">
        <v>0</v>
      </c>
      <c r="P635" t="n">
        <v>0</v>
      </c>
      <c r="Q635" t="n">
        <v>0</v>
      </c>
      <c r="R635" s="2" t="inlineStr"/>
    </row>
    <row r="636" ht="15" customHeight="1">
      <c r="A636" t="inlineStr">
        <is>
          <t>A 53778-2025</t>
        </is>
      </c>
      <c r="B636" s="1" t="n">
        <v>45960.69841435185</v>
      </c>
      <c r="C636" s="1" t="n">
        <v>46033</v>
      </c>
      <c r="D636" t="inlineStr">
        <is>
          <t>JÄMTLANDS LÄN</t>
        </is>
      </c>
      <c r="E636" t="inlineStr">
        <is>
          <t>BERG</t>
        </is>
      </c>
      <c r="F636" t="inlineStr">
        <is>
          <t>SCA</t>
        </is>
      </c>
      <c r="G636" t="n">
        <v>18.7</v>
      </c>
      <c r="H636" t="n">
        <v>0</v>
      </c>
      <c r="I636" t="n">
        <v>0</v>
      </c>
      <c r="J636" t="n">
        <v>0</v>
      </c>
      <c r="K636" t="n">
        <v>0</v>
      </c>
      <c r="L636" t="n">
        <v>0</v>
      </c>
      <c r="M636" t="n">
        <v>0</v>
      </c>
      <c r="N636" t="n">
        <v>0</v>
      </c>
      <c r="O636" t="n">
        <v>0</v>
      </c>
      <c r="P636" t="n">
        <v>0</v>
      </c>
      <c r="Q636" t="n">
        <v>0</v>
      </c>
      <c r="R636" s="2" t="inlineStr"/>
      <c r="U636">
        <f>HYPERLINK("https://klasma.github.io/Logging_2326/knärot/A 53778-2025 karta knärot.png", "A 53778-2025")</f>
        <v/>
      </c>
      <c r="V636">
        <f>HYPERLINK("https://klasma.github.io/Logging_2326/klagomål/A 53778-2025 FSC-klagomål.docx", "A 53778-2025")</f>
        <v/>
      </c>
      <c r="W636">
        <f>HYPERLINK("https://klasma.github.io/Logging_2326/klagomålsmail/A 53778-2025 FSC-klagomål mail.docx", "A 53778-2025")</f>
        <v/>
      </c>
      <c r="X636">
        <f>HYPERLINK("https://klasma.github.io/Logging_2326/tillsyn/A 53778-2025 tillsynsbegäran.docx", "A 53778-2025")</f>
        <v/>
      </c>
      <c r="Y636">
        <f>HYPERLINK("https://klasma.github.io/Logging_2326/tillsynsmail/A 53778-2025 tillsynsbegäran mail.docx", "A 53778-2025")</f>
        <v/>
      </c>
    </row>
    <row r="637" ht="15" customHeight="1">
      <c r="A637" t="inlineStr">
        <is>
          <t>A 8733-2025</t>
        </is>
      </c>
      <c r="B637" s="1" t="n">
        <v>45712.53197916667</v>
      </c>
      <c r="C637" s="1" t="n">
        <v>46033</v>
      </c>
      <c r="D637" t="inlineStr">
        <is>
          <t>JÄMTLANDS LÄN</t>
        </is>
      </c>
      <c r="E637" t="inlineStr">
        <is>
          <t>BERG</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37201-2025</t>
        </is>
      </c>
      <c r="B638" s="1" t="n">
        <v>45875.67797453704</v>
      </c>
      <c r="C638" s="1" t="n">
        <v>46033</v>
      </c>
      <c r="D638" t="inlineStr">
        <is>
          <t>JÄMTLANDS LÄN</t>
        </is>
      </c>
      <c r="E638" t="inlineStr">
        <is>
          <t>BERG</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34601-2024</t>
        </is>
      </c>
      <c r="B639" s="1" t="n">
        <v>45526.4034375</v>
      </c>
      <c r="C639" s="1" t="n">
        <v>46033</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37066-2025</t>
        </is>
      </c>
      <c r="B640" s="1" t="n">
        <v>45875.3862962963</v>
      </c>
      <c r="C640" s="1" t="n">
        <v>46033</v>
      </c>
      <c r="D640" t="inlineStr">
        <is>
          <t>JÄMTLANDS LÄN</t>
        </is>
      </c>
      <c r="E640" t="inlineStr">
        <is>
          <t>BERG</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36896-2025</t>
        </is>
      </c>
      <c r="B641" s="1" t="n">
        <v>45874.4740625</v>
      </c>
      <c r="C641" s="1" t="n">
        <v>46033</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36714-2025</t>
        </is>
      </c>
      <c r="B642" s="1" t="n">
        <v>45873.46881944445</v>
      </c>
      <c r="C642" s="1" t="n">
        <v>46033</v>
      </c>
      <c r="D642" t="inlineStr">
        <is>
          <t>JÄMTLANDS LÄN</t>
        </is>
      </c>
      <c r="E642" t="inlineStr">
        <is>
          <t>BERG</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36718-2025</t>
        </is>
      </c>
      <c r="B643" s="1" t="n">
        <v>45873.47069444445</v>
      </c>
      <c r="C643" s="1" t="n">
        <v>46033</v>
      </c>
      <c r="D643" t="inlineStr">
        <is>
          <t>JÄMTLANDS LÄN</t>
        </is>
      </c>
      <c r="E643" t="inlineStr">
        <is>
          <t>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19258-2025</t>
        </is>
      </c>
      <c r="B644" s="1" t="n">
        <v>45769.49987268518</v>
      </c>
      <c r="C644" s="1" t="n">
        <v>46033</v>
      </c>
      <c r="D644" t="inlineStr">
        <is>
          <t>JÄMTLANDS LÄN</t>
        </is>
      </c>
      <c r="E644" t="inlineStr">
        <is>
          <t>BERG</t>
        </is>
      </c>
      <c r="G644" t="n">
        <v>10.9</v>
      </c>
      <c r="H644" t="n">
        <v>0</v>
      </c>
      <c r="I644" t="n">
        <v>0</v>
      </c>
      <c r="J644" t="n">
        <v>0</v>
      </c>
      <c r="K644" t="n">
        <v>0</v>
      </c>
      <c r="L644" t="n">
        <v>0</v>
      </c>
      <c r="M644" t="n">
        <v>0</v>
      </c>
      <c r="N644" t="n">
        <v>0</v>
      </c>
      <c r="O644" t="n">
        <v>0</v>
      </c>
      <c r="P644" t="n">
        <v>0</v>
      </c>
      <c r="Q644" t="n">
        <v>0</v>
      </c>
      <c r="R644" s="2" t="inlineStr"/>
    </row>
    <row r="645" ht="15" customHeight="1">
      <c r="A645" t="inlineStr">
        <is>
          <t>A 37062-2025</t>
        </is>
      </c>
      <c r="B645" s="1" t="n">
        <v>45875.38579861111</v>
      </c>
      <c r="C645" s="1" t="n">
        <v>46033</v>
      </c>
      <c r="D645" t="inlineStr">
        <is>
          <t>JÄMTLANDS LÄN</t>
        </is>
      </c>
      <c r="E645" t="inlineStr">
        <is>
          <t>BERG</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36341-2025</t>
        </is>
      </c>
      <c r="B646" s="1" t="n">
        <v>45868</v>
      </c>
      <c r="C646" s="1" t="n">
        <v>46033</v>
      </c>
      <c r="D646" t="inlineStr">
        <is>
          <t>JÄMTLANDS LÄN</t>
        </is>
      </c>
      <c r="E646" t="inlineStr">
        <is>
          <t>BERG</t>
        </is>
      </c>
      <c r="G646" t="n">
        <v>3.1</v>
      </c>
      <c r="H646" t="n">
        <v>0</v>
      </c>
      <c r="I646" t="n">
        <v>0</v>
      </c>
      <c r="J646" t="n">
        <v>0</v>
      </c>
      <c r="K646" t="n">
        <v>0</v>
      </c>
      <c r="L646" t="n">
        <v>0</v>
      </c>
      <c r="M646" t="n">
        <v>0</v>
      </c>
      <c r="N646" t="n">
        <v>0</v>
      </c>
      <c r="O646" t="n">
        <v>0</v>
      </c>
      <c r="P646" t="n">
        <v>0</v>
      </c>
      <c r="Q646" t="n">
        <v>0</v>
      </c>
      <c r="R646" s="2" t="inlineStr"/>
    </row>
    <row r="647" ht="15" customHeight="1">
      <c r="A647" t="inlineStr">
        <is>
          <t>A 16022-2025</t>
        </is>
      </c>
      <c r="B647" s="1" t="n">
        <v>45749.60973379629</v>
      </c>
      <c r="C647" s="1" t="n">
        <v>46033</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28098-2024</t>
        </is>
      </c>
      <c r="B648" s="1" t="n">
        <v>45476.61347222222</v>
      </c>
      <c r="C648" s="1" t="n">
        <v>46033</v>
      </c>
      <c r="D648" t="inlineStr">
        <is>
          <t>JÄMTLANDS LÄN</t>
        </is>
      </c>
      <c r="E648" t="inlineStr">
        <is>
          <t>BERG</t>
        </is>
      </c>
      <c r="G648" t="n">
        <v>0.4</v>
      </c>
      <c r="H648" t="n">
        <v>0</v>
      </c>
      <c r="I648" t="n">
        <v>0</v>
      </c>
      <c r="J648" t="n">
        <v>0</v>
      </c>
      <c r="K648" t="n">
        <v>0</v>
      </c>
      <c r="L648" t="n">
        <v>0</v>
      </c>
      <c r="M648" t="n">
        <v>0</v>
      </c>
      <c r="N648" t="n">
        <v>0</v>
      </c>
      <c r="O648" t="n">
        <v>0</v>
      </c>
      <c r="P648" t="n">
        <v>0</v>
      </c>
      <c r="Q648" t="n">
        <v>0</v>
      </c>
      <c r="R648" s="2" t="inlineStr"/>
    </row>
    <row r="649" ht="15" customHeight="1">
      <c r="A649" t="inlineStr">
        <is>
          <t>A 37488-2025</t>
        </is>
      </c>
      <c r="B649" s="1" t="n">
        <v>45877.63582175926</v>
      </c>
      <c r="C649" s="1" t="n">
        <v>46033</v>
      </c>
      <c r="D649" t="inlineStr">
        <is>
          <t>JÄMTLANDS LÄN</t>
        </is>
      </c>
      <c r="E649" t="inlineStr">
        <is>
          <t>BERG</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37455-2025</t>
        </is>
      </c>
      <c r="B650" s="1" t="n">
        <v>45877.56710648148</v>
      </c>
      <c r="C650" s="1" t="n">
        <v>46033</v>
      </c>
      <c r="D650" t="inlineStr">
        <is>
          <t>JÄMTLANDS LÄN</t>
        </is>
      </c>
      <c r="E650" t="inlineStr">
        <is>
          <t>BERG</t>
        </is>
      </c>
      <c r="G650" t="n">
        <v>5.6</v>
      </c>
      <c r="H650" t="n">
        <v>0</v>
      </c>
      <c r="I650" t="n">
        <v>0</v>
      </c>
      <c r="J650" t="n">
        <v>0</v>
      </c>
      <c r="K650" t="n">
        <v>0</v>
      </c>
      <c r="L650" t="n">
        <v>0</v>
      </c>
      <c r="M650" t="n">
        <v>0</v>
      </c>
      <c r="N650" t="n">
        <v>0</v>
      </c>
      <c r="O650" t="n">
        <v>0</v>
      </c>
      <c r="P650" t="n">
        <v>0</v>
      </c>
      <c r="Q650" t="n">
        <v>0</v>
      </c>
      <c r="R650" s="2" t="inlineStr"/>
    </row>
    <row r="651" ht="15" customHeight="1">
      <c r="A651" t="inlineStr">
        <is>
          <t>A 61987-2025</t>
        </is>
      </c>
      <c r="B651" s="1" t="n">
        <v>46003.62914351852</v>
      </c>
      <c r="C651" s="1" t="n">
        <v>46033</v>
      </c>
      <c r="D651" t="inlineStr">
        <is>
          <t>JÄMTLANDS LÄN</t>
        </is>
      </c>
      <c r="E651" t="inlineStr">
        <is>
          <t>BERG</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12499-2021</t>
        </is>
      </c>
      <c r="B652" s="1" t="n">
        <v>44267</v>
      </c>
      <c r="C652" s="1" t="n">
        <v>46033</v>
      </c>
      <c r="D652" t="inlineStr">
        <is>
          <t>JÄMTLANDS LÄN</t>
        </is>
      </c>
      <c r="E652" t="inlineStr">
        <is>
          <t>BERG</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47099-2024</t>
        </is>
      </c>
      <c r="B653" s="1" t="n">
        <v>45586.53743055555</v>
      </c>
      <c r="C653" s="1" t="n">
        <v>46033</v>
      </c>
      <c r="D653" t="inlineStr">
        <is>
          <t>JÄMTLANDS LÄN</t>
        </is>
      </c>
      <c r="E653" t="inlineStr">
        <is>
          <t>BERG</t>
        </is>
      </c>
      <c r="G653" t="n">
        <v>5.9</v>
      </c>
      <c r="H653" t="n">
        <v>0</v>
      </c>
      <c r="I653" t="n">
        <v>0</v>
      </c>
      <c r="J653" t="n">
        <v>0</v>
      </c>
      <c r="K653" t="n">
        <v>0</v>
      </c>
      <c r="L653" t="n">
        <v>0</v>
      </c>
      <c r="M653" t="n">
        <v>0</v>
      </c>
      <c r="N653" t="n">
        <v>0</v>
      </c>
      <c r="O653" t="n">
        <v>0</v>
      </c>
      <c r="P653" t="n">
        <v>0</v>
      </c>
      <c r="Q653" t="n">
        <v>0</v>
      </c>
      <c r="R653" s="2" t="inlineStr"/>
    </row>
    <row r="654" ht="15" customHeight="1">
      <c r="A654" t="inlineStr">
        <is>
          <t>A 37463-2025</t>
        </is>
      </c>
      <c r="B654" s="1" t="n">
        <v>45877.5738425926</v>
      </c>
      <c r="C654" s="1" t="n">
        <v>46033</v>
      </c>
      <c r="D654" t="inlineStr">
        <is>
          <t>JÄMTLANDS LÄN</t>
        </is>
      </c>
      <c r="E654" t="inlineStr">
        <is>
          <t>BERG</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61991-2025</t>
        </is>
      </c>
      <c r="B655" s="1" t="n">
        <v>46003.62962962963</v>
      </c>
      <c r="C655" s="1" t="n">
        <v>46033</v>
      </c>
      <c r="D655" t="inlineStr">
        <is>
          <t>JÄMTLANDS LÄN</t>
        </is>
      </c>
      <c r="E655" t="inlineStr">
        <is>
          <t>BERG</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61647-2025</t>
        </is>
      </c>
      <c r="B656" s="1" t="n">
        <v>46002.4403587963</v>
      </c>
      <c r="C656" s="1" t="n">
        <v>46033</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29087-2024</t>
        </is>
      </c>
      <c r="B657" s="1" t="n">
        <v>45481.92946759259</v>
      </c>
      <c r="C657" s="1" t="n">
        <v>46033</v>
      </c>
      <c r="D657" t="inlineStr">
        <is>
          <t>JÄMTLANDS LÄN</t>
        </is>
      </c>
      <c r="E657" t="inlineStr">
        <is>
          <t>BERG</t>
        </is>
      </c>
      <c r="G657" t="n">
        <v>10.7</v>
      </c>
      <c r="H657" t="n">
        <v>0</v>
      </c>
      <c r="I657" t="n">
        <v>0</v>
      </c>
      <c r="J657" t="n">
        <v>0</v>
      </c>
      <c r="K657" t="n">
        <v>0</v>
      </c>
      <c r="L657" t="n">
        <v>0</v>
      </c>
      <c r="M657" t="n">
        <v>0</v>
      </c>
      <c r="N657" t="n">
        <v>0</v>
      </c>
      <c r="O657" t="n">
        <v>0</v>
      </c>
      <c r="P657" t="n">
        <v>0</v>
      </c>
      <c r="Q657" t="n">
        <v>0</v>
      </c>
      <c r="R657" s="2" t="inlineStr"/>
    </row>
    <row r="658" ht="15" customHeight="1">
      <c r="A658" t="inlineStr">
        <is>
          <t>A 53712-2025</t>
        </is>
      </c>
      <c r="B658" s="1" t="n">
        <v>45960.61547453704</v>
      </c>
      <c r="C658" s="1" t="n">
        <v>46033</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37431-2025</t>
        </is>
      </c>
      <c r="B659" s="1" t="n">
        <v>45877.51092592593</v>
      </c>
      <c r="C659" s="1" t="n">
        <v>46033</v>
      </c>
      <c r="D659" t="inlineStr">
        <is>
          <t>JÄMTLANDS LÄN</t>
        </is>
      </c>
      <c r="E659" t="inlineStr">
        <is>
          <t>BERG</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53859-2025</t>
        </is>
      </c>
      <c r="B660" s="1" t="n">
        <v>45961</v>
      </c>
      <c r="C660" s="1" t="n">
        <v>46033</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1495-2025</t>
        </is>
      </c>
      <c r="B661" s="1" t="n">
        <v>45670.40652777778</v>
      </c>
      <c r="C661" s="1" t="n">
        <v>46033</v>
      </c>
      <c r="D661" t="inlineStr">
        <is>
          <t>JÄMTLANDS LÄN</t>
        </is>
      </c>
      <c r="E661" t="inlineStr">
        <is>
          <t>BERG</t>
        </is>
      </c>
      <c r="G661" t="n">
        <v>0.3</v>
      </c>
      <c r="H661" t="n">
        <v>0</v>
      </c>
      <c r="I661" t="n">
        <v>0</v>
      </c>
      <c r="J661" t="n">
        <v>0</v>
      </c>
      <c r="K661" t="n">
        <v>0</v>
      </c>
      <c r="L661" t="n">
        <v>0</v>
      </c>
      <c r="M661" t="n">
        <v>0</v>
      </c>
      <c r="N661" t="n">
        <v>0</v>
      </c>
      <c r="O661" t="n">
        <v>0</v>
      </c>
      <c r="P661" t="n">
        <v>0</v>
      </c>
      <c r="Q661" t="n">
        <v>0</v>
      </c>
      <c r="R661" s="2" t="inlineStr"/>
    </row>
    <row r="662" ht="15" customHeight="1">
      <c r="A662" t="inlineStr">
        <is>
          <t>A 34367-2024</t>
        </is>
      </c>
      <c r="B662" s="1" t="n">
        <v>45525.38040509259</v>
      </c>
      <c r="C662" s="1" t="n">
        <v>46033</v>
      </c>
      <c r="D662" t="inlineStr">
        <is>
          <t>JÄMTLANDS LÄN</t>
        </is>
      </c>
      <c r="E662" t="inlineStr">
        <is>
          <t>BERG</t>
        </is>
      </c>
      <c r="G662" t="n">
        <v>0.4</v>
      </c>
      <c r="H662" t="n">
        <v>0</v>
      </c>
      <c r="I662" t="n">
        <v>0</v>
      </c>
      <c r="J662" t="n">
        <v>0</v>
      </c>
      <c r="K662" t="n">
        <v>0</v>
      </c>
      <c r="L662" t="n">
        <v>0</v>
      </c>
      <c r="M662" t="n">
        <v>0</v>
      </c>
      <c r="N662" t="n">
        <v>0</v>
      </c>
      <c r="O662" t="n">
        <v>0</v>
      </c>
      <c r="P662" t="n">
        <v>0</v>
      </c>
      <c r="Q662" t="n">
        <v>0</v>
      </c>
      <c r="R662" s="2" t="inlineStr"/>
    </row>
    <row r="663" ht="15" customHeight="1">
      <c r="A663" t="inlineStr">
        <is>
          <t>A 34369-2024</t>
        </is>
      </c>
      <c r="B663" s="1" t="n">
        <v>45525.38228009259</v>
      </c>
      <c r="C663" s="1" t="n">
        <v>46033</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61977-2025</t>
        </is>
      </c>
      <c r="B664" s="1" t="n">
        <v>46003.61158564815</v>
      </c>
      <c r="C664" s="1" t="n">
        <v>46033</v>
      </c>
      <c r="D664" t="inlineStr">
        <is>
          <t>JÄMTLANDS LÄN</t>
        </is>
      </c>
      <c r="E664" t="inlineStr">
        <is>
          <t>BERG</t>
        </is>
      </c>
      <c r="G664" t="n">
        <v>2.7</v>
      </c>
      <c r="H664" t="n">
        <v>0</v>
      </c>
      <c r="I664" t="n">
        <v>0</v>
      </c>
      <c r="J664" t="n">
        <v>0</v>
      </c>
      <c r="K664" t="n">
        <v>0</v>
      </c>
      <c r="L664" t="n">
        <v>0</v>
      </c>
      <c r="M664" t="n">
        <v>0</v>
      </c>
      <c r="N664" t="n">
        <v>0</v>
      </c>
      <c r="O664" t="n">
        <v>0</v>
      </c>
      <c r="P664" t="n">
        <v>0</v>
      </c>
      <c r="Q664" t="n">
        <v>0</v>
      </c>
      <c r="R664" s="2" t="inlineStr"/>
    </row>
    <row r="665" ht="15" customHeight="1">
      <c r="A665" t="inlineStr">
        <is>
          <t>A 38082-2025</t>
        </is>
      </c>
      <c r="B665" s="1" t="n">
        <v>45882</v>
      </c>
      <c r="C665" s="1" t="n">
        <v>46033</v>
      </c>
      <c r="D665" t="inlineStr">
        <is>
          <t>JÄMTLANDS LÄN</t>
        </is>
      </c>
      <c r="E665" t="inlineStr">
        <is>
          <t>BERG</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38408-2025</t>
        </is>
      </c>
      <c r="B666" s="1" t="n">
        <v>45883.59412037037</v>
      </c>
      <c r="C666" s="1" t="n">
        <v>46033</v>
      </c>
      <c r="D666" t="inlineStr">
        <is>
          <t>JÄMTLANDS LÄN</t>
        </is>
      </c>
      <c r="E666" t="inlineStr">
        <is>
          <t>BERG</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38388-2025</t>
        </is>
      </c>
      <c r="B667" s="1" t="n">
        <v>45883.57467592593</v>
      </c>
      <c r="C667" s="1" t="n">
        <v>46033</v>
      </c>
      <c r="D667" t="inlineStr">
        <is>
          <t>JÄMTLANDS LÄN</t>
        </is>
      </c>
      <c r="E667" t="inlineStr">
        <is>
          <t>BERG</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38428-2025</t>
        </is>
      </c>
      <c r="B668" s="1" t="n">
        <v>45883.63628472222</v>
      </c>
      <c r="C668" s="1" t="n">
        <v>46033</v>
      </c>
      <c r="D668" t="inlineStr">
        <is>
          <t>JÄMTLANDS LÄN</t>
        </is>
      </c>
      <c r="E668" t="inlineStr">
        <is>
          <t>BERG</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166-2024</t>
        </is>
      </c>
      <c r="B669" s="1" t="n">
        <v>45294</v>
      </c>
      <c r="C669" s="1" t="n">
        <v>46033</v>
      </c>
      <c r="D669" t="inlineStr">
        <is>
          <t>JÄMTLANDS LÄN</t>
        </is>
      </c>
      <c r="E669" t="inlineStr">
        <is>
          <t>BERG</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3964-2025</t>
        </is>
      </c>
      <c r="B670" s="1" t="n">
        <v>45684.50761574074</v>
      </c>
      <c r="C670" s="1" t="n">
        <v>46033</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47982-2022</t>
        </is>
      </c>
      <c r="B671" s="1" t="n">
        <v>44853</v>
      </c>
      <c r="C671" s="1" t="n">
        <v>46033</v>
      </c>
      <c r="D671" t="inlineStr">
        <is>
          <t>JÄMTLANDS LÄN</t>
        </is>
      </c>
      <c r="E671" t="inlineStr">
        <is>
          <t>BERG</t>
        </is>
      </c>
      <c r="G671" t="n">
        <v>5.1</v>
      </c>
      <c r="H671" t="n">
        <v>0</v>
      </c>
      <c r="I671" t="n">
        <v>0</v>
      </c>
      <c r="J671" t="n">
        <v>0</v>
      </c>
      <c r="K671" t="n">
        <v>0</v>
      </c>
      <c r="L671" t="n">
        <v>0</v>
      </c>
      <c r="M671" t="n">
        <v>0</v>
      </c>
      <c r="N671" t="n">
        <v>0</v>
      </c>
      <c r="O671" t="n">
        <v>0</v>
      </c>
      <c r="P671" t="n">
        <v>0</v>
      </c>
      <c r="Q671" t="n">
        <v>0</v>
      </c>
      <c r="R671" s="2" t="inlineStr"/>
    </row>
    <row r="672" ht="15" customHeight="1">
      <c r="A672" t="inlineStr">
        <is>
          <t>A 38080-2025</t>
        </is>
      </c>
      <c r="B672" s="1" t="n">
        <v>45882</v>
      </c>
      <c r="C672" s="1" t="n">
        <v>46033</v>
      </c>
      <c r="D672" t="inlineStr">
        <is>
          <t>JÄMTLANDS LÄN</t>
        </is>
      </c>
      <c r="E672" t="inlineStr">
        <is>
          <t>BERG</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61239-2022</t>
        </is>
      </c>
      <c r="B673" s="1" t="n">
        <v>44909</v>
      </c>
      <c r="C673" s="1" t="n">
        <v>46033</v>
      </c>
      <c r="D673" t="inlineStr">
        <is>
          <t>JÄMTLANDS LÄN</t>
        </is>
      </c>
      <c r="E673" t="inlineStr">
        <is>
          <t>BERG</t>
        </is>
      </c>
      <c r="G673" t="n">
        <v>13.5</v>
      </c>
      <c r="H673" t="n">
        <v>0</v>
      </c>
      <c r="I673" t="n">
        <v>0</v>
      </c>
      <c r="J673" t="n">
        <v>0</v>
      </c>
      <c r="K673" t="n">
        <v>0</v>
      </c>
      <c r="L673" t="n">
        <v>0</v>
      </c>
      <c r="M673" t="n">
        <v>0</v>
      </c>
      <c r="N673" t="n">
        <v>0</v>
      </c>
      <c r="O673" t="n">
        <v>0</v>
      </c>
      <c r="P673" t="n">
        <v>0</v>
      </c>
      <c r="Q673" t="n">
        <v>0</v>
      </c>
      <c r="R673" s="2" t="inlineStr"/>
    </row>
    <row r="674" ht="15" customHeight="1">
      <c r="A674" t="inlineStr">
        <is>
          <t>A 7021-2025</t>
        </is>
      </c>
      <c r="B674" s="1" t="n">
        <v>45701.61520833334</v>
      </c>
      <c r="C674" s="1" t="n">
        <v>46033</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19429-2025</t>
        </is>
      </c>
      <c r="B675" s="1" t="n">
        <v>45769.8025462963</v>
      </c>
      <c r="C675" s="1" t="n">
        <v>46033</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47168-2025</t>
        </is>
      </c>
      <c r="B676" s="1" t="n">
        <v>45929.86864583333</v>
      </c>
      <c r="C676" s="1" t="n">
        <v>46033</v>
      </c>
      <c r="D676" t="inlineStr">
        <is>
          <t>JÄMTLANDS LÄN</t>
        </is>
      </c>
      <c r="E676" t="inlineStr">
        <is>
          <t>BERG</t>
        </is>
      </c>
      <c r="F676" t="inlineStr">
        <is>
          <t>Kyrkan</t>
        </is>
      </c>
      <c r="G676" t="n">
        <v>1.6</v>
      </c>
      <c r="H676" t="n">
        <v>0</v>
      </c>
      <c r="I676" t="n">
        <v>0</v>
      </c>
      <c r="J676" t="n">
        <v>0</v>
      </c>
      <c r="K676" t="n">
        <v>0</v>
      </c>
      <c r="L676" t="n">
        <v>0</v>
      </c>
      <c r="M676" t="n">
        <v>0</v>
      </c>
      <c r="N676" t="n">
        <v>0</v>
      </c>
      <c r="O676" t="n">
        <v>0</v>
      </c>
      <c r="P676" t="n">
        <v>0</v>
      </c>
      <c r="Q676" t="n">
        <v>0</v>
      </c>
      <c r="R676" s="2" t="inlineStr"/>
    </row>
    <row r="677" ht="15" customHeight="1">
      <c r="A677" t="inlineStr">
        <is>
          <t>A 39809-2025</t>
        </is>
      </c>
      <c r="B677" s="1" t="n">
        <v>45891</v>
      </c>
      <c r="C677" s="1" t="n">
        <v>46033</v>
      </c>
      <c r="D677" t="inlineStr">
        <is>
          <t>JÄMTLANDS LÄN</t>
        </is>
      </c>
      <c r="E677" t="inlineStr">
        <is>
          <t>BERG</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47176-2023</t>
        </is>
      </c>
      <c r="B678" s="1" t="n">
        <v>45201.94844907407</v>
      </c>
      <c r="C678" s="1" t="n">
        <v>46033</v>
      </c>
      <c r="D678" t="inlineStr">
        <is>
          <t>JÄMTLANDS LÄN</t>
        </is>
      </c>
      <c r="E678" t="inlineStr">
        <is>
          <t>BERG</t>
        </is>
      </c>
      <c r="F678" t="inlineStr">
        <is>
          <t>SCA</t>
        </is>
      </c>
      <c r="G678" t="n">
        <v>32.3</v>
      </c>
      <c r="H678" t="n">
        <v>0</v>
      </c>
      <c r="I678" t="n">
        <v>0</v>
      </c>
      <c r="J678" t="n">
        <v>0</v>
      </c>
      <c r="K678" t="n">
        <v>0</v>
      </c>
      <c r="L678" t="n">
        <v>0</v>
      </c>
      <c r="M678" t="n">
        <v>0</v>
      </c>
      <c r="N678" t="n">
        <v>0</v>
      </c>
      <c r="O678" t="n">
        <v>0</v>
      </c>
      <c r="P678" t="n">
        <v>0</v>
      </c>
      <c r="Q678" t="n">
        <v>0</v>
      </c>
      <c r="R678" s="2" t="inlineStr"/>
    </row>
    <row r="679" ht="15" customHeight="1">
      <c r="A679" t="inlineStr">
        <is>
          <t>A 13672-2024</t>
        </is>
      </c>
      <c r="B679" s="1" t="n">
        <v>45390</v>
      </c>
      <c r="C679" s="1" t="n">
        <v>46033</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62158-2025</t>
        </is>
      </c>
      <c r="B680" s="1" t="n">
        <v>46006.490625</v>
      </c>
      <c r="C680" s="1" t="n">
        <v>46033</v>
      </c>
      <c r="D680" t="inlineStr">
        <is>
          <t>JÄMTLANDS LÄN</t>
        </is>
      </c>
      <c r="E680" t="inlineStr">
        <is>
          <t>BERG</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50612-2023</t>
        </is>
      </c>
      <c r="B681" s="1" t="n">
        <v>45217.444375</v>
      </c>
      <c r="C681" s="1" t="n">
        <v>46033</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162-2024</t>
        </is>
      </c>
      <c r="B682" s="1" t="n">
        <v>45294</v>
      </c>
      <c r="C682" s="1" t="n">
        <v>46033</v>
      </c>
      <c r="D682" t="inlineStr">
        <is>
          <t>JÄMTLANDS LÄN</t>
        </is>
      </c>
      <c r="E682" t="inlineStr">
        <is>
          <t>BERG</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46298-2024</t>
        </is>
      </c>
      <c r="B683" s="1" t="n">
        <v>45581.67739583334</v>
      </c>
      <c r="C683" s="1" t="n">
        <v>46033</v>
      </c>
      <c r="D683" t="inlineStr">
        <is>
          <t>JÄMTLANDS LÄN</t>
        </is>
      </c>
      <c r="E683" t="inlineStr">
        <is>
          <t>BERG</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62052-2025</t>
        </is>
      </c>
      <c r="B684" s="1" t="n">
        <v>46006.32145833333</v>
      </c>
      <c r="C684" s="1" t="n">
        <v>46033</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36-2024</t>
        </is>
      </c>
      <c r="B685" s="1" t="n">
        <v>45293</v>
      </c>
      <c r="C685" s="1" t="n">
        <v>46033</v>
      </c>
      <c r="D685" t="inlineStr">
        <is>
          <t>JÄMTLANDS LÄN</t>
        </is>
      </c>
      <c r="E685" t="inlineStr">
        <is>
          <t>BERG</t>
        </is>
      </c>
      <c r="G685" t="n">
        <v>2.6</v>
      </c>
      <c r="H685" t="n">
        <v>0</v>
      </c>
      <c r="I685" t="n">
        <v>0</v>
      </c>
      <c r="J685" t="n">
        <v>0</v>
      </c>
      <c r="K685" t="n">
        <v>0</v>
      </c>
      <c r="L685" t="n">
        <v>0</v>
      </c>
      <c r="M685" t="n">
        <v>0</v>
      </c>
      <c r="N685" t="n">
        <v>0</v>
      </c>
      <c r="O685" t="n">
        <v>0</v>
      </c>
      <c r="P685" t="n">
        <v>0</v>
      </c>
      <c r="Q685" t="n">
        <v>0</v>
      </c>
      <c r="R685" s="2" t="inlineStr"/>
    </row>
    <row r="686" ht="15" customHeight="1">
      <c r="A686" t="inlineStr">
        <is>
          <t>A 45206-2024</t>
        </is>
      </c>
      <c r="B686" s="1" t="n">
        <v>45575.69966435185</v>
      </c>
      <c r="C686" s="1" t="n">
        <v>46033</v>
      </c>
      <c r="D686" t="inlineStr">
        <is>
          <t>JÄMTLANDS LÄN</t>
        </is>
      </c>
      <c r="E686" t="inlineStr">
        <is>
          <t>BERG</t>
        </is>
      </c>
      <c r="G686" t="n">
        <v>2.3</v>
      </c>
      <c r="H686" t="n">
        <v>0</v>
      </c>
      <c r="I686" t="n">
        <v>0</v>
      </c>
      <c r="J686" t="n">
        <v>0</v>
      </c>
      <c r="K686" t="n">
        <v>0</v>
      </c>
      <c r="L686" t="n">
        <v>0</v>
      </c>
      <c r="M686" t="n">
        <v>0</v>
      </c>
      <c r="N686" t="n">
        <v>0</v>
      </c>
      <c r="O686" t="n">
        <v>0</v>
      </c>
      <c r="P686" t="n">
        <v>0</v>
      </c>
      <c r="Q686" t="n">
        <v>0</v>
      </c>
      <c r="R686" s="2" t="inlineStr"/>
    </row>
    <row r="687" ht="15" customHeight="1">
      <c r="A687" t="inlineStr">
        <is>
          <t>A 18872-2023</t>
        </is>
      </c>
      <c r="B687" s="1" t="n">
        <v>45042</v>
      </c>
      <c r="C687" s="1" t="n">
        <v>46033</v>
      </c>
      <c r="D687" t="inlineStr">
        <is>
          <t>JÄMTLANDS LÄN</t>
        </is>
      </c>
      <c r="E687" t="inlineStr">
        <is>
          <t>BERG</t>
        </is>
      </c>
      <c r="G687" t="n">
        <v>13.2</v>
      </c>
      <c r="H687" t="n">
        <v>0</v>
      </c>
      <c r="I687" t="n">
        <v>0</v>
      </c>
      <c r="J687" t="n">
        <v>0</v>
      </c>
      <c r="K687" t="n">
        <v>0</v>
      </c>
      <c r="L687" t="n">
        <v>0</v>
      </c>
      <c r="M687" t="n">
        <v>0</v>
      </c>
      <c r="N687" t="n">
        <v>0</v>
      </c>
      <c r="O687" t="n">
        <v>0</v>
      </c>
      <c r="P687" t="n">
        <v>0</v>
      </c>
      <c r="Q687" t="n">
        <v>0</v>
      </c>
      <c r="R687" s="2" t="inlineStr"/>
    </row>
    <row r="688" ht="15" customHeight="1">
      <c r="A688" t="inlineStr">
        <is>
          <t>A 23877-2024</t>
        </is>
      </c>
      <c r="B688" s="1" t="n">
        <v>45455.63024305556</v>
      </c>
      <c r="C688" s="1" t="n">
        <v>46033</v>
      </c>
      <c r="D688" t="inlineStr">
        <is>
          <t>JÄMTLANDS LÄN</t>
        </is>
      </c>
      <c r="E688" t="inlineStr">
        <is>
          <t>BERG</t>
        </is>
      </c>
      <c r="G688" t="n">
        <v>2</v>
      </c>
      <c r="H688" t="n">
        <v>0</v>
      </c>
      <c r="I688" t="n">
        <v>0</v>
      </c>
      <c r="J688" t="n">
        <v>0</v>
      </c>
      <c r="K688" t="n">
        <v>0</v>
      </c>
      <c r="L688" t="n">
        <v>0</v>
      </c>
      <c r="M688" t="n">
        <v>0</v>
      </c>
      <c r="N688" t="n">
        <v>0</v>
      </c>
      <c r="O688" t="n">
        <v>0</v>
      </c>
      <c r="P688" t="n">
        <v>0</v>
      </c>
      <c r="Q688" t="n">
        <v>0</v>
      </c>
      <c r="R688" s="2" t="inlineStr"/>
    </row>
    <row r="689" ht="15" customHeight="1">
      <c r="A689" t="inlineStr">
        <is>
          <t>A 23880-2024</t>
        </is>
      </c>
      <c r="B689" s="1" t="n">
        <v>45455.63731481481</v>
      </c>
      <c r="C689" s="1" t="n">
        <v>46033</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62299-2023</t>
        </is>
      </c>
      <c r="B690" s="1" t="n">
        <v>45266</v>
      </c>
      <c r="C690" s="1" t="n">
        <v>46033</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54852-2025</t>
        </is>
      </c>
      <c r="B691" s="1" t="n">
        <v>45966.71946759259</v>
      </c>
      <c r="C691" s="1" t="n">
        <v>46033</v>
      </c>
      <c r="D691" t="inlineStr">
        <is>
          <t>JÄMTLANDS LÄN</t>
        </is>
      </c>
      <c r="E691" t="inlineStr">
        <is>
          <t>BERG</t>
        </is>
      </c>
      <c r="G691" t="n">
        <v>1.7</v>
      </c>
      <c r="H691" t="n">
        <v>0</v>
      </c>
      <c r="I691" t="n">
        <v>0</v>
      </c>
      <c r="J691" t="n">
        <v>0</v>
      </c>
      <c r="K691" t="n">
        <v>0</v>
      </c>
      <c r="L691" t="n">
        <v>0</v>
      </c>
      <c r="M691" t="n">
        <v>0</v>
      </c>
      <c r="N691" t="n">
        <v>0</v>
      </c>
      <c r="O691" t="n">
        <v>0</v>
      </c>
      <c r="P691" t="n">
        <v>0</v>
      </c>
      <c r="Q691" t="n">
        <v>0</v>
      </c>
      <c r="R691" s="2" t="inlineStr"/>
    </row>
    <row r="692" ht="15" customHeight="1">
      <c r="A692" t="inlineStr">
        <is>
          <t>A 54720-2025</t>
        </is>
      </c>
      <c r="B692" s="1" t="n">
        <v>45966.53177083333</v>
      </c>
      <c r="C692" s="1" t="n">
        <v>46033</v>
      </c>
      <c r="D692" t="inlineStr">
        <is>
          <t>JÄMTLANDS LÄN</t>
        </is>
      </c>
      <c r="E692" t="inlineStr">
        <is>
          <t>BERG</t>
        </is>
      </c>
      <c r="G692" t="n">
        <v>0.6</v>
      </c>
      <c r="H692" t="n">
        <v>0</v>
      </c>
      <c r="I692" t="n">
        <v>0</v>
      </c>
      <c r="J692" t="n">
        <v>0</v>
      </c>
      <c r="K692" t="n">
        <v>0</v>
      </c>
      <c r="L692" t="n">
        <v>0</v>
      </c>
      <c r="M692" t="n">
        <v>0</v>
      </c>
      <c r="N692" t="n">
        <v>0</v>
      </c>
      <c r="O692" t="n">
        <v>0</v>
      </c>
      <c r="P692" t="n">
        <v>0</v>
      </c>
      <c r="Q692" t="n">
        <v>0</v>
      </c>
      <c r="R692" s="2" t="inlineStr"/>
    </row>
    <row r="693" ht="15" customHeight="1">
      <c r="A693" t="inlineStr">
        <is>
          <t>A 62826-2025</t>
        </is>
      </c>
      <c r="B693" s="1" t="n">
        <v>46008.65883101852</v>
      </c>
      <c r="C693" s="1" t="n">
        <v>46033</v>
      </c>
      <c r="D693" t="inlineStr">
        <is>
          <t>JÄMTLANDS LÄN</t>
        </is>
      </c>
      <c r="E693" t="inlineStr">
        <is>
          <t>BERG</t>
        </is>
      </c>
      <c r="G693" t="n">
        <v>4</v>
      </c>
      <c r="H693" t="n">
        <v>0</v>
      </c>
      <c r="I693" t="n">
        <v>0</v>
      </c>
      <c r="J693" t="n">
        <v>0</v>
      </c>
      <c r="K693" t="n">
        <v>0</v>
      </c>
      <c r="L693" t="n">
        <v>0</v>
      </c>
      <c r="M693" t="n">
        <v>0</v>
      </c>
      <c r="N693" t="n">
        <v>0</v>
      </c>
      <c r="O693" t="n">
        <v>0</v>
      </c>
      <c r="P693" t="n">
        <v>0</v>
      </c>
      <c r="Q693" t="n">
        <v>0</v>
      </c>
      <c r="R693" s="2" t="inlineStr"/>
    </row>
    <row r="694" ht="15" customHeight="1">
      <c r="A694" t="inlineStr">
        <is>
          <t>A 54825-2025</t>
        </is>
      </c>
      <c r="B694" s="1" t="n">
        <v>45966.66768518519</v>
      </c>
      <c r="C694" s="1" t="n">
        <v>46033</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32178-2024</t>
        </is>
      </c>
      <c r="B695" s="1" t="n">
        <v>45511</v>
      </c>
      <c r="C695" s="1" t="n">
        <v>46033</v>
      </c>
      <c r="D695" t="inlineStr">
        <is>
          <t>JÄMTLANDS LÄN</t>
        </is>
      </c>
      <c r="E695" t="inlineStr">
        <is>
          <t>BERG</t>
        </is>
      </c>
      <c r="G695" t="n">
        <v>11.4</v>
      </c>
      <c r="H695" t="n">
        <v>0</v>
      </c>
      <c r="I695" t="n">
        <v>0</v>
      </c>
      <c r="J695" t="n">
        <v>0</v>
      </c>
      <c r="K695" t="n">
        <v>0</v>
      </c>
      <c r="L695" t="n">
        <v>0</v>
      </c>
      <c r="M695" t="n">
        <v>0</v>
      </c>
      <c r="N695" t="n">
        <v>0</v>
      </c>
      <c r="O695" t="n">
        <v>0</v>
      </c>
      <c r="P695" t="n">
        <v>0</v>
      </c>
      <c r="Q695" t="n">
        <v>0</v>
      </c>
      <c r="R695" s="2" t="inlineStr"/>
    </row>
    <row r="696" ht="15" customHeight="1">
      <c r="A696" t="inlineStr">
        <is>
          <t>A 55022-2025</t>
        </is>
      </c>
      <c r="B696" s="1" t="n">
        <v>45967.62862268519</v>
      </c>
      <c r="C696" s="1" t="n">
        <v>46033</v>
      </c>
      <c r="D696" t="inlineStr">
        <is>
          <t>JÄMTLANDS LÄN</t>
        </is>
      </c>
      <c r="E696" t="inlineStr">
        <is>
          <t>BERG</t>
        </is>
      </c>
      <c r="G696" t="n">
        <v>0.5</v>
      </c>
      <c r="H696" t="n">
        <v>0</v>
      </c>
      <c r="I696" t="n">
        <v>0</v>
      </c>
      <c r="J696" t="n">
        <v>0</v>
      </c>
      <c r="K696" t="n">
        <v>0</v>
      </c>
      <c r="L696" t="n">
        <v>0</v>
      </c>
      <c r="M696" t="n">
        <v>0</v>
      </c>
      <c r="N696" t="n">
        <v>0</v>
      </c>
      <c r="O696" t="n">
        <v>0</v>
      </c>
      <c r="P696" t="n">
        <v>0</v>
      </c>
      <c r="Q696" t="n">
        <v>0</v>
      </c>
      <c r="R696" s="2" t="inlineStr"/>
    </row>
    <row r="697" ht="15" customHeight="1">
      <c r="A697" t="inlineStr">
        <is>
          <t>A 55043-2025</t>
        </is>
      </c>
      <c r="B697" s="1" t="n">
        <v>45967.65983796296</v>
      </c>
      <c r="C697" s="1" t="n">
        <v>46033</v>
      </c>
      <c r="D697" t="inlineStr">
        <is>
          <t>JÄMTLANDS LÄN</t>
        </is>
      </c>
      <c r="E697" t="inlineStr">
        <is>
          <t>BERG</t>
        </is>
      </c>
      <c r="G697" t="n">
        <v>3</v>
      </c>
      <c r="H697" t="n">
        <v>0</v>
      </c>
      <c r="I697" t="n">
        <v>0</v>
      </c>
      <c r="J697" t="n">
        <v>0</v>
      </c>
      <c r="K697" t="n">
        <v>0</v>
      </c>
      <c r="L697" t="n">
        <v>0</v>
      </c>
      <c r="M697" t="n">
        <v>0</v>
      </c>
      <c r="N697" t="n">
        <v>0</v>
      </c>
      <c r="O697" t="n">
        <v>0</v>
      </c>
      <c r="P697" t="n">
        <v>0</v>
      </c>
      <c r="Q697" t="n">
        <v>0</v>
      </c>
      <c r="R697" s="2" t="inlineStr"/>
    </row>
    <row r="698" ht="15" customHeight="1">
      <c r="A698" t="inlineStr">
        <is>
          <t>A 43616-2024</t>
        </is>
      </c>
      <c r="B698" s="1" t="n">
        <v>45569</v>
      </c>
      <c r="C698" s="1" t="n">
        <v>46033</v>
      </c>
      <c r="D698" t="inlineStr">
        <is>
          <t>JÄMTLANDS LÄN</t>
        </is>
      </c>
      <c r="E698" t="inlineStr">
        <is>
          <t>BERG</t>
        </is>
      </c>
      <c r="G698" t="n">
        <v>12.3</v>
      </c>
      <c r="H698" t="n">
        <v>0</v>
      </c>
      <c r="I698" t="n">
        <v>0</v>
      </c>
      <c r="J698" t="n">
        <v>0</v>
      </c>
      <c r="K698" t="n">
        <v>0</v>
      </c>
      <c r="L698" t="n">
        <v>0</v>
      </c>
      <c r="M698" t="n">
        <v>0</v>
      </c>
      <c r="N698" t="n">
        <v>0</v>
      </c>
      <c r="O698" t="n">
        <v>0</v>
      </c>
      <c r="P698" t="n">
        <v>0</v>
      </c>
      <c r="Q698" t="n">
        <v>0</v>
      </c>
      <c r="R698" s="2" t="inlineStr"/>
    </row>
    <row r="699" ht="15" customHeight="1">
      <c r="A699" t="inlineStr">
        <is>
          <t>A 62814-2025</t>
        </is>
      </c>
      <c r="B699" s="1" t="n">
        <v>46008.6502662037</v>
      </c>
      <c r="C699" s="1" t="n">
        <v>46033</v>
      </c>
      <c r="D699" t="inlineStr">
        <is>
          <t>JÄMTLANDS LÄN</t>
        </is>
      </c>
      <c r="E699" t="inlineStr">
        <is>
          <t>BERG</t>
        </is>
      </c>
      <c r="G699" t="n">
        <v>7.8</v>
      </c>
      <c r="H699" t="n">
        <v>0</v>
      </c>
      <c r="I699" t="n">
        <v>0</v>
      </c>
      <c r="J699" t="n">
        <v>0</v>
      </c>
      <c r="K699" t="n">
        <v>0</v>
      </c>
      <c r="L699" t="n">
        <v>0</v>
      </c>
      <c r="M699" t="n">
        <v>0</v>
      </c>
      <c r="N699" t="n">
        <v>0</v>
      </c>
      <c r="O699" t="n">
        <v>0</v>
      </c>
      <c r="P699" t="n">
        <v>0</v>
      </c>
      <c r="Q699" t="n">
        <v>0</v>
      </c>
      <c r="R699" s="2" t="inlineStr"/>
    </row>
    <row r="700" ht="15" customHeight="1">
      <c r="A700" t="inlineStr">
        <is>
          <t>A 5644-2025</t>
        </is>
      </c>
      <c r="B700" s="1" t="n">
        <v>45693.6833449074</v>
      </c>
      <c r="C700" s="1" t="n">
        <v>46033</v>
      </c>
      <c r="D700" t="inlineStr">
        <is>
          <t>JÄMTLANDS LÄN</t>
        </is>
      </c>
      <c r="E700" t="inlineStr">
        <is>
          <t>BERG</t>
        </is>
      </c>
      <c r="G700" t="n">
        <v>2.1</v>
      </c>
      <c r="H700" t="n">
        <v>0</v>
      </c>
      <c r="I700" t="n">
        <v>0</v>
      </c>
      <c r="J700" t="n">
        <v>0</v>
      </c>
      <c r="K700" t="n">
        <v>0</v>
      </c>
      <c r="L700" t="n">
        <v>0</v>
      </c>
      <c r="M700" t="n">
        <v>0</v>
      </c>
      <c r="N700" t="n">
        <v>0</v>
      </c>
      <c r="O700" t="n">
        <v>0</v>
      </c>
      <c r="P700" t="n">
        <v>0</v>
      </c>
      <c r="Q700" t="n">
        <v>0</v>
      </c>
      <c r="R700" s="2" t="inlineStr"/>
    </row>
    <row r="701" ht="15" customHeight="1">
      <c r="A701" t="inlineStr">
        <is>
          <t>A 55553-2025</t>
        </is>
      </c>
      <c r="B701" s="1" t="n">
        <v>45971.64445601852</v>
      </c>
      <c r="C701" s="1" t="n">
        <v>46033</v>
      </c>
      <c r="D701" t="inlineStr">
        <is>
          <t>JÄMTLANDS LÄN</t>
        </is>
      </c>
      <c r="E701" t="inlineStr">
        <is>
          <t>BERG</t>
        </is>
      </c>
      <c r="G701" t="n">
        <v>2.9</v>
      </c>
      <c r="H701" t="n">
        <v>0</v>
      </c>
      <c r="I701" t="n">
        <v>0</v>
      </c>
      <c r="J701" t="n">
        <v>0</v>
      </c>
      <c r="K701" t="n">
        <v>0</v>
      </c>
      <c r="L701" t="n">
        <v>0</v>
      </c>
      <c r="M701" t="n">
        <v>0</v>
      </c>
      <c r="N701" t="n">
        <v>0</v>
      </c>
      <c r="O701" t="n">
        <v>0</v>
      </c>
      <c r="P701" t="n">
        <v>0</v>
      </c>
      <c r="Q701" t="n">
        <v>0</v>
      </c>
      <c r="R701" s="2" t="inlineStr"/>
    </row>
    <row r="702" ht="15" customHeight="1">
      <c r="A702" t="inlineStr">
        <is>
          <t>A 29424-2024</t>
        </is>
      </c>
      <c r="B702" s="1" t="n">
        <v>45483.71451388889</v>
      </c>
      <c r="C702" s="1" t="n">
        <v>46033</v>
      </c>
      <c r="D702" t="inlineStr">
        <is>
          <t>JÄMTLANDS LÄN</t>
        </is>
      </c>
      <c r="E702" t="inlineStr">
        <is>
          <t>BERG</t>
        </is>
      </c>
      <c r="G702" t="n">
        <v>4</v>
      </c>
      <c r="H702" t="n">
        <v>0</v>
      </c>
      <c r="I702" t="n">
        <v>0</v>
      </c>
      <c r="J702" t="n">
        <v>0</v>
      </c>
      <c r="K702" t="n">
        <v>0</v>
      </c>
      <c r="L702" t="n">
        <v>0</v>
      </c>
      <c r="M702" t="n">
        <v>0</v>
      </c>
      <c r="N702" t="n">
        <v>0</v>
      </c>
      <c r="O702" t="n">
        <v>0</v>
      </c>
      <c r="P702" t="n">
        <v>0</v>
      </c>
      <c r="Q702" t="n">
        <v>0</v>
      </c>
      <c r="R702" s="2" t="inlineStr"/>
    </row>
    <row r="703" ht="15" customHeight="1">
      <c r="A703" t="inlineStr">
        <is>
          <t>A 60249-2022</t>
        </is>
      </c>
      <c r="B703" s="1" t="n">
        <v>44903</v>
      </c>
      <c r="C703" s="1" t="n">
        <v>46033</v>
      </c>
      <c r="D703" t="inlineStr">
        <is>
          <t>JÄMTLANDS LÄN</t>
        </is>
      </c>
      <c r="E703" t="inlineStr">
        <is>
          <t>BERG</t>
        </is>
      </c>
      <c r="G703" t="n">
        <v>6</v>
      </c>
      <c r="H703" t="n">
        <v>0</v>
      </c>
      <c r="I703" t="n">
        <v>0</v>
      </c>
      <c r="J703" t="n">
        <v>0</v>
      </c>
      <c r="K703" t="n">
        <v>0</v>
      </c>
      <c r="L703" t="n">
        <v>0</v>
      </c>
      <c r="M703" t="n">
        <v>0</v>
      </c>
      <c r="N703" t="n">
        <v>0</v>
      </c>
      <c r="O703" t="n">
        <v>0</v>
      </c>
      <c r="P703" t="n">
        <v>0</v>
      </c>
      <c r="Q703" t="n">
        <v>0</v>
      </c>
      <c r="R703" s="2" t="inlineStr"/>
    </row>
    <row r="704" ht="15" customHeight="1">
      <c r="A704" t="inlineStr">
        <is>
          <t>A 63559-2025</t>
        </is>
      </c>
      <c r="B704" s="1" t="n">
        <v>46013.61951388889</v>
      </c>
      <c r="C704" s="1" t="n">
        <v>46033</v>
      </c>
      <c r="D704" t="inlineStr">
        <is>
          <t>JÄMTLANDS LÄN</t>
        </is>
      </c>
      <c r="E704" t="inlineStr">
        <is>
          <t>BERG</t>
        </is>
      </c>
      <c r="G704" t="n">
        <v>0.6</v>
      </c>
      <c r="H704" t="n">
        <v>0</v>
      </c>
      <c r="I704" t="n">
        <v>0</v>
      </c>
      <c r="J704" t="n">
        <v>0</v>
      </c>
      <c r="K704" t="n">
        <v>0</v>
      </c>
      <c r="L704" t="n">
        <v>0</v>
      </c>
      <c r="M704" t="n">
        <v>0</v>
      </c>
      <c r="N704" t="n">
        <v>0</v>
      </c>
      <c r="O704" t="n">
        <v>0</v>
      </c>
      <c r="P704" t="n">
        <v>0</v>
      </c>
      <c r="Q704" t="n">
        <v>0</v>
      </c>
      <c r="R704" s="2" t="inlineStr"/>
    </row>
    <row r="705" ht="15" customHeight="1">
      <c r="A705" t="inlineStr">
        <is>
          <t>A 55472-2025</t>
        </is>
      </c>
      <c r="B705" s="1" t="n">
        <v>45971.54526620371</v>
      </c>
      <c r="C705" s="1" t="n">
        <v>46033</v>
      </c>
      <c r="D705" t="inlineStr">
        <is>
          <t>JÄMTLANDS LÄN</t>
        </is>
      </c>
      <c r="E705" t="inlineStr">
        <is>
          <t>BERG</t>
        </is>
      </c>
      <c r="G705" t="n">
        <v>3.2</v>
      </c>
      <c r="H705" t="n">
        <v>0</v>
      </c>
      <c r="I705" t="n">
        <v>0</v>
      </c>
      <c r="J705" t="n">
        <v>0</v>
      </c>
      <c r="K705" t="n">
        <v>0</v>
      </c>
      <c r="L705" t="n">
        <v>0</v>
      </c>
      <c r="M705" t="n">
        <v>0</v>
      </c>
      <c r="N705" t="n">
        <v>0</v>
      </c>
      <c r="O705" t="n">
        <v>0</v>
      </c>
      <c r="P705" t="n">
        <v>0</v>
      </c>
      <c r="Q705" t="n">
        <v>0</v>
      </c>
      <c r="R705" s="2" t="inlineStr"/>
    </row>
    <row r="706" ht="15" customHeight="1">
      <c r="A706" t="inlineStr">
        <is>
          <t>A 55497-2025</t>
        </is>
      </c>
      <c r="B706" s="1" t="n">
        <v>45971.58337962963</v>
      </c>
      <c r="C706" s="1" t="n">
        <v>46033</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55237-2025</t>
        </is>
      </c>
      <c r="B707" s="1" t="n">
        <v>45968</v>
      </c>
      <c r="C707" s="1" t="n">
        <v>46033</v>
      </c>
      <c r="D707" t="inlineStr">
        <is>
          <t>JÄMTLANDS LÄN</t>
        </is>
      </c>
      <c r="E707" t="inlineStr">
        <is>
          <t>BERG</t>
        </is>
      </c>
      <c r="G707" t="n">
        <v>11.9</v>
      </c>
      <c r="H707" t="n">
        <v>0</v>
      </c>
      <c r="I707" t="n">
        <v>0</v>
      </c>
      <c r="J707" t="n">
        <v>0</v>
      </c>
      <c r="K707" t="n">
        <v>0</v>
      </c>
      <c r="L707" t="n">
        <v>0</v>
      </c>
      <c r="M707" t="n">
        <v>0</v>
      </c>
      <c r="N707" t="n">
        <v>0</v>
      </c>
      <c r="O707" t="n">
        <v>0</v>
      </c>
      <c r="P707" t="n">
        <v>0</v>
      </c>
      <c r="Q707" t="n">
        <v>0</v>
      </c>
      <c r="R707" s="2" t="inlineStr"/>
    </row>
    <row r="708" ht="15" customHeight="1">
      <c r="A708" t="inlineStr">
        <is>
          <t>A 8065-2024</t>
        </is>
      </c>
      <c r="B708" s="1" t="n">
        <v>45351.40697916667</v>
      </c>
      <c r="C708" s="1" t="n">
        <v>46033</v>
      </c>
      <c r="D708" t="inlineStr">
        <is>
          <t>JÄMTLANDS LÄN</t>
        </is>
      </c>
      <c r="E708" t="inlineStr">
        <is>
          <t>BERG</t>
        </is>
      </c>
      <c r="G708" t="n">
        <v>6.9</v>
      </c>
      <c r="H708" t="n">
        <v>0</v>
      </c>
      <c r="I708" t="n">
        <v>0</v>
      </c>
      <c r="J708" t="n">
        <v>0</v>
      </c>
      <c r="K708" t="n">
        <v>0</v>
      </c>
      <c r="L708" t="n">
        <v>0</v>
      </c>
      <c r="M708" t="n">
        <v>0</v>
      </c>
      <c r="N708" t="n">
        <v>0</v>
      </c>
      <c r="O708" t="n">
        <v>0</v>
      </c>
      <c r="P708" t="n">
        <v>0</v>
      </c>
      <c r="Q708" t="n">
        <v>0</v>
      </c>
      <c r="R708" s="2" t="inlineStr"/>
    </row>
    <row r="709" ht="15" customHeight="1">
      <c r="A709" t="inlineStr">
        <is>
          <t>A 55267-2025</t>
        </is>
      </c>
      <c r="B709" s="1" t="n">
        <v>45968.66726851852</v>
      </c>
      <c r="C709" s="1" t="n">
        <v>46033</v>
      </c>
      <c r="D709" t="inlineStr">
        <is>
          <t>JÄMTLANDS LÄN</t>
        </is>
      </c>
      <c r="E709" t="inlineStr">
        <is>
          <t>BERG</t>
        </is>
      </c>
      <c r="G709" t="n">
        <v>1.4</v>
      </c>
      <c r="H709" t="n">
        <v>0</v>
      </c>
      <c r="I709" t="n">
        <v>0</v>
      </c>
      <c r="J709" t="n">
        <v>0</v>
      </c>
      <c r="K709" t="n">
        <v>0</v>
      </c>
      <c r="L709" t="n">
        <v>0</v>
      </c>
      <c r="M709" t="n">
        <v>0</v>
      </c>
      <c r="N709" t="n">
        <v>0</v>
      </c>
      <c r="O709" t="n">
        <v>0</v>
      </c>
      <c r="P709" t="n">
        <v>0</v>
      </c>
      <c r="Q709" t="n">
        <v>0</v>
      </c>
      <c r="R709" s="2" t="inlineStr"/>
    </row>
    <row r="710" ht="15" customHeight="1">
      <c r="A710" t="inlineStr">
        <is>
          <t>A 55239-2025</t>
        </is>
      </c>
      <c r="B710" s="1" t="n">
        <v>45968</v>
      </c>
      <c r="C710" s="1" t="n">
        <v>46033</v>
      </c>
      <c r="D710" t="inlineStr">
        <is>
          <t>JÄMTLANDS LÄN</t>
        </is>
      </c>
      <c r="E710" t="inlineStr">
        <is>
          <t>BERG</t>
        </is>
      </c>
      <c r="G710" t="n">
        <v>6.3</v>
      </c>
      <c r="H710" t="n">
        <v>0</v>
      </c>
      <c r="I710" t="n">
        <v>0</v>
      </c>
      <c r="J710" t="n">
        <v>0</v>
      </c>
      <c r="K710" t="n">
        <v>0</v>
      </c>
      <c r="L710" t="n">
        <v>0</v>
      </c>
      <c r="M710" t="n">
        <v>0</v>
      </c>
      <c r="N710" t="n">
        <v>0</v>
      </c>
      <c r="O710" t="n">
        <v>0</v>
      </c>
      <c r="P710" t="n">
        <v>0</v>
      </c>
      <c r="Q710" t="n">
        <v>0</v>
      </c>
      <c r="R710" s="2" t="inlineStr"/>
    </row>
    <row r="711" ht="15" customHeight="1">
      <c r="A711" t="inlineStr">
        <is>
          <t>A 55240-2025</t>
        </is>
      </c>
      <c r="B711" s="1" t="n">
        <v>45968</v>
      </c>
      <c r="C711" s="1" t="n">
        <v>46033</v>
      </c>
      <c r="D711" t="inlineStr">
        <is>
          <t>JÄMTLANDS LÄN</t>
        </is>
      </c>
      <c r="E711" t="inlineStr">
        <is>
          <t>BERG</t>
        </is>
      </c>
      <c r="G711" t="n">
        <v>11.2</v>
      </c>
      <c r="H711" t="n">
        <v>0</v>
      </c>
      <c r="I711" t="n">
        <v>0</v>
      </c>
      <c r="J711" t="n">
        <v>0</v>
      </c>
      <c r="K711" t="n">
        <v>0</v>
      </c>
      <c r="L711" t="n">
        <v>0</v>
      </c>
      <c r="M711" t="n">
        <v>0</v>
      </c>
      <c r="N711" t="n">
        <v>0</v>
      </c>
      <c r="O711" t="n">
        <v>0</v>
      </c>
      <c r="P711" t="n">
        <v>0</v>
      </c>
      <c r="Q711" t="n">
        <v>0</v>
      </c>
      <c r="R711" s="2" t="inlineStr"/>
    </row>
    <row r="712" ht="15" customHeight="1">
      <c r="A712" t="inlineStr">
        <is>
          <t>A 55224-2025</t>
        </is>
      </c>
      <c r="B712" s="1" t="n">
        <v>45968.59447916667</v>
      </c>
      <c r="C712" s="1" t="n">
        <v>46033</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63332-2025</t>
        </is>
      </c>
      <c r="B713" s="1" t="n">
        <v>46010.64340277778</v>
      </c>
      <c r="C713" s="1" t="n">
        <v>46033</v>
      </c>
      <c r="D713" t="inlineStr">
        <is>
          <t>JÄMTLANDS LÄN</t>
        </is>
      </c>
      <c r="E713" t="inlineStr">
        <is>
          <t>BERG</t>
        </is>
      </c>
      <c r="G713" t="n">
        <v>5.4</v>
      </c>
      <c r="H713" t="n">
        <v>0</v>
      </c>
      <c r="I713" t="n">
        <v>0</v>
      </c>
      <c r="J713" t="n">
        <v>0</v>
      </c>
      <c r="K713" t="n">
        <v>0</v>
      </c>
      <c r="L713" t="n">
        <v>0</v>
      </c>
      <c r="M713" t="n">
        <v>0</v>
      </c>
      <c r="N713" t="n">
        <v>0</v>
      </c>
      <c r="O713" t="n">
        <v>0</v>
      </c>
      <c r="P713" t="n">
        <v>0</v>
      </c>
      <c r="Q713" t="n">
        <v>0</v>
      </c>
      <c r="R713" s="2" t="inlineStr"/>
    </row>
    <row r="714" ht="15" customHeight="1">
      <c r="A714" t="inlineStr">
        <is>
          <t>A 35911-2024</t>
        </is>
      </c>
      <c r="B714" s="1" t="n">
        <v>45533.41498842592</v>
      </c>
      <c r="C714" s="1" t="n">
        <v>46033</v>
      </c>
      <c r="D714" t="inlineStr">
        <is>
          <t>JÄMTLANDS LÄN</t>
        </is>
      </c>
      <c r="E714" t="inlineStr">
        <is>
          <t>BERG</t>
        </is>
      </c>
      <c r="G714" t="n">
        <v>4.1</v>
      </c>
      <c r="H714" t="n">
        <v>0</v>
      </c>
      <c r="I714" t="n">
        <v>0</v>
      </c>
      <c r="J714" t="n">
        <v>0</v>
      </c>
      <c r="K714" t="n">
        <v>0</v>
      </c>
      <c r="L714" t="n">
        <v>0</v>
      </c>
      <c r="M714" t="n">
        <v>0</v>
      </c>
      <c r="N714" t="n">
        <v>0</v>
      </c>
      <c r="O714" t="n">
        <v>0</v>
      </c>
      <c r="P714" t="n">
        <v>0</v>
      </c>
      <c r="Q714" t="n">
        <v>0</v>
      </c>
      <c r="R714" s="2" t="inlineStr"/>
    </row>
    <row r="715" ht="15" customHeight="1">
      <c r="A715" t="inlineStr">
        <is>
          <t>A 55575-2025</t>
        </is>
      </c>
      <c r="B715" s="1" t="n">
        <v>45971.66145833334</v>
      </c>
      <c r="C715" s="1" t="n">
        <v>46033</v>
      </c>
      <c r="D715" t="inlineStr">
        <is>
          <t>JÄMTLANDS LÄN</t>
        </is>
      </c>
      <c r="E715" t="inlineStr">
        <is>
          <t>BERG</t>
        </is>
      </c>
      <c r="G715" t="n">
        <v>3.5</v>
      </c>
      <c r="H715" t="n">
        <v>0</v>
      </c>
      <c r="I715" t="n">
        <v>0</v>
      </c>
      <c r="J715" t="n">
        <v>0</v>
      </c>
      <c r="K715" t="n">
        <v>0</v>
      </c>
      <c r="L715" t="n">
        <v>0</v>
      </c>
      <c r="M715" t="n">
        <v>0</v>
      </c>
      <c r="N715" t="n">
        <v>0</v>
      </c>
      <c r="O715" t="n">
        <v>0</v>
      </c>
      <c r="P715" t="n">
        <v>0</v>
      </c>
      <c r="Q715" t="n">
        <v>0</v>
      </c>
      <c r="R715" s="2" t="inlineStr"/>
    </row>
    <row r="716" ht="15" customHeight="1">
      <c r="A716" t="inlineStr">
        <is>
          <t>A 61837-2023</t>
        </is>
      </c>
      <c r="B716" s="1" t="n">
        <v>45264</v>
      </c>
      <c r="C716" s="1" t="n">
        <v>46033</v>
      </c>
      <c r="D716" t="inlineStr">
        <is>
          <t>JÄMTLANDS LÄN</t>
        </is>
      </c>
      <c r="E716" t="inlineStr">
        <is>
          <t>BERG</t>
        </is>
      </c>
      <c r="G716" t="n">
        <v>0.6</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46033</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46033</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55223-2025</t>
        </is>
      </c>
      <c r="B719" s="1" t="n">
        <v>45968.59439814815</v>
      </c>
      <c r="C719" s="1" t="n">
        <v>46033</v>
      </c>
      <c r="D719" t="inlineStr">
        <is>
          <t>JÄMTLANDS LÄN</t>
        </is>
      </c>
      <c r="E719" t="inlineStr">
        <is>
          <t>BERG</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63345-2025</t>
        </is>
      </c>
      <c r="B720" s="1" t="n">
        <v>46010.65959490741</v>
      </c>
      <c r="C720" s="1" t="n">
        <v>46033</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63381-2025</t>
        </is>
      </c>
      <c r="B721" s="1" t="n">
        <v>46010.89377314815</v>
      </c>
      <c r="C721" s="1" t="n">
        <v>46033</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60028-2022</t>
        </is>
      </c>
      <c r="B722" s="1" t="n">
        <v>44902</v>
      </c>
      <c r="C722" s="1" t="n">
        <v>46033</v>
      </c>
      <c r="D722" t="inlineStr">
        <is>
          <t>JÄMTLANDS LÄN</t>
        </is>
      </c>
      <c r="E722" t="inlineStr">
        <is>
          <t>BERG</t>
        </is>
      </c>
      <c r="G722" t="n">
        <v>20</v>
      </c>
      <c r="H722" t="n">
        <v>0</v>
      </c>
      <c r="I722" t="n">
        <v>0</v>
      </c>
      <c r="J722" t="n">
        <v>0</v>
      </c>
      <c r="K722" t="n">
        <v>0</v>
      </c>
      <c r="L722" t="n">
        <v>0</v>
      </c>
      <c r="M722" t="n">
        <v>0</v>
      </c>
      <c r="N722" t="n">
        <v>0</v>
      </c>
      <c r="O722" t="n">
        <v>0</v>
      </c>
      <c r="P722" t="n">
        <v>0</v>
      </c>
      <c r="Q722" t="n">
        <v>0</v>
      </c>
      <c r="R722" s="2" t="inlineStr"/>
    </row>
    <row r="723" ht="15" customHeight="1">
      <c r="A723" t="inlineStr">
        <is>
          <t>A 63562-2025</t>
        </is>
      </c>
      <c r="B723" s="1" t="n">
        <v>46013.62353009259</v>
      </c>
      <c r="C723" s="1" t="n">
        <v>46033</v>
      </c>
      <c r="D723" t="inlineStr">
        <is>
          <t>JÄMTLANDS LÄN</t>
        </is>
      </c>
      <c r="E723" t="inlineStr">
        <is>
          <t>BERG</t>
        </is>
      </c>
      <c r="G723" t="n">
        <v>1.1</v>
      </c>
      <c r="H723" t="n">
        <v>0</v>
      </c>
      <c r="I723" t="n">
        <v>0</v>
      </c>
      <c r="J723" t="n">
        <v>0</v>
      </c>
      <c r="K723" t="n">
        <v>0</v>
      </c>
      <c r="L723" t="n">
        <v>0</v>
      </c>
      <c r="M723" t="n">
        <v>0</v>
      </c>
      <c r="N723" t="n">
        <v>0</v>
      </c>
      <c r="O723" t="n">
        <v>0</v>
      </c>
      <c r="P723" t="n">
        <v>0</v>
      </c>
      <c r="Q723" t="n">
        <v>0</v>
      </c>
      <c r="R723" s="2" t="inlineStr"/>
    </row>
    <row r="724" ht="15" customHeight="1">
      <c r="A724" t="inlineStr">
        <is>
          <t>A 32465-2024</t>
        </is>
      </c>
      <c r="B724" s="1" t="n">
        <v>45512.96096064815</v>
      </c>
      <c r="C724" s="1" t="n">
        <v>46033</v>
      </c>
      <c r="D724" t="inlineStr">
        <is>
          <t>JÄMTLANDS LÄN</t>
        </is>
      </c>
      <c r="E724" t="inlineStr">
        <is>
          <t>BERG</t>
        </is>
      </c>
      <c r="G724" t="n">
        <v>6.7</v>
      </c>
      <c r="H724" t="n">
        <v>0</v>
      </c>
      <c r="I724" t="n">
        <v>0</v>
      </c>
      <c r="J724" t="n">
        <v>0</v>
      </c>
      <c r="K724" t="n">
        <v>0</v>
      </c>
      <c r="L724" t="n">
        <v>0</v>
      </c>
      <c r="M724" t="n">
        <v>0</v>
      </c>
      <c r="N724" t="n">
        <v>0</v>
      </c>
      <c r="O724" t="n">
        <v>0</v>
      </c>
      <c r="P724" t="n">
        <v>0</v>
      </c>
      <c r="Q724" t="n">
        <v>0</v>
      </c>
      <c r="R724" s="2" t="inlineStr"/>
    </row>
    <row r="725" ht="15" customHeight="1">
      <c r="A725" t="inlineStr">
        <is>
          <t>A 51548-2023</t>
        </is>
      </c>
      <c r="B725" s="1" t="n">
        <v>45215</v>
      </c>
      <c r="C725" s="1" t="n">
        <v>46033</v>
      </c>
      <c r="D725" t="inlineStr">
        <is>
          <t>JÄMTLANDS LÄN</t>
        </is>
      </c>
      <c r="E725" t="inlineStr">
        <is>
          <t>BERG</t>
        </is>
      </c>
      <c r="G725" t="n">
        <v>4.8</v>
      </c>
      <c r="H725" t="n">
        <v>0</v>
      </c>
      <c r="I725" t="n">
        <v>0</v>
      </c>
      <c r="J725" t="n">
        <v>0</v>
      </c>
      <c r="K725" t="n">
        <v>0</v>
      </c>
      <c r="L725" t="n">
        <v>0</v>
      </c>
      <c r="M725" t="n">
        <v>0</v>
      </c>
      <c r="N725" t="n">
        <v>0</v>
      </c>
      <c r="O725" t="n">
        <v>0</v>
      </c>
      <c r="P725" t="n">
        <v>0</v>
      </c>
      <c r="Q725" t="n">
        <v>0</v>
      </c>
      <c r="R725" s="2" t="inlineStr"/>
    </row>
    <row r="726" ht="15" customHeight="1">
      <c r="A726" t="inlineStr">
        <is>
          <t>A 63597-2025</t>
        </is>
      </c>
      <c r="B726" s="1" t="n">
        <v>46014.28792824074</v>
      </c>
      <c r="C726" s="1" t="n">
        <v>46033</v>
      </c>
      <c r="D726" t="inlineStr">
        <is>
          <t>JÄMTLANDS LÄN</t>
        </is>
      </c>
      <c r="E726" t="inlineStr">
        <is>
          <t>BERG</t>
        </is>
      </c>
      <c r="G726" t="n">
        <v>1.4</v>
      </c>
      <c r="H726" t="n">
        <v>0</v>
      </c>
      <c r="I726" t="n">
        <v>0</v>
      </c>
      <c r="J726" t="n">
        <v>0</v>
      </c>
      <c r="K726" t="n">
        <v>0</v>
      </c>
      <c r="L726" t="n">
        <v>0</v>
      </c>
      <c r="M726" t="n">
        <v>0</v>
      </c>
      <c r="N726" t="n">
        <v>0</v>
      </c>
      <c r="O726" t="n">
        <v>0</v>
      </c>
      <c r="P726" t="n">
        <v>0</v>
      </c>
      <c r="Q726" t="n">
        <v>0</v>
      </c>
      <c r="R726" s="2" t="inlineStr"/>
    </row>
    <row r="727" ht="15" customHeight="1">
      <c r="A727" t="inlineStr">
        <is>
          <t>A 60068-2022</t>
        </is>
      </c>
      <c r="B727" s="1" t="n">
        <v>44902</v>
      </c>
      <c r="C727" s="1" t="n">
        <v>46033</v>
      </c>
      <c r="D727" t="inlineStr">
        <is>
          <t>JÄMTLANDS LÄN</t>
        </is>
      </c>
      <c r="E727" t="inlineStr">
        <is>
          <t>BERG</t>
        </is>
      </c>
      <c r="G727" t="n">
        <v>5.2</v>
      </c>
      <c r="H727" t="n">
        <v>0</v>
      </c>
      <c r="I727" t="n">
        <v>0</v>
      </c>
      <c r="J727" t="n">
        <v>0</v>
      </c>
      <c r="K727" t="n">
        <v>0</v>
      </c>
      <c r="L727" t="n">
        <v>0</v>
      </c>
      <c r="M727" t="n">
        <v>0</v>
      </c>
      <c r="N727" t="n">
        <v>0</v>
      </c>
      <c r="O727" t="n">
        <v>0</v>
      </c>
      <c r="P727" t="n">
        <v>0</v>
      </c>
      <c r="Q727" t="n">
        <v>0</v>
      </c>
      <c r="R727" s="2" t="inlineStr"/>
    </row>
    <row r="728" ht="15" customHeight="1">
      <c r="A728" t="inlineStr">
        <is>
          <t>A 7482-2022</t>
        </is>
      </c>
      <c r="B728" s="1" t="n">
        <v>44606</v>
      </c>
      <c r="C728" s="1" t="n">
        <v>46033</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55770-2025</t>
        </is>
      </c>
      <c r="B729" s="1" t="n">
        <v>45972</v>
      </c>
      <c r="C729" s="1" t="n">
        <v>46033</v>
      </c>
      <c r="D729" t="inlineStr">
        <is>
          <t>JÄMTLANDS LÄN</t>
        </is>
      </c>
      <c r="E729" t="inlineStr">
        <is>
          <t>BERG</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56199-2025</t>
        </is>
      </c>
      <c r="B730" s="1" t="n">
        <v>45974.45790509259</v>
      </c>
      <c r="C730" s="1" t="n">
        <v>46033</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56457-2025</t>
        </is>
      </c>
      <c r="B731" s="1" t="n">
        <v>45975.36277777778</v>
      </c>
      <c r="C731" s="1" t="n">
        <v>46033</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31641-2022</t>
        </is>
      </c>
      <c r="B732" s="1" t="n">
        <v>44775.94119212963</v>
      </c>
      <c r="C732" s="1" t="n">
        <v>46033</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56234-2025</t>
        </is>
      </c>
      <c r="B733" s="1" t="n">
        <v>45974.53696759259</v>
      </c>
      <c r="C733" s="1" t="n">
        <v>46033</v>
      </c>
      <c r="D733" t="inlineStr">
        <is>
          <t>JÄMTLANDS LÄN</t>
        </is>
      </c>
      <c r="E733" t="inlineStr">
        <is>
          <t>BERG</t>
        </is>
      </c>
      <c r="G733" t="n">
        <v>11.7</v>
      </c>
      <c r="H733" t="n">
        <v>0</v>
      </c>
      <c r="I733" t="n">
        <v>0</v>
      </c>
      <c r="J733" t="n">
        <v>0</v>
      </c>
      <c r="K733" t="n">
        <v>0</v>
      </c>
      <c r="L733" t="n">
        <v>0</v>
      </c>
      <c r="M733" t="n">
        <v>0</v>
      </c>
      <c r="N733" t="n">
        <v>0</v>
      </c>
      <c r="O733" t="n">
        <v>0</v>
      </c>
      <c r="P733" t="n">
        <v>0</v>
      </c>
      <c r="Q733" t="n">
        <v>0</v>
      </c>
      <c r="R733" s="2" t="inlineStr"/>
    </row>
    <row r="734" ht="15" customHeight="1">
      <c r="A734" t="inlineStr">
        <is>
          <t>A 16247-2024</t>
        </is>
      </c>
      <c r="B734" s="1" t="n">
        <v>45407.05797453703</v>
      </c>
      <c r="C734" s="1" t="n">
        <v>46033</v>
      </c>
      <c r="D734" t="inlineStr">
        <is>
          <t>JÄMTLANDS LÄN</t>
        </is>
      </c>
      <c r="E734" t="inlineStr">
        <is>
          <t>BERG</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46268-2023</t>
        </is>
      </c>
      <c r="B735" s="1" t="n">
        <v>45196</v>
      </c>
      <c r="C735" s="1" t="n">
        <v>46033</v>
      </c>
      <c r="D735" t="inlineStr">
        <is>
          <t>JÄMTLANDS LÄN</t>
        </is>
      </c>
      <c r="E735" t="inlineStr">
        <is>
          <t>BERG</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8069-2024</t>
        </is>
      </c>
      <c r="B736" s="1" t="n">
        <v>45351.41600694445</v>
      </c>
      <c r="C736" s="1" t="n">
        <v>46033</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61788-2023</t>
        </is>
      </c>
      <c r="B737" s="1" t="n">
        <v>45265.9577199074</v>
      </c>
      <c r="C737" s="1" t="n">
        <v>46033</v>
      </c>
      <c r="D737" t="inlineStr">
        <is>
          <t>JÄMTLANDS LÄN</t>
        </is>
      </c>
      <c r="E737" t="inlineStr">
        <is>
          <t>BERG</t>
        </is>
      </c>
      <c r="G737" t="n">
        <v>2.6</v>
      </c>
      <c r="H737" t="n">
        <v>0</v>
      </c>
      <c r="I737" t="n">
        <v>0</v>
      </c>
      <c r="J737" t="n">
        <v>0</v>
      </c>
      <c r="K737" t="n">
        <v>0</v>
      </c>
      <c r="L737" t="n">
        <v>0</v>
      </c>
      <c r="M737" t="n">
        <v>0</v>
      </c>
      <c r="N737" t="n">
        <v>0</v>
      </c>
      <c r="O737" t="n">
        <v>0</v>
      </c>
      <c r="P737" t="n">
        <v>0</v>
      </c>
      <c r="Q737" t="n">
        <v>0</v>
      </c>
      <c r="R737" s="2" t="inlineStr"/>
    </row>
    <row r="738" ht="15" customHeight="1">
      <c r="A738" t="inlineStr">
        <is>
          <t>A 39785-2024</t>
        </is>
      </c>
      <c r="B738" s="1" t="n">
        <v>45553.29927083333</v>
      </c>
      <c r="C738" s="1" t="n">
        <v>46033</v>
      </c>
      <c r="D738" t="inlineStr">
        <is>
          <t>JÄMTLANDS LÄN</t>
        </is>
      </c>
      <c r="E738" t="inlineStr">
        <is>
          <t>BERG</t>
        </is>
      </c>
      <c r="G738" t="n">
        <v>16.1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45219.42320601852</v>
      </c>
      <c r="C739" s="1" t="n">
        <v>46033</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56226-2024</t>
        </is>
      </c>
      <c r="B740" s="1" t="n">
        <v>45624.61572916667</v>
      </c>
      <c r="C740" s="1" t="n">
        <v>46033</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57046-2025</t>
        </is>
      </c>
      <c r="B741" s="1" t="n">
        <v>45979.34672453703</v>
      </c>
      <c r="C741" s="1" t="n">
        <v>46033</v>
      </c>
      <c r="D741" t="inlineStr">
        <is>
          <t>JÄMTLANDS LÄN</t>
        </is>
      </c>
      <c r="E741" t="inlineStr">
        <is>
          <t>BERG</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41868-2024</t>
        </is>
      </c>
      <c r="B742" s="1" t="n">
        <v>45561.46900462963</v>
      </c>
      <c r="C742" s="1" t="n">
        <v>46033</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57271-2025</t>
        </is>
      </c>
      <c r="B743" s="1" t="n">
        <v>45979.67789351852</v>
      </c>
      <c r="C743" s="1" t="n">
        <v>46033</v>
      </c>
      <c r="D743" t="inlineStr">
        <is>
          <t>JÄMTLANDS LÄN</t>
        </is>
      </c>
      <c r="E743" t="inlineStr">
        <is>
          <t>BERG</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57039-2025</t>
        </is>
      </c>
      <c r="B744" s="1" t="n">
        <v>45979.34543981482</v>
      </c>
      <c r="C744" s="1" t="n">
        <v>46033</v>
      </c>
      <c r="D744" t="inlineStr">
        <is>
          <t>JÄMTLANDS LÄN</t>
        </is>
      </c>
      <c r="E744" t="inlineStr">
        <is>
          <t>BERG</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57192-2025</t>
        </is>
      </c>
      <c r="B745" s="1" t="n">
        <v>45979.57696759259</v>
      </c>
      <c r="C745" s="1" t="n">
        <v>46033</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18261-2022</t>
        </is>
      </c>
      <c r="B746" s="1" t="n">
        <v>44685.45633101852</v>
      </c>
      <c r="C746" s="1" t="n">
        <v>46033</v>
      </c>
      <c r="D746" t="inlineStr">
        <is>
          <t>JÄMTLANDS LÄN</t>
        </is>
      </c>
      <c r="E746" t="inlineStr">
        <is>
          <t>BERG</t>
        </is>
      </c>
      <c r="G746" t="n">
        <v>3</v>
      </c>
      <c r="H746" t="n">
        <v>0</v>
      </c>
      <c r="I746" t="n">
        <v>0</v>
      </c>
      <c r="J746" t="n">
        <v>0</v>
      </c>
      <c r="K746" t="n">
        <v>0</v>
      </c>
      <c r="L746" t="n">
        <v>0</v>
      </c>
      <c r="M746" t="n">
        <v>0</v>
      </c>
      <c r="N746" t="n">
        <v>0</v>
      </c>
      <c r="O746" t="n">
        <v>0</v>
      </c>
      <c r="P746" t="n">
        <v>0</v>
      </c>
      <c r="Q746" t="n">
        <v>0</v>
      </c>
      <c r="R746" s="2" t="inlineStr"/>
    </row>
    <row r="747" ht="15" customHeight="1">
      <c r="A747" t="inlineStr">
        <is>
          <t>A 57602-2025</t>
        </is>
      </c>
      <c r="B747" s="1" t="n">
        <v>45981.31667824074</v>
      </c>
      <c r="C747" s="1" t="n">
        <v>46033</v>
      </c>
      <c r="D747" t="inlineStr">
        <is>
          <t>JÄMTLANDS LÄN</t>
        </is>
      </c>
      <c r="E747" t="inlineStr">
        <is>
          <t>BERG</t>
        </is>
      </c>
      <c r="G747" t="n">
        <v>2.7</v>
      </c>
      <c r="H747" t="n">
        <v>0</v>
      </c>
      <c r="I747" t="n">
        <v>0</v>
      </c>
      <c r="J747" t="n">
        <v>0</v>
      </c>
      <c r="K747" t="n">
        <v>0</v>
      </c>
      <c r="L747" t="n">
        <v>0</v>
      </c>
      <c r="M747" t="n">
        <v>0</v>
      </c>
      <c r="N747" t="n">
        <v>0</v>
      </c>
      <c r="O747" t="n">
        <v>0</v>
      </c>
      <c r="P747" t="n">
        <v>0</v>
      </c>
      <c r="Q747" t="n">
        <v>0</v>
      </c>
      <c r="R747" s="2" t="inlineStr"/>
    </row>
    <row r="748" ht="15" customHeight="1">
      <c r="A748" t="inlineStr">
        <is>
          <t>A 57763-2025</t>
        </is>
      </c>
      <c r="B748" s="1" t="n">
        <v>45981.55693287037</v>
      </c>
      <c r="C748" s="1" t="n">
        <v>46033</v>
      </c>
      <c r="D748" t="inlineStr">
        <is>
          <t>JÄMTLANDS LÄN</t>
        </is>
      </c>
      <c r="E748" t="inlineStr">
        <is>
          <t>BERG</t>
        </is>
      </c>
      <c r="F748" t="inlineStr">
        <is>
          <t>Övriga Aktiebolag</t>
        </is>
      </c>
      <c r="G748" t="n">
        <v>13.1</v>
      </c>
      <c r="H748" t="n">
        <v>0</v>
      </c>
      <c r="I748" t="n">
        <v>0</v>
      </c>
      <c r="J748" t="n">
        <v>0</v>
      </c>
      <c r="K748" t="n">
        <v>0</v>
      </c>
      <c r="L748" t="n">
        <v>0</v>
      </c>
      <c r="M748" t="n">
        <v>0</v>
      </c>
      <c r="N748" t="n">
        <v>0</v>
      </c>
      <c r="O748" t="n">
        <v>0</v>
      </c>
      <c r="P748" t="n">
        <v>0</v>
      </c>
      <c r="Q748" t="n">
        <v>0</v>
      </c>
      <c r="R748" s="2" t="inlineStr"/>
    </row>
    <row r="749" ht="15" customHeight="1">
      <c r="A749" t="inlineStr">
        <is>
          <t>A 44997-2021</t>
        </is>
      </c>
      <c r="B749" s="1" t="n">
        <v>44438</v>
      </c>
      <c r="C749" s="1" t="n">
        <v>46033</v>
      </c>
      <c r="D749" t="inlineStr">
        <is>
          <t>JÄMTLANDS LÄN</t>
        </is>
      </c>
      <c r="E749" t="inlineStr">
        <is>
          <t>BERG</t>
        </is>
      </c>
      <c r="G749" t="n">
        <v>3.8</v>
      </c>
      <c r="H749" t="n">
        <v>0</v>
      </c>
      <c r="I749" t="n">
        <v>0</v>
      </c>
      <c r="J749" t="n">
        <v>0</v>
      </c>
      <c r="K749" t="n">
        <v>0</v>
      </c>
      <c r="L749" t="n">
        <v>0</v>
      </c>
      <c r="M749" t="n">
        <v>0</v>
      </c>
      <c r="N749" t="n">
        <v>0</v>
      </c>
      <c r="O749" t="n">
        <v>0</v>
      </c>
      <c r="P749" t="n">
        <v>0</v>
      </c>
      <c r="Q749" t="n">
        <v>0</v>
      </c>
      <c r="R749" s="2" t="inlineStr"/>
    </row>
    <row r="750" ht="15" customHeight="1">
      <c r="A750" t="inlineStr">
        <is>
          <t>A 57861-2025</t>
        </is>
      </c>
      <c r="B750" s="1" t="n">
        <v>45981.64236111111</v>
      </c>
      <c r="C750" s="1" t="n">
        <v>46033</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57503-2025</t>
        </is>
      </c>
      <c r="B751" s="1" t="n">
        <v>45980.59431712963</v>
      </c>
      <c r="C751" s="1" t="n">
        <v>46033</v>
      </c>
      <c r="D751" t="inlineStr">
        <is>
          <t>JÄMTLANDS LÄN</t>
        </is>
      </c>
      <c r="E751" t="inlineStr">
        <is>
          <t>BERG</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57849-2025</t>
        </is>
      </c>
      <c r="B752" s="1" t="n">
        <v>45981.63472222222</v>
      </c>
      <c r="C752" s="1" t="n">
        <v>46033</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58237-2025</t>
        </is>
      </c>
      <c r="B753" s="1" t="n">
        <v>45985.38751157407</v>
      </c>
      <c r="C753" s="1" t="n">
        <v>46033</v>
      </c>
      <c r="D753" t="inlineStr">
        <is>
          <t>JÄMTLANDS LÄN</t>
        </is>
      </c>
      <c r="E753" t="inlineStr">
        <is>
          <t>BERG</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13473-2025</t>
        </is>
      </c>
      <c r="B754" s="1" t="n">
        <v>45736.40671296296</v>
      </c>
      <c r="C754" s="1" t="n">
        <v>46033</v>
      </c>
      <c r="D754" t="inlineStr">
        <is>
          <t>JÄMTLANDS LÄN</t>
        </is>
      </c>
      <c r="E754" t="inlineStr">
        <is>
          <t>BERG</t>
        </is>
      </c>
      <c r="F754" t="inlineStr">
        <is>
          <t>SCA</t>
        </is>
      </c>
      <c r="G754" t="n">
        <v>13.7</v>
      </c>
      <c r="H754" t="n">
        <v>0</v>
      </c>
      <c r="I754" t="n">
        <v>0</v>
      </c>
      <c r="J754" t="n">
        <v>0</v>
      </c>
      <c r="K754" t="n">
        <v>0</v>
      </c>
      <c r="L754" t="n">
        <v>0</v>
      </c>
      <c r="M754" t="n">
        <v>0</v>
      </c>
      <c r="N754" t="n">
        <v>0</v>
      </c>
      <c r="O754" t="n">
        <v>0</v>
      </c>
      <c r="P754" t="n">
        <v>0</v>
      </c>
      <c r="Q754" t="n">
        <v>0</v>
      </c>
      <c r="R754" s="2" t="inlineStr"/>
    </row>
    <row r="755" ht="15" customHeight="1">
      <c r="A755" t="inlineStr">
        <is>
          <t>A 59498-2024</t>
        </is>
      </c>
      <c r="B755" s="1" t="n">
        <v>45638.54635416667</v>
      </c>
      <c r="C755" s="1" t="n">
        <v>46033</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58413-2025</t>
        </is>
      </c>
      <c r="B756" s="1" t="n">
        <v>45985.57662037037</v>
      </c>
      <c r="C756" s="1" t="n">
        <v>46033</v>
      </c>
      <c r="D756" t="inlineStr">
        <is>
          <t>JÄMTLANDS LÄN</t>
        </is>
      </c>
      <c r="E756" t="inlineStr">
        <is>
          <t>BERG</t>
        </is>
      </c>
      <c r="G756" t="n">
        <v>4.2</v>
      </c>
      <c r="H756" t="n">
        <v>0</v>
      </c>
      <c r="I756" t="n">
        <v>0</v>
      </c>
      <c r="J756" t="n">
        <v>0</v>
      </c>
      <c r="K756" t="n">
        <v>0</v>
      </c>
      <c r="L756" t="n">
        <v>0</v>
      </c>
      <c r="M756" t="n">
        <v>0</v>
      </c>
      <c r="N756" t="n">
        <v>0</v>
      </c>
      <c r="O756" t="n">
        <v>0</v>
      </c>
      <c r="P756" t="n">
        <v>0</v>
      </c>
      <c r="Q756" t="n">
        <v>0</v>
      </c>
      <c r="R756" s="2" t="inlineStr"/>
    </row>
    <row r="757" ht="15" customHeight="1">
      <c r="A757" t="inlineStr">
        <is>
          <t>A 58438-2025</t>
        </is>
      </c>
      <c r="B757" s="1" t="n">
        <v>45985.61513888889</v>
      </c>
      <c r="C757" s="1" t="n">
        <v>46033</v>
      </c>
      <c r="D757" t="inlineStr">
        <is>
          <t>JÄMTLANDS LÄN</t>
        </is>
      </c>
      <c r="E757" t="inlineStr">
        <is>
          <t>BERG</t>
        </is>
      </c>
      <c r="G757" t="n">
        <v>5.1</v>
      </c>
      <c r="H757" t="n">
        <v>0</v>
      </c>
      <c r="I757" t="n">
        <v>0</v>
      </c>
      <c r="J757" t="n">
        <v>0</v>
      </c>
      <c r="K757" t="n">
        <v>0</v>
      </c>
      <c r="L757" t="n">
        <v>0</v>
      </c>
      <c r="M757" t="n">
        <v>0</v>
      </c>
      <c r="N757" t="n">
        <v>0</v>
      </c>
      <c r="O757" t="n">
        <v>0</v>
      </c>
      <c r="P757" t="n">
        <v>0</v>
      </c>
      <c r="Q757" t="n">
        <v>0</v>
      </c>
      <c r="R757" s="2" t="inlineStr"/>
    </row>
    <row r="758" ht="15" customHeight="1">
      <c r="A758" t="inlineStr">
        <is>
          <t>A 47119-2024</t>
        </is>
      </c>
      <c r="B758" s="1" t="n">
        <v>45586.56431712963</v>
      </c>
      <c r="C758" s="1" t="n">
        <v>46033</v>
      </c>
      <c r="D758" t="inlineStr">
        <is>
          <t>JÄMTLANDS LÄN</t>
        </is>
      </c>
      <c r="E758" t="inlineStr">
        <is>
          <t>BERG</t>
        </is>
      </c>
      <c r="G758" t="n">
        <v>5</v>
      </c>
      <c r="H758" t="n">
        <v>0</v>
      </c>
      <c r="I758" t="n">
        <v>0</v>
      </c>
      <c r="J758" t="n">
        <v>0</v>
      </c>
      <c r="K758" t="n">
        <v>0</v>
      </c>
      <c r="L758" t="n">
        <v>0</v>
      </c>
      <c r="M758" t="n">
        <v>0</v>
      </c>
      <c r="N758" t="n">
        <v>0</v>
      </c>
      <c r="O758" t="n">
        <v>0</v>
      </c>
      <c r="P758" t="n">
        <v>0</v>
      </c>
      <c r="Q758" t="n">
        <v>0</v>
      </c>
      <c r="R758" s="2" t="inlineStr"/>
    </row>
    <row r="759" ht="15" customHeight="1">
      <c r="A759" t="inlineStr">
        <is>
          <t>A 59824-2025</t>
        </is>
      </c>
      <c r="B759" s="1" t="n">
        <v>45992.65116898148</v>
      </c>
      <c r="C759" s="1" t="n">
        <v>46033</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1646-2021</t>
        </is>
      </c>
      <c r="B760" s="1" t="n">
        <v>44209</v>
      </c>
      <c r="C760" s="1" t="n">
        <v>46033</v>
      </c>
      <c r="D760" t="inlineStr">
        <is>
          <t>JÄMTLANDS LÄN</t>
        </is>
      </c>
      <c r="E760" t="inlineStr">
        <is>
          <t>BERG</t>
        </is>
      </c>
      <c r="G760" t="n">
        <v>0.1</v>
      </c>
      <c r="H760" t="n">
        <v>0</v>
      </c>
      <c r="I760" t="n">
        <v>0</v>
      </c>
      <c r="J760" t="n">
        <v>0</v>
      </c>
      <c r="K760" t="n">
        <v>0</v>
      </c>
      <c r="L760" t="n">
        <v>0</v>
      </c>
      <c r="M760" t="n">
        <v>0</v>
      </c>
      <c r="N760" t="n">
        <v>0</v>
      </c>
      <c r="O760" t="n">
        <v>0</v>
      </c>
      <c r="P760" t="n">
        <v>0</v>
      </c>
      <c r="Q760" t="n">
        <v>0</v>
      </c>
      <c r="R760" s="2" t="inlineStr"/>
    </row>
    <row r="761" ht="15" customHeight="1">
      <c r="A761" t="inlineStr">
        <is>
          <t>A 58436-2025</t>
        </is>
      </c>
      <c r="B761" s="1" t="n">
        <v>45985.61510416667</v>
      </c>
      <c r="C761" s="1" t="n">
        <v>46033</v>
      </c>
      <c r="D761" t="inlineStr">
        <is>
          <t>JÄMTLANDS LÄN</t>
        </is>
      </c>
      <c r="E761" t="inlineStr">
        <is>
          <t>BERG</t>
        </is>
      </c>
      <c r="G761" t="n">
        <v>1.7</v>
      </c>
      <c r="H761" t="n">
        <v>0</v>
      </c>
      <c r="I761" t="n">
        <v>0</v>
      </c>
      <c r="J761" t="n">
        <v>0</v>
      </c>
      <c r="K761" t="n">
        <v>0</v>
      </c>
      <c r="L761" t="n">
        <v>0</v>
      </c>
      <c r="M761" t="n">
        <v>0</v>
      </c>
      <c r="N761" t="n">
        <v>0</v>
      </c>
      <c r="O761" t="n">
        <v>0</v>
      </c>
      <c r="P761" t="n">
        <v>0</v>
      </c>
      <c r="Q761" t="n">
        <v>0</v>
      </c>
      <c r="R761" s="2" t="inlineStr"/>
    </row>
    <row r="762" ht="15" customHeight="1">
      <c r="A762" t="inlineStr">
        <is>
          <t>A 58470-2025</t>
        </is>
      </c>
      <c r="B762" s="1" t="n">
        <v>45985.63704861111</v>
      </c>
      <c r="C762" s="1" t="n">
        <v>46033</v>
      </c>
      <c r="D762" t="inlineStr">
        <is>
          <t>JÄMTLANDS LÄN</t>
        </is>
      </c>
      <c r="E762" t="inlineStr">
        <is>
          <t>BERG</t>
        </is>
      </c>
      <c r="G762" t="n">
        <v>3.6</v>
      </c>
      <c r="H762" t="n">
        <v>0</v>
      </c>
      <c r="I762" t="n">
        <v>0</v>
      </c>
      <c r="J762" t="n">
        <v>0</v>
      </c>
      <c r="K762" t="n">
        <v>0</v>
      </c>
      <c r="L762" t="n">
        <v>0</v>
      </c>
      <c r="M762" t="n">
        <v>0</v>
      </c>
      <c r="N762" t="n">
        <v>0</v>
      </c>
      <c r="O762" t="n">
        <v>0</v>
      </c>
      <c r="P762" t="n">
        <v>0</v>
      </c>
      <c r="Q762" t="n">
        <v>0</v>
      </c>
      <c r="R762" s="2" t="inlineStr"/>
    </row>
    <row r="763" ht="15" customHeight="1">
      <c r="A763" t="inlineStr">
        <is>
          <t>A 50169-2023</t>
        </is>
      </c>
      <c r="B763" s="1" t="n">
        <v>45208</v>
      </c>
      <c r="C763" s="1" t="n">
        <v>46033</v>
      </c>
      <c r="D763" t="inlineStr">
        <is>
          <t>JÄMTLANDS LÄN</t>
        </is>
      </c>
      <c r="E763" t="inlineStr">
        <is>
          <t>BERG</t>
        </is>
      </c>
      <c r="G763" t="n">
        <v>3.9</v>
      </c>
      <c r="H763" t="n">
        <v>0</v>
      </c>
      <c r="I763" t="n">
        <v>0</v>
      </c>
      <c r="J763" t="n">
        <v>0</v>
      </c>
      <c r="K763" t="n">
        <v>0</v>
      </c>
      <c r="L763" t="n">
        <v>0</v>
      </c>
      <c r="M763" t="n">
        <v>0</v>
      </c>
      <c r="N763" t="n">
        <v>0</v>
      </c>
      <c r="O763" t="n">
        <v>0</v>
      </c>
      <c r="P763" t="n">
        <v>0</v>
      </c>
      <c r="Q763" t="n">
        <v>0</v>
      </c>
      <c r="R763" s="2" t="inlineStr"/>
    </row>
    <row r="764" ht="15" customHeight="1">
      <c r="A764" t="inlineStr">
        <is>
          <t>A 50172-2023</t>
        </is>
      </c>
      <c r="B764" s="1" t="n">
        <v>45208</v>
      </c>
      <c r="C764" s="1" t="n">
        <v>46033</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2474-2025</t>
        </is>
      </c>
      <c r="B765" s="1" t="n">
        <v>45674.47496527778</v>
      </c>
      <c r="C765" s="1" t="n">
        <v>46033</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41886-2024</t>
        </is>
      </c>
      <c r="B766" s="1" t="n">
        <v>45561.48825231481</v>
      </c>
      <c r="C766" s="1" t="n">
        <v>46033</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49277-2024</t>
        </is>
      </c>
      <c r="B767" s="1" t="n">
        <v>45595.50820601852</v>
      </c>
      <c r="C767" s="1" t="n">
        <v>46033</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34225-2024</t>
        </is>
      </c>
      <c r="B768" s="1" t="n">
        <v>45524.55398148148</v>
      </c>
      <c r="C768" s="1" t="n">
        <v>46033</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19538-2023</t>
        </is>
      </c>
      <c r="B769" s="1" t="n">
        <v>45050</v>
      </c>
      <c r="C769" s="1" t="n">
        <v>46033</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9077-2023</t>
        </is>
      </c>
      <c r="B770" s="1" t="n">
        <v>44979</v>
      </c>
      <c r="C770" s="1" t="n">
        <v>46033</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58437-2025</t>
        </is>
      </c>
      <c r="B771" s="1" t="n">
        <v>45985.61512731481</v>
      </c>
      <c r="C771" s="1" t="n">
        <v>46033</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568-2026</t>
        </is>
      </c>
      <c r="B772" s="1" t="n">
        <v>46029.46987268519</v>
      </c>
      <c r="C772" s="1" t="n">
        <v>46033</v>
      </c>
      <c r="D772" t="inlineStr">
        <is>
          <t>JÄMTLANDS LÄN</t>
        </is>
      </c>
      <c r="E772" t="inlineStr">
        <is>
          <t>BERG</t>
        </is>
      </c>
      <c r="G772" t="n">
        <v>2.7</v>
      </c>
      <c r="H772" t="n">
        <v>0</v>
      </c>
      <c r="I772" t="n">
        <v>0</v>
      </c>
      <c r="J772" t="n">
        <v>0</v>
      </c>
      <c r="K772" t="n">
        <v>0</v>
      </c>
      <c r="L772" t="n">
        <v>0</v>
      </c>
      <c r="M772" t="n">
        <v>0</v>
      </c>
      <c r="N772" t="n">
        <v>0</v>
      </c>
      <c r="O772" t="n">
        <v>0</v>
      </c>
      <c r="P772" t="n">
        <v>0</v>
      </c>
      <c r="Q772" t="n">
        <v>0</v>
      </c>
      <c r="R772" s="2" t="inlineStr"/>
    </row>
    <row r="773" ht="15" customHeight="1">
      <c r="A773" t="inlineStr">
        <is>
          <t>A 18752-2024</t>
        </is>
      </c>
      <c r="B773" s="1" t="n">
        <v>45426.54224537037</v>
      </c>
      <c r="C773" s="1" t="n">
        <v>46033</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64486-2023</t>
        </is>
      </c>
      <c r="B774" s="1" t="n">
        <v>45280</v>
      </c>
      <c r="C774" s="1" t="n">
        <v>46033</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64488-2023</t>
        </is>
      </c>
      <c r="B775" s="1" t="n">
        <v>45280.92618055556</v>
      </c>
      <c r="C775" s="1" t="n">
        <v>46033</v>
      </c>
      <c r="D775" t="inlineStr">
        <is>
          <t>JÄMTLANDS LÄN</t>
        </is>
      </c>
      <c r="E775" t="inlineStr">
        <is>
          <t>BERG</t>
        </is>
      </c>
      <c r="F775" t="inlineStr">
        <is>
          <t>Övriga Aktiebolag</t>
        </is>
      </c>
      <c r="G775" t="n">
        <v>7.1</v>
      </c>
      <c r="H775" t="n">
        <v>0</v>
      </c>
      <c r="I775" t="n">
        <v>0</v>
      </c>
      <c r="J775" t="n">
        <v>0</v>
      </c>
      <c r="K775" t="n">
        <v>0</v>
      </c>
      <c r="L775" t="n">
        <v>0</v>
      </c>
      <c r="M775" t="n">
        <v>0</v>
      </c>
      <c r="N775" t="n">
        <v>0</v>
      </c>
      <c r="O775" t="n">
        <v>0</v>
      </c>
      <c r="P775" t="n">
        <v>0</v>
      </c>
      <c r="Q775" t="n">
        <v>0</v>
      </c>
      <c r="R775" s="2" t="inlineStr"/>
    </row>
    <row r="776" ht="15" customHeight="1">
      <c r="A776" t="inlineStr">
        <is>
          <t>A 14431-2025</t>
        </is>
      </c>
      <c r="B776" s="1" t="n">
        <v>45741</v>
      </c>
      <c r="C776" s="1" t="n">
        <v>46033</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58817-2024</t>
        </is>
      </c>
      <c r="B777" s="1" t="n">
        <v>45636.35909722222</v>
      </c>
      <c r="C777" s="1" t="n">
        <v>46033</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58581-2025</t>
        </is>
      </c>
      <c r="B778" s="1" t="n">
        <v>45986.38626157407</v>
      </c>
      <c r="C778" s="1" t="n">
        <v>46033</v>
      </c>
      <c r="D778" t="inlineStr">
        <is>
          <t>JÄMTLANDS LÄN</t>
        </is>
      </c>
      <c r="E778" t="inlineStr">
        <is>
          <t>BERG</t>
        </is>
      </c>
      <c r="G778" t="n">
        <v>6.9</v>
      </c>
      <c r="H778" t="n">
        <v>0</v>
      </c>
      <c r="I778" t="n">
        <v>0</v>
      </c>
      <c r="J778" t="n">
        <v>0</v>
      </c>
      <c r="K778" t="n">
        <v>0</v>
      </c>
      <c r="L778" t="n">
        <v>0</v>
      </c>
      <c r="M778" t="n">
        <v>0</v>
      </c>
      <c r="N778" t="n">
        <v>0</v>
      </c>
      <c r="O778" t="n">
        <v>0</v>
      </c>
      <c r="P778" t="n">
        <v>0</v>
      </c>
      <c r="Q778" t="n">
        <v>0</v>
      </c>
      <c r="R778" s="2" t="inlineStr"/>
    </row>
    <row r="779" ht="15" customHeight="1">
      <c r="A779" t="inlineStr">
        <is>
          <t>A 59010-2025</t>
        </is>
      </c>
      <c r="B779" s="1" t="n">
        <v>45987</v>
      </c>
      <c r="C779" s="1" t="n">
        <v>46033</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679-2026</t>
        </is>
      </c>
      <c r="B780" s="1" t="n">
        <v>46029.60032407408</v>
      </c>
      <c r="C780" s="1" t="n">
        <v>46033</v>
      </c>
      <c r="D780" t="inlineStr">
        <is>
          <t>JÄMTLANDS LÄN</t>
        </is>
      </c>
      <c r="E780" t="inlineStr">
        <is>
          <t>BERG</t>
        </is>
      </c>
      <c r="G780" t="n">
        <v>1.9</v>
      </c>
      <c r="H780" t="n">
        <v>0</v>
      </c>
      <c r="I780" t="n">
        <v>0</v>
      </c>
      <c r="J780" t="n">
        <v>0</v>
      </c>
      <c r="K780" t="n">
        <v>0</v>
      </c>
      <c r="L780" t="n">
        <v>0</v>
      </c>
      <c r="M780" t="n">
        <v>0</v>
      </c>
      <c r="N780" t="n">
        <v>0</v>
      </c>
      <c r="O780" t="n">
        <v>0</v>
      </c>
      <c r="P780" t="n">
        <v>0</v>
      </c>
      <c r="Q780" t="n">
        <v>0</v>
      </c>
      <c r="R780" s="2" t="inlineStr"/>
    </row>
    <row r="781" ht="15" customHeight="1">
      <c r="A781" t="inlineStr">
        <is>
          <t>A 13108-2025</t>
        </is>
      </c>
      <c r="B781" s="1" t="n">
        <v>45734</v>
      </c>
      <c r="C781" s="1" t="n">
        <v>46033</v>
      </c>
      <c r="D781" t="inlineStr">
        <is>
          <t>JÄMTLANDS LÄN</t>
        </is>
      </c>
      <c r="E781" t="inlineStr">
        <is>
          <t>BERG</t>
        </is>
      </c>
      <c r="F781" t="inlineStr">
        <is>
          <t>SCA</t>
        </is>
      </c>
      <c r="G781" t="n">
        <v>7.2</v>
      </c>
      <c r="H781" t="n">
        <v>0</v>
      </c>
      <c r="I781" t="n">
        <v>0</v>
      </c>
      <c r="J781" t="n">
        <v>0</v>
      </c>
      <c r="K781" t="n">
        <v>0</v>
      </c>
      <c r="L781" t="n">
        <v>0</v>
      </c>
      <c r="M781" t="n">
        <v>0</v>
      </c>
      <c r="N781" t="n">
        <v>0</v>
      </c>
      <c r="O781" t="n">
        <v>0</v>
      </c>
      <c r="P781" t="n">
        <v>0</v>
      </c>
      <c r="Q781" t="n">
        <v>0</v>
      </c>
      <c r="R781" s="2" t="inlineStr"/>
    </row>
    <row r="782" ht="15" customHeight="1">
      <c r="A782" t="inlineStr">
        <is>
          <t>A 58861-2025</t>
        </is>
      </c>
      <c r="B782" s="1" t="n">
        <v>45987.42820601852</v>
      </c>
      <c r="C782" s="1" t="n">
        <v>46033</v>
      </c>
      <c r="D782" t="inlineStr">
        <is>
          <t>JÄMTLANDS LÄN</t>
        </is>
      </c>
      <c r="E782" t="inlineStr">
        <is>
          <t>BERG</t>
        </is>
      </c>
      <c r="G782" t="n">
        <v>29.3</v>
      </c>
      <c r="H782" t="n">
        <v>0</v>
      </c>
      <c r="I782" t="n">
        <v>0</v>
      </c>
      <c r="J782" t="n">
        <v>0</v>
      </c>
      <c r="K782" t="n">
        <v>0</v>
      </c>
      <c r="L782" t="n">
        <v>0</v>
      </c>
      <c r="M782" t="n">
        <v>0</v>
      </c>
      <c r="N782" t="n">
        <v>0</v>
      </c>
      <c r="O782" t="n">
        <v>0</v>
      </c>
      <c r="P782" t="n">
        <v>0</v>
      </c>
      <c r="Q782" t="n">
        <v>0</v>
      </c>
      <c r="R782" s="2" t="inlineStr"/>
    </row>
    <row r="783" ht="15" customHeight="1">
      <c r="A783" t="inlineStr">
        <is>
          <t>A 5215-2024</t>
        </is>
      </c>
      <c r="B783" s="1" t="n">
        <v>45330</v>
      </c>
      <c r="C783" s="1" t="n">
        <v>46033</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58822-2025</t>
        </is>
      </c>
      <c r="B784" s="1" t="n">
        <v>45987.34506944445</v>
      </c>
      <c r="C784" s="1" t="n">
        <v>46033</v>
      </c>
      <c r="D784" t="inlineStr">
        <is>
          <t>JÄMTLANDS LÄN</t>
        </is>
      </c>
      <c r="E784" t="inlineStr">
        <is>
          <t>BERG</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16002-2025</t>
        </is>
      </c>
      <c r="B785" s="1" t="n">
        <v>45749.59398148148</v>
      </c>
      <c r="C785" s="1" t="n">
        <v>46033</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58708-2025</t>
        </is>
      </c>
      <c r="B786" s="1" t="n">
        <v>45986.60412037037</v>
      </c>
      <c r="C786" s="1" t="n">
        <v>46033</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18032-2024</t>
        </is>
      </c>
      <c r="B787" s="1" t="n">
        <v>45420.34979166667</v>
      </c>
      <c r="C787" s="1" t="n">
        <v>46033</v>
      </c>
      <c r="D787" t="inlineStr">
        <is>
          <t>JÄMTLANDS LÄN</t>
        </is>
      </c>
      <c r="E787" t="inlineStr">
        <is>
          <t>BERG</t>
        </is>
      </c>
      <c r="F787" t="inlineStr">
        <is>
          <t>Holmen skog AB</t>
        </is>
      </c>
      <c r="G787" t="n">
        <v>0.6</v>
      </c>
      <c r="H787" t="n">
        <v>0</v>
      </c>
      <c r="I787" t="n">
        <v>0</v>
      </c>
      <c r="J787" t="n">
        <v>0</v>
      </c>
      <c r="K787" t="n">
        <v>0</v>
      </c>
      <c r="L787" t="n">
        <v>0</v>
      </c>
      <c r="M787" t="n">
        <v>0</v>
      </c>
      <c r="N787" t="n">
        <v>0</v>
      </c>
      <c r="O787" t="n">
        <v>0</v>
      </c>
      <c r="P787" t="n">
        <v>0</v>
      </c>
      <c r="Q787" t="n">
        <v>0</v>
      </c>
      <c r="R787" s="2" t="inlineStr"/>
    </row>
    <row r="788" ht="15" customHeight="1">
      <c r="A788" t="inlineStr">
        <is>
          <t>A 34845-2023</t>
        </is>
      </c>
      <c r="B788" s="1" t="n">
        <v>45141.95964120371</v>
      </c>
      <c r="C788" s="1" t="n">
        <v>46033</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59401-2025</t>
        </is>
      </c>
      <c r="B789" s="1" t="n">
        <v>45989.48791666667</v>
      </c>
      <c r="C789" s="1" t="n">
        <v>46033</v>
      </c>
      <c r="D789" t="inlineStr">
        <is>
          <t>JÄMTLANDS LÄN</t>
        </is>
      </c>
      <c r="E789" t="inlineStr">
        <is>
          <t>BERG</t>
        </is>
      </c>
      <c r="G789" t="n">
        <v>4.6</v>
      </c>
      <c r="H789" t="n">
        <v>0</v>
      </c>
      <c r="I789" t="n">
        <v>0</v>
      </c>
      <c r="J789" t="n">
        <v>0</v>
      </c>
      <c r="K789" t="n">
        <v>0</v>
      </c>
      <c r="L789" t="n">
        <v>0</v>
      </c>
      <c r="M789" t="n">
        <v>0</v>
      </c>
      <c r="N789" t="n">
        <v>0</v>
      </c>
      <c r="O789" t="n">
        <v>0</v>
      </c>
      <c r="P789" t="n">
        <v>0</v>
      </c>
      <c r="Q789" t="n">
        <v>0</v>
      </c>
      <c r="R789" s="2" t="inlineStr"/>
    </row>
    <row r="790" ht="15" customHeight="1">
      <c r="A790" t="inlineStr">
        <is>
          <t>A 41069-2022</t>
        </is>
      </c>
      <c r="B790" s="1" t="n">
        <v>44825.60015046296</v>
      </c>
      <c r="C790" s="1" t="n">
        <v>46033</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59411-2025</t>
        </is>
      </c>
      <c r="B791" s="1" t="n">
        <v>45989.49638888889</v>
      </c>
      <c r="C791" s="1" t="n">
        <v>46033</v>
      </c>
      <c r="D791" t="inlineStr">
        <is>
          <t>JÄMTLANDS LÄN</t>
        </is>
      </c>
      <c r="E791" t="inlineStr">
        <is>
          <t>BERG</t>
        </is>
      </c>
      <c r="G791" t="n">
        <v>2.4</v>
      </c>
      <c r="H791" t="n">
        <v>0</v>
      </c>
      <c r="I791" t="n">
        <v>0</v>
      </c>
      <c r="J791" t="n">
        <v>0</v>
      </c>
      <c r="K791" t="n">
        <v>0</v>
      </c>
      <c r="L791" t="n">
        <v>0</v>
      </c>
      <c r="M791" t="n">
        <v>0</v>
      </c>
      <c r="N791" t="n">
        <v>0</v>
      </c>
      <c r="O791" t="n">
        <v>0</v>
      </c>
      <c r="P791" t="n">
        <v>0</v>
      </c>
      <c r="Q791" t="n">
        <v>0</v>
      </c>
      <c r="R791" s="2" t="inlineStr"/>
    </row>
    <row r="792" ht="15" customHeight="1">
      <c r="A792" t="inlineStr">
        <is>
          <t>A 59415-2025</t>
        </is>
      </c>
      <c r="B792" s="1" t="n">
        <v>45989.50196759259</v>
      </c>
      <c r="C792" s="1" t="n">
        <v>46033</v>
      </c>
      <c r="D792" t="inlineStr">
        <is>
          <t>JÄMTLANDS LÄN</t>
        </is>
      </c>
      <c r="E792" t="inlineStr">
        <is>
          <t>BERG</t>
        </is>
      </c>
      <c r="G792" t="n">
        <v>6.8</v>
      </c>
      <c r="H792" t="n">
        <v>0</v>
      </c>
      <c r="I792" t="n">
        <v>0</v>
      </c>
      <c r="J792" t="n">
        <v>0</v>
      </c>
      <c r="K792" t="n">
        <v>0</v>
      </c>
      <c r="L792" t="n">
        <v>0</v>
      </c>
      <c r="M792" t="n">
        <v>0</v>
      </c>
      <c r="N792" t="n">
        <v>0</v>
      </c>
      <c r="O792" t="n">
        <v>0</v>
      </c>
      <c r="P792" t="n">
        <v>0</v>
      </c>
      <c r="Q792" t="n">
        <v>0</v>
      </c>
      <c r="R792" s="2" t="inlineStr"/>
    </row>
    <row r="793" ht="15" customHeight="1">
      <c r="A793" t="inlineStr">
        <is>
          <t>A 54863-2023</t>
        </is>
      </c>
      <c r="B793" s="1" t="n">
        <v>45236</v>
      </c>
      <c r="C793" s="1" t="n">
        <v>46033</v>
      </c>
      <c r="D793" t="inlineStr">
        <is>
          <t>JÄMTLANDS LÄN</t>
        </is>
      </c>
      <c r="E793" t="inlineStr">
        <is>
          <t>BERG</t>
        </is>
      </c>
      <c r="G793" t="n">
        <v>3.3</v>
      </c>
      <c r="H793" t="n">
        <v>0</v>
      </c>
      <c r="I793" t="n">
        <v>0</v>
      </c>
      <c r="J793" t="n">
        <v>0</v>
      </c>
      <c r="K793" t="n">
        <v>0</v>
      </c>
      <c r="L793" t="n">
        <v>0</v>
      </c>
      <c r="M793" t="n">
        <v>0</v>
      </c>
      <c r="N793" t="n">
        <v>0</v>
      </c>
      <c r="O793" t="n">
        <v>0</v>
      </c>
      <c r="P793" t="n">
        <v>0</v>
      </c>
      <c r="Q793" t="n">
        <v>0</v>
      </c>
      <c r="R793" s="2" t="inlineStr"/>
    </row>
    <row r="794" ht="15" customHeight="1">
      <c r="A794" t="inlineStr">
        <is>
          <t>A 46167-2022</t>
        </is>
      </c>
      <c r="B794" s="1" t="n">
        <v>44845</v>
      </c>
      <c r="C794" s="1" t="n">
        <v>46033</v>
      </c>
      <c r="D794" t="inlineStr">
        <is>
          <t>JÄMTLANDS LÄN</t>
        </is>
      </c>
      <c r="E794" t="inlineStr">
        <is>
          <t>BERG</t>
        </is>
      </c>
      <c r="G794" t="n">
        <v>35.2</v>
      </c>
      <c r="H794" t="n">
        <v>0</v>
      </c>
      <c r="I794" t="n">
        <v>0</v>
      </c>
      <c r="J794" t="n">
        <v>0</v>
      </c>
      <c r="K794" t="n">
        <v>0</v>
      </c>
      <c r="L794" t="n">
        <v>0</v>
      </c>
      <c r="M794" t="n">
        <v>0</v>
      </c>
      <c r="N794" t="n">
        <v>0</v>
      </c>
      <c r="O794" t="n">
        <v>0</v>
      </c>
      <c r="P794" t="n">
        <v>0</v>
      </c>
      <c r="Q794" t="n">
        <v>0</v>
      </c>
      <c r="R794" s="2" t="inlineStr"/>
    </row>
    <row r="795" ht="15" customHeight="1">
      <c r="A795" t="inlineStr">
        <is>
          <t>A 53427-2025</t>
        </is>
      </c>
      <c r="B795" s="1" t="n">
        <v>45959</v>
      </c>
      <c r="C795" s="1" t="n">
        <v>46033</v>
      </c>
      <c r="D795" t="inlineStr">
        <is>
          <t>JÄMTLANDS LÄN</t>
        </is>
      </c>
      <c r="E795" t="inlineStr">
        <is>
          <t>BERG</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39269-2024</t>
        </is>
      </c>
      <c r="B796" s="1" t="n">
        <v>45551.34488425926</v>
      </c>
      <c r="C796" s="1" t="n">
        <v>46033</v>
      </c>
      <c r="D796" t="inlineStr">
        <is>
          <t>JÄMTLANDS LÄN</t>
        </is>
      </c>
      <c r="E796" t="inlineStr">
        <is>
          <t>BERG</t>
        </is>
      </c>
      <c r="G796" t="n">
        <v>3.1</v>
      </c>
      <c r="H796" t="n">
        <v>0</v>
      </c>
      <c r="I796" t="n">
        <v>0</v>
      </c>
      <c r="J796" t="n">
        <v>0</v>
      </c>
      <c r="K796" t="n">
        <v>0</v>
      </c>
      <c r="L796" t="n">
        <v>0</v>
      </c>
      <c r="M796" t="n">
        <v>0</v>
      </c>
      <c r="N796" t="n">
        <v>0</v>
      </c>
      <c r="O796" t="n">
        <v>0</v>
      </c>
      <c r="P796" t="n">
        <v>0</v>
      </c>
      <c r="Q796" t="n">
        <v>0</v>
      </c>
      <c r="R796" s="2" t="inlineStr"/>
    </row>
    <row r="797" ht="15" customHeight="1">
      <c r="A797" t="inlineStr">
        <is>
          <t>A 1287-2026</t>
        </is>
      </c>
      <c r="B797" s="1" t="n">
        <v>46031.49944444445</v>
      </c>
      <c r="C797" s="1" t="n">
        <v>46033</v>
      </c>
      <c r="D797" t="inlineStr">
        <is>
          <t>JÄMTLANDS LÄN</t>
        </is>
      </c>
      <c r="E797" t="inlineStr">
        <is>
          <t>BERG</t>
        </is>
      </c>
      <c r="G797" t="n">
        <v>2.2</v>
      </c>
      <c r="H797" t="n">
        <v>0</v>
      </c>
      <c r="I797" t="n">
        <v>0</v>
      </c>
      <c r="J797" t="n">
        <v>0</v>
      </c>
      <c r="K797" t="n">
        <v>0</v>
      </c>
      <c r="L797" t="n">
        <v>0</v>
      </c>
      <c r="M797" t="n">
        <v>0</v>
      </c>
      <c r="N797" t="n">
        <v>0</v>
      </c>
      <c r="O797" t="n">
        <v>0</v>
      </c>
      <c r="P797" t="n">
        <v>0</v>
      </c>
      <c r="Q797" t="n">
        <v>0</v>
      </c>
      <c r="R797" s="2" t="inlineStr"/>
    </row>
    <row r="798" ht="15" customHeight="1">
      <c r="A798" t="inlineStr">
        <is>
          <t>A 13805-2024</t>
        </is>
      </c>
      <c r="B798" s="1" t="n">
        <v>45390</v>
      </c>
      <c r="C798" s="1" t="n">
        <v>46033</v>
      </c>
      <c r="D798" t="inlineStr">
        <is>
          <t>JÄMTLANDS LÄN</t>
        </is>
      </c>
      <c r="E798" t="inlineStr">
        <is>
          <t>BERG</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59404-2025</t>
        </is>
      </c>
      <c r="B799" s="1" t="n">
        <v>45989.48997685185</v>
      </c>
      <c r="C799" s="1" t="n">
        <v>46033</v>
      </c>
      <c r="D799" t="inlineStr">
        <is>
          <t>JÄMTLANDS LÄN</t>
        </is>
      </c>
      <c r="E799" t="inlineStr">
        <is>
          <t>BERG</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59447-2025</t>
        </is>
      </c>
      <c r="B800" s="1" t="n">
        <v>45989</v>
      </c>
      <c r="C800" s="1" t="n">
        <v>46033</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1386-2026</t>
        </is>
      </c>
      <c r="B801" s="1" t="n">
        <v>46031.62633101852</v>
      </c>
      <c r="C801" s="1" t="n">
        <v>46033</v>
      </c>
      <c r="D801" t="inlineStr">
        <is>
          <t>JÄMTLANDS LÄN</t>
        </is>
      </c>
      <c r="E801" t="inlineStr">
        <is>
          <t>BERG</t>
        </is>
      </c>
      <c r="G801" t="n">
        <v>1.9</v>
      </c>
      <c r="H801" t="n">
        <v>0</v>
      </c>
      <c r="I801" t="n">
        <v>0</v>
      </c>
      <c r="J801" t="n">
        <v>0</v>
      </c>
      <c r="K801" t="n">
        <v>0</v>
      </c>
      <c r="L801" t="n">
        <v>0</v>
      </c>
      <c r="M801" t="n">
        <v>0</v>
      </c>
      <c r="N801" t="n">
        <v>0</v>
      </c>
      <c r="O801" t="n">
        <v>0</v>
      </c>
      <c r="P801" t="n">
        <v>0</v>
      </c>
      <c r="Q801" t="n">
        <v>0</v>
      </c>
      <c r="R801" s="2" t="inlineStr"/>
    </row>
    <row r="802" ht="15" customHeight="1">
      <c r="A802" t="inlineStr">
        <is>
          <t>A 1391-2026</t>
        </is>
      </c>
      <c r="B802" s="1" t="n">
        <v>46031.63359953704</v>
      </c>
      <c r="C802" s="1" t="n">
        <v>46033</v>
      </c>
      <c r="D802" t="inlineStr">
        <is>
          <t>JÄMTLANDS LÄN</t>
        </is>
      </c>
      <c r="E802" t="inlineStr">
        <is>
          <t>BERG</t>
        </is>
      </c>
      <c r="G802" t="n">
        <v>1.5</v>
      </c>
      <c r="H802" t="n">
        <v>0</v>
      </c>
      <c r="I802" t="n">
        <v>0</v>
      </c>
      <c r="J802" t="n">
        <v>0</v>
      </c>
      <c r="K802" t="n">
        <v>0</v>
      </c>
      <c r="L802" t="n">
        <v>0</v>
      </c>
      <c r="M802" t="n">
        <v>0</v>
      </c>
      <c r="N802" t="n">
        <v>0</v>
      </c>
      <c r="O802" t="n">
        <v>0</v>
      </c>
      <c r="P802" t="n">
        <v>0</v>
      </c>
      <c r="Q802" t="n">
        <v>0</v>
      </c>
      <c r="R802" s="2" t="inlineStr"/>
    </row>
    <row r="803" ht="15" customHeight="1">
      <c r="A803" t="inlineStr">
        <is>
          <t>A 37589-2021</t>
        </is>
      </c>
      <c r="B803" s="1" t="n">
        <v>44399</v>
      </c>
      <c r="C803" s="1" t="n">
        <v>46033</v>
      </c>
      <c r="D803" t="inlineStr">
        <is>
          <t>JÄMTLANDS LÄN</t>
        </is>
      </c>
      <c r="E803" t="inlineStr">
        <is>
          <t>BERG</t>
        </is>
      </c>
      <c r="G803" t="n">
        <v>8.6</v>
      </c>
      <c r="H803" t="n">
        <v>0</v>
      </c>
      <c r="I803" t="n">
        <v>0</v>
      </c>
      <c r="J803" t="n">
        <v>0</v>
      </c>
      <c r="K803" t="n">
        <v>0</v>
      </c>
      <c r="L803" t="n">
        <v>0</v>
      </c>
      <c r="M803" t="n">
        <v>0</v>
      </c>
      <c r="N803" t="n">
        <v>0</v>
      </c>
      <c r="O803" t="n">
        <v>0</v>
      </c>
      <c r="P803" t="n">
        <v>0</v>
      </c>
      <c r="Q803" t="n">
        <v>0</v>
      </c>
      <c r="R803" s="2" t="inlineStr"/>
    </row>
    <row r="804" ht="15" customHeight="1">
      <c r="A804" t="inlineStr">
        <is>
          <t>A 16491-2023</t>
        </is>
      </c>
      <c r="B804" s="1" t="n">
        <v>45027</v>
      </c>
      <c r="C804" s="1" t="n">
        <v>46033</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1401-2026</t>
        </is>
      </c>
      <c r="B805" s="1" t="n">
        <v>46031.64333333333</v>
      </c>
      <c r="C805" s="1" t="n">
        <v>46033</v>
      </c>
      <c r="D805" t="inlineStr">
        <is>
          <t>JÄMTLANDS LÄN</t>
        </is>
      </c>
      <c r="E805" t="inlineStr">
        <is>
          <t>BERG</t>
        </is>
      </c>
      <c r="G805" t="n">
        <v>2.1</v>
      </c>
      <c r="H805" t="n">
        <v>0</v>
      </c>
      <c r="I805" t="n">
        <v>0</v>
      </c>
      <c r="J805" t="n">
        <v>0</v>
      </c>
      <c r="K805" t="n">
        <v>0</v>
      </c>
      <c r="L805" t="n">
        <v>0</v>
      </c>
      <c r="M805" t="n">
        <v>0</v>
      </c>
      <c r="N805" t="n">
        <v>0</v>
      </c>
      <c r="O805" t="n">
        <v>0</v>
      </c>
      <c r="P805" t="n">
        <v>0</v>
      </c>
      <c r="Q805" t="n">
        <v>0</v>
      </c>
      <c r="R805" s="2" t="inlineStr"/>
    </row>
    <row r="806" ht="15" customHeight="1">
      <c r="A806" t="inlineStr">
        <is>
          <t>A 1407-2026</t>
        </is>
      </c>
      <c r="B806" s="1" t="n">
        <v>46031.64733796296</v>
      </c>
      <c r="C806" s="1" t="n">
        <v>46033</v>
      </c>
      <c r="D806" t="inlineStr">
        <is>
          <t>JÄMTLANDS LÄN</t>
        </is>
      </c>
      <c r="E806" t="inlineStr">
        <is>
          <t>BERG</t>
        </is>
      </c>
      <c r="G806" t="n">
        <v>0.9</v>
      </c>
      <c r="H806" t="n">
        <v>0</v>
      </c>
      <c r="I806" t="n">
        <v>0</v>
      </c>
      <c r="J806" t="n">
        <v>0</v>
      </c>
      <c r="K806" t="n">
        <v>0</v>
      </c>
      <c r="L806" t="n">
        <v>0</v>
      </c>
      <c r="M806" t="n">
        <v>0</v>
      </c>
      <c r="N806" t="n">
        <v>0</v>
      </c>
      <c r="O806" t="n">
        <v>0</v>
      </c>
      <c r="P806" t="n">
        <v>0</v>
      </c>
      <c r="Q806" t="n">
        <v>0</v>
      </c>
      <c r="R806" s="2" t="inlineStr"/>
    </row>
    <row r="807" ht="15" customHeight="1">
      <c r="A807" t="inlineStr">
        <is>
          <t>A 57669-2024</t>
        </is>
      </c>
      <c r="B807" s="1" t="n">
        <v>45630.62520833333</v>
      </c>
      <c r="C807" s="1" t="n">
        <v>46033</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59210-2025</t>
        </is>
      </c>
      <c r="B808" s="1" t="n">
        <v>45988.61516203704</v>
      </c>
      <c r="C808" s="1" t="n">
        <v>46033</v>
      </c>
      <c r="D808" t="inlineStr">
        <is>
          <t>JÄMTLANDS LÄN</t>
        </is>
      </c>
      <c r="E808" t="inlineStr">
        <is>
          <t>BERG</t>
        </is>
      </c>
      <c r="G808" t="n">
        <v>2</v>
      </c>
      <c r="H808" t="n">
        <v>0</v>
      </c>
      <c r="I808" t="n">
        <v>0</v>
      </c>
      <c r="J808" t="n">
        <v>0</v>
      </c>
      <c r="K808" t="n">
        <v>0</v>
      </c>
      <c r="L808" t="n">
        <v>0</v>
      </c>
      <c r="M808" t="n">
        <v>0</v>
      </c>
      <c r="N808" t="n">
        <v>0</v>
      </c>
      <c r="O808" t="n">
        <v>0</v>
      </c>
      <c r="P808" t="n">
        <v>0</v>
      </c>
      <c r="Q808" t="n">
        <v>0</v>
      </c>
      <c r="R808" s="2" t="inlineStr"/>
    </row>
    <row r="809" ht="15" customHeight="1">
      <c r="A809" t="inlineStr">
        <is>
          <t>A 59253-2025</t>
        </is>
      </c>
      <c r="B809" s="1" t="n">
        <v>45988.65121527778</v>
      </c>
      <c r="C809" s="1" t="n">
        <v>46033</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59267-2025</t>
        </is>
      </c>
      <c r="B810" s="1" t="n">
        <v>45988.66127314815</v>
      </c>
      <c r="C810" s="1" t="n">
        <v>46033</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59281-2025</t>
        </is>
      </c>
      <c r="B811" s="1" t="n">
        <v>45988.7234375</v>
      </c>
      <c r="C811" s="1" t="n">
        <v>46033</v>
      </c>
      <c r="D811" t="inlineStr">
        <is>
          <t>JÄMTLANDS LÄN</t>
        </is>
      </c>
      <c r="E811" t="inlineStr">
        <is>
          <t>BERG</t>
        </is>
      </c>
      <c r="G811" t="n">
        <v>16.7</v>
      </c>
      <c r="H811" t="n">
        <v>0</v>
      </c>
      <c r="I811" t="n">
        <v>0</v>
      </c>
      <c r="J811" t="n">
        <v>0</v>
      </c>
      <c r="K811" t="n">
        <v>0</v>
      </c>
      <c r="L811" t="n">
        <v>0</v>
      </c>
      <c r="M811" t="n">
        <v>0</v>
      </c>
      <c r="N811" t="n">
        <v>0</v>
      </c>
      <c r="O811" t="n">
        <v>0</v>
      </c>
      <c r="P811" t="n">
        <v>0</v>
      </c>
      <c r="Q811" t="n">
        <v>0</v>
      </c>
      <c r="R811" s="2" t="inlineStr"/>
    </row>
    <row r="812" ht="15" customHeight="1">
      <c r="A812" t="inlineStr">
        <is>
          <t>A 59424-2025</t>
        </is>
      </c>
      <c r="B812" s="1" t="n">
        <v>45989.53782407408</v>
      </c>
      <c r="C812" s="1" t="n">
        <v>46033</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35921-2024</t>
        </is>
      </c>
      <c r="B813" s="1" t="n">
        <v>45533.42659722222</v>
      </c>
      <c r="C813" s="1" t="n">
        <v>46033</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1282-2026</t>
        </is>
      </c>
      <c r="B814" s="1" t="n">
        <v>46031.49096064815</v>
      </c>
      <c r="C814" s="1" t="n">
        <v>46033</v>
      </c>
      <c r="D814" t="inlineStr">
        <is>
          <t>JÄMTLANDS LÄN</t>
        </is>
      </c>
      <c r="E814" t="inlineStr">
        <is>
          <t>BERG</t>
        </is>
      </c>
      <c r="G814" t="n">
        <v>3.5</v>
      </c>
      <c r="H814" t="n">
        <v>0</v>
      </c>
      <c r="I814" t="n">
        <v>0</v>
      </c>
      <c r="J814" t="n">
        <v>0</v>
      </c>
      <c r="K814" t="n">
        <v>0</v>
      </c>
      <c r="L814" t="n">
        <v>0</v>
      </c>
      <c r="M814" t="n">
        <v>0</v>
      </c>
      <c r="N814" t="n">
        <v>0</v>
      </c>
      <c r="O814" t="n">
        <v>0</v>
      </c>
      <c r="P814" t="n">
        <v>0</v>
      </c>
      <c r="Q814" t="n">
        <v>0</v>
      </c>
      <c r="R814" s="2" t="inlineStr"/>
    </row>
    <row r="815" ht="15" customHeight="1">
      <c r="A815" t="inlineStr">
        <is>
          <t>A 64752-2023</t>
        </is>
      </c>
      <c r="B815" s="1" t="n">
        <v>45281.92891203704</v>
      </c>
      <c r="C815" s="1" t="n">
        <v>46033</v>
      </c>
      <c r="D815" t="inlineStr">
        <is>
          <t>JÄMTLANDS LÄN</t>
        </is>
      </c>
      <c r="E815" t="inlineStr">
        <is>
          <t>BERG</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14728-2025</t>
        </is>
      </c>
      <c r="B816" s="1" t="n">
        <v>45742.63574074074</v>
      </c>
      <c r="C816" s="1" t="n">
        <v>46033</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31129-2024</t>
        </is>
      </c>
      <c r="B817" s="1" t="n">
        <v>45502</v>
      </c>
      <c r="C817" s="1" t="n">
        <v>46033</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3961-2025</t>
        </is>
      </c>
      <c r="B818" s="1" t="n">
        <v>45684.50217592593</v>
      </c>
      <c r="C818" s="1" t="n">
        <v>46033</v>
      </c>
      <c r="D818" t="inlineStr">
        <is>
          <t>JÄMTLANDS LÄN</t>
        </is>
      </c>
      <c r="E818" t="inlineStr">
        <is>
          <t>BERG</t>
        </is>
      </c>
      <c r="G818" t="n">
        <v>14.9</v>
      </c>
      <c r="H818" t="n">
        <v>0</v>
      </c>
      <c r="I818" t="n">
        <v>0</v>
      </c>
      <c r="J818" t="n">
        <v>0</v>
      </c>
      <c r="K818" t="n">
        <v>0</v>
      </c>
      <c r="L818" t="n">
        <v>0</v>
      </c>
      <c r="M818" t="n">
        <v>0</v>
      </c>
      <c r="N818" t="n">
        <v>0</v>
      </c>
      <c r="O818" t="n">
        <v>0</v>
      </c>
      <c r="P818" t="n">
        <v>0</v>
      </c>
      <c r="Q818" t="n">
        <v>0</v>
      </c>
      <c r="R818" s="2" t="inlineStr"/>
    </row>
    <row r="819" ht="15" customHeight="1">
      <c r="A819" t="inlineStr">
        <is>
          <t>A 35636-2023</t>
        </is>
      </c>
      <c r="B819" s="1" t="n">
        <v>45147</v>
      </c>
      <c r="C819" s="1" t="n">
        <v>46033</v>
      </c>
      <c r="D819" t="inlineStr">
        <is>
          <t>JÄMTLANDS LÄN</t>
        </is>
      </c>
      <c r="E819" t="inlineStr">
        <is>
          <t>BERG</t>
        </is>
      </c>
      <c r="G819" t="n">
        <v>1.8</v>
      </c>
      <c r="H819" t="n">
        <v>0</v>
      </c>
      <c r="I819" t="n">
        <v>0</v>
      </c>
      <c r="J819" t="n">
        <v>0</v>
      </c>
      <c r="K819" t="n">
        <v>0</v>
      </c>
      <c r="L819" t="n">
        <v>0</v>
      </c>
      <c r="M819" t="n">
        <v>0</v>
      </c>
      <c r="N819" t="n">
        <v>0</v>
      </c>
      <c r="O819" t="n">
        <v>0</v>
      </c>
      <c r="P819" t="n">
        <v>0</v>
      </c>
      <c r="Q819" t="n">
        <v>0</v>
      </c>
      <c r="R819" s="2" t="inlineStr"/>
    </row>
    <row r="820" ht="15" customHeight="1">
      <c r="A820" t="inlineStr">
        <is>
          <t>A 45347-2023</t>
        </is>
      </c>
      <c r="B820" s="1" t="n">
        <v>45191</v>
      </c>
      <c r="C820" s="1" t="n">
        <v>46033</v>
      </c>
      <c r="D820" t="inlineStr">
        <is>
          <t>JÄMTLANDS LÄN</t>
        </is>
      </c>
      <c r="E820" t="inlineStr">
        <is>
          <t>BERG</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49225-2024</t>
        </is>
      </c>
      <c r="B821" s="1" t="n">
        <v>45595.4177662037</v>
      </c>
      <c r="C821" s="1" t="n">
        <v>46033</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15624-2023</t>
        </is>
      </c>
      <c r="B822" s="1" t="n">
        <v>45020.94496527778</v>
      </c>
      <c r="C822" s="1" t="n">
        <v>46033</v>
      </c>
      <c r="D822" t="inlineStr">
        <is>
          <t>JÄMTLANDS LÄN</t>
        </is>
      </c>
      <c r="E822" t="inlineStr">
        <is>
          <t>BERG</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20882-2023</t>
        </is>
      </c>
      <c r="B823" s="1" t="n">
        <v>45058</v>
      </c>
      <c r="C823" s="1" t="n">
        <v>46033</v>
      </c>
      <c r="D823" t="inlineStr">
        <is>
          <t>JÄMTLANDS LÄN</t>
        </is>
      </c>
      <c r="E823" t="inlineStr">
        <is>
          <t>BERG</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12774-2023</t>
        </is>
      </c>
      <c r="B824" s="1" t="n">
        <v>45001</v>
      </c>
      <c r="C824" s="1" t="n">
        <v>46033</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60587-2022</t>
        </is>
      </c>
      <c r="B825" s="1" t="n">
        <v>44911.58445601852</v>
      </c>
      <c r="C825" s="1" t="n">
        <v>46033</v>
      </c>
      <c r="D825" t="inlineStr">
        <is>
          <t>JÄMTLANDS LÄN</t>
        </is>
      </c>
      <c r="E825" t="inlineStr">
        <is>
          <t>BERG</t>
        </is>
      </c>
      <c r="G825" t="n">
        <v>4.8</v>
      </c>
      <c r="H825" t="n">
        <v>0</v>
      </c>
      <c r="I825" t="n">
        <v>0</v>
      </c>
      <c r="J825" t="n">
        <v>0</v>
      </c>
      <c r="K825" t="n">
        <v>0</v>
      </c>
      <c r="L825" t="n">
        <v>0</v>
      </c>
      <c r="M825" t="n">
        <v>0</v>
      </c>
      <c r="N825" t="n">
        <v>0</v>
      </c>
      <c r="O825" t="n">
        <v>0</v>
      </c>
      <c r="P825" t="n">
        <v>0</v>
      </c>
      <c r="Q825" t="n">
        <v>0</v>
      </c>
      <c r="R825" s="2" t="inlineStr"/>
    </row>
    <row r="826" ht="15" customHeight="1">
      <c r="A826" t="inlineStr">
        <is>
          <t>A 6645-2025</t>
        </is>
      </c>
      <c r="B826" s="1" t="n">
        <v>45700.39645833334</v>
      </c>
      <c r="C826" s="1" t="n">
        <v>46033</v>
      </c>
      <c r="D826" t="inlineStr">
        <is>
          <t>JÄMTLANDS LÄN</t>
        </is>
      </c>
      <c r="E826" t="inlineStr">
        <is>
          <t>BERG</t>
        </is>
      </c>
      <c r="G826" t="n">
        <v>2.6</v>
      </c>
      <c r="H826" t="n">
        <v>0</v>
      </c>
      <c r="I826" t="n">
        <v>0</v>
      </c>
      <c r="J826" t="n">
        <v>0</v>
      </c>
      <c r="K826" t="n">
        <v>0</v>
      </c>
      <c r="L826" t="n">
        <v>0</v>
      </c>
      <c r="M826" t="n">
        <v>0</v>
      </c>
      <c r="N826" t="n">
        <v>0</v>
      </c>
      <c r="O826" t="n">
        <v>0</v>
      </c>
      <c r="P826" t="n">
        <v>0</v>
      </c>
      <c r="Q826" t="n">
        <v>0</v>
      </c>
      <c r="R826" s="2" t="inlineStr"/>
    </row>
    <row r="827" ht="15" customHeight="1">
      <c r="A827" t="inlineStr">
        <is>
          <t>A 12254-2025</t>
        </is>
      </c>
      <c r="B827" s="1" t="n">
        <v>45729</v>
      </c>
      <c r="C827" s="1" t="n">
        <v>46033</v>
      </c>
      <c r="D827" t="inlineStr">
        <is>
          <t>JÄMTLANDS LÄN</t>
        </is>
      </c>
      <c r="E827" t="inlineStr">
        <is>
          <t>BERG</t>
        </is>
      </c>
      <c r="G827" t="n">
        <v>26.3</v>
      </c>
      <c r="H827" t="n">
        <v>0</v>
      </c>
      <c r="I827" t="n">
        <v>0</v>
      </c>
      <c r="J827" t="n">
        <v>0</v>
      </c>
      <c r="K827" t="n">
        <v>0</v>
      </c>
      <c r="L827" t="n">
        <v>0</v>
      </c>
      <c r="M827" t="n">
        <v>0</v>
      </c>
      <c r="N827" t="n">
        <v>0</v>
      </c>
      <c r="O827" t="n">
        <v>0</v>
      </c>
      <c r="P827" t="n">
        <v>0</v>
      </c>
      <c r="Q827" t="n">
        <v>0</v>
      </c>
      <c r="R827" s="2" t="inlineStr"/>
    </row>
    <row r="828" ht="15" customHeight="1">
      <c r="A828" t="inlineStr">
        <is>
          <t>A 23560-2024</t>
        </is>
      </c>
      <c r="B828" s="1" t="n">
        <v>45453.95467592592</v>
      </c>
      <c r="C828" s="1" t="n">
        <v>46033</v>
      </c>
      <c r="D828" t="inlineStr">
        <is>
          <t>JÄMTLANDS LÄN</t>
        </is>
      </c>
      <c r="E828" t="inlineStr">
        <is>
          <t>BERG</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1982-2022</t>
        </is>
      </c>
      <c r="B829" s="1" t="n">
        <v>44575</v>
      </c>
      <c r="C829" s="1" t="n">
        <v>46033</v>
      </c>
      <c r="D829" t="inlineStr">
        <is>
          <t>JÄMTLANDS LÄN</t>
        </is>
      </c>
      <c r="E829" t="inlineStr">
        <is>
          <t>BERG</t>
        </is>
      </c>
      <c r="G829" t="n">
        <v>1.6</v>
      </c>
      <c r="H829" t="n">
        <v>0</v>
      </c>
      <c r="I829" t="n">
        <v>0</v>
      </c>
      <c r="J829" t="n">
        <v>0</v>
      </c>
      <c r="K829" t="n">
        <v>0</v>
      </c>
      <c r="L829" t="n">
        <v>0</v>
      </c>
      <c r="M829" t="n">
        <v>0</v>
      </c>
      <c r="N829" t="n">
        <v>0</v>
      </c>
      <c r="O829" t="n">
        <v>0</v>
      </c>
      <c r="P829" t="n">
        <v>0</v>
      </c>
      <c r="Q829" t="n">
        <v>0</v>
      </c>
      <c r="R829" s="2" t="inlineStr"/>
    </row>
    <row r="830" ht="15" customHeight="1">
      <c r="A830" t="inlineStr">
        <is>
          <t>A 1989-2022</t>
        </is>
      </c>
      <c r="B830" s="1" t="n">
        <v>44575.55935185185</v>
      </c>
      <c r="C830" s="1" t="n">
        <v>46033</v>
      </c>
      <c r="D830" t="inlineStr">
        <is>
          <t>JÄMTLANDS LÄN</t>
        </is>
      </c>
      <c r="E830" t="inlineStr">
        <is>
          <t>BERG</t>
        </is>
      </c>
      <c r="G830" t="n">
        <v>0.7</v>
      </c>
      <c r="H830" t="n">
        <v>0</v>
      </c>
      <c r="I830" t="n">
        <v>0</v>
      </c>
      <c r="J830" t="n">
        <v>0</v>
      </c>
      <c r="K830" t="n">
        <v>0</v>
      </c>
      <c r="L830" t="n">
        <v>0</v>
      </c>
      <c r="M830" t="n">
        <v>0</v>
      </c>
      <c r="N830" t="n">
        <v>0</v>
      </c>
      <c r="O830" t="n">
        <v>0</v>
      </c>
      <c r="P830" t="n">
        <v>0</v>
      </c>
      <c r="Q830" t="n">
        <v>0</v>
      </c>
      <c r="R830" s="2" t="inlineStr"/>
    </row>
    <row r="831" ht="15" customHeight="1">
      <c r="A831" t="inlineStr">
        <is>
          <t>A 3173-2025</t>
        </is>
      </c>
      <c r="B831" s="1" t="n">
        <v>45679.38309027778</v>
      </c>
      <c r="C831" s="1" t="n">
        <v>46033</v>
      </c>
      <c r="D831" t="inlineStr">
        <is>
          <t>JÄMTLANDS LÄN</t>
        </is>
      </c>
      <c r="E831" t="inlineStr">
        <is>
          <t>BERG</t>
        </is>
      </c>
      <c r="G831" t="n">
        <v>8.9</v>
      </c>
      <c r="H831" t="n">
        <v>0</v>
      </c>
      <c r="I831" t="n">
        <v>0</v>
      </c>
      <c r="J831" t="n">
        <v>0</v>
      </c>
      <c r="K831" t="n">
        <v>0</v>
      </c>
      <c r="L831" t="n">
        <v>0</v>
      </c>
      <c r="M831" t="n">
        <v>0</v>
      </c>
      <c r="N831" t="n">
        <v>0</v>
      </c>
      <c r="O831" t="n">
        <v>0</v>
      </c>
      <c r="P831" t="n">
        <v>0</v>
      </c>
      <c r="Q831" t="n">
        <v>0</v>
      </c>
      <c r="R831" s="2" t="inlineStr"/>
    </row>
    <row r="832" ht="15" customHeight="1">
      <c r="A832" t="inlineStr">
        <is>
          <t>A 62153-2022</t>
        </is>
      </c>
      <c r="B832" s="1" t="n">
        <v>44914</v>
      </c>
      <c r="C832" s="1" t="n">
        <v>46033</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15156-2024</t>
        </is>
      </c>
      <c r="B833" s="1" t="n">
        <v>45399.94496527778</v>
      </c>
      <c r="C833" s="1" t="n">
        <v>46033</v>
      </c>
      <c r="D833" t="inlineStr">
        <is>
          <t>JÄMTLANDS LÄN</t>
        </is>
      </c>
      <c r="E833" t="inlineStr">
        <is>
          <t>BERG</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46858-2023</t>
        </is>
      </c>
      <c r="B834" s="1" t="n">
        <v>45199.97042824074</v>
      </c>
      <c r="C834" s="1" t="n">
        <v>46033</v>
      </c>
      <c r="D834" t="inlineStr">
        <is>
          <t>JÄMTLANDS LÄN</t>
        </is>
      </c>
      <c r="E834" t="inlineStr">
        <is>
          <t>BERG</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36192-2024</t>
        </is>
      </c>
      <c r="B835" s="1" t="n">
        <v>45534.42809027778</v>
      </c>
      <c r="C835" s="1" t="n">
        <v>46033</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14594-2025</t>
        </is>
      </c>
      <c r="B836" s="1" t="n">
        <v>45742.34414351852</v>
      </c>
      <c r="C836" s="1" t="n">
        <v>46033</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14596-2025</t>
        </is>
      </c>
      <c r="B837" s="1" t="n">
        <v>45742.34449074074</v>
      </c>
      <c r="C837" s="1" t="n">
        <v>46033</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3798-2022</t>
        </is>
      </c>
      <c r="B838" s="1" t="n">
        <v>44586</v>
      </c>
      <c r="C838" s="1" t="n">
        <v>46033</v>
      </c>
      <c r="D838" t="inlineStr">
        <is>
          <t>JÄMTLANDS LÄN</t>
        </is>
      </c>
      <c r="E838" t="inlineStr">
        <is>
          <t>BERG</t>
        </is>
      </c>
      <c r="G838" t="n">
        <v>0.1</v>
      </c>
      <c r="H838" t="n">
        <v>0</v>
      </c>
      <c r="I838" t="n">
        <v>0</v>
      </c>
      <c r="J838" t="n">
        <v>0</v>
      </c>
      <c r="K838" t="n">
        <v>0</v>
      </c>
      <c r="L838" t="n">
        <v>0</v>
      </c>
      <c r="M838" t="n">
        <v>0</v>
      </c>
      <c r="N838" t="n">
        <v>0</v>
      </c>
      <c r="O838" t="n">
        <v>0</v>
      </c>
      <c r="P838" t="n">
        <v>0</v>
      </c>
      <c r="Q838" t="n">
        <v>0</v>
      </c>
      <c r="R838" s="2" t="inlineStr"/>
    </row>
    <row r="839" ht="15" customHeight="1">
      <c r="A839" t="inlineStr">
        <is>
          <t>A 11274-2025</t>
        </is>
      </c>
      <c r="B839" s="1" t="n">
        <v>45726.40868055556</v>
      </c>
      <c r="C839" s="1" t="n">
        <v>46033</v>
      </c>
      <c r="D839" t="inlineStr">
        <is>
          <t>JÄMTLANDS LÄN</t>
        </is>
      </c>
      <c r="E839" t="inlineStr">
        <is>
          <t>BERG</t>
        </is>
      </c>
      <c r="G839" t="n">
        <v>3</v>
      </c>
      <c r="H839" t="n">
        <v>0</v>
      </c>
      <c r="I839" t="n">
        <v>0</v>
      </c>
      <c r="J839" t="n">
        <v>0</v>
      </c>
      <c r="K839" t="n">
        <v>0</v>
      </c>
      <c r="L839" t="n">
        <v>0</v>
      </c>
      <c r="M839" t="n">
        <v>0</v>
      </c>
      <c r="N839" t="n">
        <v>0</v>
      </c>
      <c r="O839" t="n">
        <v>0</v>
      </c>
      <c r="P839" t="n">
        <v>0</v>
      </c>
      <c r="Q839" t="n">
        <v>0</v>
      </c>
      <c r="R839" s="2" t="inlineStr"/>
    </row>
    <row r="840" ht="15" customHeight="1">
      <c r="A840" t="inlineStr">
        <is>
          <t>A 149-2024</t>
        </is>
      </c>
      <c r="B840" s="1" t="n">
        <v>45294</v>
      </c>
      <c r="C840" s="1" t="n">
        <v>46033</v>
      </c>
      <c r="D840" t="inlineStr">
        <is>
          <t>JÄMTLANDS LÄN</t>
        </is>
      </c>
      <c r="E840" t="inlineStr">
        <is>
          <t>BERG</t>
        </is>
      </c>
      <c r="F840" t="inlineStr">
        <is>
          <t>Kyrkan</t>
        </is>
      </c>
      <c r="G840" t="n">
        <v>3.7</v>
      </c>
      <c r="H840" t="n">
        <v>0</v>
      </c>
      <c r="I840" t="n">
        <v>0</v>
      </c>
      <c r="J840" t="n">
        <v>0</v>
      </c>
      <c r="K840" t="n">
        <v>0</v>
      </c>
      <c r="L840" t="n">
        <v>0</v>
      </c>
      <c r="M840" t="n">
        <v>0</v>
      </c>
      <c r="N840" t="n">
        <v>0</v>
      </c>
      <c r="O840" t="n">
        <v>0</v>
      </c>
      <c r="P840" t="n">
        <v>0</v>
      </c>
      <c r="Q840" t="n">
        <v>0</v>
      </c>
      <c r="R840" s="2" t="inlineStr"/>
    </row>
    <row r="841" ht="15" customHeight="1">
      <c r="A841" t="inlineStr">
        <is>
          <t>A 36708-2023</t>
        </is>
      </c>
      <c r="B841" s="1" t="n">
        <v>45153.65226851852</v>
      </c>
      <c r="C841" s="1" t="n">
        <v>46033</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33750-2023</t>
        </is>
      </c>
      <c r="B842" s="1" t="n">
        <v>45120</v>
      </c>
      <c r="C842" s="1" t="n">
        <v>46033</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8722-2024</t>
        </is>
      </c>
      <c r="B843" s="1" t="n">
        <v>45355</v>
      </c>
      <c r="C843" s="1" t="n">
        <v>46033</v>
      </c>
      <c r="D843" t="inlineStr">
        <is>
          <t>JÄMTLANDS LÄN</t>
        </is>
      </c>
      <c r="E843" t="inlineStr">
        <is>
          <t>BERG</t>
        </is>
      </c>
      <c r="G843" t="n">
        <v>2.4</v>
      </c>
      <c r="H843" t="n">
        <v>0</v>
      </c>
      <c r="I843" t="n">
        <v>0</v>
      </c>
      <c r="J843" t="n">
        <v>0</v>
      </c>
      <c r="K843" t="n">
        <v>0</v>
      </c>
      <c r="L843" t="n">
        <v>0</v>
      </c>
      <c r="M843" t="n">
        <v>0</v>
      </c>
      <c r="N843" t="n">
        <v>0</v>
      </c>
      <c r="O843" t="n">
        <v>0</v>
      </c>
      <c r="P843" t="n">
        <v>0</v>
      </c>
      <c r="Q843" t="n">
        <v>0</v>
      </c>
      <c r="R843" s="2" t="inlineStr"/>
    </row>
    <row r="844" ht="15" customHeight="1">
      <c r="A844" t="inlineStr">
        <is>
          <t>A 8726-2024</t>
        </is>
      </c>
      <c r="B844" s="1" t="n">
        <v>45355</v>
      </c>
      <c r="C844" s="1" t="n">
        <v>46033</v>
      </c>
      <c r="D844" t="inlineStr">
        <is>
          <t>JÄMTLANDS LÄN</t>
        </is>
      </c>
      <c r="E844" t="inlineStr">
        <is>
          <t>BERG</t>
        </is>
      </c>
      <c r="G844" t="n">
        <v>1.3</v>
      </c>
      <c r="H844" t="n">
        <v>0</v>
      </c>
      <c r="I844" t="n">
        <v>0</v>
      </c>
      <c r="J844" t="n">
        <v>0</v>
      </c>
      <c r="K844" t="n">
        <v>0</v>
      </c>
      <c r="L844" t="n">
        <v>0</v>
      </c>
      <c r="M844" t="n">
        <v>0</v>
      </c>
      <c r="N844" t="n">
        <v>0</v>
      </c>
      <c r="O844" t="n">
        <v>0</v>
      </c>
      <c r="P844" t="n">
        <v>0</v>
      </c>
      <c r="Q844" t="n">
        <v>0</v>
      </c>
      <c r="R844" s="2" t="inlineStr"/>
    </row>
    <row r="845" ht="15" customHeight="1">
      <c r="A845" t="inlineStr">
        <is>
          <t>A 8733-2024</t>
        </is>
      </c>
      <c r="B845" s="1" t="n">
        <v>45355</v>
      </c>
      <c r="C845" s="1" t="n">
        <v>46033</v>
      </c>
      <c r="D845" t="inlineStr">
        <is>
          <t>JÄMTLANDS LÄN</t>
        </is>
      </c>
      <c r="E845" t="inlineStr">
        <is>
          <t>BERG</t>
        </is>
      </c>
      <c r="G845" t="n">
        <v>1.9</v>
      </c>
      <c r="H845" t="n">
        <v>0</v>
      </c>
      <c r="I845" t="n">
        <v>0</v>
      </c>
      <c r="J845" t="n">
        <v>0</v>
      </c>
      <c r="K845" t="n">
        <v>0</v>
      </c>
      <c r="L845" t="n">
        <v>0</v>
      </c>
      <c r="M845" t="n">
        <v>0</v>
      </c>
      <c r="N845" t="n">
        <v>0</v>
      </c>
      <c r="O845" t="n">
        <v>0</v>
      </c>
      <c r="P845" t="n">
        <v>0</v>
      </c>
      <c r="Q845" t="n">
        <v>0</v>
      </c>
      <c r="R845" s="2" t="inlineStr"/>
    </row>
    <row r="846" ht="15" customHeight="1">
      <c r="A846" t="inlineStr">
        <is>
          <t>A 30992-2024</t>
        </is>
      </c>
      <c r="B846" s="1" t="n">
        <v>45499</v>
      </c>
      <c r="C846" s="1" t="n">
        <v>46033</v>
      </c>
      <c r="D846" t="inlineStr">
        <is>
          <t>JÄMTLANDS LÄN</t>
        </is>
      </c>
      <c r="E846" t="inlineStr">
        <is>
          <t>BERG</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1657-2021</t>
        </is>
      </c>
      <c r="B847" s="1" t="n">
        <v>44209</v>
      </c>
      <c r="C847" s="1" t="n">
        <v>46033</v>
      </c>
      <c r="D847" t="inlineStr">
        <is>
          <t>JÄMTLANDS LÄN</t>
        </is>
      </c>
      <c r="E847" t="inlineStr">
        <is>
          <t>BERG</t>
        </is>
      </c>
      <c r="G847" t="n">
        <v>0.1</v>
      </c>
      <c r="H847" t="n">
        <v>0</v>
      </c>
      <c r="I847" t="n">
        <v>0</v>
      </c>
      <c r="J847" t="n">
        <v>0</v>
      </c>
      <c r="K847" t="n">
        <v>0</v>
      </c>
      <c r="L847" t="n">
        <v>0</v>
      </c>
      <c r="M847" t="n">
        <v>0</v>
      </c>
      <c r="N847" t="n">
        <v>0</v>
      </c>
      <c r="O847" t="n">
        <v>0</v>
      </c>
      <c r="P847" t="n">
        <v>0</v>
      </c>
      <c r="Q847" t="n">
        <v>0</v>
      </c>
      <c r="R847" s="2" t="inlineStr"/>
    </row>
    <row r="848" ht="15" customHeight="1">
      <c r="A848" t="inlineStr">
        <is>
          <t>A 49048-2024</t>
        </is>
      </c>
      <c r="B848" s="1" t="n">
        <v>45594.57427083333</v>
      </c>
      <c r="C848" s="1" t="n">
        <v>46033</v>
      </c>
      <c r="D848" t="inlineStr">
        <is>
          <t>JÄMTLANDS LÄN</t>
        </is>
      </c>
      <c r="E848" t="inlineStr">
        <is>
          <t>BERG</t>
        </is>
      </c>
      <c r="G848" t="n">
        <v>1.3</v>
      </c>
      <c r="H848" t="n">
        <v>0</v>
      </c>
      <c r="I848" t="n">
        <v>0</v>
      </c>
      <c r="J848" t="n">
        <v>0</v>
      </c>
      <c r="K848" t="n">
        <v>0</v>
      </c>
      <c r="L848" t="n">
        <v>0</v>
      </c>
      <c r="M848" t="n">
        <v>0</v>
      </c>
      <c r="N848" t="n">
        <v>0</v>
      </c>
      <c r="O848" t="n">
        <v>0</v>
      </c>
      <c r="P848" t="n">
        <v>0</v>
      </c>
      <c r="Q848" t="n">
        <v>0</v>
      </c>
      <c r="R848" s="2" t="inlineStr"/>
    </row>
    <row r="849" ht="15" customHeight="1">
      <c r="A849" t="inlineStr">
        <is>
          <t>A 54071-2023</t>
        </is>
      </c>
      <c r="B849" s="1" t="n">
        <v>45231</v>
      </c>
      <c r="C849" s="1" t="n">
        <v>46033</v>
      </c>
      <c r="D849" t="inlineStr">
        <is>
          <t>JÄMTLANDS LÄN</t>
        </is>
      </c>
      <c r="E849" t="inlineStr">
        <is>
          <t>BERG</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461-2023</t>
        </is>
      </c>
      <c r="B850" s="1" t="n">
        <v>44929</v>
      </c>
      <c r="C850" s="1" t="n">
        <v>46033</v>
      </c>
      <c r="D850" t="inlineStr">
        <is>
          <t>JÄMTLANDS LÄN</t>
        </is>
      </c>
      <c r="E850" t="inlineStr">
        <is>
          <t>BERG</t>
        </is>
      </c>
      <c r="G850" t="n">
        <v>5.8</v>
      </c>
      <c r="H850" t="n">
        <v>0</v>
      </c>
      <c r="I850" t="n">
        <v>0</v>
      </c>
      <c r="J850" t="n">
        <v>0</v>
      </c>
      <c r="K850" t="n">
        <v>0</v>
      </c>
      <c r="L850" t="n">
        <v>0</v>
      </c>
      <c r="M850" t="n">
        <v>0</v>
      </c>
      <c r="N850" t="n">
        <v>0</v>
      </c>
      <c r="O850" t="n">
        <v>0</v>
      </c>
      <c r="P850" t="n">
        <v>0</v>
      </c>
      <c r="Q850" t="n">
        <v>0</v>
      </c>
      <c r="R850" s="2" t="inlineStr"/>
    </row>
    <row r="851" ht="15" customHeight="1">
      <c r="A851" t="inlineStr">
        <is>
          <t>A 525-2023</t>
        </is>
      </c>
      <c r="B851" s="1" t="n">
        <v>44924</v>
      </c>
      <c r="C851" s="1" t="n">
        <v>46033</v>
      </c>
      <c r="D851" t="inlineStr">
        <is>
          <t>JÄMTLANDS LÄN</t>
        </is>
      </c>
      <c r="E851" t="inlineStr">
        <is>
          <t>BERG</t>
        </is>
      </c>
      <c r="G851" t="n">
        <v>4</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46033</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27579-2024</t>
        </is>
      </c>
      <c r="B853" s="1" t="n">
        <v>45474.65244212963</v>
      </c>
      <c r="C853" s="1" t="n">
        <v>46033</v>
      </c>
      <c r="D853" t="inlineStr">
        <is>
          <t>JÄMTLANDS LÄN</t>
        </is>
      </c>
      <c r="E853" t="inlineStr">
        <is>
          <t>BERG</t>
        </is>
      </c>
      <c r="G853" t="n">
        <v>1.8</v>
      </c>
      <c r="H853" t="n">
        <v>0</v>
      </c>
      <c r="I853" t="n">
        <v>0</v>
      </c>
      <c r="J853" t="n">
        <v>0</v>
      </c>
      <c r="K853" t="n">
        <v>0</v>
      </c>
      <c r="L853" t="n">
        <v>0</v>
      </c>
      <c r="M853" t="n">
        <v>0</v>
      </c>
      <c r="N853" t="n">
        <v>0</v>
      </c>
      <c r="O853" t="n">
        <v>0</v>
      </c>
      <c r="P853" t="n">
        <v>0</v>
      </c>
      <c r="Q853" t="n">
        <v>0</v>
      </c>
      <c r="R853" s="2" t="inlineStr"/>
    </row>
    <row r="854" ht="15" customHeight="1">
      <c r="A854" t="inlineStr">
        <is>
          <t>A 54992-2023</t>
        </is>
      </c>
      <c r="B854" s="1" t="n">
        <v>45236.96789351852</v>
      </c>
      <c r="C854" s="1" t="n">
        <v>46033</v>
      </c>
      <c r="D854" t="inlineStr">
        <is>
          <t>JÄMTLANDS LÄN</t>
        </is>
      </c>
      <c r="E854" t="inlineStr">
        <is>
          <t>BERG</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54994-2023</t>
        </is>
      </c>
      <c r="B855" s="1" t="n">
        <v>45236</v>
      </c>
      <c r="C855" s="1" t="n">
        <v>46033</v>
      </c>
      <c r="D855" t="inlineStr">
        <is>
          <t>JÄMTLANDS LÄN</t>
        </is>
      </c>
      <c r="E855" t="inlineStr">
        <is>
          <t>BERG</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57226-2022</t>
        </is>
      </c>
      <c r="B856" s="1" t="n">
        <v>44895.66629629629</v>
      </c>
      <c r="C856" s="1" t="n">
        <v>46033</v>
      </c>
      <c r="D856" t="inlineStr">
        <is>
          <t>JÄMTLANDS LÄN</t>
        </is>
      </c>
      <c r="E856" t="inlineStr">
        <is>
          <t>BERG</t>
        </is>
      </c>
      <c r="G856" t="n">
        <v>4.6</v>
      </c>
      <c r="H856" t="n">
        <v>0</v>
      </c>
      <c r="I856" t="n">
        <v>0</v>
      </c>
      <c r="J856" t="n">
        <v>0</v>
      </c>
      <c r="K856" t="n">
        <v>0</v>
      </c>
      <c r="L856" t="n">
        <v>0</v>
      </c>
      <c r="M856" t="n">
        <v>0</v>
      </c>
      <c r="N856" t="n">
        <v>0</v>
      </c>
      <c r="O856" t="n">
        <v>0</v>
      </c>
      <c r="P856" t="n">
        <v>0</v>
      </c>
      <c r="Q856" t="n">
        <v>0</v>
      </c>
      <c r="R856" s="2" t="inlineStr"/>
    </row>
    <row r="857" ht="15" customHeight="1">
      <c r="A857" t="inlineStr">
        <is>
          <t>A 5911-2024</t>
        </is>
      </c>
      <c r="B857" s="1" t="n">
        <v>45335</v>
      </c>
      <c r="C857" s="1" t="n">
        <v>46033</v>
      </c>
      <c r="D857" t="inlineStr">
        <is>
          <t>JÄMTLANDS LÄN</t>
        </is>
      </c>
      <c r="E857" t="inlineStr">
        <is>
          <t>BERG</t>
        </is>
      </c>
      <c r="F857" t="inlineStr">
        <is>
          <t>SCA</t>
        </is>
      </c>
      <c r="G857" t="n">
        <v>28.6</v>
      </c>
      <c r="H857" t="n">
        <v>0</v>
      </c>
      <c r="I857" t="n">
        <v>0</v>
      </c>
      <c r="J857" t="n">
        <v>0</v>
      </c>
      <c r="K857" t="n">
        <v>0</v>
      </c>
      <c r="L857" t="n">
        <v>0</v>
      </c>
      <c r="M857" t="n">
        <v>0</v>
      </c>
      <c r="N857" t="n">
        <v>0</v>
      </c>
      <c r="O857" t="n">
        <v>0</v>
      </c>
      <c r="P857" t="n">
        <v>0</v>
      </c>
      <c r="Q857" t="n">
        <v>0</v>
      </c>
      <c r="R857" s="2" t="inlineStr"/>
    </row>
    <row r="858" ht="15" customHeight="1">
      <c r="A858" t="inlineStr">
        <is>
          <t>A 25306-2023</t>
        </is>
      </c>
      <c r="B858" s="1" t="n">
        <v>45086</v>
      </c>
      <c r="C858" s="1" t="n">
        <v>46033</v>
      </c>
      <c r="D858" t="inlineStr">
        <is>
          <t>JÄMTLANDS LÄN</t>
        </is>
      </c>
      <c r="E858" t="inlineStr">
        <is>
          <t>BERG</t>
        </is>
      </c>
      <c r="G858" t="n">
        <v>23.3</v>
      </c>
      <c r="H858" t="n">
        <v>0</v>
      </c>
      <c r="I858" t="n">
        <v>0</v>
      </c>
      <c r="J858" t="n">
        <v>0</v>
      </c>
      <c r="K858" t="n">
        <v>0</v>
      </c>
      <c r="L858" t="n">
        <v>0</v>
      </c>
      <c r="M858" t="n">
        <v>0</v>
      </c>
      <c r="N858" t="n">
        <v>0</v>
      </c>
      <c r="O858" t="n">
        <v>0</v>
      </c>
      <c r="P858" t="n">
        <v>0</v>
      </c>
      <c r="Q858" t="n">
        <v>0</v>
      </c>
      <c r="R858" s="2" t="inlineStr"/>
    </row>
    <row r="859" ht="15" customHeight="1">
      <c r="A859" t="inlineStr">
        <is>
          <t>A 13373-2024</t>
        </is>
      </c>
      <c r="B859" s="1" t="n">
        <v>45387.37010416666</v>
      </c>
      <c r="C859" s="1" t="n">
        <v>46033</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52774-2023</t>
        </is>
      </c>
      <c r="B860" s="1" t="n">
        <v>45219</v>
      </c>
      <c r="C860" s="1" t="n">
        <v>46033</v>
      </c>
      <c r="D860" t="inlineStr">
        <is>
          <t>JÄMTLANDS LÄN</t>
        </is>
      </c>
      <c r="E860" t="inlineStr">
        <is>
          <t>BERG</t>
        </is>
      </c>
      <c r="G860" t="n">
        <v>1.1</v>
      </c>
      <c r="H860" t="n">
        <v>0</v>
      </c>
      <c r="I860" t="n">
        <v>0</v>
      </c>
      <c r="J860" t="n">
        <v>0</v>
      </c>
      <c r="K860" t="n">
        <v>0</v>
      </c>
      <c r="L860" t="n">
        <v>0</v>
      </c>
      <c r="M860" t="n">
        <v>0</v>
      </c>
      <c r="N860" t="n">
        <v>0</v>
      </c>
      <c r="O860" t="n">
        <v>0</v>
      </c>
      <c r="P860" t="n">
        <v>0</v>
      </c>
      <c r="Q860" t="n">
        <v>0</v>
      </c>
      <c r="R860" s="2" t="inlineStr"/>
    </row>
    <row r="861" ht="15" customHeight="1">
      <c r="A861" t="inlineStr">
        <is>
          <t>A 24011-2023</t>
        </is>
      </c>
      <c r="B861" s="1" t="n">
        <v>45078</v>
      </c>
      <c r="C861" s="1" t="n">
        <v>46033</v>
      </c>
      <c r="D861" t="inlineStr">
        <is>
          <t>JÄMTLANDS LÄN</t>
        </is>
      </c>
      <c r="E861" t="inlineStr">
        <is>
          <t>BERG</t>
        </is>
      </c>
      <c r="G861" t="n">
        <v>1.4</v>
      </c>
      <c r="H861" t="n">
        <v>0</v>
      </c>
      <c r="I861" t="n">
        <v>0</v>
      </c>
      <c r="J861" t="n">
        <v>0</v>
      </c>
      <c r="K861" t="n">
        <v>0</v>
      </c>
      <c r="L861" t="n">
        <v>0</v>
      </c>
      <c r="M861" t="n">
        <v>0</v>
      </c>
      <c r="N861" t="n">
        <v>0</v>
      </c>
      <c r="O861" t="n">
        <v>0</v>
      </c>
      <c r="P861" t="n">
        <v>0</v>
      </c>
      <c r="Q861" t="n">
        <v>0</v>
      </c>
      <c r="R861" s="2" t="inlineStr"/>
    </row>
    <row r="862" ht="15" customHeight="1">
      <c r="A862" t="inlineStr">
        <is>
          <t>A 11704-2023</t>
        </is>
      </c>
      <c r="B862" s="1" t="n">
        <v>44994.54274305556</v>
      </c>
      <c r="C862" s="1" t="n">
        <v>46033</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31682-2022</t>
        </is>
      </c>
      <c r="B863" s="1" t="n">
        <v>44776</v>
      </c>
      <c r="C863" s="1" t="n">
        <v>46033</v>
      </c>
      <c r="D863" t="inlineStr">
        <is>
          <t>JÄMTLANDS LÄN</t>
        </is>
      </c>
      <c r="E863" t="inlineStr">
        <is>
          <t>BERG</t>
        </is>
      </c>
      <c r="G863" t="n">
        <v>8</v>
      </c>
      <c r="H863" t="n">
        <v>0</v>
      </c>
      <c r="I863" t="n">
        <v>0</v>
      </c>
      <c r="J863" t="n">
        <v>0</v>
      </c>
      <c r="K863" t="n">
        <v>0</v>
      </c>
      <c r="L863" t="n">
        <v>0</v>
      </c>
      <c r="M863" t="n">
        <v>0</v>
      </c>
      <c r="N863" t="n">
        <v>0</v>
      </c>
      <c r="O863" t="n">
        <v>0</v>
      </c>
      <c r="P863" t="n">
        <v>0</v>
      </c>
      <c r="Q863" t="n">
        <v>0</v>
      </c>
      <c r="R863" s="2" t="inlineStr"/>
    </row>
    <row r="864" ht="15" customHeight="1">
      <c r="A864" t="inlineStr">
        <is>
          <t>A 59459-2024</t>
        </is>
      </c>
      <c r="B864" s="1" t="n">
        <v>45638</v>
      </c>
      <c r="C864" s="1" t="n">
        <v>46033</v>
      </c>
      <c r="D864" t="inlineStr">
        <is>
          <t>JÄMTLANDS LÄN</t>
        </is>
      </c>
      <c r="E864" t="inlineStr">
        <is>
          <t>BERG</t>
        </is>
      </c>
      <c r="G864" t="n">
        <v>1.1</v>
      </c>
      <c r="H864" t="n">
        <v>0</v>
      </c>
      <c r="I864" t="n">
        <v>0</v>
      </c>
      <c r="J864" t="n">
        <v>0</v>
      </c>
      <c r="K864" t="n">
        <v>0</v>
      </c>
      <c r="L864" t="n">
        <v>0</v>
      </c>
      <c r="M864" t="n">
        <v>0</v>
      </c>
      <c r="N864" t="n">
        <v>0</v>
      </c>
      <c r="O864" t="n">
        <v>0</v>
      </c>
      <c r="P864" t="n">
        <v>0</v>
      </c>
      <c r="Q864" t="n">
        <v>0</v>
      </c>
      <c r="R864" s="2" t="inlineStr"/>
    </row>
    <row r="865" ht="15" customHeight="1">
      <c r="A865" t="inlineStr">
        <is>
          <t>A 14153-2023</t>
        </is>
      </c>
      <c r="B865" s="1" t="n">
        <v>45008</v>
      </c>
      <c r="C865" s="1" t="n">
        <v>46033</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20899-2023</t>
        </is>
      </c>
      <c r="B866" s="1" t="n">
        <v>45060</v>
      </c>
      <c r="C866" s="1" t="n">
        <v>46033</v>
      </c>
      <c r="D866" t="inlineStr">
        <is>
          <t>JÄMTLANDS LÄN</t>
        </is>
      </c>
      <c r="E866" t="inlineStr">
        <is>
          <t>BERG</t>
        </is>
      </c>
      <c r="G866" t="n">
        <v>1.9</v>
      </c>
      <c r="H866" t="n">
        <v>0</v>
      </c>
      <c r="I866" t="n">
        <v>0</v>
      </c>
      <c r="J866" t="n">
        <v>0</v>
      </c>
      <c r="K866" t="n">
        <v>0</v>
      </c>
      <c r="L866" t="n">
        <v>0</v>
      </c>
      <c r="M866" t="n">
        <v>0</v>
      </c>
      <c r="N866" t="n">
        <v>0</v>
      </c>
      <c r="O866" t="n">
        <v>0</v>
      </c>
      <c r="P866" t="n">
        <v>0</v>
      </c>
      <c r="Q866" t="n">
        <v>0</v>
      </c>
      <c r="R866" s="2" t="inlineStr"/>
    </row>
    <row r="867" ht="15" customHeight="1">
      <c r="A867" t="inlineStr">
        <is>
          <t>A 41106-2023</t>
        </is>
      </c>
      <c r="B867" s="1" t="n">
        <v>45170</v>
      </c>
      <c r="C867" s="1" t="n">
        <v>46033</v>
      </c>
      <c r="D867" t="inlineStr">
        <is>
          <t>JÄMTLANDS LÄN</t>
        </is>
      </c>
      <c r="E867" t="inlineStr">
        <is>
          <t>BERG</t>
        </is>
      </c>
      <c r="G867" t="n">
        <v>0.7</v>
      </c>
      <c r="H867" t="n">
        <v>0</v>
      </c>
      <c r="I867" t="n">
        <v>0</v>
      </c>
      <c r="J867" t="n">
        <v>0</v>
      </c>
      <c r="K867" t="n">
        <v>0</v>
      </c>
      <c r="L867" t="n">
        <v>0</v>
      </c>
      <c r="M867" t="n">
        <v>0</v>
      </c>
      <c r="N867" t="n">
        <v>0</v>
      </c>
      <c r="O867" t="n">
        <v>0</v>
      </c>
      <c r="P867" t="n">
        <v>0</v>
      </c>
      <c r="Q867" t="n">
        <v>0</v>
      </c>
      <c r="R867" s="2" t="inlineStr"/>
    </row>
    <row r="868" ht="15" customHeight="1">
      <c r="A868" t="inlineStr">
        <is>
          <t>A 7744-2024</t>
        </is>
      </c>
      <c r="B868" s="1" t="n">
        <v>45349</v>
      </c>
      <c r="C868" s="1" t="n">
        <v>46033</v>
      </c>
      <c r="D868" t="inlineStr">
        <is>
          <t>JÄMTLANDS LÄN</t>
        </is>
      </c>
      <c r="E868" t="inlineStr">
        <is>
          <t>BERG</t>
        </is>
      </c>
      <c r="G868" t="n">
        <v>1.7</v>
      </c>
      <c r="H868" t="n">
        <v>0</v>
      </c>
      <c r="I868" t="n">
        <v>0</v>
      </c>
      <c r="J868" t="n">
        <v>0</v>
      </c>
      <c r="K868" t="n">
        <v>0</v>
      </c>
      <c r="L868" t="n">
        <v>0</v>
      </c>
      <c r="M868" t="n">
        <v>0</v>
      </c>
      <c r="N868" t="n">
        <v>0</v>
      </c>
      <c r="O868" t="n">
        <v>0</v>
      </c>
      <c r="P868" t="n">
        <v>0</v>
      </c>
      <c r="Q868" t="n">
        <v>0</v>
      </c>
      <c r="R868" s="2" t="inlineStr"/>
    </row>
    <row r="869" ht="15" customHeight="1">
      <c r="A869" t="inlineStr">
        <is>
          <t>A 511-2025</t>
        </is>
      </c>
      <c r="B869" s="1" t="n">
        <v>45664.47284722222</v>
      </c>
      <c r="C869" s="1" t="n">
        <v>46033</v>
      </c>
      <c r="D869" t="inlineStr">
        <is>
          <t>JÄMTLANDS LÄN</t>
        </is>
      </c>
      <c r="E869" t="inlineStr">
        <is>
          <t>BERG</t>
        </is>
      </c>
      <c r="G869" t="n">
        <v>4.5</v>
      </c>
      <c r="H869" t="n">
        <v>0</v>
      </c>
      <c r="I869" t="n">
        <v>0</v>
      </c>
      <c r="J869" t="n">
        <v>0</v>
      </c>
      <c r="K869" t="n">
        <v>0</v>
      </c>
      <c r="L869" t="n">
        <v>0</v>
      </c>
      <c r="M869" t="n">
        <v>0</v>
      </c>
      <c r="N869" t="n">
        <v>0</v>
      </c>
      <c r="O869" t="n">
        <v>0</v>
      </c>
      <c r="P869" t="n">
        <v>0</v>
      </c>
      <c r="Q869" t="n">
        <v>0</v>
      </c>
      <c r="R869" s="2" t="inlineStr"/>
    </row>
    <row r="870" ht="15" customHeight="1">
      <c r="A870" t="inlineStr">
        <is>
          <t>A 40415-2023</t>
        </is>
      </c>
      <c r="B870" s="1" t="n">
        <v>45169.93925925926</v>
      </c>
      <c r="C870" s="1" t="n">
        <v>46033</v>
      </c>
      <c r="D870" t="inlineStr">
        <is>
          <t>JÄMTLANDS LÄN</t>
        </is>
      </c>
      <c r="E870" t="inlineStr">
        <is>
          <t>BERG</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12611-2025</t>
        </is>
      </c>
      <c r="B871" s="1" t="n">
        <v>45733.33921296296</v>
      </c>
      <c r="C871" s="1" t="n">
        <v>46033</v>
      </c>
      <c r="D871" t="inlineStr">
        <is>
          <t>JÄMTLANDS LÄN</t>
        </is>
      </c>
      <c r="E871" t="inlineStr">
        <is>
          <t>BERG</t>
        </is>
      </c>
      <c r="G871" t="n">
        <v>7.7</v>
      </c>
      <c r="H871" t="n">
        <v>0</v>
      </c>
      <c r="I871" t="n">
        <v>0</v>
      </c>
      <c r="J871" t="n">
        <v>0</v>
      </c>
      <c r="K871" t="n">
        <v>0</v>
      </c>
      <c r="L871" t="n">
        <v>0</v>
      </c>
      <c r="M871" t="n">
        <v>0</v>
      </c>
      <c r="N871" t="n">
        <v>0</v>
      </c>
      <c r="O871" t="n">
        <v>0</v>
      </c>
      <c r="P871" t="n">
        <v>0</v>
      </c>
      <c r="Q871" t="n">
        <v>0</v>
      </c>
      <c r="R871" s="2" t="inlineStr"/>
    </row>
    <row r="872" ht="15" customHeight="1">
      <c r="A872" t="inlineStr">
        <is>
          <t>A 2247-2025</t>
        </is>
      </c>
      <c r="B872" s="1" t="n">
        <v>45673.49039351852</v>
      </c>
      <c r="C872" s="1" t="n">
        <v>46033</v>
      </c>
      <c r="D872" t="inlineStr">
        <is>
          <t>JÄMTLANDS LÄN</t>
        </is>
      </c>
      <c r="E872" t="inlineStr">
        <is>
          <t>BERG</t>
        </is>
      </c>
      <c r="F872" t="inlineStr">
        <is>
          <t>SCA</t>
        </is>
      </c>
      <c r="G872" t="n">
        <v>13.3</v>
      </c>
      <c r="H872" t="n">
        <v>0</v>
      </c>
      <c r="I872" t="n">
        <v>0</v>
      </c>
      <c r="J872" t="n">
        <v>0</v>
      </c>
      <c r="K872" t="n">
        <v>0</v>
      </c>
      <c r="L872" t="n">
        <v>0</v>
      </c>
      <c r="M872" t="n">
        <v>0</v>
      </c>
      <c r="N872" t="n">
        <v>0</v>
      </c>
      <c r="O872" t="n">
        <v>0</v>
      </c>
      <c r="P872" t="n">
        <v>0</v>
      </c>
      <c r="Q872" t="n">
        <v>0</v>
      </c>
      <c r="R872" s="2" t="inlineStr"/>
    </row>
    <row r="873" ht="15" customHeight="1">
      <c r="A873" t="inlineStr">
        <is>
          <t>A 1983-2022</t>
        </is>
      </c>
      <c r="B873" s="1" t="n">
        <v>44575</v>
      </c>
      <c r="C873" s="1" t="n">
        <v>46033</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13936-2024</t>
        </is>
      </c>
      <c r="B874" s="1" t="n">
        <v>45391.9533912037</v>
      </c>
      <c r="C874" s="1" t="n">
        <v>46033</v>
      </c>
      <c r="D874" t="inlineStr">
        <is>
          <t>JÄMTLANDS LÄN</t>
        </is>
      </c>
      <c r="E874" t="inlineStr">
        <is>
          <t>BERG</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37098-2024</t>
        </is>
      </c>
      <c r="B875" s="1" t="n">
        <v>45539.50243055556</v>
      </c>
      <c r="C875" s="1" t="n">
        <v>46033</v>
      </c>
      <c r="D875" t="inlineStr">
        <is>
          <t>JÄMTLANDS LÄN</t>
        </is>
      </c>
      <c r="E875" t="inlineStr">
        <is>
          <t>BERG</t>
        </is>
      </c>
      <c r="F875" t="inlineStr">
        <is>
          <t>Övriga Aktiebolag</t>
        </is>
      </c>
      <c r="G875" t="n">
        <v>4.5</v>
      </c>
      <c r="H875" t="n">
        <v>0</v>
      </c>
      <c r="I875" t="n">
        <v>0</v>
      </c>
      <c r="J875" t="n">
        <v>0</v>
      </c>
      <c r="K875" t="n">
        <v>0</v>
      </c>
      <c r="L875" t="n">
        <v>0</v>
      </c>
      <c r="M875" t="n">
        <v>0</v>
      </c>
      <c r="N875" t="n">
        <v>0</v>
      </c>
      <c r="O875" t="n">
        <v>0</v>
      </c>
      <c r="P875" t="n">
        <v>0</v>
      </c>
      <c r="Q875" t="n">
        <v>0</v>
      </c>
      <c r="R875" s="2" t="inlineStr"/>
    </row>
    <row r="876" ht="15" customHeight="1">
      <c r="A876" t="inlineStr">
        <is>
          <t>A 44088-2021</t>
        </is>
      </c>
      <c r="B876" s="1" t="n">
        <v>44434</v>
      </c>
      <c r="C876" s="1" t="n">
        <v>46033</v>
      </c>
      <c r="D876" t="inlineStr">
        <is>
          <t>JÄMTLANDS LÄN</t>
        </is>
      </c>
      <c r="E876" t="inlineStr">
        <is>
          <t>BERG</t>
        </is>
      </c>
      <c r="G876" t="n">
        <v>1.1</v>
      </c>
      <c r="H876" t="n">
        <v>0</v>
      </c>
      <c r="I876" t="n">
        <v>0</v>
      </c>
      <c r="J876" t="n">
        <v>0</v>
      </c>
      <c r="K876" t="n">
        <v>0</v>
      </c>
      <c r="L876" t="n">
        <v>0</v>
      </c>
      <c r="M876" t="n">
        <v>0</v>
      </c>
      <c r="N876" t="n">
        <v>0</v>
      </c>
      <c r="O876" t="n">
        <v>0</v>
      </c>
      <c r="P876" t="n">
        <v>0</v>
      </c>
      <c r="Q876" t="n">
        <v>0</v>
      </c>
      <c r="R876" s="2" t="inlineStr"/>
    </row>
    <row r="877" ht="15" customHeight="1">
      <c r="A877" t="inlineStr">
        <is>
          <t>A 26959-2022</t>
        </is>
      </c>
      <c r="B877" s="1" t="n">
        <v>44740.66048611111</v>
      </c>
      <c r="C877" s="1" t="n">
        <v>46033</v>
      </c>
      <c r="D877" t="inlineStr">
        <is>
          <t>JÄMTLANDS LÄN</t>
        </is>
      </c>
      <c r="E877" t="inlineStr">
        <is>
          <t>BERG</t>
        </is>
      </c>
      <c r="G877" t="n">
        <v>2.8</v>
      </c>
      <c r="H877" t="n">
        <v>0</v>
      </c>
      <c r="I877" t="n">
        <v>0</v>
      </c>
      <c r="J877" t="n">
        <v>0</v>
      </c>
      <c r="K877" t="n">
        <v>0</v>
      </c>
      <c r="L877" t="n">
        <v>0</v>
      </c>
      <c r="M877" t="n">
        <v>0</v>
      </c>
      <c r="N877" t="n">
        <v>0</v>
      </c>
      <c r="O877" t="n">
        <v>0</v>
      </c>
      <c r="P877" t="n">
        <v>0</v>
      </c>
      <c r="Q877" t="n">
        <v>0</v>
      </c>
      <c r="R877" s="2" t="inlineStr"/>
    </row>
    <row r="878" ht="15" customHeight="1">
      <c r="A878" t="inlineStr">
        <is>
          <t>A 2855-2025</t>
        </is>
      </c>
      <c r="B878" s="1" t="n">
        <v>45678</v>
      </c>
      <c r="C878" s="1" t="n">
        <v>46033</v>
      </c>
      <c r="D878" t="inlineStr">
        <is>
          <t>JÄMTLANDS LÄN</t>
        </is>
      </c>
      <c r="E878" t="inlineStr">
        <is>
          <t>BERG</t>
        </is>
      </c>
      <c r="G878" t="n">
        <v>1</v>
      </c>
      <c r="H878" t="n">
        <v>0</v>
      </c>
      <c r="I878" t="n">
        <v>0</v>
      </c>
      <c r="J878" t="n">
        <v>0</v>
      </c>
      <c r="K878" t="n">
        <v>0</v>
      </c>
      <c r="L878" t="n">
        <v>0</v>
      </c>
      <c r="M878" t="n">
        <v>0</v>
      </c>
      <c r="N878" t="n">
        <v>0</v>
      </c>
      <c r="O878" t="n">
        <v>0</v>
      </c>
      <c r="P878" t="n">
        <v>0</v>
      </c>
      <c r="Q878" t="n">
        <v>0</v>
      </c>
      <c r="R878" s="2" t="inlineStr"/>
    </row>
    <row r="879" ht="15" customHeight="1">
      <c r="A879" t="inlineStr">
        <is>
          <t>A 57905-2024</t>
        </is>
      </c>
      <c r="B879" s="1" t="n">
        <v>45631.48989583334</v>
      </c>
      <c r="C879" s="1" t="n">
        <v>46033</v>
      </c>
      <c r="D879" t="inlineStr">
        <is>
          <t>JÄMTLANDS LÄN</t>
        </is>
      </c>
      <c r="E879" t="inlineStr">
        <is>
          <t>BERG</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41782-2024</t>
        </is>
      </c>
      <c r="B880" s="1" t="n">
        <v>45561</v>
      </c>
      <c r="C880" s="1" t="n">
        <v>46033</v>
      </c>
      <c r="D880" t="inlineStr">
        <is>
          <t>JÄMTLANDS LÄN</t>
        </is>
      </c>
      <c r="E880" t="inlineStr">
        <is>
          <t>BERG</t>
        </is>
      </c>
      <c r="F880" t="inlineStr">
        <is>
          <t>SCA</t>
        </is>
      </c>
      <c r="G880" t="n">
        <v>0.1</v>
      </c>
      <c r="H880" t="n">
        <v>0</v>
      </c>
      <c r="I880" t="n">
        <v>0</v>
      </c>
      <c r="J880" t="n">
        <v>0</v>
      </c>
      <c r="K880" t="n">
        <v>0</v>
      </c>
      <c r="L880" t="n">
        <v>0</v>
      </c>
      <c r="M880" t="n">
        <v>0</v>
      </c>
      <c r="N880" t="n">
        <v>0</v>
      </c>
      <c r="O880" t="n">
        <v>0</v>
      </c>
      <c r="P880" t="n">
        <v>0</v>
      </c>
      <c r="Q880" t="n">
        <v>0</v>
      </c>
      <c r="R880" s="2" t="inlineStr"/>
    </row>
    <row r="881" ht="15" customHeight="1">
      <c r="A881" t="inlineStr">
        <is>
          <t>A 10465-2023</t>
        </is>
      </c>
      <c r="B881" s="1" t="n">
        <v>44987.60319444445</v>
      </c>
      <c r="C881" s="1" t="n">
        <v>46033</v>
      </c>
      <c r="D881" t="inlineStr">
        <is>
          <t>JÄMTLANDS LÄN</t>
        </is>
      </c>
      <c r="E881" t="inlineStr">
        <is>
          <t>BERG</t>
        </is>
      </c>
      <c r="G881" t="n">
        <v>3.4</v>
      </c>
      <c r="H881" t="n">
        <v>0</v>
      </c>
      <c r="I881" t="n">
        <v>0</v>
      </c>
      <c r="J881" t="n">
        <v>0</v>
      </c>
      <c r="K881" t="n">
        <v>0</v>
      </c>
      <c r="L881" t="n">
        <v>0</v>
      </c>
      <c r="M881" t="n">
        <v>0</v>
      </c>
      <c r="N881" t="n">
        <v>0</v>
      </c>
      <c r="O881" t="n">
        <v>0</v>
      </c>
      <c r="P881" t="n">
        <v>0</v>
      </c>
      <c r="Q881" t="n">
        <v>0</v>
      </c>
      <c r="R881" s="2" t="inlineStr"/>
    </row>
    <row r="882" ht="15" customHeight="1">
      <c r="A882" t="inlineStr">
        <is>
          <t>A 18551-2025</t>
        </is>
      </c>
      <c r="B882" s="1" t="n">
        <v>45763.43650462963</v>
      </c>
      <c r="C882" s="1" t="n">
        <v>46033</v>
      </c>
      <c r="D882" t="inlineStr">
        <is>
          <t>JÄMTLANDS LÄN</t>
        </is>
      </c>
      <c r="E882" t="inlineStr">
        <is>
          <t>BERG</t>
        </is>
      </c>
      <c r="G882" t="n">
        <v>3.5</v>
      </c>
      <c r="H882" t="n">
        <v>0</v>
      </c>
      <c r="I882" t="n">
        <v>0</v>
      </c>
      <c r="J882" t="n">
        <v>0</v>
      </c>
      <c r="K882" t="n">
        <v>0</v>
      </c>
      <c r="L882" t="n">
        <v>0</v>
      </c>
      <c r="M882" t="n">
        <v>0</v>
      </c>
      <c r="N882" t="n">
        <v>0</v>
      </c>
      <c r="O882" t="n">
        <v>0</v>
      </c>
      <c r="P882" t="n">
        <v>0</v>
      </c>
      <c r="Q882" t="n">
        <v>0</v>
      </c>
      <c r="R882" s="2" t="inlineStr"/>
    </row>
    <row r="883" ht="15" customHeight="1">
      <c r="A883" t="inlineStr">
        <is>
          <t>A 31131-2024</t>
        </is>
      </c>
      <c r="B883" s="1" t="n">
        <v>45502</v>
      </c>
      <c r="C883" s="1" t="n">
        <v>46033</v>
      </c>
      <c r="D883" t="inlineStr">
        <is>
          <t>JÄMTLANDS LÄN</t>
        </is>
      </c>
      <c r="E883" t="inlineStr">
        <is>
          <t>BERG</t>
        </is>
      </c>
      <c r="G883" t="n">
        <v>2.1</v>
      </c>
      <c r="H883" t="n">
        <v>0</v>
      </c>
      <c r="I883" t="n">
        <v>0</v>
      </c>
      <c r="J883" t="n">
        <v>0</v>
      </c>
      <c r="K883" t="n">
        <v>0</v>
      </c>
      <c r="L883" t="n">
        <v>0</v>
      </c>
      <c r="M883" t="n">
        <v>0</v>
      </c>
      <c r="N883" t="n">
        <v>0</v>
      </c>
      <c r="O883" t="n">
        <v>0</v>
      </c>
      <c r="P883" t="n">
        <v>0</v>
      </c>
      <c r="Q883" t="n">
        <v>0</v>
      </c>
      <c r="R883" s="2" t="inlineStr"/>
    </row>
    <row r="884" ht="15" customHeight="1">
      <c r="A884" t="inlineStr">
        <is>
          <t>A 31154-2024</t>
        </is>
      </c>
      <c r="B884" s="1" t="n">
        <v>45503.32976851852</v>
      </c>
      <c r="C884" s="1" t="n">
        <v>46033</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17929-2024</t>
        </is>
      </c>
      <c r="B885" s="1" t="n">
        <v>45419.60266203704</v>
      </c>
      <c r="C885" s="1" t="n">
        <v>46033</v>
      </c>
      <c r="D885" t="inlineStr">
        <is>
          <t>JÄMTLANDS LÄN</t>
        </is>
      </c>
      <c r="E885" t="inlineStr">
        <is>
          <t>BERG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7447-2022</t>
        </is>
      </c>
      <c r="B886" s="1" t="n">
        <v>44606</v>
      </c>
      <c r="C886" s="1" t="n">
        <v>46033</v>
      </c>
      <c r="D886" t="inlineStr">
        <is>
          <t>JÄMTLANDS LÄN</t>
        </is>
      </c>
      <c r="E886" t="inlineStr">
        <is>
          <t>BERG</t>
        </is>
      </c>
      <c r="G886" t="n">
        <v>0.9</v>
      </c>
      <c r="H886" t="n">
        <v>0</v>
      </c>
      <c r="I886" t="n">
        <v>0</v>
      </c>
      <c r="J886" t="n">
        <v>0</v>
      </c>
      <c r="K886" t="n">
        <v>0</v>
      </c>
      <c r="L886" t="n">
        <v>0</v>
      </c>
      <c r="M886" t="n">
        <v>0</v>
      </c>
      <c r="N886" t="n">
        <v>0</v>
      </c>
      <c r="O886" t="n">
        <v>0</v>
      </c>
      <c r="P886" t="n">
        <v>0</v>
      </c>
      <c r="Q886" t="n">
        <v>0</v>
      </c>
      <c r="R886" s="2" t="inlineStr"/>
    </row>
    <row r="887" ht="15" customHeight="1">
      <c r="A887" t="inlineStr">
        <is>
          <t>A 41105-2023</t>
        </is>
      </c>
      <c r="B887" s="1" t="n">
        <v>45170</v>
      </c>
      <c r="C887" s="1" t="n">
        <v>46033</v>
      </c>
      <c r="D887" t="inlineStr">
        <is>
          <t>JÄMTLANDS LÄN</t>
        </is>
      </c>
      <c r="E887" t="inlineStr">
        <is>
          <t>BERG</t>
        </is>
      </c>
      <c r="G887" t="n">
        <v>0.9</v>
      </c>
      <c r="H887" t="n">
        <v>0</v>
      </c>
      <c r="I887" t="n">
        <v>0</v>
      </c>
      <c r="J887" t="n">
        <v>0</v>
      </c>
      <c r="K887" t="n">
        <v>0</v>
      </c>
      <c r="L887" t="n">
        <v>0</v>
      </c>
      <c r="M887" t="n">
        <v>0</v>
      </c>
      <c r="N887" t="n">
        <v>0</v>
      </c>
      <c r="O887" t="n">
        <v>0</v>
      </c>
      <c r="P887" t="n">
        <v>0</v>
      </c>
      <c r="Q887" t="n">
        <v>0</v>
      </c>
      <c r="R887" s="2" t="inlineStr"/>
    </row>
    <row r="888" ht="15" customHeight="1">
      <c r="A888" t="inlineStr">
        <is>
          <t>A 61980-2024</t>
        </is>
      </c>
      <c r="B888" s="1" t="n">
        <v>45653.66269675926</v>
      </c>
      <c r="C888" s="1" t="n">
        <v>46033</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18112-2024</t>
        </is>
      </c>
      <c r="B889" s="1" t="n">
        <v>45420.49851851852</v>
      </c>
      <c r="C889" s="1" t="n">
        <v>46033</v>
      </c>
      <c r="D889" t="inlineStr">
        <is>
          <t>JÄMTLANDS LÄN</t>
        </is>
      </c>
      <c r="E889" t="inlineStr">
        <is>
          <t>BERG</t>
        </is>
      </c>
      <c r="F889" t="inlineStr">
        <is>
          <t>Holmen skog AB</t>
        </is>
      </c>
      <c r="G889" t="n">
        <v>16.6</v>
      </c>
      <c r="H889" t="n">
        <v>0</v>
      </c>
      <c r="I889" t="n">
        <v>0</v>
      </c>
      <c r="J889" t="n">
        <v>0</v>
      </c>
      <c r="K889" t="n">
        <v>0</v>
      </c>
      <c r="L889" t="n">
        <v>0</v>
      </c>
      <c r="M889" t="n">
        <v>0</v>
      </c>
      <c r="N889" t="n">
        <v>0</v>
      </c>
      <c r="O889" t="n">
        <v>0</v>
      </c>
      <c r="P889" t="n">
        <v>0</v>
      </c>
      <c r="Q889" t="n">
        <v>0</v>
      </c>
      <c r="R889" s="2" t="inlineStr"/>
    </row>
    <row r="890" ht="15" customHeight="1">
      <c r="A890" t="inlineStr">
        <is>
          <t>A 13436-2024</t>
        </is>
      </c>
      <c r="B890" s="1" t="n">
        <v>45387.4865625</v>
      </c>
      <c r="C890" s="1" t="n">
        <v>46033</v>
      </c>
      <c r="D890" t="inlineStr">
        <is>
          <t>JÄMTLANDS LÄN</t>
        </is>
      </c>
      <c r="E890" t="inlineStr">
        <is>
          <t>BERG</t>
        </is>
      </c>
      <c r="G890" t="n">
        <v>28.9</v>
      </c>
      <c r="H890" t="n">
        <v>0</v>
      </c>
      <c r="I890" t="n">
        <v>0</v>
      </c>
      <c r="J890" t="n">
        <v>0</v>
      </c>
      <c r="K890" t="n">
        <v>0</v>
      </c>
      <c r="L890" t="n">
        <v>0</v>
      </c>
      <c r="M890" t="n">
        <v>0</v>
      </c>
      <c r="N890" t="n">
        <v>0</v>
      </c>
      <c r="O890" t="n">
        <v>0</v>
      </c>
      <c r="P890" t="n">
        <v>0</v>
      </c>
      <c r="Q890" t="n">
        <v>0</v>
      </c>
      <c r="R890" s="2" t="inlineStr"/>
    </row>
    <row r="891" ht="15" customHeight="1">
      <c r="A891" t="inlineStr">
        <is>
          <t>A 18153-2024</t>
        </is>
      </c>
      <c r="B891" s="1" t="n">
        <v>45420</v>
      </c>
      <c r="C891" s="1" t="n">
        <v>46033</v>
      </c>
      <c r="D891" t="inlineStr">
        <is>
          <t>JÄMTLANDS LÄN</t>
        </is>
      </c>
      <c r="E891" t="inlineStr">
        <is>
          <t>BERG</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46874-2023</t>
        </is>
      </c>
      <c r="B892" s="1" t="n">
        <v>45200</v>
      </c>
      <c r="C892" s="1" t="n">
        <v>46033</v>
      </c>
      <c r="D892" t="inlineStr">
        <is>
          <t>JÄMTLANDS LÄN</t>
        </is>
      </c>
      <c r="E892" t="inlineStr">
        <is>
          <t>BERG</t>
        </is>
      </c>
      <c r="F892" t="inlineStr">
        <is>
          <t>Naturvårdsverket</t>
        </is>
      </c>
      <c r="G892" t="n">
        <v>1.1</v>
      </c>
      <c r="H892" t="n">
        <v>0</v>
      </c>
      <c r="I892" t="n">
        <v>0</v>
      </c>
      <c r="J892" t="n">
        <v>0</v>
      </c>
      <c r="K892" t="n">
        <v>0</v>
      </c>
      <c r="L892" t="n">
        <v>0</v>
      </c>
      <c r="M892" t="n">
        <v>0</v>
      </c>
      <c r="N892" t="n">
        <v>0</v>
      </c>
      <c r="O892" t="n">
        <v>0</v>
      </c>
      <c r="P892" t="n">
        <v>0</v>
      </c>
      <c r="Q892" t="n">
        <v>0</v>
      </c>
      <c r="R892" s="2" t="inlineStr"/>
    </row>
    <row r="893" ht="15" customHeight="1">
      <c r="A893" t="inlineStr">
        <is>
          <t>A 47304-2023</t>
        </is>
      </c>
      <c r="B893" s="1" t="n">
        <v>45202.48180555556</v>
      </c>
      <c r="C893" s="1" t="n">
        <v>46033</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14697-2025</t>
        </is>
      </c>
      <c r="B894" s="1" t="n">
        <v>45742.59415509259</v>
      </c>
      <c r="C894" s="1" t="n">
        <v>46033</v>
      </c>
      <c r="D894" t="inlineStr">
        <is>
          <t>JÄMTLANDS LÄN</t>
        </is>
      </c>
      <c r="E894" t="inlineStr">
        <is>
          <t>BERG</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54415-2023</t>
        </is>
      </c>
      <c r="B895" s="1" t="n">
        <v>45233.40039351852</v>
      </c>
      <c r="C895" s="1" t="n">
        <v>46033</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24307-2023</t>
        </is>
      </c>
      <c r="B896" s="1" t="n">
        <v>45079.94229166667</v>
      </c>
      <c r="C896" s="1" t="n">
        <v>46033</v>
      </c>
      <c r="D896" t="inlineStr">
        <is>
          <t>JÄMTLANDS LÄN</t>
        </is>
      </c>
      <c r="E896" t="inlineStr">
        <is>
          <t>BERG</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40990-2022</t>
        </is>
      </c>
      <c r="B897" s="1" t="n">
        <v>44823</v>
      </c>
      <c r="C897" s="1" t="n">
        <v>46033</v>
      </c>
      <c r="D897" t="inlineStr">
        <is>
          <t>JÄMTLANDS LÄN</t>
        </is>
      </c>
      <c r="E897" t="inlineStr">
        <is>
          <t>BERG</t>
        </is>
      </c>
      <c r="G897" t="n">
        <v>11.7</v>
      </c>
      <c r="H897" t="n">
        <v>0</v>
      </c>
      <c r="I897" t="n">
        <v>0</v>
      </c>
      <c r="J897" t="n">
        <v>0</v>
      </c>
      <c r="K897" t="n">
        <v>0</v>
      </c>
      <c r="L897" t="n">
        <v>0</v>
      </c>
      <c r="M897" t="n">
        <v>0</v>
      </c>
      <c r="N897" t="n">
        <v>0</v>
      </c>
      <c r="O897" t="n">
        <v>0</v>
      </c>
      <c r="P897" t="n">
        <v>0</v>
      </c>
      <c r="Q897" t="n">
        <v>0</v>
      </c>
      <c r="R897" s="2" t="inlineStr"/>
    </row>
    <row r="898" ht="15" customHeight="1">
      <c r="A898" t="inlineStr">
        <is>
          <t>A 21521-2024</t>
        </is>
      </c>
      <c r="B898" s="1" t="n">
        <v>45441.58313657407</v>
      </c>
      <c r="C898" s="1" t="n">
        <v>46033</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54998-2023</t>
        </is>
      </c>
      <c r="B899" s="1" t="n">
        <v>45236</v>
      </c>
      <c r="C899" s="1" t="n">
        <v>46033</v>
      </c>
      <c r="D899" t="inlineStr">
        <is>
          <t>JÄMTLANDS LÄN</t>
        </is>
      </c>
      <c r="E899" t="inlineStr">
        <is>
          <t>BERG</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32156-2024</t>
        </is>
      </c>
      <c r="B900" s="1" t="n">
        <v>45511</v>
      </c>
      <c r="C900" s="1" t="n">
        <v>46033</v>
      </c>
      <c r="D900" t="inlineStr">
        <is>
          <t>JÄMTLANDS LÄN</t>
        </is>
      </c>
      <c r="E900" t="inlineStr">
        <is>
          <t>BERG</t>
        </is>
      </c>
      <c r="G900" t="n">
        <v>3.4</v>
      </c>
      <c r="H900" t="n">
        <v>0</v>
      </c>
      <c r="I900" t="n">
        <v>0</v>
      </c>
      <c r="J900" t="n">
        <v>0</v>
      </c>
      <c r="K900" t="n">
        <v>0</v>
      </c>
      <c r="L900" t="n">
        <v>0</v>
      </c>
      <c r="M900" t="n">
        <v>0</v>
      </c>
      <c r="N900" t="n">
        <v>0</v>
      </c>
      <c r="O900" t="n">
        <v>0</v>
      </c>
      <c r="P900" t="n">
        <v>0</v>
      </c>
      <c r="Q900" t="n">
        <v>0</v>
      </c>
      <c r="R900" s="2" t="inlineStr"/>
    </row>
    <row r="901" ht="15" customHeight="1">
      <c r="A901" t="inlineStr">
        <is>
          <t>A 23165-2024</t>
        </is>
      </c>
      <c r="B901" s="1" t="n">
        <v>45450</v>
      </c>
      <c r="C901" s="1" t="n">
        <v>46033</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19345-2024</t>
        </is>
      </c>
      <c r="B902" s="1" t="n">
        <v>45428.97185185185</v>
      </c>
      <c r="C902" s="1" t="n">
        <v>46033</v>
      </c>
      <c r="D902" t="inlineStr">
        <is>
          <t>JÄMTLANDS LÄN</t>
        </is>
      </c>
      <c r="E902" t="inlineStr">
        <is>
          <t>BERG</t>
        </is>
      </c>
      <c r="F902" t="inlineStr">
        <is>
          <t>SCA</t>
        </is>
      </c>
      <c r="G902" t="n">
        <v>14.7</v>
      </c>
      <c r="H902" t="n">
        <v>0</v>
      </c>
      <c r="I902" t="n">
        <v>0</v>
      </c>
      <c r="J902" t="n">
        <v>0</v>
      </c>
      <c r="K902" t="n">
        <v>0</v>
      </c>
      <c r="L902" t="n">
        <v>0</v>
      </c>
      <c r="M902" t="n">
        <v>0</v>
      </c>
      <c r="N902" t="n">
        <v>0</v>
      </c>
      <c r="O902" t="n">
        <v>0</v>
      </c>
      <c r="P902" t="n">
        <v>0</v>
      </c>
      <c r="Q902" t="n">
        <v>0</v>
      </c>
      <c r="R902" s="2" t="inlineStr"/>
    </row>
    <row r="903" ht="15" customHeight="1">
      <c r="A903" t="inlineStr">
        <is>
          <t>A 53456-2022</t>
        </is>
      </c>
      <c r="B903" s="1" t="n">
        <v>44874</v>
      </c>
      <c r="C903" s="1" t="n">
        <v>46033</v>
      </c>
      <c r="D903" t="inlineStr">
        <is>
          <t>JÄMTLANDS LÄN</t>
        </is>
      </c>
      <c r="E903" t="inlineStr">
        <is>
          <t>BERG</t>
        </is>
      </c>
      <c r="G903" t="n">
        <v>13.3</v>
      </c>
      <c r="H903" t="n">
        <v>0</v>
      </c>
      <c r="I903" t="n">
        <v>0</v>
      </c>
      <c r="J903" t="n">
        <v>0</v>
      </c>
      <c r="K903" t="n">
        <v>0</v>
      </c>
      <c r="L903" t="n">
        <v>0</v>
      </c>
      <c r="M903" t="n">
        <v>0</v>
      </c>
      <c r="N903" t="n">
        <v>0</v>
      </c>
      <c r="O903" t="n">
        <v>0</v>
      </c>
      <c r="P903" t="n">
        <v>0</v>
      </c>
      <c r="Q903" t="n">
        <v>0</v>
      </c>
      <c r="R903" s="2" t="inlineStr"/>
    </row>
    <row r="904" ht="15" customHeight="1">
      <c r="A904" t="inlineStr">
        <is>
          <t>A 9252-2025</t>
        </is>
      </c>
      <c r="B904" s="1" t="n">
        <v>45714.59415509259</v>
      </c>
      <c r="C904" s="1" t="n">
        <v>46033</v>
      </c>
      <c r="D904" t="inlineStr">
        <is>
          <t>JÄMTLANDS LÄN</t>
        </is>
      </c>
      <c r="E904" t="inlineStr">
        <is>
          <t>BERG</t>
        </is>
      </c>
      <c r="F904" t="inlineStr">
        <is>
          <t>SCA</t>
        </is>
      </c>
      <c r="G904" t="n">
        <v>4.3</v>
      </c>
      <c r="H904" t="n">
        <v>0</v>
      </c>
      <c r="I904" t="n">
        <v>0</v>
      </c>
      <c r="J904" t="n">
        <v>0</v>
      </c>
      <c r="K904" t="n">
        <v>0</v>
      </c>
      <c r="L904" t="n">
        <v>0</v>
      </c>
      <c r="M904" t="n">
        <v>0</v>
      </c>
      <c r="N904" t="n">
        <v>0</v>
      </c>
      <c r="O904" t="n">
        <v>0</v>
      </c>
      <c r="P904" t="n">
        <v>0</v>
      </c>
      <c r="Q904" t="n">
        <v>0</v>
      </c>
      <c r="R904" s="2" t="inlineStr"/>
    </row>
    <row r="905" ht="15" customHeight="1">
      <c r="A905" t="inlineStr">
        <is>
          <t>A 64247-2023</t>
        </is>
      </c>
      <c r="B905" s="1" t="n">
        <v>45279.92739583334</v>
      </c>
      <c r="C905" s="1" t="n">
        <v>46033</v>
      </c>
      <c r="D905" t="inlineStr">
        <is>
          <t>JÄMTLANDS LÄN</t>
        </is>
      </c>
      <c r="E905" t="inlineStr">
        <is>
          <t>BERG</t>
        </is>
      </c>
      <c r="G905" t="n">
        <v>0.9</v>
      </c>
      <c r="H905" t="n">
        <v>0</v>
      </c>
      <c r="I905" t="n">
        <v>0</v>
      </c>
      <c r="J905" t="n">
        <v>0</v>
      </c>
      <c r="K905" t="n">
        <v>0</v>
      </c>
      <c r="L905" t="n">
        <v>0</v>
      </c>
      <c r="M905" t="n">
        <v>0</v>
      </c>
      <c r="N905" t="n">
        <v>0</v>
      </c>
      <c r="O905" t="n">
        <v>0</v>
      </c>
      <c r="P905" t="n">
        <v>0</v>
      </c>
      <c r="Q905" t="n">
        <v>0</v>
      </c>
      <c r="R905" s="2" t="inlineStr"/>
    </row>
    <row r="906" ht="15" customHeight="1">
      <c r="A906" t="inlineStr">
        <is>
          <t>A 31330-2024</t>
        </is>
      </c>
      <c r="B906" s="1" t="n">
        <v>45504</v>
      </c>
      <c r="C906" s="1" t="n">
        <v>46033</v>
      </c>
      <c r="D906" t="inlineStr">
        <is>
          <t>JÄMTLANDS LÄN</t>
        </is>
      </c>
      <c r="E906" t="inlineStr">
        <is>
          <t>BERG</t>
        </is>
      </c>
      <c r="G906" t="n">
        <v>30.5</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45259.46332175926</v>
      </c>
      <c r="C907" s="1" t="n">
        <v>46033</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39186-2024</t>
        </is>
      </c>
      <c r="B908" s="1" t="n">
        <v>45548.66489583333</v>
      </c>
      <c r="C908" s="1" t="n">
        <v>46033</v>
      </c>
      <c r="D908" t="inlineStr">
        <is>
          <t>JÄMTLANDS LÄN</t>
        </is>
      </c>
      <c r="E908" t="inlineStr">
        <is>
          <t>BERG</t>
        </is>
      </c>
      <c r="G908" t="n">
        <v>38.4</v>
      </c>
      <c r="H908" t="n">
        <v>0</v>
      </c>
      <c r="I908" t="n">
        <v>0</v>
      </c>
      <c r="J908" t="n">
        <v>0</v>
      </c>
      <c r="K908" t="n">
        <v>0</v>
      </c>
      <c r="L908" t="n">
        <v>0</v>
      </c>
      <c r="M908" t="n">
        <v>0</v>
      </c>
      <c r="N908" t="n">
        <v>0</v>
      </c>
      <c r="O908" t="n">
        <v>0</v>
      </c>
      <c r="P908" t="n">
        <v>0</v>
      </c>
      <c r="Q908" t="n">
        <v>0</v>
      </c>
      <c r="R908" s="2" t="inlineStr"/>
    </row>
    <row r="909" ht="15" customHeight="1">
      <c r="A909" t="inlineStr">
        <is>
          <t>A 50706-2023</t>
        </is>
      </c>
      <c r="B909" s="1" t="n">
        <v>45217.55832175926</v>
      </c>
      <c r="C909" s="1" t="n">
        <v>46033</v>
      </c>
      <c r="D909" t="inlineStr">
        <is>
          <t>JÄMTLANDS LÄN</t>
        </is>
      </c>
      <c r="E909" t="inlineStr">
        <is>
          <t>BERG</t>
        </is>
      </c>
      <c r="G909" t="n">
        <v>4.1</v>
      </c>
      <c r="H909" t="n">
        <v>0</v>
      </c>
      <c r="I909" t="n">
        <v>0</v>
      </c>
      <c r="J909" t="n">
        <v>0</v>
      </c>
      <c r="K909" t="n">
        <v>0</v>
      </c>
      <c r="L909" t="n">
        <v>0</v>
      </c>
      <c r="M909" t="n">
        <v>0</v>
      </c>
      <c r="N909" t="n">
        <v>0</v>
      </c>
      <c r="O909" t="n">
        <v>0</v>
      </c>
      <c r="P909" t="n">
        <v>0</v>
      </c>
      <c r="Q909" t="n">
        <v>0</v>
      </c>
      <c r="R909" s="2" t="inlineStr"/>
    </row>
    <row r="910" ht="15" customHeight="1">
      <c r="A910" t="inlineStr">
        <is>
          <t>A 3625-2024</t>
        </is>
      </c>
      <c r="B910" s="1" t="n">
        <v>45320</v>
      </c>
      <c r="C910" s="1" t="n">
        <v>46033</v>
      </c>
      <c r="D910" t="inlineStr">
        <is>
          <t>JÄMTLANDS LÄN</t>
        </is>
      </c>
      <c r="E910" t="inlineStr">
        <is>
          <t>BERG</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18408-2025</t>
        </is>
      </c>
      <c r="B911" s="1" t="n">
        <v>45762.61128472222</v>
      </c>
      <c r="C911" s="1" t="n">
        <v>46033</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37086-2024</t>
        </is>
      </c>
      <c r="B912" s="1" t="n">
        <v>45539.49776620371</v>
      </c>
      <c r="C912" s="1" t="n">
        <v>46033</v>
      </c>
      <c r="D912" t="inlineStr">
        <is>
          <t>JÄMTLANDS LÄN</t>
        </is>
      </c>
      <c r="E912" t="inlineStr">
        <is>
          <t>BERG</t>
        </is>
      </c>
      <c r="F912" t="inlineStr">
        <is>
          <t>Övriga Aktiebolag</t>
        </is>
      </c>
      <c r="G912" t="n">
        <v>1.1</v>
      </c>
      <c r="H912" t="n">
        <v>0</v>
      </c>
      <c r="I912" t="n">
        <v>0</v>
      </c>
      <c r="J912" t="n">
        <v>0</v>
      </c>
      <c r="K912" t="n">
        <v>0</v>
      </c>
      <c r="L912" t="n">
        <v>0</v>
      </c>
      <c r="M912" t="n">
        <v>0</v>
      </c>
      <c r="N912" t="n">
        <v>0</v>
      </c>
      <c r="O912" t="n">
        <v>0</v>
      </c>
      <c r="P912" t="n">
        <v>0</v>
      </c>
      <c r="Q912" t="n">
        <v>0</v>
      </c>
      <c r="R912" s="2" t="inlineStr"/>
    </row>
    <row r="913" ht="15" customHeight="1">
      <c r="A913" t="inlineStr">
        <is>
          <t>A 59968-2024</t>
        </is>
      </c>
      <c r="B913" s="1" t="n">
        <v>45642</v>
      </c>
      <c r="C913" s="1" t="n">
        <v>46033</v>
      </c>
      <c r="D913" t="inlineStr">
        <is>
          <t>JÄMTLANDS LÄN</t>
        </is>
      </c>
      <c r="E913" t="inlineStr">
        <is>
          <t>BERG</t>
        </is>
      </c>
      <c r="G913" t="n">
        <v>4.7</v>
      </c>
      <c r="H913" t="n">
        <v>0</v>
      </c>
      <c r="I913" t="n">
        <v>0</v>
      </c>
      <c r="J913" t="n">
        <v>0</v>
      </c>
      <c r="K913" t="n">
        <v>0</v>
      </c>
      <c r="L913" t="n">
        <v>0</v>
      </c>
      <c r="M913" t="n">
        <v>0</v>
      </c>
      <c r="N913" t="n">
        <v>0</v>
      </c>
      <c r="O913" t="n">
        <v>0</v>
      </c>
      <c r="P913" t="n">
        <v>0</v>
      </c>
      <c r="Q913" t="n">
        <v>0</v>
      </c>
      <c r="R913" s="2" t="inlineStr"/>
    </row>
    <row r="914" ht="15" customHeight="1">
      <c r="A914" t="inlineStr">
        <is>
          <t>A 22275-2022</t>
        </is>
      </c>
      <c r="B914" s="1" t="n">
        <v>44712</v>
      </c>
      <c r="C914" s="1" t="n">
        <v>46033</v>
      </c>
      <c r="D914" t="inlineStr">
        <is>
          <t>JÄMTLANDS LÄN</t>
        </is>
      </c>
      <c r="E914" t="inlineStr">
        <is>
          <t>BERG</t>
        </is>
      </c>
      <c r="G914" t="n">
        <v>2.1</v>
      </c>
      <c r="H914" t="n">
        <v>0</v>
      </c>
      <c r="I914" t="n">
        <v>0</v>
      </c>
      <c r="J914" t="n">
        <v>0</v>
      </c>
      <c r="K914" t="n">
        <v>0</v>
      </c>
      <c r="L914" t="n">
        <v>0</v>
      </c>
      <c r="M914" t="n">
        <v>0</v>
      </c>
      <c r="N914" t="n">
        <v>0</v>
      </c>
      <c r="O914" t="n">
        <v>0</v>
      </c>
      <c r="P914" t="n">
        <v>0</v>
      </c>
      <c r="Q914" t="n">
        <v>0</v>
      </c>
      <c r="R914" s="2" t="inlineStr"/>
    </row>
    <row r="915" ht="15" customHeight="1">
      <c r="A915" t="inlineStr">
        <is>
          <t>A 4561-2024</t>
        </is>
      </c>
      <c r="B915" s="1" t="n">
        <v>45327</v>
      </c>
      <c r="C915" s="1" t="n">
        <v>46033</v>
      </c>
      <c r="D915" t="inlineStr">
        <is>
          <t>JÄMTLANDS LÄN</t>
        </is>
      </c>
      <c r="E915" t="inlineStr">
        <is>
          <t>BERG</t>
        </is>
      </c>
      <c r="G915" t="n">
        <v>7.4</v>
      </c>
      <c r="H915" t="n">
        <v>0</v>
      </c>
      <c r="I915" t="n">
        <v>0</v>
      </c>
      <c r="J915" t="n">
        <v>0</v>
      </c>
      <c r="K915" t="n">
        <v>0</v>
      </c>
      <c r="L915" t="n">
        <v>0</v>
      </c>
      <c r="M915" t="n">
        <v>0</v>
      </c>
      <c r="N915" t="n">
        <v>0</v>
      </c>
      <c r="O915" t="n">
        <v>0</v>
      </c>
      <c r="P915" t="n">
        <v>0</v>
      </c>
      <c r="Q915" t="n">
        <v>0</v>
      </c>
      <c r="R915" s="2" t="inlineStr"/>
    </row>
    <row r="916" ht="15" customHeight="1">
      <c r="A916" t="inlineStr">
        <is>
          <t>A 14190-2023</t>
        </is>
      </c>
      <c r="B916" s="1" t="n">
        <v>45009.56106481481</v>
      </c>
      <c r="C916" s="1" t="n">
        <v>46033</v>
      </c>
      <c r="D916" t="inlineStr">
        <is>
          <t>JÄMTLANDS LÄN</t>
        </is>
      </c>
      <c r="E916" t="inlineStr">
        <is>
          <t>BERG</t>
        </is>
      </c>
      <c r="G916" t="n">
        <v>3.8</v>
      </c>
      <c r="H916" t="n">
        <v>0</v>
      </c>
      <c r="I916" t="n">
        <v>0</v>
      </c>
      <c r="J916" t="n">
        <v>0</v>
      </c>
      <c r="K916" t="n">
        <v>0</v>
      </c>
      <c r="L916" t="n">
        <v>0</v>
      </c>
      <c r="M916" t="n">
        <v>0</v>
      </c>
      <c r="N916" t="n">
        <v>0</v>
      </c>
      <c r="O916" t="n">
        <v>0</v>
      </c>
      <c r="P916" t="n">
        <v>0</v>
      </c>
      <c r="Q916" t="n">
        <v>0</v>
      </c>
      <c r="R916" s="2" t="inlineStr"/>
    </row>
    <row r="917" ht="15" customHeight="1">
      <c r="A917" t="inlineStr">
        <is>
          <t>A 31079-2024</t>
        </is>
      </c>
      <c r="B917" s="1" t="n">
        <v>45502.46423611111</v>
      </c>
      <c r="C917" s="1" t="n">
        <v>46033</v>
      </c>
      <c r="D917" t="inlineStr">
        <is>
          <t>JÄMTLANDS LÄN</t>
        </is>
      </c>
      <c r="E917" t="inlineStr">
        <is>
          <t>BERG</t>
        </is>
      </c>
      <c r="G917" t="n">
        <v>2.5</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45280.92613425926</v>
      </c>
      <c r="C918" s="1" t="n">
        <v>46033</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46033</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39510-2023</t>
        </is>
      </c>
      <c r="B920" s="1" t="n">
        <v>45166</v>
      </c>
      <c r="C920" s="1" t="n">
        <v>46033</v>
      </c>
      <c r="D920" t="inlineStr">
        <is>
          <t>JÄMTLANDS LÄN</t>
        </is>
      </c>
      <c r="E920" t="inlineStr">
        <is>
          <t>BERG</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41636-2024</t>
        </is>
      </c>
      <c r="B921" s="1" t="n">
        <v>45560.61606481481</v>
      </c>
      <c r="C921" s="1" t="n">
        <v>46033</v>
      </c>
      <c r="D921" t="inlineStr">
        <is>
          <t>JÄMTLANDS LÄN</t>
        </is>
      </c>
      <c r="E921" t="inlineStr">
        <is>
          <t>BERG</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41634-2024</t>
        </is>
      </c>
      <c r="B922" s="1" t="n">
        <v>45560.61496527777</v>
      </c>
      <c r="C922" s="1" t="n">
        <v>46033</v>
      </c>
      <c r="D922" t="inlineStr">
        <is>
          <t>JÄMTLANDS LÄN</t>
        </is>
      </c>
      <c r="E922" t="inlineStr">
        <is>
          <t>BERG</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27395-2021</t>
        </is>
      </c>
      <c r="B923" s="1" t="n">
        <v>44350</v>
      </c>
      <c r="C923" s="1" t="n">
        <v>46033</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5219-2022</t>
        </is>
      </c>
      <c r="B924" s="1" t="n">
        <v>44594.48569444445</v>
      </c>
      <c r="C924" s="1" t="n">
        <v>46033</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14672-2025</t>
        </is>
      </c>
      <c r="B925" s="1" t="n">
        <v>45742.55269675926</v>
      </c>
      <c r="C925" s="1" t="n">
        <v>46033</v>
      </c>
      <c r="D925" t="inlineStr">
        <is>
          <t>JÄMTLANDS LÄN</t>
        </is>
      </c>
      <c r="E925" t="inlineStr">
        <is>
          <t>BERG</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13149-2025</t>
        </is>
      </c>
      <c r="B926" s="1" t="n">
        <v>45735.34424768519</v>
      </c>
      <c r="C926" s="1" t="n">
        <v>46033</v>
      </c>
      <c r="D926" t="inlineStr">
        <is>
          <t>JÄMTLANDS LÄN</t>
        </is>
      </c>
      <c r="E926" t="inlineStr">
        <is>
          <t>BERG</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15013-2025</t>
        </is>
      </c>
      <c r="B927" s="1" t="n">
        <v>45743.62734953704</v>
      </c>
      <c r="C927" s="1" t="n">
        <v>46033</v>
      </c>
      <c r="D927" t="inlineStr">
        <is>
          <t>JÄMTLANDS LÄN</t>
        </is>
      </c>
      <c r="E927" t="inlineStr">
        <is>
          <t>BERG</t>
        </is>
      </c>
      <c r="G927" t="n">
        <v>4.6</v>
      </c>
      <c r="H927" t="n">
        <v>0</v>
      </c>
      <c r="I927" t="n">
        <v>0</v>
      </c>
      <c r="J927" t="n">
        <v>0</v>
      </c>
      <c r="K927" t="n">
        <v>0</v>
      </c>
      <c r="L927" t="n">
        <v>0</v>
      </c>
      <c r="M927" t="n">
        <v>0</v>
      </c>
      <c r="N927" t="n">
        <v>0</v>
      </c>
      <c r="O927" t="n">
        <v>0</v>
      </c>
      <c r="P927" t="n">
        <v>0</v>
      </c>
      <c r="Q927" t="n">
        <v>0</v>
      </c>
      <c r="R927" s="2" t="inlineStr"/>
    </row>
    <row r="928" ht="15" customHeight="1">
      <c r="A928" t="inlineStr">
        <is>
          <t>A 40824-2023</t>
        </is>
      </c>
      <c r="B928" s="1" t="n">
        <v>45171</v>
      </c>
      <c r="C928" s="1" t="n">
        <v>46033</v>
      </c>
      <c r="D928" t="inlineStr">
        <is>
          <t>JÄMTLANDS LÄN</t>
        </is>
      </c>
      <c r="E928" t="inlineStr">
        <is>
          <t>BERG</t>
        </is>
      </c>
      <c r="G928" t="n">
        <v>0.5</v>
      </c>
      <c r="H928" t="n">
        <v>0</v>
      </c>
      <c r="I928" t="n">
        <v>0</v>
      </c>
      <c r="J928" t="n">
        <v>0</v>
      </c>
      <c r="K928" t="n">
        <v>0</v>
      </c>
      <c r="L928" t="n">
        <v>0</v>
      </c>
      <c r="M928" t="n">
        <v>0</v>
      </c>
      <c r="N928" t="n">
        <v>0</v>
      </c>
      <c r="O928" t="n">
        <v>0</v>
      </c>
      <c r="P928" t="n">
        <v>0</v>
      </c>
      <c r="Q928" t="n">
        <v>0</v>
      </c>
      <c r="R928" s="2" t="inlineStr"/>
    </row>
    <row r="929" ht="15" customHeight="1">
      <c r="A929" t="inlineStr">
        <is>
          <t>A 35986-2023</t>
        </is>
      </c>
      <c r="B929" s="1" t="n">
        <v>45148</v>
      </c>
      <c r="C929" s="1" t="n">
        <v>46033</v>
      </c>
      <c r="D929" t="inlineStr">
        <is>
          <t>JÄMTLANDS LÄN</t>
        </is>
      </c>
      <c r="E929" t="inlineStr">
        <is>
          <t>BERG</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171-2022</t>
        </is>
      </c>
      <c r="B930" s="1" t="n">
        <v>44564</v>
      </c>
      <c r="C930" s="1" t="n">
        <v>46033</v>
      </c>
      <c r="D930" t="inlineStr">
        <is>
          <t>JÄMTLANDS LÄN</t>
        </is>
      </c>
      <c r="E930" t="inlineStr">
        <is>
          <t>BERG</t>
        </is>
      </c>
      <c r="G930" t="n">
        <v>2.3</v>
      </c>
      <c r="H930" t="n">
        <v>0</v>
      </c>
      <c r="I930" t="n">
        <v>0</v>
      </c>
      <c r="J930" t="n">
        <v>0</v>
      </c>
      <c r="K930" t="n">
        <v>0</v>
      </c>
      <c r="L930" t="n">
        <v>0</v>
      </c>
      <c r="M930" t="n">
        <v>0</v>
      </c>
      <c r="N930" t="n">
        <v>0</v>
      </c>
      <c r="O930" t="n">
        <v>0</v>
      </c>
      <c r="P930" t="n">
        <v>0</v>
      </c>
      <c r="Q930" t="n">
        <v>0</v>
      </c>
      <c r="R930" s="2" t="inlineStr"/>
    </row>
    <row r="931" ht="15" customHeight="1">
      <c r="A931" t="inlineStr">
        <is>
          <t>A 2002-2022</t>
        </is>
      </c>
      <c r="B931" s="1" t="n">
        <v>44575</v>
      </c>
      <c r="C931" s="1" t="n">
        <v>46033</v>
      </c>
      <c r="D931" t="inlineStr">
        <is>
          <t>JÄMTLANDS LÄN</t>
        </is>
      </c>
      <c r="E931" t="inlineStr">
        <is>
          <t>BERG</t>
        </is>
      </c>
      <c r="G931" t="n">
        <v>11.3</v>
      </c>
      <c r="H931" t="n">
        <v>0</v>
      </c>
      <c r="I931" t="n">
        <v>0</v>
      </c>
      <c r="J931" t="n">
        <v>0</v>
      </c>
      <c r="K931" t="n">
        <v>0</v>
      </c>
      <c r="L931" t="n">
        <v>0</v>
      </c>
      <c r="M931" t="n">
        <v>0</v>
      </c>
      <c r="N931" t="n">
        <v>0</v>
      </c>
      <c r="O931" t="n">
        <v>0</v>
      </c>
      <c r="P931" t="n">
        <v>0</v>
      </c>
      <c r="Q931" t="n">
        <v>0</v>
      </c>
      <c r="R931" s="2" t="inlineStr"/>
    </row>
    <row r="932" ht="15" customHeight="1">
      <c r="A932" t="inlineStr">
        <is>
          <t>A 53883-2023</t>
        </is>
      </c>
      <c r="B932" s="1" t="n">
        <v>45231.5221875</v>
      </c>
      <c r="C932" s="1" t="n">
        <v>46033</v>
      </c>
      <c r="D932" t="inlineStr">
        <is>
          <t>JÄMTLANDS LÄN</t>
        </is>
      </c>
      <c r="E932" t="inlineStr">
        <is>
          <t>BERG</t>
        </is>
      </c>
      <c r="G932" t="n">
        <v>2</v>
      </c>
      <c r="H932" t="n">
        <v>0</v>
      </c>
      <c r="I932" t="n">
        <v>0</v>
      </c>
      <c r="J932" t="n">
        <v>0</v>
      </c>
      <c r="K932" t="n">
        <v>0</v>
      </c>
      <c r="L932" t="n">
        <v>0</v>
      </c>
      <c r="M932" t="n">
        <v>0</v>
      </c>
      <c r="N932" t="n">
        <v>0</v>
      </c>
      <c r="O932" t="n">
        <v>0</v>
      </c>
      <c r="P932" t="n">
        <v>0</v>
      </c>
      <c r="Q932" t="n">
        <v>0</v>
      </c>
      <c r="R932" s="2" t="inlineStr"/>
    </row>
    <row r="933" ht="15" customHeight="1">
      <c r="A933" t="inlineStr">
        <is>
          <t>A 41875-2024</t>
        </is>
      </c>
      <c r="B933" s="1" t="n">
        <v>45561.47431712963</v>
      </c>
      <c r="C933" s="1" t="n">
        <v>46033</v>
      </c>
      <c r="D933" t="inlineStr">
        <is>
          <t>JÄMTLANDS LÄN</t>
        </is>
      </c>
      <c r="E933" t="inlineStr">
        <is>
          <t>BERG</t>
        </is>
      </c>
      <c r="G933" t="n">
        <v>1.3</v>
      </c>
      <c r="H933" t="n">
        <v>0</v>
      </c>
      <c r="I933" t="n">
        <v>0</v>
      </c>
      <c r="J933" t="n">
        <v>0</v>
      </c>
      <c r="K933" t="n">
        <v>0</v>
      </c>
      <c r="L933" t="n">
        <v>0</v>
      </c>
      <c r="M933" t="n">
        <v>0</v>
      </c>
      <c r="N933" t="n">
        <v>0</v>
      </c>
      <c r="O933" t="n">
        <v>0</v>
      </c>
      <c r="P933" t="n">
        <v>0</v>
      </c>
      <c r="Q933" t="n">
        <v>0</v>
      </c>
      <c r="R933" s="2" t="inlineStr"/>
    </row>
    <row r="934" ht="15" customHeight="1">
      <c r="A934" t="inlineStr">
        <is>
          <t>A 4246-2025</t>
        </is>
      </c>
      <c r="B934" s="1" t="n">
        <v>45685.59083333334</v>
      </c>
      <c r="C934" s="1" t="n">
        <v>46033</v>
      </c>
      <c r="D934" t="inlineStr">
        <is>
          <t>JÄMTLANDS LÄN</t>
        </is>
      </c>
      <c r="E934" t="inlineStr">
        <is>
          <t>BERG</t>
        </is>
      </c>
      <c r="G934" t="n">
        <v>2.4</v>
      </c>
      <c r="H934" t="n">
        <v>0</v>
      </c>
      <c r="I934" t="n">
        <v>0</v>
      </c>
      <c r="J934" t="n">
        <v>0</v>
      </c>
      <c r="K934" t="n">
        <v>0</v>
      </c>
      <c r="L934" t="n">
        <v>0</v>
      </c>
      <c r="M934" t="n">
        <v>0</v>
      </c>
      <c r="N934" t="n">
        <v>0</v>
      </c>
      <c r="O934" t="n">
        <v>0</v>
      </c>
      <c r="P934" t="n">
        <v>0</v>
      </c>
      <c r="Q934" t="n">
        <v>0</v>
      </c>
      <c r="R934" s="2" t="inlineStr"/>
    </row>
    <row r="935" ht="15" customHeight="1">
      <c r="A935" t="inlineStr">
        <is>
          <t>A 8251-2023</t>
        </is>
      </c>
      <c r="B935" s="1" t="n">
        <v>44974</v>
      </c>
      <c r="C935" s="1" t="n">
        <v>46033</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16553-2025</t>
        </is>
      </c>
      <c r="B936" s="1" t="n">
        <v>45751.69967592593</v>
      </c>
      <c r="C936" s="1" t="n">
        <v>46033</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45081-2022</t>
        </is>
      </c>
      <c r="B937" s="1" t="n">
        <v>44841</v>
      </c>
      <c r="C937" s="1" t="n">
        <v>46033</v>
      </c>
      <c r="D937" t="inlineStr">
        <is>
          <t>JÄMTLANDS LÄN</t>
        </is>
      </c>
      <c r="E937" t="inlineStr">
        <is>
          <t>BERG</t>
        </is>
      </c>
      <c r="F937" t="inlineStr">
        <is>
          <t>SCA</t>
        </is>
      </c>
      <c r="G937" t="n">
        <v>5.7</v>
      </c>
      <c r="H937" t="n">
        <v>0</v>
      </c>
      <c r="I937" t="n">
        <v>0</v>
      </c>
      <c r="J937" t="n">
        <v>0</v>
      </c>
      <c r="K937" t="n">
        <v>0</v>
      </c>
      <c r="L937" t="n">
        <v>0</v>
      </c>
      <c r="M937" t="n">
        <v>0</v>
      </c>
      <c r="N937" t="n">
        <v>0</v>
      </c>
      <c r="O937" t="n">
        <v>0</v>
      </c>
      <c r="P937" t="n">
        <v>0</v>
      </c>
      <c r="Q937" t="n">
        <v>0</v>
      </c>
      <c r="R937" s="2" t="inlineStr"/>
    </row>
    <row r="938" ht="15" customHeight="1">
      <c r="A938" t="inlineStr">
        <is>
          <t>A 47289-2023</t>
        </is>
      </c>
      <c r="B938" s="1" t="n">
        <v>45202.46581018518</v>
      </c>
      <c r="C938" s="1" t="n">
        <v>46033</v>
      </c>
      <c r="D938" t="inlineStr">
        <is>
          <t>JÄMTLANDS LÄN</t>
        </is>
      </c>
      <c r="E938" t="inlineStr">
        <is>
          <t>BERG</t>
        </is>
      </c>
      <c r="G938" t="n">
        <v>1.8</v>
      </c>
      <c r="H938" t="n">
        <v>0</v>
      </c>
      <c r="I938" t="n">
        <v>0</v>
      </c>
      <c r="J938" t="n">
        <v>0</v>
      </c>
      <c r="K938" t="n">
        <v>0</v>
      </c>
      <c r="L938" t="n">
        <v>0</v>
      </c>
      <c r="M938" t="n">
        <v>0</v>
      </c>
      <c r="N938" t="n">
        <v>0</v>
      </c>
      <c r="O938" t="n">
        <v>0</v>
      </c>
      <c r="P938" t="n">
        <v>0</v>
      </c>
      <c r="Q938" t="n">
        <v>0</v>
      </c>
      <c r="R938" s="2" t="inlineStr"/>
    </row>
    <row r="939" ht="15" customHeight="1">
      <c r="A939" t="inlineStr">
        <is>
          <t>A 8388-2022</t>
        </is>
      </c>
      <c r="B939" s="1" t="n">
        <v>44610</v>
      </c>
      <c r="C939" s="1" t="n">
        <v>46033</v>
      </c>
      <c r="D939" t="inlineStr">
        <is>
          <t>JÄMTLANDS LÄN</t>
        </is>
      </c>
      <c r="E939" t="inlineStr">
        <is>
          <t>BERG</t>
        </is>
      </c>
      <c r="G939" t="n">
        <v>2.6</v>
      </c>
      <c r="H939" t="n">
        <v>0</v>
      </c>
      <c r="I939" t="n">
        <v>0</v>
      </c>
      <c r="J939" t="n">
        <v>0</v>
      </c>
      <c r="K939" t="n">
        <v>0</v>
      </c>
      <c r="L939" t="n">
        <v>0</v>
      </c>
      <c r="M939" t="n">
        <v>0</v>
      </c>
      <c r="N939" t="n">
        <v>0</v>
      </c>
      <c r="O939" t="n">
        <v>0</v>
      </c>
      <c r="P939" t="n">
        <v>0</v>
      </c>
      <c r="Q939" t="n">
        <v>0</v>
      </c>
      <c r="R939" s="2" t="inlineStr"/>
    </row>
    <row r="940" ht="15" customHeight="1">
      <c r="A940" t="inlineStr">
        <is>
          <t>A 4522-2024</t>
        </is>
      </c>
      <c r="B940" s="1" t="n">
        <v>45327</v>
      </c>
      <c r="C940" s="1" t="n">
        <v>46033</v>
      </c>
      <c r="D940" t="inlineStr">
        <is>
          <t>JÄMTLANDS LÄN</t>
        </is>
      </c>
      <c r="E940" t="inlineStr">
        <is>
          <t>BERG</t>
        </is>
      </c>
      <c r="G940" t="n">
        <v>0.6</v>
      </c>
      <c r="H940" t="n">
        <v>0</v>
      </c>
      <c r="I940" t="n">
        <v>0</v>
      </c>
      <c r="J940" t="n">
        <v>0</v>
      </c>
      <c r="K940" t="n">
        <v>0</v>
      </c>
      <c r="L940" t="n">
        <v>0</v>
      </c>
      <c r="M940" t="n">
        <v>0</v>
      </c>
      <c r="N940" t="n">
        <v>0</v>
      </c>
      <c r="O940" t="n">
        <v>0</v>
      </c>
      <c r="P940" t="n">
        <v>0</v>
      </c>
      <c r="Q940" t="n">
        <v>0</v>
      </c>
      <c r="R940" s="2" t="inlineStr"/>
    </row>
    <row r="941" ht="15" customHeight="1">
      <c r="A941" t="inlineStr">
        <is>
          <t>A 11599-2025</t>
        </is>
      </c>
      <c r="B941" s="1" t="n">
        <v>45727.4261574074</v>
      </c>
      <c r="C941" s="1" t="n">
        <v>46033</v>
      </c>
      <c r="D941" t="inlineStr">
        <is>
          <t>JÄMTLANDS LÄN</t>
        </is>
      </c>
      <c r="E941" t="inlineStr">
        <is>
          <t>BERG</t>
        </is>
      </c>
      <c r="G941" t="n">
        <v>1.4</v>
      </c>
      <c r="H941" t="n">
        <v>0</v>
      </c>
      <c r="I941" t="n">
        <v>0</v>
      </c>
      <c r="J941" t="n">
        <v>0</v>
      </c>
      <c r="K941" t="n">
        <v>0</v>
      </c>
      <c r="L941" t="n">
        <v>0</v>
      </c>
      <c r="M941" t="n">
        <v>0</v>
      </c>
      <c r="N941" t="n">
        <v>0</v>
      </c>
      <c r="O941" t="n">
        <v>0</v>
      </c>
      <c r="P941" t="n">
        <v>0</v>
      </c>
      <c r="Q941" t="n">
        <v>0</v>
      </c>
      <c r="R941" s="2" t="inlineStr"/>
    </row>
    <row r="942" ht="15" customHeight="1">
      <c r="A942" t="inlineStr">
        <is>
          <t>A 48307-2024</t>
        </is>
      </c>
      <c r="B942" s="1" t="n">
        <v>45590.47684027778</v>
      </c>
      <c r="C942" s="1" t="n">
        <v>46033</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61652-2024</t>
        </is>
      </c>
      <c r="B943" s="1" t="n">
        <v>45646.72293981481</v>
      </c>
      <c r="C943" s="1" t="n">
        <v>46033</v>
      </c>
      <c r="D943" t="inlineStr">
        <is>
          <t>JÄMTLANDS LÄN</t>
        </is>
      </c>
      <c r="E943" t="inlineStr">
        <is>
          <t>BERG</t>
        </is>
      </c>
      <c r="G943" t="n">
        <v>6.4</v>
      </c>
      <c r="H943" t="n">
        <v>0</v>
      </c>
      <c r="I943" t="n">
        <v>0</v>
      </c>
      <c r="J943" t="n">
        <v>0</v>
      </c>
      <c r="K943" t="n">
        <v>0</v>
      </c>
      <c r="L943" t="n">
        <v>0</v>
      </c>
      <c r="M943" t="n">
        <v>0</v>
      </c>
      <c r="N943" t="n">
        <v>0</v>
      </c>
      <c r="O943" t="n">
        <v>0</v>
      </c>
      <c r="P943" t="n">
        <v>0</v>
      </c>
      <c r="Q943" t="n">
        <v>0</v>
      </c>
      <c r="R943" s="2" t="inlineStr"/>
    </row>
    <row r="944" ht="15" customHeight="1">
      <c r="A944" t="inlineStr">
        <is>
          <t>A 48663-2023</t>
        </is>
      </c>
      <c r="B944" s="1" t="n">
        <v>45202</v>
      </c>
      <c r="C944" s="1" t="n">
        <v>46033</v>
      </c>
      <c r="D944" t="inlineStr">
        <is>
          <t>JÄMTLANDS LÄN</t>
        </is>
      </c>
      <c r="E944" t="inlineStr">
        <is>
          <t>BERG</t>
        </is>
      </c>
      <c r="G944" t="n">
        <v>1.6</v>
      </c>
      <c r="H944" t="n">
        <v>0</v>
      </c>
      <c r="I944" t="n">
        <v>0</v>
      </c>
      <c r="J944" t="n">
        <v>0</v>
      </c>
      <c r="K944" t="n">
        <v>0</v>
      </c>
      <c r="L944" t="n">
        <v>0</v>
      </c>
      <c r="M944" t="n">
        <v>0</v>
      </c>
      <c r="N944" t="n">
        <v>0</v>
      </c>
      <c r="O944" t="n">
        <v>0</v>
      </c>
      <c r="P944" t="n">
        <v>0</v>
      </c>
      <c r="Q944" t="n">
        <v>0</v>
      </c>
      <c r="R944" s="2" t="inlineStr"/>
    </row>
    <row r="945" ht="15" customHeight="1">
      <c r="A945" t="inlineStr">
        <is>
          <t>A 15785-2021</t>
        </is>
      </c>
      <c r="B945" s="1" t="n">
        <v>44286.58679398148</v>
      </c>
      <c r="C945" s="1" t="n">
        <v>46033</v>
      </c>
      <c r="D945" t="inlineStr">
        <is>
          <t>JÄMTLANDS LÄN</t>
        </is>
      </c>
      <c r="E945" t="inlineStr">
        <is>
          <t>BERG</t>
        </is>
      </c>
      <c r="G945" t="n">
        <v>3.2</v>
      </c>
      <c r="H945" t="n">
        <v>0</v>
      </c>
      <c r="I945" t="n">
        <v>0</v>
      </c>
      <c r="J945" t="n">
        <v>0</v>
      </c>
      <c r="K945" t="n">
        <v>0</v>
      </c>
      <c r="L945" t="n">
        <v>0</v>
      </c>
      <c r="M945" t="n">
        <v>0</v>
      </c>
      <c r="N945" t="n">
        <v>0</v>
      </c>
      <c r="O945" t="n">
        <v>0</v>
      </c>
      <c r="P945" t="n">
        <v>0</v>
      </c>
      <c r="Q945" t="n">
        <v>0</v>
      </c>
      <c r="R945" s="2" t="inlineStr"/>
    </row>
    <row r="946" ht="15" customHeight="1">
      <c r="A946" t="inlineStr">
        <is>
          <t>A 38-2024</t>
        </is>
      </c>
      <c r="B946" s="1" t="n">
        <v>45293</v>
      </c>
      <c r="C946" s="1" t="n">
        <v>46033</v>
      </c>
      <c r="D946" t="inlineStr">
        <is>
          <t>JÄMTLANDS LÄN</t>
        </is>
      </c>
      <c r="E946" t="inlineStr">
        <is>
          <t>BERG</t>
        </is>
      </c>
      <c r="G946" t="n">
        <v>1.9</v>
      </c>
      <c r="H946" t="n">
        <v>0</v>
      </c>
      <c r="I946" t="n">
        <v>0</v>
      </c>
      <c r="J946" t="n">
        <v>0</v>
      </c>
      <c r="K946" t="n">
        <v>0</v>
      </c>
      <c r="L946" t="n">
        <v>0</v>
      </c>
      <c r="M946" t="n">
        <v>0</v>
      </c>
      <c r="N946" t="n">
        <v>0</v>
      </c>
      <c r="O946" t="n">
        <v>0</v>
      </c>
      <c r="P946" t="n">
        <v>0</v>
      </c>
      <c r="Q946" t="n">
        <v>0</v>
      </c>
      <c r="R946" s="2" t="inlineStr"/>
    </row>
    <row r="947" ht="15" customHeight="1">
      <c r="A947" t="inlineStr">
        <is>
          <t>A 43762-2023</t>
        </is>
      </c>
      <c r="B947" s="1" t="n">
        <v>45182</v>
      </c>
      <c r="C947" s="1" t="n">
        <v>46033</v>
      </c>
      <c r="D947" t="inlineStr">
        <is>
          <t>JÄMTLANDS LÄN</t>
        </is>
      </c>
      <c r="E947" t="inlineStr">
        <is>
          <t>BERG</t>
        </is>
      </c>
      <c r="G947" t="n">
        <v>6.4</v>
      </c>
      <c r="H947" t="n">
        <v>0</v>
      </c>
      <c r="I947" t="n">
        <v>0</v>
      </c>
      <c r="J947" t="n">
        <v>0</v>
      </c>
      <c r="K947" t="n">
        <v>0</v>
      </c>
      <c r="L947" t="n">
        <v>0</v>
      </c>
      <c r="M947" t="n">
        <v>0</v>
      </c>
      <c r="N947" t="n">
        <v>0</v>
      </c>
      <c r="O947" t="n">
        <v>0</v>
      </c>
      <c r="P947" t="n">
        <v>0</v>
      </c>
      <c r="Q947" t="n">
        <v>0</v>
      </c>
      <c r="R947" s="2" t="inlineStr"/>
    </row>
    <row r="948" ht="15" customHeight="1">
      <c r="A948" t="inlineStr">
        <is>
          <t>A 51039-2024</t>
        </is>
      </c>
      <c r="B948" s="1" t="n">
        <v>45603.43164351852</v>
      </c>
      <c r="C948" s="1" t="n">
        <v>46033</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60076-2024</t>
        </is>
      </c>
      <c r="B949" s="1" t="n">
        <v>45642.53166666667</v>
      </c>
      <c r="C949" s="1" t="n">
        <v>46033</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32711-2024</t>
        </is>
      </c>
      <c r="B950" s="1" t="n">
        <v>45516</v>
      </c>
      <c r="C950" s="1" t="n">
        <v>46033</v>
      </c>
      <c r="D950" t="inlineStr">
        <is>
          <t>JÄMTLANDS LÄN</t>
        </is>
      </c>
      <c r="E950" t="inlineStr">
        <is>
          <t>BERG</t>
        </is>
      </c>
      <c r="G950" t="n">
        <v>0</v>
      </c>
      <c r="H950" t="n">
        <v>0</v>
      </c>
      <c r="I950" t="n">
        <v>0</v>
      </c>
      <c r="J950" t="n">
        <v>0</v>
      </c>
      <c r="K950" t="n">
        <v>0</v>
      </c>
      <c r="L950" t="n">
        <v>0</v>
      </c>
      <c r="M950" t="n">
        <v>0</v>
      </c>
      <c r="N950" t="n">
        <v>0</v>
      </c>
      <c r="O950" t="n">
        <v>0</v>
      </c>
      <c r="P950" t="n">
        <v>0</v>
      </c>
      <c r="Q950" t="n">
        <v>0</v>
      </c>
      <c r="R950" s="2" t="inlineStr"/>
    </row>
    <row r="951" ht="15" customHeight="1">
      <c r="A951" t="inlineStr">
        <is>
          <t>A 15992-2025</t>
        </is>
      </c>
      <c r="B951" s="1" t="n">
        <v>45749.58319444444</v>
      </c>
      <c r="C951" s="1" t="n">
        <v>46033</v>
      </c>
      <c r="D951" t="inlineStr">
        <is>
          <t>JÄMTLANDS LÄN</t>
        </is>
      </c>
      <c r="E951" t="inlineStr">
        <is>
          <t>BERG</t>
        </is>
      </c>
      <c r="G951" t="n">
        <v>1.1</v>
      </c>
      <c r="H951" t="n">
        <v>0</v>
      </c>
      <c r="I951" t="n">
        <v>0</v>
      </c>
      <c r="J951" t="n">
        <v>0</v>
      </c>
      <c r="K951" t="n">
        <v>0</v>
      </c>
      <c r="L951" t="n">
        <v>0</v>
      </c>
      <c r="M951" t="n">
        <v>0</v>
      </c>
      <c r="N951" t="n">
        <v>0</v>
      </c>
      <c r="O951" t="n">
        <v>0</v>
      </c>
      <c r="P951" t="n">
        <v>0</v>
      </c>
      <c r="Q951" t="n">
        <v>0</v>
      </c>
      <c r="R951" s="2" t="inlineStr"/>
    </row>
    <row r="952" ht="15" customHeight="1">
      <c r="A952" t="inlineStr">
        <is>
          <t>A 2472-2025</t>
        </is>
      </c>
      <c r="B952" s="1" t="n">
        <v>45674.47341435185</v>
      </c>
      <c r="C952" s="1" t="n">
        <v>46033</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8239-2024</t>
        </is>
      </c>
      <c r="B953" s="1" t="n">
        <v>45351</v>
      </c>
      <c r="C953" s="1" t="n">
        <v>46033</v>
      </c>
      <c r="D953" t="inlineStr">
        <is>
          <t>JÄMTLANDS LÄN</t>
        </is>
      </c>
      <c r="E953" t="inlineStr">
        <is>
          <t>BERG</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65207-2023</t>
        </is>
      </c>
      <c r="B954" s="1" t="n">
        <v>45289</v>
      </c>
      <c r="C954" s="1" t="n">
        <v>46033</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44313-2023</t>
        </is>
      </c>
      <c r="B955" s="1" t="n">
        <v>45188.6505787037</v>
      </c>
      <c r="C955" s="1" t="n">
        <v>46033</v>
      </c>
      <c r="D955" t="inlineStr">
        <is>
          <t>JÄMTLANDS LÄN</t>
        </is>
      </c>
      <c r="E955" t="inlineStr">
        <is>
          <t>BERG</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19181-2025</t>
        </is>
      </c>
      <c r="B956" s="1" t="n">
        <v>45769.40174768519</v>
      </c>
      <c r="C956" s="1" t="n">
        <v>46033</v>
      </c>
      <c r="D956" t="inlineStr">
        <is>
          <t>JÄMTLANDS LÄN</t>
        </is>
      </c>
      <c r="E956" t="inlineStr">
        <is>
          <t>BERG</t>
        </is>
      </c>
      <c r="G956" t="n">
        <v>4.4</v>
      </c>
      <c r="H956" t="n">
        <v>0</v>
      </c>
      <c r="I956" t="n">
        <v>0</v>
      </c>
      <c r="J956" t="n">
        <v>0</v>
      </c>
      <c r="K956" t="n">
        <v>0</v>
      </c>
      <c r="L956" t="n">
        <v>0</v>
      </c>
      <c r="M956" t="n">
        <v>0</v>
      </c>
      <c r="N956" t="n">
        <v>0</v>
      </c>
      <c r="O956" t="n">
        <v>0</v>
      </c>
      <c r="P956" t="n">
        <v>0</v>
      </c>
      <c r="Q956" t="n">
        <v>0</v>
      </c>
      <c r="R956" s="2" t="inlineStr"/>
    </row>
    <row r="957" ht="15" customHeight="1">
      <c r="A957" t="inlineStr">
        <is>
          <t>A 19891-2025</t>
        </is>
      </c>
      <c r="B957" s="1" t="n">
        <v>45771.5743287037</v>
      </c>
      <c r="C957" s="1" t="n">
        <v>46033</v>
      </c>
      <c r="D957" t="inlineStr">
        <is>
          <t>JÄMTLANDS LÄN</t>
        </is>
      </c>
      <c r="E957" t="inlineStr">
        <is>
          <t>BERG</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30917-2024</t>
        </is>
      </c>
      <c r="B958" s="1" t="n">
        <v>45498.66611111111</v>
      </c>
      <c r="C958" s="1" t="n">
        <v>46033</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14341-2025</t>
        </is>
      </c>
      <c r="B959" s="1" t="n">
        <v>45741.26008101852</v>
      </c>
      <c r="C959" s="1" t="n">
        <v>46033</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59634-2022</t>
        </is>
      </c>
      <c r="B960" s="1" t="n">
        <v>44907.9645949074</v>
      </c>
      <c r="C960" s="1" t="n">
        <v>46033</v>
      </c>
      <c r="D960" t="inlineStr">
        <is>
          <t>JÄMTLANDS LÄN</t>
        </is>
      </c>
      <c r="E960" t="inlineStr">
        <is>
          <t>BERG</t>
        </is>
      </c>
      <c r="G960" t="n">
        <v>1.2</v>
      </c>
      <c r="H960" t="n">
        <v>0</v>
      </c>
      <c r="I960" t="n">
        <v>0</v>
      </c>
      <c r="J960" t="n">
        <v>0</v>
      </c>
      <c r="K960" t="n">
        <v>0</v>
      </c>
      <c r="L960" t="n">
        <v>0</v>
      </c>
      <c r="M960" t="n">
        <v>0</v>
      </c>
      <c r="N960" t="n">
        <v>0</v>
      </c>
      <c r="O960" t="n">
        <v>0</v>
      </c>
      <c r="P960" t="n">
        <v>0</v>
      </c>
      <c r="Q960" t="n">
        <v>0</v>
      </c>
      <c r="R960" s="2" t="inlineStr"/>
    </row>
    <row r="961" ht="15" customHeight="1">
      <c r="A961" t="inlineStr">
        <is>
          <t>A 46816-2023</t>
        </is>
      </c>
      <c r="B961" s="1" t="n">
        <v>45198</v>
      </c>
      <c r="C961" s="1" t="n">
        <v>46033</v>
      </c>
      <c r="D961" t="inlineStr">
        <is>
          <t>JÄMTLANDS LÄN</t>
        </is>
      </c>
      <c r="E961" t="inlineStr">
        <is>
          <t>BERG</t>
        </is>
      </c>
      <c r="F961" t="inlineStr">
        <is>
          <t>SCA</t>
        </is>
      </c>
      <c r="G961" t="n">
        <v>66.2</v>
      </c>
      <c r="H961" t="n">
        <v>0</v>
      </c>
      <c r="I961" t="n">
        <v>0</v>
      </c>
      <c r="J961" t="n">
        <v>0</v>
      </c>
      <c r="K961" t="n">
        <v>0</v>
      </c>
      <c r="L961" t="n">
        <v>0</v>
      </c>
      <c r="M961" t="n">
        <v>0</v>
      </c>
      <c r="N961" t="n">
        <v>0</v>
      </c>
      <c r="O961" t="n">
        <v>0</v>
      </c>
      <c r="P961" t="n">
        <v>0</v>
      </c>
      <c r="Q961" t="n">
        <v>0</v>
      </c>
      <c r="R961" s="2" t="inlineStr"/>
    </row>
    <row r="962" ht="15" customHeight="1">
      <c r="A962" t="inlineStr">
        <is>
          <t>A 49555-2023</t>
        </is>
      </c>
      <c r="B962" s="1" t="n">
        <v>45205</v>
      </c>
      <c r="C962" s="1" t="n">
        <v>46033</v>
      </c>
      <c r="D962" t="inlineStr">
        <is>
          <t>JÄMTLANDS LÄN</t>
        </is>
      </c>
      <c r="E962" t="inlineStr">
        <is>
          <t>BERG</t>
        </is>
      </c>
      <c r="G962" t="n">
        <v>0.6</v>
      </c>
      <c r="H962" t="n">
        <v>0</v>
      </c>
      <c r="I962" t="n">
        <v>0</v>
      </c>
      <c r="J962" t="n">
        <v>0</v>
      </c>
      <c r="K962" t="n">
        <v>0</v>
      </c>
      <c r="L962" t="n">
        <v>0</v>
      </c>
      <c r="M962" t="n">
        <v>0</v>
      </c>
      <c r="N962" t="n">
        <v>0</v>
      </c>
      <c r="O962" t="n">
        <v>0</v>
      </c>
      <c r="P962" t="n">
        <v>0</v>
      </c>
      <c r="Q962" t="n">
        <v>0</v>
      </c>
      <c r="R962" s="2" t="inlineStr"/>
    </row>
    <row r="963" ht="15" customHeight="1">
      <c r="A963" t="inlineStr">
        <is>
          <t>A 59521-2024</t>
        </is>
      </c>
      <c r="B963" s="1" t="n">
        <v>45638.57283564815</v>
      </c>
      <c r="C963" s="1" t="n">
        <v>46033</v>
      </c>
      <c r="D963" t="inlineStr">
        <is>
          <t>JÄMTLANDS LÄN</t>
        </is>
      </c>
      <c r="E963" t="inlineStr">
        <is>
          <t>BERG</t>
        </is>
      </c>
      <c r="G963" t="n">
        <v>2.1</v>
      </c>
      <c r="H963" t="n">
        <v>0</v>
      </c>
      <c r="I963" t="n">
        <v>0</v>
      </c>
      <c r="J963" t="n">
        <v>0</v>
      </c>
      <c r="K963" t="n">
        <v>0</v>
      </c>
      <c r="L963" t="n">
        <v>0</v>
      </c>
      <c r="M963" t="n">
        <v>0</v>
      </c>
      <c r="N963" t="n">
        <v>0</v>
      </c>
      <c r="O963" t="n">
        <v>0</v>
      </c>
      <c r="P963" t="n">
        <v>0</v>
      </c>
      <c r="Q963" t="n">
        <v>0</v>
      </c>
      <c r="R963" s="2" t="inlineStr"/>
    </row>
    <row r="964" ht="15" customHeight="1">
      <c r="A964" t="inlineStr">
        <is>
          <t>A 19513-2025</t>
        </is>
      </c>
      <c r="B964" s="1" t="n">
        <v>45770.42762731481</v>
      </c>
      <c r="C964" s="1" t="n">
        <v>46033</v>
      </c>
      <c r="D964" t="inlineStr">
        <is>
          <t>JÄMTLANDS LÄN</t>
        </is>
      </c>
      <c r="E964" t="inlineStr">
        <is>
          <t>BERG</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9478-2024</t>
        </is>
      </c>
      <c r="B965" s="1" t="n">
        <v>45359.5732175926</v>
      </c>
      <c r="C965" s="1" t="n">
        <v>46033</v>
      </c>
      <c r="D965" t="inlineStr">
        <is>
          <t>JÄMTLANDS LÄN</t>
        </is>
      </c>
      <c r="E965" t="inlineStr">
        <is>
          <t>BERG</t>
        </is>
      </c>
      <c r="G965" t="n">
        <v>6.2</v>
      </c>
      <c r="H965" t="n">
        <v>0</v>
      </c>
      <c r="I965" t="n">
        <v>0</v>
      </c>
      <c r="J965" t="n">
        <v>0</v>
      </c>
      <c r="K965" t="n">
        <v>0</v>
      </c>
      <c r="L965" t="n">
        <v>0</v>
      </c>
      <c r="M965" t="n">
        <v>0</v>
      </c>
      <c r="N965" t="n">
        <v>0</v>
      </c>
      <c r="O965" t="n">
        <v>0</v>
      </c>
      <c r="P965" t="n">
        <v>0</v>
      </c>
      <c r="Q965" t="n">
        <v>0</v>
      </c>
      <c r="R965" s="2" t="inlineStr"/>
    </row>
    <row r="966" ht="15" customHeight="1">
      <c r="A966" t="inlineStr">
        <is>
          <t>A 21156-2025</t>
        </is>
      </c>
      <c r="B966" s="1" t="n">
        <v>45779.37599537037</v>
      </c>
      <c r="C966" s="1" t="n">
        <v>46033</v>
      </c>
      <c r="D966" t="inlineStr">
        <is>
          <t>JÄMTLANDS LÄN</t>
        </is>
      </c>
      <c r="E966" t="inlineStr">
        <is>
          <t>BERG</t>
        </is>
      </c>
      <c r="F966" t="inlineStr">
        <is>
          <t>Holmen skog AB</t>
        </is>
      </c>
      <c r="G966" t="n">
        <v>5.2</v>
      </c>
      <c r="H966" t="n">
        <v>0</v>
      </c>
      <c r="I966" t="n">
        <v>0</v>
      </c>
      <c r="J966" t="n">
        <v>0</v>
      </c>
      <c r="K966" t="n">
        <v>0</v>
      </c>
      <c r="L966" t="n">
        <v>0</v>
      </c>
      <c r="M966" t="n">
        <v>0</v>
      </c>
      <c r="N966" t="n">
        <v>0</v>
      </c>
      <c r="O966" t="n">
        <v>0</v>
      </c>
      <c r="P966" t="n">
        <v>0</v>
      </c>
      <c r="Q966" t="n">
        <v>0</v>
      </c>
      <c r="R966" s="2" t="inlineStr"/>
    </row>
    <row r="967" ht="15" customHeight="1">
      <c r="A967" t="inlineStr">
        <is>
          <t>A 21472-2025</t>
        </is>
      </c>
      <c r="B967" s="1" t="n">
        <v>45782.59024305556</v>
      </c>
      <c r="C967" s="1" t="n">
        <v>46033</v>
      </c>
      <c r="D967" t="inlineStr">
        <is>
          <t>JÄMTLANDS LÄN</t>
        </is>
      </c>
      <c r="E967" t="inlineStr">
        <is>
          <t>BERG</t>
        </is>
      </c>
      <c r="G967" t="n">
        <v>21.9</v>
      </c>
      <c r="H967" t="n">
        <v>0</v>
      </c>
      <c r="I967" t="n">
        <v>0</v>
      </c>
      <c r="J967" t="n">
        <v>0</v>
      </c>
      <c r="K967" t="n">
        <v>0</v>
      </c>
      <c r="L967" t="n">
        <v>0</v>
      </c>
      <c r="M967" t="n">
        <v>0</v>
      </c>
      <c r="N967" t="n">
        <v>0</v>
      </c>
      <c r="O967" t="n">
        <v>0</v>
      </c>
      <c r="P967" t="n">
        <v>0</v>
      </c>
      <c r="Q967" t="n">
        <v>0</v>
      </c>
      <c r="R967" s="2" t="inlineStr"/>
    </row>
    <row r="968" ht="15" customHeight="1">
      <c r="A968" t="inlineStr">
        <is>
          <t>A 21292-2025</t>
        </is>
      </c>
      <c r="B968" s="1" t="n">
        <v>45780.39354166666</v>
      </c>
      <c r="C968" s="1" t="n">
        <v>46033</v>
      </c>
      <c r="D968" t="inlineStr">
        <is>
          <t>JÄMTLANDS LÄN</t>
        </is>
      </c>
      <c r="E968" t="inlineStr">
        <is>
          <t>BERG</t>
        </is>
      </c>
      <c r="G968" t="n">
        <v>1.6</v>
      </c>
      <c r="H968" t="n">
        <v>0</v>
      </c>
      <c r="I968" t="n">
        <v>0</v>
      </c>
      <c r="J968" t="n">
        <v>0</v>
      </c>
      <c r="K968" t="n">
        <v>0</v>
      </c>
      <c r="L968" t="n">
        <v>0</v>
      </c>
      <c r="M968" t="n">
        <v>0</v>
      </c>
      <c r="N968" t="n">
        <v>0</v>
      </c>
      <c r="O968" t="n">
        <v>0</v>
      </c>
      <c r="P968" t="n">
        <v>0</v>
      </c>
      <c r="Q968" t="n">
        <v>0</v>
      </c>
      <c r="R968" s="2" t="inlineStr"/>
    </row>
    <row r="969">
      <c r="A969" t="inlineStr">
        <is>
          <t>A 32020-2023</t>
        </is>
      </c>
      <c r="B969" s="1" t="n">
        <v>45119.49261574074</v>
      </c>
      <c r="C969" s="1" t="n">
        <v>46033</v>
      </c>
      <c r="D969" t="inlineStr">
        <is>
          <t>JÄMTLANDS LÄN</t>
        </is>
      </c>
      <c r="E969" t="inlineStr">
        <is>
          <t>BERG</t>
        </is>
      </c>
      <c r="G969" t="n">
        <v>10.3</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2026-01-11T10:49:50Z</dcterms:created>
  <dcterms:modified xmlns:dcterms="http://purl.org/dc/terms/" xmlns:xsi="http://www.w3.org/2001/XMLSchema-instance" xsi:type="dcterms:W3CDTF">2026-01-11T10:49:51Z</dcterms:modified>
</cp:coreProperties>
</file>