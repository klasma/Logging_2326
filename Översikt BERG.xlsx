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45970</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45970</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45970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45970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45970</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45970</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45970</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18411-2024</t>
        </is>
      </c>
      <c r="B13" s="1" t="n">
        <v>45425</v>
      </c>
      <c r="C13" s="1" t="n">
        <v>45970</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45970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45970</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45970</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45970</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45970</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45970</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45970</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45970</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45970</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45970</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45970</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45970</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45970</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45970</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45970</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45970</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45970</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45970</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45970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45970</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45970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45970</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45970</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45970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45889.40723379629</v>
      </c>
      <c r="C41" s="1" t="n">
        <v>45970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45970</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45970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45970</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45970</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45970</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45970</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45970</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45970</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45970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45970</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45970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45970</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49626-2024</t>
        </is>
      </c>
      <c r="B54" s="1" t="n">
        <v>45596.59109953704</v>
      </c>
      <c r="C54" s="1" t="n">
        <v>45970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17078-2024</t>
        </is>
      </c>
      <c r="B55" s="1" t="n">
        <v>45412</v>
      </c>
      <c r="C55" s="1" t="n">
        <v>45970</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45970</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16508-2021</t>
        </is>
      </c>
      <c r="B57" s="1" t="n">
        <v>44293</v>
      </c>
      <c r="C57" s="1" t="n">
        <v>45970</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27957-2025</t>
        </is>
      </c>
      <c r="B58" s="1" t="n">
        <v>45817.53871527778</v>
      </c>
      <c r="C58" s="1" t="n">
        <v>45970</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27571-2025</t>
        </is>
      </c>
      <c r="B59" s="1" t="n">
        <v>45813.49040509259</v>
      </c>
      <c r="C59" s="1" t="n">
        <v>45970</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54406-2023</t>
        </is>
      </c>
      <c r="B60" s="1" t="n">
        <v>45233.38612268519</v>
      </c>
      <c r="C60" s="1" t="n">
        <v>45970</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12973-2024</t>
        </is>
      </c>
      <c r="B61" s="1" t="n">
        <v>45385.51104166666</v>
      </c>
      <c r="C61" s="1" t="n">
        <v>45970</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45970</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45970</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45970</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12966-2024</t>
        </is>
      </c>
      <c r="B65" s="1" t="n">
        <v>45385.50025462963</v>
      </c>
      <c r="C65" s="1" t="n">
        <v>45970</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45970</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19530-2025</t>
        </is>
      </c>
      <c r="B67" s="1" t="n">
        <v>45770.46903935185</v>
      </c>
      <c r="C67" s="1" t="n">
        <v>45970</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56203-2021</t>
        </is>
      </c>
      <c r="B68" s="1" t="n">
        <v>44477</v>
      </c>
      <c r="C68" s="1" t="n">
        <v>45970</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45970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45970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45970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7891-2022</t>
        </is>
      </c>
      <c r="B72" s="1" t="n">
        <v>44607</v>
      </c>
      <c r="C72" s="1" t="n">
        <v>45970</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37381-2022</t>
        </is>
      </c>
      <c r="B73" s="1" t="n">
        <v>44806</v>
      </c>
      <c r="C73" s="1" t="n">
        <v>45970</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46938-2025</t>
        </is>
      </c>
      <c r="B74" s="1" t="n">
        <v>45929.45290509259</v>
      </c>
      <c r="C74" s="1" t="n">
        <v>45970</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59823-2022</t>
        </is>
      </c>
      <c r="B75" s="1" t="n">
        <v>44900</v>
      </c>
      <c r="C75" s="1" t="n">
        <v>45970</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12962-2024</t>
        </is>
      </c>
      <c r="B76" s="1" t="n">
        <v>45385.49314814815</v>
      </c>
      <c r="C76" s="1" t="n">
        <v>45970</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45424-2024</t>
        </is>
      </c>
      <c r="B77" s="1" t="n">
        <v>45576.60398148148</v>
      </c>
      <c r="C77" s="1" t="n">
        <v>45970</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56224-2024</t>
        </is>
      </c>
      <c r="B78" s="1" t="n">
        <v>45624.61491898148</v>
      </c>
      <c r="C78" s="1" t="n">
        <v>45970</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40913-2025</t>
        </is>
      </c>
      <c r="B79" s="1" t="n">
        <v>45897.61719907408</v>
      </c>
      <c r="C79" s="1" t="n">
        <v>45970</v>
      </c>
      <c r="D79" t="inlineStr">
        <is>
          <t>JÄMTLANDS LÄN</t>
        </is>
      </c>
      <c r="E79" t="inlineStr">
        <is>
          <t>BERG</t>
        </is>
      </c>
      <c r="F79" t="inlineStr">
        <is>
          <t>SCA</t>
        </is>
      </c>
      <c r="G79" t="n">
        <v>11.3</v>
      </c>
      <c r="H79" t="n">
        <v>0</v>
      </c>
      <c r="I79" t="n">
        <v>0</v>
      </c>
      <c r="J79" t="n">
        <v>3</v>
      </c>
      <c r="K79" t="n">
        <v>1</v>
      </c>
      <c r="L79" t="n">
        <v>0</v>
      </c>
      <c r="M79" t="n">
        <v>0</v>
      </c>
      <c r="N79" t="n">
        <v>0</v>
      </c>
      <c r="O79" t="n">
        <v>4</v>
      </c>
      <c r="P79" t="n">
        <v>1</v>
      </c>
      <c r="Q79" t="n">
        <v>4</v>
      </c>
      <c r="R79" s="2" t="inlineStr">
        <is>
          <t>Gräddporing
Blanksvart spiklav
Dvärgbägarlav
Nordtagging</t>
        </is>
      </c>
      <c r="S79">
        <f>HYPERLINK("https://klasma.github.io/Logging_2326/artfynd/A 40913-2025 artfynd.xlsx", "A 40913-2025")</f>
        <v/>
      </c>
      <c r="T79">
        <f>HYPERLINK("https://klasma.github.io/Logging_2326/kartor/A 40913-2025 karta.png", "A 40913-2025")</f>
        <v/>
      </c>
      <c r="V79">
        <f>HYPERLINK("https://klasma.github.io/Logging_2326/klagomål/A 40913-2025 FSC-klagomål.docx", "A 40913-2025")</f>
        <v/>
      </c>
      <c r="W79">
        <f>HYPERLINK("https://klasma.github.io/Logging_2326/klagomålsmail/A 40913-2025 FSC-klagomål mail.docx", "A 40913-2025")</f>
        <v/>
      </c>
      <c r="X79">
        <f>HYPERLINK("https://klasma.github.io/Logging_2326/tillsyn/A 40913-2025 tillsynsbegäran.docx", "A 40913-2025")</f>
        <v/>
      </c>
      <c r="Y79">
        <f>HYPERLINK("https://klasma.github.io/Logging_2326/tillsynsmail/A 40913-2025 tillsynsbegäran mail.docx", "A 40913-2025")</f>
        <v/>
      </c>
    </row>
    <row r="80" ht="15" customHeight="1">
      <c r="A80" t="inlineStr">
        <is>
          <t>A 25871-2025</t>
        </is>
      </c>
      <c r="B80" s="1" t="n">
        <v>45804.4903125</v>
      </c>
      <c r="C80" s="1" t="n">
        <v>45970</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45970</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45970</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27100-2025</t>
        </is>
      </c>
      <c r="B83" s="1" t="n">
        <v>45811.67803240741</v>
      </c>
      <c r="C83" s="1" t="n">
        <v>45970</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31715-2025</t>
        </is>
      </c>
      <c r="B84" s="1" t="n">
        <v>45834.45671296296</v>
      </c>
      <c r="C84" s="1" t="n">
        <v>45970</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45970</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38156-2024</t>
        </is>
      </c>
      <c r="B86" s="1" t="n">
        <v>45545</v>
      </c>
      <c r="C86" s="1" t="n">
        <v>45970</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46795-2025</t>
        </is>
      </c>
      <c r="B87" s="1" t="n">
        <v>45926.65668981482</v>
      </c>
      <c r="C87" s="1" t="n">
        <v>45970</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16830-2021</t>
        </is>
      </c>
      <c r="B88" s="1" t="n">
        <v>44293</v>
      </c>
      <c r="C88" s="1" t="n">
        <v>45970</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45970</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45970</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14599-2021</t>
        </is>
      </c>
      <c r="B91" s="1" t="n">
        <v>44279</v>
      </c>
      <c r="C91" s="1" t="n">
        <v>45970</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14218-2021</t>
        </is>
      </c>
      <c r="B92" s="1" t="n">
        <v>44277</v>
      </c>
      <c r="C92" s="1" t="n">
        <v>45970</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54802-2021</t>
        </is>
      </c>
      <c r="B93" s="1" t="n">
        <v>44473</v>
      </c>
      <c r="C93" s="1" t="n">
        <v>45970</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45970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12995-2024</t>
        </is>
      </c>
      <c r="B95" s="1" t="n">
        <v>45385.56458333333</v>
      </c>
      <c r="C95" s="1" t="n">
        <v>45970</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19848-2025</t>
        </is>
      </c>
      <c r="B96" s="1" t="n">
        <v>45771.49020833334</v>
      </c>
      <c r="C96" s="1" t="n">
        <v>45970</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47122-2024</t>
        </is>
      </c>
      <c r="B97" s="1" t="n">
        <v>45586.5674074074</v>
      </c>
      <c r="C97" s="1" t="n">
        <v>45970</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52189-2024</t>
        </is>
      </c>
      <c r="B98" s="1" t="n">
        <v>45608</v>
      </c>
      <c r="C98" s="1" t="n">
        <v>45970</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49611-2025</t>
        </is>
      </c>
      <c r="B99" s="1" t="n">
        <v>45939.5735300926</v>
      </c>
      <c r="C99" s="1" t="n">
        <v>45970</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3062-2025</t>
        </is>
      </c>
      <c r="B100" s="1" t="n">
        <v>45678</v>
      </c>
      <c r="C100" s="1" t="n">
        <v>45970</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6784-2022</t>
        </is>
      </c>
      <c r="B101" s="1" t="n">
        <v>44602</v>
      </c>
      <c r="C101" s="1" t="n">
        <v>45970</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45970</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52007-2025</t>
        </is>
      </c>
      <c r="B103" s="1" t="n">
        <v>45952.59424768519</v>
      </c>
      <c r="C103" s="1" t="n">
        <v>45970</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20242-2025</t>
        </is>
      </c>
      <c r="B104" s="1" t="n">
        <v>45772.69864583333</v>
      </c>
      <c r="C104" s="1" t="n">
        <v>45970</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45970</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37063-2025</t>
        </is>
      </c>
      <c r="B106" s="1" t="n">
        <v>45875.38596064815</v>
      </c>
      <c r="C106" s="1" t="n">
        <v>45970</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45970</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45970</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45970</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8734-2025</t>
        </is>
      </c>
      <c r="B110" s="1" t="n">
        <v>45712.53209490741</v>
      </c>
      <c r="C110" s="1" t="n">
        <v>45970</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47-2023</t>
        </is>
      </c>
      <c r="B111" s="1" t="n">
        <v>44928</v>
      </c>
      <c r="C111" s="1" t="n">
        <v>45970</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10133-2023</t>
        </is>
      </c>
      <c r="B112" s="1" t="n">
        <v>44986</v>
      </c>
      <c r="C112" s="1" t="n">
        <v>45970</v>
      </c>
      <c r="D112" t="inlineStr">
        <is>
          <t>JÄMTLANDS LÄN</t>
        </is>
      </c>
      <c r="E112" t="inlineStr">
        <is>
          <t>BERG</t>
        </is>
      </c>
      <c r="F112" t="inlineStr">
        <is>
          <t>Holmen skog AB</t>
        </is>
      </c>
      <c r="G112" t="n">
        <v>3</v>
      </c>
      <c r="H112" t="n">
        <v>0</v>
      </c>
      <c r="I112" t="n">
        <v>0</v>
      </c>
      <c r="J112" t="n">
        <v>2</v>
      </c>
      <c r="K112" t="n">
        <v>0</v>
      </c>
      <c r="L112" t="n">
        <v>0</v>
      </c>
      <c r="M112" t="n">
        <v>0</v>
      </c>
      <c r="N112" t="n">
        <v>0</v>
      </c>
      <c r="O112" t="n">
        <v>2</v>
      </c>
      <c r="P112" t="n">
        <v>0</v>
      </c>
      <c r="Q112" t="n">
        <v>2</v>
      </c>
      <c r="R112" s="2" t="inlineStr">
        <is>
          <t>Garnlav
Vitgrynig nållav</t>
        </is>
      </c>
      <c r="S112">
        <f>HYPERLINK("https://klasma.github.io/Logging_2326/artfynd/A 10133-2023 artfynd.xlsx", "A 10133-2023")</f>
        <v/>
      </c>
      <c r="T112">
        <f>HYPERLINK("https://klasma.github.io/Logging_2326/kartor/A 10133-2023 karta.png", "A 10133-2023")</f>
        <v/>
      </c>
      <c r="V112">
        <f>HYPERLINK("https://klasma.github.io/Logging_2326/klagomål/A 10133-2023 FSC-klagomål.docx", "A 10133-2023")</f>
        <v/>
      </c>
      <c r="W112">
        <f>HYPERLINK("https://klasma.github.io/Logging_2326/klagomålsmail/A 10133-2023 FSC-klagomål mail.docx", "A 10133-2023")</f>
        <v/>
      </c>
      <c r="X112">
        <f>HYPERLINK("https://klasma.github.io/Logging_2326/tillsyn/A 10133-2023 tillsynsbegäran.docx", "A 10133-2023")</f>
        <v/>
      </c>
      <c r="Y112">
        <f>HYPERLINK("https://klasma.github.io/Logging_2326/tillsynsmail/A 10133-2023 tillsynsbegäran mail.docx", "A 10133-2023")</f>
        <v/>
      </c>
    </row>
    <row r="113" ht="15" customHeight="1">
      <c r="A113" t="inlineStr">
        <is>
          <t>A 37387-2022</t>
        </is>
      </c>
      <c r="B113" s="1" t="n">
        <v>44806</v>
      </c>
      <c r="C113" s="1" t="n">
        <v>45970</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59786-2020</t>
        </is>
      </c>
      <c r="B114" s="1" t="n">
        <v>44148</v>
      </c>
      <c r="C114" s="1" t="n">
        <v>45970</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45970</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48880-2023</t>
        </is>
      </c>
      <c r="B116" s="1" t="n">
        <v>45209</v>
      </c>
      <c r="C116" s="1" t="n">
        <v>45970</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47858-2025</t>
        </is>
      </c>
      <c r="B117" s="1" t="n">
        <v>45932.40699074074</v>
      </c>
      <c r="C117" s="1" t="n">
        <v>45970</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55331-2023</t>
        </is>
      </c>
      <c r="B118" s="1" t="n">
        <v>45237</v>
      </c>
      <c r="C118" s="1" t="n">
        <v>45970</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27919-2024</t>
        </is>
      </c>
      <c r="B119" s="1" t="n">
        <v>45475.94865740741</v>
      </c>
      <c r="C119" s="1" t="n">
        <v>45970</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45970</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14344-2025</t>
        </is>
      </c>
      <c r="B121" s="1" t="n">
        <v>45741</v>
      </c>
      <c r="C121" s="1" t="n">
        <v>45970</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60333-2024</t>
        </is>
      </c>
      <c r="B122" s="1" t="n">
        <v>45643</v>
      </c>
      <c r="C122" s="1" t="n">
        <v>45970</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12734-2024</t>
        </is>
      </c>
      <c r="B123" s="1" t="n">
        <v>45384</v>
      </c>
      <c r="C123" s="1" t="n">
        <v>45970</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12745-2024</t>
        </is>
      </c>
      <c r="B124" s="1" t="n">
        <v>45384</v>
      </c>
      <c r="C124" s="1" t="n">
        <v>45970</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26944-2024</t>
        </is>
      </c>
      <c r="B125" s="1" t="n">
        <v>45470.96880787037</v>
      </c>
      <c r="C125" s="1" t="n">
        <v>45970</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50389-2025</t>
        </is>
      </c>
      <c r="B126" s="1" t="n">
        <v>45944.61539351852</v>
      </c>
      <c r="C126" s="1" t="n">
        <v>45970</v>
      </c>
      <c r="D126" t="inlineStr">
        <is>
          <t>JÄMTLANDS LÄN</t>
        </is>
      </c>
      <c r="E126" t="inlineStr">
        <is>
          <t>BERG</t>
        </is>
      </c>
      <c r="F126" t="inlineStr">
        <is>
          <t>SCA</t>
        </is>
      </c>
      <c r="G126" t="n">
        <v>11.4</v>
      </c>
      <c r="H126" t="n">
        <v>1</v>
      </c>
      <c r="I126" t="n">
        <v>0</v>
      </c>
      <c r="J126" t="n">
        <v>0</v>
      </c>
      <c r="K126" t="n">
        <v>0</v>
      </c>
      <c r="L126" t="n">
        <v>0</v>
      </c>
      <c r="M126" t="n">
        <v>0</v>
      </c>
      <c r="N126" t="n">
        <v>0</v>
      </c>
      <c r="O126" t="n">
        <v>1</v>
      </c>
      <c r="P126" t="n">
        <v>0</v>
      </c>
      <c r="Q126" t="n">
        <v>2</v>
      </c>
      <c r="R126" s="2" t="inlineStr">
        <is>
          <t>Halsfibbla
Fläcknycklar</t>
        </is>
      </c>
      <c r="S126">
        <f>HYPERLINK("https://klasma.github.io/Logging_2326/artfynd/A 50389-2025 artfynd.xlsx", "A 50389-2025")</f>
        <v/>
      </c>
      <c r="T126">
        <f>HYPERLINK("https://klasma.github.io/Logging_2326/kartor/A 50389-2025 karta.png", "A 50389-2025")</f>
        <v/>
      </c>
      <c r="V126">
        <f>HYPERLINK("https://klasma.github.io/Logging_2326/klagomål/A 50389-2025 FSC-klagomål.docx", "A 50389-2025")</f>
        <v/>
      </c>
      <c r="W126">
        <f>HYPERLINK("https://klasma.github.io/Logging_2326/klagomålsmail/A 50389-2025 FSC-klagomål mail.docx", "A 50389-2025")</f>
        <v/>
      </c>
      <c r="X126">
        <f>HYPERLINK("https://klasma.github.io/Logging_2326/tillsyn/A 50389-2025 tillsynsbegäran.docx", "A 50389-2025")</f>
        <v/>
      </c>
      <c r="Y126">
        <f>HYPERLINK("https://klasma.github.io/Logging_2326/tillsynsmail/A 50389-2025 tillsynsbegäran mail.docx", "A 50389-2025")</f>
        <v/>
      </c>
    </row>
    <row r="127" ht="15" customHeight="1">
      <c r="A127" t="inlineStr">
        <is>
          <t>A 28769-2024</t>
        </is>
      </c>
      <c r="B127" s="1" t="n">
        <v>45478</v>
      </c>
      <c r="C127" s="1" t="n">
        <v>45970</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42120-2025</t>
        </is>
      </c>
      <c r="B128" s="1" t="n">
        <v>45904.34236111111</v>
      </c>
      <c r="C128" s="1" t="n">
        <v>45970</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26748-2025</t>
        </is>
      </c>
      <c r="B129" s="1" t="n">
        <v>45810.53988425926</v>
      </c>
      <c r="C129" s="1" t="n">
        <v>45970</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45970</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52611-2025</t>
        </is>
      </c>
      <c r="B131" s="1" t="n">
        <v>45954.66971064815</v>
      </c>
      <c r="C131" s="1" t="n">
        <v>45970</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45970</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45771.65668981482</v>
      </c>
      <c r="C133" s="1" t="n">
        <v>45970</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31709-2025</t>
        </is>
      </c>
      <c r="B134" s="1" t="n">
        <v>45834.42543981481</v>
      </c>
      <c r="C134" s="1" t="n">
        <v>45970</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30334-2024</t>
        </is>
      </c>
      <c r="B135" s="1" t="n">
        <v>45490.95396990741</v>
      </c>
      <c r="C135" s="1" t="n">
        <v>45970</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16834-2021</t>
        </is>
      </c>
      <c r="B136" s="1" t="n">
        <v>44293</v>
      </c>
      <c r="C136" s="1" t="n">
        <v>45970</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45970</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53086-2024</t>
        </is>
      </c>
      <c r="B138" s="1" t="n">
        <v>45611.51084490741</v>
      </c>
      <c r="C138" s="1" t="n">
        <v>45970</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32686-2022</t>
        </is>
      </c>
      <c r="B139" s="1" t="n">
        <v>44776</v>
      </c>
      <c r="C139" s="1" t="n">
        <v>45970</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41317-2022</t>
        </is>
      </c>
      <c r="B140" s="1" t="n">
        <v>44826</v>
      </c>
      <c r="C140" s="1" t="n">
        <v>45970</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40382-2024</t>
        </is>
      </c>
      <c r="B141" s="1" t="n">
        <v>45555.42225694445</v>
      </c>
      <c r="C141" s="1" t="n">
        <v>45970</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56202-2021</t>
        </is>
      </c>
      <c r="B142" s="1" t="n">
        <v>44477</v>
      </c>
      <c r="C142" s="1" t="n">
        <v>45970</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39001-2025</t>
        </is>
      </c>
      <c r="B143" s="1" t="n">
        <v>45888.344375</v>
      </c>
      <c r="C143" s="1" t="n">
        <v>45970</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40440-2024</t>
        </is>
      </c>
      <c r="B144" s="1" t="n">
        <v>45555.48267361111</v>
      </c>
      <c r="C144" s="1" t="n">
        <v>45970</v>
      </c>
      <c r="D144" t="inlineStr">
        <is>
          <t>JÄMTLANDS LÄN</t>
        </is>
      </c>
      <c r="E144" t="inlineStr">
        <is>
          <t>BERG</t>
        </is>
      </c>
      <c r="G144" t="n">
        <v>3.6</v>
      </c>
      <c r="H144" t="n">
        <v>1</v>
      </c>
      <c r="I144" t="n">
        <v>0</v>
      </c>
      <c r="J144" t="n">
        <v>0</v>
      </c>
      <c r="K144" t="n">
        <v>0</v>
      </c>
      <c r="L144" t="n">
        <v>0</v>
      </c>
      <c r="M144" t="n">
        <v>0</v>
      </c>
      <c r="N144" t="n">
        <v>0</v>
      </c>
      <c r="O144" t="n">
        <v>0</v>
      </c>
      <c r="P144" t="n">
        <v>0</v>
      </c>
      <c r="Q144" t="n">
        <v>1</v>
      </c>
      <c r="R144" s="2" t="inlineStr">
        <is>
          <t>Fläcknycklar</t>
        </is>
      </c>
      <c r="S144">
        <f>HYPERLINK("https://klasma.github.io/Logging_2326/artfynd/A 40440-2024 artfynd.xlsx", "A 40440-2024")</f>
        <v/>
      </c>
      <c r="T144">
        <f>HYPERLINK("https://klasma.github.io/Logging_2326/kartor/A 40440-2024 karta.png", "A 40440-2024")</f>
        <v/>
      </c>
      <c r="V144">
        <f>HYPERLINK("https://klasma.github.io/Logging_2326/klagomål/A 40440-2024 FSC-klagomål.docx", "A 40440-2024")</f>
        <v/>
      </c>
      <c r="W144">
        <f>HYPERLINK("https://klasma.github.io/Logging_2326/klagomålsmail/A 40440-2024 FSC-klagomål mail.docx", "A 40440-2024")</f>
        <v/>
      </c>
      <c r="X144">
        <f>HYPERLINK("https://klasma.github.io/Logging_2326/tillsyn/A 40440-2024 tillsynsbegäran.docx", "A 40440-2024")</f>
        <v/>
      </c>
      <c r="Y144">
        <f>HYPERLINK("https://klasma.github.io/Logging_2326/tillsynsmail/A 40440-2024 tillsynsbegäran mail.docx", "A 40440-2024")</f>
        <v/>
      </c>
    </row>
    <row r="145" ht="15" customHeight="1">
      <c r="A145" t="inlineStr">
        <is>
          <t>A 47946-2025</t>
        </is>
      </c>
      <c r="B145" s="1" t="n">
        <v>45932.57346064815</v>
      </c>
      <c r="C145" s="1" t="n">
        <v>45970</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33083-2024</t>
        </is>
      </c>
      <c r="B146" s="1" t="n">
        <v>45517.675</v>
      </c>
      <c r="C146" s="1" t="n">
        <v>45970</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68434-2021</t>
        </is>
      </c>
      <c r="B147" s="1" t="n">
        <v>44529</v>
      </c>
      <c r="C147" s="1" t="n">
        <v>45970</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45970</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34891-2024</t>
        </is>
      </c>
      <c r="B149" s="1" t="n">
        <v>45527.36498842593</v>
      </c>
      <c r="C149" s="1" t="n">
        <v>45970</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9657-2023</t>
        </is>
      </c>
      <c r="B150" s="1" t="n">
        <v>44978</v>
      </c>
      <c r="C150" s="1" t="n">
        <v>45970</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47656-2025</t>
        </is>
      </c>
      <c r="B151" s="1" t="n">
        <v>45931.55247685185</v>
      </c>
      <c r="C151" s="1" t="n">
        <v>45970</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45970</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41635-2024</t>
        </is>
      </c>
      <c r="B153" s="1" t="n">
        <v>45560.61601851852</v>
      </c>
      <c r="C153" s="1" t="n">
        <v>45970</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54595-2024</t>
        </is>
      </c>
      <c r="B154" s="1" t="n">
        <v>45617.67353009259</v>
      </c>
      <c r="C154" s="1" t="n">
        <v>45970</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21681-2025</t>
        </is>
      </c>
      <c r="B155" s="1" t="n">
        <v>45783.49015046296</v>
      </c>
      <c r="C155" s="1" t="n">
        <v>45970</v>
      </c>
      <c r="D155" t="inlineStr">
        <is>
          <t>JÄMTLANDS LÄN</t>
        </is>
      </c>
      <c r="E155" t="inlineStr">
        <is>
          <t>BERG</t>
        </is>
      </c>
      <c r="F155" t="inlineStr">
        <is>
          <t>SCA</t>
        </is>
      </c>
      <c r="G155" t="n">
        <v>10.2</v>
      </c>
      <c r="H155" t="n">
        <v>0</v>
      </c>
      <c r="I155" t="n">
        <v>0</v>
      </c>
      <c r="J155" t="n">
        <v>0</v>
      </c>
      <c r="K155" t="n">
        <v>1</v>
      </c>
      <c r="L155" t="n">
        <v>0</v>
      </c>
      <c r="M155" t="n">
        <v>0</v>
      </c>
      <c r="N155" t="n">
        <v>0</v>
      </c>
      <c r="O155" t="n">
        <v>1</v>
      </c>
      <c r="P155" t="n">
        <v>1</v>
      </c>
      <c r="Q155" t="n">
        <v>1</v>
      </c>
      <c r="R155" s="2" t="inlineStr">
        <is>
          <t>Gräddporing</t>
        </is>
      </c>
      <c r="S155">
        <f>HYPERLINK("https://klasma.github.io/Logging_2326/artfynd/A 21681-2025 artfynd.xlsx", "A 21681-2025")</f>
        <v/>
      </c>
      <c r="T155">
        <f>HYPERLINK("https://klasma.github.io/Logging_2326/kartor/A 21681-2025 karta.png", "A 21681-2025")</f>
        <v/>
      </c>
      <c r="V155">
        <f>HYPERLINK("https://klasma.github.io/Logging_2326/klagomål/A 21681-2025 FSC-klagomål.docx", "A 21681-2025")</f>
        <v/>
      </c>
      <c r="W155">
        <f>HYPERLINK("https://klasma.github.io/Logging_2326/klagomålsmail/A 21681-2025 FSC-klagomål mail.docx", "A 21681-2025")</f>
        <v/>
      </c>
      <c r="X155">
        <f>HYPERLINK("https://klasma.github.io/Logging_2326/tillsyn/A 21681-2025 tillsynsbegäran.docx", "A 21681-2025")</f>
        <v/>
      </c>
      <c r="Y155">
        <f>HYPERLINK("https://klasma.github.io/Logging_2326/tillsynsmail/A 21681-2025 tillsynsbegäran mail.docx", "A 21681-2025")</f>
        <v/>
      </c>
    </row>
    <row r="156" ht="15" customHeight="1">
      <c r="A156" t="inlineStr">
        <is>
          <t>A 53708-2024</t>
        </is>
      </c>
      <c r="B156" s="1" t="n">
        <v>45615.40983796296</v>
      </c>
      <c r="C156" s="1" t="n">
        <v>45970</v>
      </c>
      <c r="D156" t="inlineStr">
        <is>
          <t>JÄMTLANDS LÄN</t>
        </is>
      </c>
      <c r="E156" t="inlineStr">
        <is>
          <t>BERG</t>
        </is>
      </c>
      <c r="G156" t="n">
        <v>8.199999999999999</v>
      </c>
      <c r="H156" t="n">
        <v>0</v>
      </c>
      <c r="I156" t="n">
        <v>0</v>
      </c>
      <c r="J156" t="n">
        <v>1</v>
      </c>
      <c r="K156" t="n">
        <v>0</v>
      </c>
      <c r="L156" t="n">
        <v>0</v>
      </c>
      <c r="M156" t="n">
        <v>0</v>
      </c>
      <c r="N156" t="n">
        <v>0</v>
      </c>
      <c r="O156" t="n">
        <v>1</v>
      </c>
      <c r="P156" t="n">
        <v>0</v>
      </c>
      <c r="Q156" t="n">
        <v>1</v>
      </c>
      <c r="R156" s="2" t="inlineStr">
        <is>
          <t>Lunglav</t>
        </is>
      </c>
      <c r="S156">
        <f>HYPERLINK("https://klasma.github.io/Logging_2326/artfynd/A 53708-2024 artfynd.xlsx", "A 53708-2024")</f>
        <v/>
      </c>
      <c r="T156">
        <f>HYPERLINK("https://klasma.github.io/Logging_2326/kartor/A 53708-2024 karta.png", "A 53708-2024")</f>
        <v/>
      </c>
      <c r="V156">
        <f>HYPERLINK("https://klasma.github.io/Logging_2326/klagomål/A 53708-2024 FSC-klagomål.docx", "A 53708-2024")</f>
        <v/>
      </c>
      <c r="W156">
        <f>HYPERLINK("https://klasma.github.io/Logging_2326/klagomålsmail/A 53708-2024 FSC-klagomål mail.docx", "A 53708-2024")</f>
        <v/>
      </c>
      <c r="X156">
        <f>HYPERLINK("https://klasma.github.io/Logging_2326/tillsyn/A 53708-2024 tillsynsbegäran.docx", "A 53708-2024")</f>
        <v/>
      </c>
      <c r="Y156">
        <f>HYPERLINK("https://klasma.github.io/Logging_2326/tillsynsmail/A 53708-2024 tillsynsbegäran mail.docx", "A 53708-2024")</f>
        <v/>
      </c>
    </row>
    <row r="157" ht="15" customHeight="1">
      <c r="A157" t="inlineStr">
        <is>
          <t>A 33126-2024</t>
        </is>
      </c>
      <c r="B157" s="1" t="n">
        <v>45517.9575462963</v>
      </c>
      <c r="C157" s="1" t="n">
        <v>45970</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20808-2024</t>
        </is>
      </c>
      <c r="B158" s="1" t="n">
        <v>45439</v>
      </c>
      <c r="C158" s="1" t="n">
        <v>45970</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49049-2024</t>
        </is>
      </c>
      <c r="B159" s="1" t="n">
        <v>45594.5742824074</v>
      </c>
      <c r="C159" s="1" t="n">
        <v>45970</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24331-2025</t>
        </is>
      </c>
      <c r="B160" s="1" t="n">
        <v>45797</v>
      </c>
      <c r="C160" s="1" t="n">
        <v>45970</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23177-2024</t>
        </is>
      </c>
      <c r="B161" s="1" t="n">
        <v>45450</v>
      </c>
      <c r="C161" s="1" t="n">
        <v>45970</v>
      </c>
      <c r="D161" t="inlineStr">
        <is>
          <t>JÄMTLANDS LÄN</t>
        </is>
      </c>
      <c r="E161" t="inlineStr">
        <is>
          <t>BERG</t>
        </is>
      </c>
      <c r="F161" t="inlineStr">
        <is>
          <t>SCA</t>
        </is>
      </c>
      <c r="G161" t="n">
        <v>3.2</v>
      </c>
      <c r="H161" t="n">
        <v>0</v>
      </c>
      <c r="I161" t="n">
        <v>1</v>
      </c>
      <c r="J161" t="n">
        <v>0</v>
      </c>
      <c r="K161" t="n">
        <v>0</v>
      </c>
      <c r="L161" t="n">
        <v>0</v>
      </c>
      <c r="M161" t="n">
        <v>0</v>
      </c>
      <c r="N161" t="n">
        <v>0</v>
      </c>
      <c r="O161" t="n">
        <v>0</v>
      </c>
      <c r="P161" t="n">
        <v>0</v>
      </c>
      <c r="Q161" t="n">
        <v>1</v>
      </c>
      <c r="R161" s="2" t="inlineStr">
        <is>
          <t>Stuplav</t>
        </is>
      </c>
      <c r="S161">
        <f>HYPERLINK("https://klasma.github.io/Logging_2326/artfynd/A 23177-2024 artfynd.xlsx", "A 23177-2024")</f>
        <v/>
      </c>
      <c r="T161">
        <f>HYPERLINK("https://klasma.github.io/Logging_2326/kartor/A 23177-2024 karta.png", "A 23177-2024")</f>
        <v/>
      </c>
      <c r="V161">
        <f>HYPERLINK("https://klasma.github.io/Logging_2326/klagomål/A 23177-2024 FSC-klagomål.docx", "A 23177-2024")</f>
        <v/>
      </c>
      <c r="W161">
        <f>HYPERLINK("https://klasma.github.io/Logging_2326/klagomålsmail/A 23177-2024 FSC-klagomål mail.docx", "A 23177-2024")</f>
        <v/>
      </c>
      <c r="X161">
        <f>HYPERLINK("https://klasma.github.io/Logging_2326/tillsyn/A 23177-2024 tillsynsbegäran.docx", "A 23177-2024")</f>
        <v/>
      </c>
      <c r="Y161">
        <f>HYPERLINK("https://klasma.github.io/Logging_2326/tillsynsmail/A 23177-2024 tillsynsbegäran mail.docx", "A 23177-2024")</f>
        <v/>
      </c>
    </row>
    <row r="162" ht="15" customHeight="1">
      <c r="A162" t="inlineStr">
        <is>
          <t>A 50556-2024</t>
        </is>
      </c>
      <c r="B162" s="1" t="n">
        <v>45601.59604166666</v>
      </c>
      <c r="C162" s="1" t="n">
        <v>45970</v>
      </c>
      <c r="D162" t="inlineStr">
        <is>
          <t>JÄMTLANDS LÄN</t>
        </is>
      </c>
      <c r="E162" t="inlineStr">
        <is>
          <t>BERG</t>
        </is>
      </c>
      <c r="G162" t="n">
        <v>5.7</v>
      </c>
      <c r="H162" t="n">
        <v>0</v>
      </c>
      <c r="I162" t="n">
        <v>0</v>
      </c>
      <c r="J162" t="n">
        <v>1</v>
      </c>
      <c r="K162" t="n">
        <v>0</v>
      </c>
      <c r="L162" t="n">
        <v>0</v>
      </c>
      <c r="M162" t="n">
        <v>0</v>
      </c>
      <c r="N162" t="n">
        <v>0</v>
      </c>
      <c r="O162" t="n">
        <v>1</v>
      </c>
      <c r="P162" t="n">
        <v>0</v>
      </c>
      <c r="Q162" t="n">
        <v>1</v>
      </c>
      <c r="R162" s="2" t="inlineStr">
        <is>
          <t>Kalkbräken</t>
        </is>
      </c>
      <c r="S162">
        <f>HYPERLINK("https://klasma.github.io/Logging_2326/artfynd/A 50556-2024 artfynd.xlsx", "A 50556-2024")</f>
        <v/>
      </c>
      <c r="T162">
        <f>HYPERLINK("https://klasma.github.io/Logging_2326/kartor/A 50556-2024 karta.png", "A 50556-2024")</f>
        <v/>
      </c>
      <c r="V162">
        <f>HYPERLINK("https://klasma.github.io/Logging_2326/klagomål/A 50556-2024 FSC-klagomål.docx", "A 50556-2024")</f>
        <v/>
      </c>
      <c r="W162">
        <f>HYPERLINK("https://klasma.github.io/Logging_2326/klagomålsmail/A 50556-2024 FSC-klagomål mail.docx", "A 50556-2024")</f>
        <v/>
      </c>
      <c r="X162">
        <f>HYPERLINK("https://klasma.github.io/Logging_2326/tillsyn/A 50556-2024 tillsynsbegäran.docx", "A 50556-2024")</f>
        <v/>
      </c>
      <c r="Y162">
        <f>HYPERLINK("https://klasma.github.io/Logging_2326/tillsynsmail/A 50556-2024 tillsynsbegäran mail.docx", "A 50556-2024")</f>
        <v/>
      </c>
    </row>
    <row r="163" ht="15" customHeight="1">
      <c r="A163" t="inlineStr">
        <is>
          <t>A 25556-2025</t>
        </is>
      </c>
      <c r="B163" s="1" t="n">
        <v>45803.45106481481</v>
      </c>
      <c r="C163" s="1" t="n">
        <v>45970</v>
      </c>
      <c r="D163" t="inlineStr">
        <is>
          <t>JÄMTLANDS LÄN</t>
        </is>
      </c>
      <c r="E163" t="inlineStr">
        <is>
          <t>BERG</t>
        </is>
      </c>
      <c r="G163" t="n">
        <v>6.2</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25556-2025 artfynd.xlsx", "A 25556-2025")</f>
        <v/>
      </c>
      <c r="T163">
        <f>HYPERLINK("https://klasma.github.io/Logging_2326/kartor/A 25556-2025 karta.png", "A 25556-2025")</f>
        <v/>
      </c>
      <c r="V163">
        <f>HYPERLINK("https://klasma.github.io/Logging_2326/klagomål/A 25556-2025 FSC-klagomål.docx", "A 25556-2025")</f>
        <v/>
      </c>
      <c r="W163">
        <f>HYPERLINK("https://klasma.github.io/Logging_2326/klagomålsmail/A 25556-2025 FSC-klagomål mail.docx", "A 25556-2025")</f>
        <v/>
      </c>
      <c r="X163">
        <f>HYPERLINK("https://klasma.github.io/Logging_2326/tillsyn/A 25556-2025 tillsynsbegäran.docx", "A 25556-2025")</f>
        <v/>
      </c>
      <c r="Y163">
        <f>HYPERLINK("https://klasma.github.io/Logging_2326/tillsynsmail/A 25556-2025 tillsynsbegäran mail.docx", "A 25556-2025")</f>
        <v/>
      </c>
      <c r="Z163">
        <f>HYPERLINK("https://klasma.github.io/Logging_2326/fåglar/A 25556-2025 prioriterade fågelarter.docx", "A 25556-2025")</f>
        <v/>
      </c>
    </row>
    <row r="164" ht="15" customHeight="1">
      <c r="A164" t="inlineStr">
        <is>
          <t>A 24309-2023</t>
        </is>
      </c>
      <c r="B164" s="1" t="n">
        <v>45079</v>
      </c>
      <c r="C164" s="1" t="n">
        <v>45970</v>
      </c>
      <c r="D164" t="inlineStr">
        <is>
          <t>JÄMTLANDS LÄN</t>
        </is>
      </c>
      <c r="E164" t="inlineStr">
        <is>
          <t>BERG</t>
        </is>
      </c>
      <c r="F164" t="inlineStr">
        <is>
          <t>SCA</t>
        </is>
      </c>
      <c r="G164" t="n">
        <v>3.3</v>
      </c>
      <c r="H164" t="n">
        <v>1</v>
      </c>
      <c r="I164" t="n">
        <v>0</v>
      </c>
      <c r="J164" t="n">
        <v>0</v>
      </c>
      <c r="K164" t="n">
        <v>0</v>
      </c>
      <c r="L164" t="n">
        <v>0</v>
      </c>
      <c r="M164" t="n">
        <v>0</v>
      </c>
      <c r="N164" t="n">
        <v>0</v>
      </c>
      <c r="O164" t="n">
        <v>0</v>
      </c>
      <c r="P164" t="n">
        <v>0</v>
      </c>
      <c r="Q164" t="n">
        <v>1</v>
      </c>
      <c r="R164" s="2" t="inlineStr">
        <is>
          <t>Vanlig groda</t>
        </is>
      </c>
      <c r="S164">
        <f>HYPERLINK("https://klasma.github.io/Logging_2326/artfynd/A 24309-2023 artfynd.xlsx", "A 24309-2023")</f>
        <v/>
      </c>
      <c r="T164">
        <f>HYPERLINK("https://klasma.github.io/Logging_2326/kartor/A 24309-2023 karta.png", "A 24309-2023")</f>
        <v/>
      </c>
      <c r="V164">
        <f>HYPERLINK("https://klasma.github.io/Logging_2326/klagomål/A 24309-2023 FSC-klagomål.docx", "A 24309-2023")</f>
        <v/>
      </c>
      <c r="W164">
        <f>HYPERLINK("https://klasma.github.io/Logging_2326/klagomålsmail/A 24309-2023 FSC-klagomål mail.docx", "A 24309-2023")</f>
        <v/>
      </c>
      <c r="X164">
        <f>HYPERLINK("https://klasma.github.io/Logging_2326/tillsyn/A 24309-2023 tillsynsbegäran.docx", "A 24309-2023")</f>
        <v/>
      </c>
      <c r="Y164">
        <f>HYPERLINK("https://klasma.github.io/Logging_2326/tillsynsmail/A 24309-2023 tillsynsbegäran mail.docx", "A 24309-2023")</f>
        <v/>
      </c>
    </row>
    <row r="165" ht="15" customHeight="1">
      <c r="A165" t="inlineStr">
        <is>
          <t>A 32171-2024</t>
        </is>
      </c>
      <c r="B165" s="1" t="n">
        <v>45511</v>
      </c>
      <c r="C165" s="1" t="n">
        <v>45970</v>
      </c>
      <c r="D165" t="inlineStr">
        <is>
          <t>JÄMTLANDS LÄN</t>
        </is>
      </c>
      <c r="E165" t="inlineStr">
        <is>
          <t>BERG</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32171-2024 artfynd.xlsx", "A 32171-2024")</f>
        <v/>
      </c>
      <c r="T165">
        <f>HYPERLINK("https://klasma.github.io/Logging_2326/kartor/A 32171-2024 karta.png", "A 32171-2024")</f>
        <v/>
      </c>
      <c r="V165">
        <f>HYPERLINK("https://klasma.github.io/Logging_2326/klagomål/A 32171-2024 FSC-klagomål.docx", "A 32171-2024")</f>
        <v/>
      </c>
      <c r="W165">
        <f>HYPERLINK("https://klasma.github.io/Logging_2326/klagomålsmail/A 32171-2024 FSC-klagomål mail.docx", "A 32171-2024")</f>
        <v/>
      </c>
      <c r="X165">
        <f>HYPERLINK("https://klasma.github.io/Logging_2326/tillsyn/A 32171-2024 tillsynsbegäran.docx", "A 32171-2024")</f>
        <v/>
      </c>
      <c r="Y165">
        <f>HYPERLINK("https://klasma.github.io/Logging_2326/tillsynsmail/A 32171-2024 tillsynsbegäran mail.docx", "A 32171-2024")</f>
        <v/>
      </c>
      <c r="Z165">
        <f>HYPERLINK("https://klasma.github.io/Logging_2326/fåglar/A 32171-2024 prioriterade fågelarter.docx", "A 32171-2024")</f>
        <v/>
      </c>
    </row>
    <row r="166" ht="15" customHeight="1">
      <c r="A166" t="inlineStr">
        <is>
          <t>A 52193-2024</t>
        </is>
      </c>
      <c r="B166" s="1" t="n">
        <v>45608</v>
      </c>
      <c r="C166" s="1" t="n">
        <v>45970</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44259-2024</t>
        </is>
      </c>
      <c r="B167" s="1" t="n">
        <v>45573</v>
      </c>
      <c r="C167" s="1" t="n">
        <v>45970</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44259-2024 artfynd.xlsx", "A 44259-2024")</f>
        <v/>
      </c>
      <c r="T167">
        <f>HYPERLINK("https://klasma.github.io/Logging_2326/kartor/A 44259-2024 karta.png", "A 44259-2024")</f>
        <v/>
      </c>
      <c r="V167">
        <f>HYPERLINK("https://klasma.github.io/Logging_2326/klagomål/A 44259-2024 FSC-klagomål.docx", "A 44259-2024")</f>
        <v/>
      </c>
      <c r="W167">
        <f>HYPERLINK("https://klasma.github.io/Logging_2326/klagomålsmail/A 44259-2024 FSC-klagomål mail.docx", "A 44259-2024")</f>
        <v/>
      </c>
      <c r="X167">
        <f>HYPERLINK("https://klasma.github.io/Logging_2326/tillsyn/A 44259-2024 tillsynsbegäran.docx", "A 44259-2024")</f>
        <v/>
      </c>
      <c r="Y167">
        <f>HYPERLINK("https://klasma.github.io/Logging_2326/tillsynsmail/A 44259-2024 tillsynsbegäran mail.docx", "A 44259-2024")</f>
        <v/>
      </c>
      <c r="Z167">
        <f>HYPERLINK("https://klasma.github.io/Logging_2326/fåglar/A 44259-2024 prioriterade fågelarter.docx", "A 44259-2024")</f>
        <v/>
      </c>
    </row>
    <row r="168" ht="15" customHeight="1">
      <c r="A168" t="inlineStr">
        <is>
          <t>A 25853-2025</t>
        </is>
      </c>
      <c r="B168" s="1" t="n">
        <v>45804.46908564815</v>
      </c>
      <c r="C168" s="1" t="n">
        <v>45970</v>
      </c>
      <c r="D168" t="inlineStr">
        <is>
          <t>JÄMTLANDS LÄN</t>
        </is>
      </c>
      <c r="E168" t="inlineStr">
        <is>
          <t>BERG</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25853-2025 artfynd.xlsx", "A 25853-2025")</f>
        <v/>
      </c>
      <c r="T168">
        <f>HYPERLINK("https://klasma.github.io/Logging_2326/kartor/A 25853-2025 karta.png", "A 25853-2025")</f>
        <v/>
      </c>
      <c r="V168">
        <f>HYPERLINK("https://klasma.github.io/Logging_2326/klagomål/A 25853-2025 FSC-klagomål.docx", "A 25853-2025")</f>
        <v/>
      </c>
      <c r="W168">
        <f>HYPERLINK("https://klasma.github.io/Logging_2326/klagomålsmail/A 25853-2025 FSC-klagomål mail.docx", "A 25853-2025")</f>
        <v/>
      </c>
      <c r="X168">
        <f>HYPERLINK("https://klasma.github.io/Logging_2326/tillsyn/A 25853-2025 tillsynsbegäran.docx", "A 25853-2025")</f>
        <v/>
      </c>
      <c r="Y168">
        <f>HYPERLINK("https://klasma.github.io/Logging_2326/tillsynsmail/A 25853-2025 tillsynsbegäran mail.docx", "A 25853-2025")</f>
        <v/>
      </c>
      <c r="Z168">
        <f>HYPERLINK("https://klasma.github.io/Logging_2326/fåglar/A 25853-2025 prioriterade fågelarter.docx", "A 25853-2025")</f>
        <v/>
      </c>
    </row>
    <row r="169" ht="15" customHeight="1">
      <c r="A169" t="inlineStr">
        <is>
          <t>A 21370-2025</t>
        </is>
      </c>
      <c r="B169" s="1" t="n">
        <v>45782.4484375</v>
      </c>
      <c r="C169" s="1" t="n">
        <v>45970</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21632-2025</t>
        </is>
      </c>
      <c r="B170" s="1" t="n">
        <v>45783.42753472222</v>
      </c>
      <c r="C170" s="1" t="n">
        <v>45970</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31837-2025</t>
        </is>
      </c>
      <c r="B171" s="1" t="n">
        <v>45834.59467592592</v>
      </c>
      <c r="C171" s="1" t="n">
        <v>45970</v>
      </c>
      <c r="D171" t="inlineStr">
        <is>
          <t>JÄMTLANDS LÄN</t>
        </is>
      </c>
      <c r="E171" t="inlineStr">
        <is>
          <t>BERG</t>
        </is>
      </c>
      <c r="F171" t="inlineStr">
        <is>
          <t>SCA</t>
        </is>
      </c>
      <c r="G171" t="n">
        <v>12.2</v>
      </c>
      <c r="H171" t="n">
        <v>0</v>
      </c>
      <c r="I171" t="n">
        <v>0</v>
      </c>
      <c r="J171" t="n">
        <v>0</v>
      </c>
      <c r="K171" t="n">
        <v>1</v>
      </c>
      <c r="L171" t="n">
        <v>0</v>
      </c>
      <c r="M171" t="n">
        <v>0</v>
      </c>
      <c r="N171" t="n">
        <v>0</v>
      </c>
      <c r="O171" t="n">
        <v>1</v>
      </c>
      <c r="P171" t="n">
        <v>1</v>
      </c>
      <c r="Q171" t="n">
        <v>1</v>
      </c>
      <c r="R171" s="2" t="inlineStr">
        <is>
          <t>Gräddporing</t>
        </is>
      </c>
      <c r="S171">
        <f>HYPERLINK("https://klasma.github.io/Logging_2326/artfynd/A 31837-2025 artfynd.xlsx", "A 31837-2025")</f>
        <v/>
      </c>
      <c r="T171">
        <f>HYPERLINK("https://klasma.github.io/Logging_2326/kartor/A 31837-2025 karta.png", "A 31837-2025")</f>
        <v/>
      </c>
      <c r="V171">
        <f>HYPERLINK("https://klasma.github.io/Logging_2326/klagomål/A 31837-2025 FSC-klagomål.docx", "A 31837-2025")</f>
        <v/>
      </c>
      <c r="W171">
        <f>HYPERLINK("https://klasma.github.io/Logging_2326/klagomålsmail/A 31837-2025 FSC-klagomål mail.docx", "A 31837-2025")</f>
        <v/>
      </c>
      <c r="X171">
        <f>HYPERLINK("https://klasma.github.io/Logging_2326/tillsyn/A 31837-2025 tillsynsbegäran.docx", "A 31837-2025")</f>
        <v/>
      </c>
      <c r="Y171">
        <f>HYPERLINK("https://klasma.github.io/Logging_2326/tillsynsmail/A 31837-2025 tillsynsbegäran mail.docx", "A 31837-2025")</f>
        <v/>
      </c>
    </row>
    <row r="172" ht="15" customHeight="1">
      <c r="A172" t="inlineStr">
        <is>
          <t>A 53427-2025</t>
        </is>
      </c>
      <c r="B172" s="1" t="n">
        <v>45959</v>
      </c>
      <c r="C172" s="1" t="n">
        <v>45970</v>
      </c>
      <c r="D172" t="inlineStr">
        <is>
          <t>JÄMTLANDS LÄN</t>
        </is>
      </c>
      <c r="E172" t="inlineStr">
        <is>
          <t>BERG</t>
        </is>
      </c>
      <c r="F172" t="inlineStr">
        <is>
          <t>SCA</t>
        </is>
      </c>
      <c r="G172" t="n">
        <v>16.8</v>
      </c>
      <c r="H172" t="n">
        <v>1</v>
      </c>
      <c r="I172" t="n">
        <v>0</v>
      </c>
      <c r="J172" t="n">
        <v>1</v>
      </c>
      <c r="K172" t="n">
        <v>0</v>
      </c>
      <c r="L172" t="n">
        <v>0</v>
      </c>
      <c r="M172" t="n">
        <v>0</v>
      </c>
      <c r="N172" t="n">
        <v>0</v>
      </c>
      <c r="O172" t="n">
        <v>1</v>
      </c>
      <c r="P172" t="n">
        <v>0</v>
      </c>
      <c r="Q172" t="n">
        <v>1</v>
      </c>
      <c r="R172" s="2" t="inlineStr">
        <is>
          <t>Grönsångare</t>
        </is>
      </c>
      <c r="S172">
        <f>HYPERLINK("https://klasma.github.io/Logging_2326/artfynd/A 53427-2025 artfynd.xlsx", "A 53427-2025")</f>
        <v/>
      </c>
      <c r="T172">
        <f>HYPERLINK("https://klasma.github.io/Logging_2326/kartor/A 53427-2025 karta.png", "A 53427-2025")</f>
        <v/>
      </c>
      <c r="V172">
        <f>HYPERLINK("https://klasma.github.io/Logging_2326/klagomål/A 53427-2025 FSC-klagomål.docx", "A 53427-2025")</f>
        <v/>
      </c>
      <c r="W172">
        <f>HYPERLINK("https://klasma.github.io/Logging_2326/klagomålsmail/A 53427-2025 FSC-klagomål mail.docx", "A 53427-2025")</f>
        <v/>
      </c>
      <c r="X172">
        <f>HYPERLINK("https://klasma.github.io/Logging_2326/tillsyn/A 53427-2025 tillsynsbegäran.docx", "A 53427-2025")</f>
        <v/>
      </c>
      <c r="Y172">
        <f>HYPERLINK("https://klasma.github.io/Logging_2326/tillsynsmail/A 53427-2025 tillsynsbegäran mail.docx", "A 53427-2025")</f>
        <v/>
      </c>
      <c r="Z172">
        <f>HYPERLINK("https://klasma.github.io/Logging_2326/fåglar/A 53427-2025 prioriterade fågelarter.docx", "A 53427-2025")</f>
        <v/>
      </c>
    </row>
    <row r="173" ht="15" customHeight="1">
      <c r="A173" t="inlineStr">
        <is>
          <t>A 33501-2025</t>
        </is>
      </c>
      <c r="B173" s="1" t="n">
        <v>45841</v>
      </c>
      <c r="C173" s="1" t="n">
        <v>45970</v>
      </c>
      <c r="D173" t="inlineStr">
        <is>
          <t>JÄMTLANDS LÄN</t>
        </is>
      </c>
      <c r="E173" t="inlineStr">
        <is>
          <t>BERG</t>
        </is>
      </c>
      <c r="G173" t="n">
        <v>6.9</v>
      </c>
      <c r="H173" t="n">
        <v>1</v>
      </c>
      <c r="I173" t="n">
        <v>1</v>
      </c>
      <c r="J173" t="n">
        <v>0</v>
      </c>
      <c r="K173" t="n">
        <v>0</v>
      </c>
      <c r="L173" t="n">
        <v>0</v>
      </c>
      <c r="M173" t="n">
        <v>0</v>
      </c>
      <c r="N173" t="n">
        <v>0</v>
      </c>
      <c r="O173" t="n">
        <v>0</v>
      </c>
      <c r="P173" t="n">
        <v>0</v>
      </c>
      <c r="Q173" t="n">
        <v>1</v>
      </c>
      <c r="R173" s="2" t="inlineStr">
        <is>
          <t>Korallrot</t>
        </is>
      </c>
      <c r="S173">
        <f>HYPERLINK("https://klasma.github.io/Logging_2326/artfynd/A 33501-2025 artfynd.xlsx", "A 33501-2025")</f>
        <v/>
      </c>
      <c r="T173">
        <f>HYPERLINK("https://klasma.github.io/Logging_2326/kartor/A 33501-2025 karta.png", "A 33501-2025")</f>
        <v/>
      </c>
      <c r="V173">
        <f>HYPERLINK("https://klasma.github.io/Logging_2326/klagomål/A 33501-2025 FSC-klagomål.docx", "A 33501-2025")</f>
        <v/>
      </c>
      <c r="W173">
        <f>HYPERLINK("https://klasma.github.io/Logging_2326/klagomålsmail/A 33501-2025 FSC-klagomål mail.docx", "A 33501-2025")</f>
        <v/>
      </c>
      <c r="X173">
        <f>HYPERLINK("https://klasma.github.io/Logging_2326/tillsyn/A 33501-2025 tillsynsbegäran.docx", "A 33501-2025")</f>
        <v/>
      </c>
      <c r="Y173">
        <f>HYPERLINK("https://klasma.github.io/Logging_2326/tillsynsmail/A 33501-2025 tillsynsbegäran mail.docx", "A 33501-2025")</f>
        <v/>
      </c>
    </row>
    <row r="174" ht="15" customHeight="1">
      <c r="A174" t="inlineStr">
        <is>
          <t>A 35211-2025</t>
        </is>
      </c>
      <c r="B174" s="1" t="n">
        <v>45853.45060185185</v>
      </c>
      <c r="C174" s="1" t="n">
        <v>45970</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45970</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49276-2024</t>
        </is>
      </c>
      <c r="B176" s="1" t="n">
        <v>45595.50819444445</v>
      </c>
      <c r="C176" s="1" t="n">
        <v>45970</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37513-2025</t>
        </is>
      </c>
      <c r="B177" s="1" t="n">
        <v>45877.69828703703</v>
      </c>
      <c r="C177" s="1" t="n">
        <v>45970</v>
      </c>
      <c r="D177" t="inlineStr">
        <is>
          <t>JÄMTLANDS LÄN</t>
        </is>
      </c>
      <c r="E177" t="inlineStr">
        <is>
          <t>BERG</t>
        </is>
      </c>
      <c r="F177" t="inlineStr">
        <is>
          <t>SCA</t>
        </is>
      </c>
      <c r="G177" t="n">
        <v>14.1</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37513-2025 artfynd.xlsx", "A 37513-2025")</f>
        <v/>
      </c>
      <c r="T177">
        <f>HYPERLINK("https://klasma.github.io/Logging_2326/kartor/A 37513-2025 karta.png", "A 37513-2025")</f>
        <v/>
      </c>
      <c r="V177">
        <f>HYPERLINK("https://klasma.github.io/Logging_2326/klagomål/A 37513-2025 FSC-klagomål.docx", "A 37513-2025")</f>
        <v/>
      </c>
      <c r="W177">
        <f>HYPERLINK("https://klasma.github.io/Logging_2326/klagomålsmail/A 37513-2025 FSC-klagomål mail.docx", "A 37513-2025")</f>
        <v/>
      </c>
      <c r="X177">
        <f>HYPERLINK("https://klasma.github.io/Logging_2326/tillsyn/A 37513-2025 tillsynsbegäran.docx", "A 37513-2025")</f>
        <v/>
      </c>
      <c r="Y177">
        <f>HYPERLINK("https://klasma.github.io/Logging_2326/tillsynsmail/A 37513-2025 tillsynsbegäran mail.docx", "A 37513-2025")</f>
        <v/>
      </c>
    </row>
    <row r="178" ht="15" customHeight="1">
      <c r="A178" t="inlineStr">
        <is>
          <t>A 37651-2025</t>
        </is>
      </c>
      <c r="B178" s="1" t="n">
        <v>45880.49006944444</v>
      </c>
      <c r="C178" s="1" t="n">
        <v>45970</v>
      </c>
      <c r="D178" t="inlineStr">
        <is>
          <t>JÄMTLANDS LÄN</t>
        </is>
      </c>
      <c r="E178" t="inlineStr">
        <is>
          <t>BERG</t>
        </is>
      </c>
      <c r="F178" t="inlineStr">
        <is>
          <t>SCA</t>
        </is>
      </c>
      <c r="G178" t="n">
        <v>8.5</v>
      </c>
      <c r="H178" t="n">
        <v>0</v>
      </c>
      <c r="I178" t="n">
        <v>0</v>
      </c>
      <c r="J178" t="n">
        <v>1</v>
      </c>
      <c r="K178" t="n">
        <v>0</v>
      </c>
      <c r="L178" t="n">
        <v>0</v>
      </c>
      <c r="M178" t="n">
        <v>0</v>
      </c>
      <c r="N178" t="n">
        <v>0</v>
      </c>
      <c r="O178" t="n">
        <v>1</v>
      </c>
      <c r="P178" t="n">
        <v>0</v>
      </c>
      <c r="Q178" t="n">
        <v>1</v>
      </c>
      <c r="R178" s="2" t="inlineStr">
        <is>
          <t>Vedflamlav</t>
        </is>
      </c>
      <c r="S178">
        <f>HYPERLINK("https://klasma.github.io/Logging_2326/artfynd/A 37651-2025 artfynd.xlsx", "A 37651-2025")</f>
        <v/>
      </c>
      <c r="T178">
        <f>HYPERLINK("https://klasma.github.io/Logging_2326/kartor/A 37651-2025 karta.png", "A 37651-2025")</f>
        <v/>
      </c>
      <c r="V178">
        <f>HYPERLINK("https://klasma.github.io/Logging_2326/klagomål/A 37651-2025 FSC-klagomål.docx", "A 37651-2025")</f>
        <v/>
      </c>
      <c r="W178">
        <f>HYPERLINK("https://klasma.github.io/Logging_2326/klagomålsmail/A 37651-2025 FSC-klagomål mail.docx", "A 37651-2025")</f>
        <v/>
      </c>
      <c r="X178">
        <f>HYPERLINK("https://klasma.github.io/Logging_2326/tillsyn/A 37651-2025 tillsynsbegäran.docx", "A 37651-2025")</f>
        <v/>
      </c>
      <c r="Y178">
        <f>HYPERLINK("https://klasma.github.io/Logging_2326/tillsynsmail/A 37651-2025 tillsynsbegäran mail.docx", "A 37651-2025")</f>
        <v/>
      </c>
    </row>
    <row r="179" ht="15" customHeight="1">
      <c r="A179" t="inlineStr">
        <is>
          <t>A 12733-2024</t>
        </is>
      </c>
      <c r="B179" s="1" t="n">
        <v>45384</v>
      </c>
      <c r="C179" s="1" t="n">
        <v>45970</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49196-2022</t>
        </is>
      </c>
      <c r="B180" s="1" t="n">
        <v>44860.95508101852</v>
      </c>
      <c r="C180" s="1" t="n">
        <v>45970</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45970</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45970</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45970</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45970</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45970</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45970</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45970</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45970</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45970</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45970</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45970</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45970</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45970</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45970</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45970</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45970</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45970</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45970</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45970</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45970</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45970</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45970</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45970</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45970</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45970</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45970</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45970</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45970</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45970</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45970</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45970</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45970</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45970</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45970</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45970</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45970</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45970</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45970</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45970</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45970</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45970</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45970</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68896-2020</t>
        </is>
      </c>
      <c r="B223" s="1" t="n">
        <v>44187</v>
      </c>
      <c r="C223" s="1" t="n">
        <v>45970</v>
      </c>
      <c r="D223" t="inlineStr">
        <is>
          <t>JÄMTLANDS LÄN</t>
        </is>
      </c>
      <c r="E223" t="inlineStr">
        <is>
          <t>BERG</t>
        </is>
      </c>
      <c r="G223" t="n">
        <v>9.6</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45970</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45970</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34803-2022</t>
        </is>
      </c>
      <c r="B226" s="1" t="n">
        <v>44795.94754629629</v>
      </c>
      <c r="C226" s="1" t="n">
        <v>45970</v>
      </c>
      <c r="D226" t="inlineStr">
        <is>
          <t>JÄMTLANDS LÄN</t>
        </is>
      </c>
      <c r="E226" t="inlineStr">
        <is>
          <t>BERG</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45970</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18567-2021</t>
        </is>
      </c>
      <c r="B228" s="1" t="n">
        <v>44306.55199074074</v>
      </c>
      <c r="C228" s="1" t="n">
        <v>45970</v>
      </c>
      <c r="D228" t="inlineStr">
        <is>
          <t>JÄMTLANDS LÄN</t>
        </is>
      </c>
      <c r="E228" t="inlineStr">
        <is>
          <t>BERG</t>
        </is>
      </c>
      <c r="G228" t="n">
        <v>3</v>
      </c>
      <c r="H228" t="n">
        <v>0</v>
      </c>
      <c r="I228" t="n">
        <v>0</v>
      </c>
      <c r="J228" t="n">
        <v>0</v>
      </c>
      <c r="K228" t="n">
        <v>0</v>
      </c>
      <c r="L228" t="n">
        <v>0</v>
      </c>
      <c r="M228" t="n">
        <v>0</v>
      </c>
      <c r="N228" t="n">
        <v>0</v>
      </c>
      <c r="O228" t="n">
        <v>0</v>
      </c>
      <c r="P228" t="n">
        <v>0</v>
      </c>
      <c r="Q228" t="n">
        <v>0</v>
      </c>
      <c r="R228" s="2" t="inlineStr"/>
    </row>
    <row r="229" ht="15" customHeight="1">
      <c r="A229" t="inlineStr">
        <is>
          <t>A 18569-2021</t>
        </is>
      </c>
      <c r="B229" s="1" t="n">
        <v>44306.55394675926</v>
      </c>
      <c r="C229" s="1" t="n">
        <v>45970</v>
      </c>
      <c r="D229" t="inlineStr">
        <is>
          <t>JÄMTLANDS LÄN</t>
        </is>
      </c>
      <c r="E229" t="inlineStr">
        <is>
          <t>BERG</t>
        </is>
      </c>
      <c r="G229" t="n">
        <v>0.7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45970</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45970</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45970</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45970</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68854-2021</t>
        </is>
      </c>
      <c r="B234" s="1" t="n">
        <v>44530</v>
      </c>
      <c r="C234" s="1" t="n">
        <v>45970</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45970</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45970</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68483-2021</t>
        </is>
      </c>
      <c r="B237" s="1" t="n">
        <v>44529</v>
      </c>
      <c r="C237" s="1" t="n">
        <v>45970</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45970</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45970</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64490-2023</t>
        </is>
      </c>
      <c r="B240" s="1" t="n">
        <v>45280</v>
      </c>
      <c r="C240" s="1" t="n">
        <v>45970</v>
      </c>
      <c r="D240" t="inlineStr">
        <is>
          <t>JÄMTLANDS LÄN</t>
        </is>
      </c>
      <c r="E240" t="inlineStr">
        <is>
          <t>BERG</t>
        </is>
      </c>
      <c r="F240" t="inlineStr">
        <is>
          <t>Övriga Aktiebolag</t>
        </is>
      </c>
      <c r="G240" t="n">
        <v>7.7</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45970</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45970</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4522-2024</t>
        </is>
      </c>
      <c r="B243" s="1" t="n">
        <v>45327</v>
      </c>
      <c r="C243" s="1" t="n">
        <v>45970</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9920-2021</t>
        </is>
      </c>
      <c r="B244" s="1" t="n">
        <v>44253</v>
      </c>
      <c r="C244" s="1" t="n">
        <v>45970</v>
      </c>
      <c r="D244" t="inlineStr">
        <is>
          <t>JÄMTLANDS LÄN</t>
        </is>
      </c>
      <c r="E244" t="inlineStr">
        <is>
          <t>BERG</t>
        </is>
      </c>
      <c r="G244" t="n">
        <v>3.5</v>
      </c>
      <c r="H244" t="n">
        <v>0</v>
      </c>
      <c r="I244" t="n">
        <v>0</v>
      </c>
      <c r="J244" t="n">
        <v>0</v>
      </c>
      <c r="K244" t="n">
        <v>0</v>
      </c>
      <c r="L244" t="n">
        <v>0</v>
      </c>
      <c r="M244" t="n">
        <v>0</v>
      </c>
      <c r="N244" t="n">
        <v>0</v>
      </c>
      <c r="O244" t="n">
        <v>0</v>
      </c>
      <c r="P244" t="n">
        <v>0</v>
      </c>
      <c r="Q244" t="n">
        <v>0</v>
      </c>
      <c r="R244" s="2" t="inlineStr"/>
    </row>
    <row r="245" ht="15" customHeight="1">
      <c r="A245" t="inlineStr">
        <is>
          <t>A 12342-2023</t>
        </is>
      </c>
      <c r="B245" s="1" t="n">
        <v>44998</v>
      </c>
      <c r="C245" s="1" t="n">
        <v>45970</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9114-2022</t>
        </is>
      </c>
      <c r="B246" s="1" t="n">
        <v>44615</v>
      </c>
      <c r="C246" s="1" t="n">
        <v>45970</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row>
    <row r="247" ht="15" customHeight="1">
      <c r="A247" t="inlineStr">
        <is>
          <t>A 47304-2023</t>
        </is>
      </c>
      <c r="B247" s="1" t="n">
        <v>45202.48180555556</v>
      </c>
      <c r="C247" s="1" t="n">
        <v>45970</v>
      </c>
      <c r="D247" t="inlineStr">
        <is>
          <t>JÄMTLANDS LÄN</t>
        </is>
      </c>
      <c r="E247" t="inlineStr">
        <is>
          <t>BERG</t>
        </is>
      </c>
      <c r="G247" t="n">
        <v>3.4</v>
      </c>
      <c r="H247" t="n">
        <v>0</v>
      </c>
      <c r="I247" t="n">
        <v>0</v>
      </c>
      <c r="J247" t="n">
        <v>0</v>
      </c>
      <c r="K247" t="n">
        <v>0</v>
      </c>
      <c r="L247" t="n">
        <v>0</v>
      </c>
      <c r="M247" t="n">
        <v>0</v>
      </c>
      <c r="N247" t="n">
        <v>0</v>
      </c>
      <c r="O247" t="n">
        <v>0</v>
      </c>
      <c r="P247" t="n">
        <v>0</v>
      </c>
      <c r="Q247" t="n">
        <v>0</v>
      </c>
      <c r="R247" s="2" t="inlineStr"/>
    </row>
    <row r="248" ht="15" customHeight="1">
      <c r="A248" t="inlineStr">
        <is>
          <t>A 46298-2024</t>
        </is>
      </c>
      <c r="B248" s="1" t="n">
        <v>45581.67739583334</v>
      </c>
      <c r="C248" s="1" t="n">
        <v>45970</v>
      </c>
      <c r="D248" t="inlineStr">
        <is>
          <t>JÄMTLANDS LÄN</t>
        </is>
      </c>
      <c r="E248" t="inlineStr">
        <is>
          <t>BERG</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46115-2021</t>
        </is>
      </c>
      <c r="B249" s="1" t="n">
        <v>44441</v>
      </c>
      <c r="C249" s="1" t="n">
        <v>45970</v>
      </c>
      <c r="D249" t="inlineStr">
        <is>
          <t>JÄMTLANDS LÄN</t>
        </is>
      </c>
      <c r="E249" t="inlineStr">
        <is>
          <t>BERG</t>
        </is>
      </c>
      <c r="G249" t="n">
        <v>15.1</v>
      </c>
      <c r="H249" t="n">
        <v>0</v>
      </c>
      <c r="I249" t="n">
        <v>0</v>
      </c>
      <c r="J249" t="n">
        <v>0</v>
      </c>
      <c r="K249" t="n">
        <v>0</v>
      </c>
      <c r="L249" t="n">
        <v>0</v>
      </c>
      <c r="M249" t="n">
        <v>0</v>
      </c>
      <c r="N249" t="n">
        <v>0</v>
      </c>
      <c r="O249" t="n">
        <v>0</v>
      </c>
      <c r="P249" t="n">
        <v>0</v>
      </c>
      <c r="Q249" t="n">
        <v>0</v>
      </c>
      <c r="R249" s="2" t="inlineStr"/>
    </row>
    <row r="250" ht="15" customHeight="1">
      <c r="A250" t="inlineStr">
        <is>
          <t>A 19809-2022</t>
        </is>
      </c>
      <c r="B250" s="1" t="n">
        <v>44694</v>
      </c>
      <c r="C250" s="1" t="n">
        <v>45970</v>
      </c>
      <c r="D250" t="inlineStr">
        <is>
          <t>JÄMTLANDS LÄN</t>
        </is>
      </c>
      <c r="E250" t="inlineStr">
        <is>
          <t>BERG</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6090-2022</t>
        </is>
      </c>
      <c r="B251" s="1" t="n">
        <v>44599</v>
      </c>
      <c r="C251" s="1" t="n">
        <v>45970</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12774-2023</t>
        </is>
      </c>
      <c r="B252" s="1" t="n">
        <v>45001</v>
      </c>
      <c r="C252" s="1" t="n">
        <v>45970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68468-2021</t>
        </is>
      </c>
      <c r="B253" s="1" t="n">
        <v>44529</v>
      </c>
      <c r="C253" s="1" t="n">
        <v>45970</v>
      </c>
      <c r="D253" t="inlineStr">
        <is>
          <t>JÄMTLANDS LÄN</t>
        </is>
      </c>
      <c r="E253" t="inlineStr">
        <is>
          <t>BERG</t>
        </is>
      </c>
      <c r="G253" t="n">
        <v>4.6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45970</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35308-2021</t>
        </is>
      </c>
      <c r="B255" s="1" t="n">
        <v>44384</v>
      </c>
      <c r="C255" s="1" t="n">
        <v>45970</v>
      </c>
      <c r="D255" t="inlineStr">
        <is>
          <t>JÄMTLANDS LÄN</t>
        </is>
      </c>
      <c r="E255" t="inlineStr">
        <is>
          <t>BERG</t>
        </is>
      </c>
      <c r="G255" t="n">
        <v>2.9</v>
      </c>
      <c r="H255" t="n">
        <v>0</v>
      </c>
      <c r="I255" t="n">
        <v>0</v>
      </c>
      <c r="J255" t="n">
        <v>0</v>
      </c>
      <c r="K255" t="n">
        <v>0</v>
      </c>
      <c r="L255" t="n">
        <v>0</v>
      </c>
      <c r="M255" t="n">
        <v>0</v>
      </c>
      <c r="N255" t="n">
        <v>0</v>
      </c>
      <c r="O255" t="n">
        <v>0</v>
      </c>
      <c r="P255" t="n">
        <v>0</v>
      </c>
      <c r="Q255" t="n">
        <v>0</v>
      </c>
      <c r="R255" s="2" t="inlineStr"/>
      <c r="U255">
        <f>HYPERLINK("https://klasma.github.io/Logging_2326/knärot/A 35308-2021 karta knärot.png", "A 35308-2021")</f>
        <v/>
      </c>
      <c r="V255">
        <f>HYPERLINK("https://klasma.github.io/Logging_2326/klagomål/A 35308-2021 FSC-klagomål.docx", "A 35308-2021")</f>
        <v/>
      </c>
      <c r="W255">
        <f>HYPERLINK("https://klasma.github.io/Logging_2326/klagomålsmail/A 35308-2021 FSC-klagomål mail.docx", "A 35308-2021")</f>
        <v/>
      </c>
      <c r="X255">
        <f>HYPERLINK("https://klasma.github.io/Logging_2326/tillsyn/A 35308-2021 tillsynsbegäran.docx", "A 35308-2021")</f>
        <v/>
      </c>
      <c r="Y255">
        <f>HYPERLINK("https://klasma.github.io/Logging_2326/tillsynsmail/A 35308-2021 tillsynsbegäran mail.docx", "A 35308-2021")</f>
        <v/>
      </c>
    </row>
    <row r="256" ht="15" customHeight="1">
      <c r="A256" t="inlineStr">
        <is>
          <t>A 10861-2024</t>
        </is>
      </c>
      <c r="B256" s="1" t="n">
        <v>45370.01967592593</v>
      </c>
      <c r="C256" s="1" t="n">
        <v>45970</v>
      </c>
      <c r="D256" t="inlineStr">
        <is>
          <t>JÄMTLANDS LÄN</t>
        </is>
      </c>
      <c r="E256" t="inlineStr">
        <is>
          <t>BERG</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45970</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2009-2022</t>
        </is>
      </c>
      <c r="B258" s="1" t="n">
        <v>44575</v>
      </c>
      <c r="C258" s="1" t="n">
        <v>45970</v>
      </c>
      <c r="D258" t="inlineStr">
        <is>
          <t>JÄMTLANDS LÄN</t>
        </is>
      </c>
      <c r="E258" t="inlineStr">
        <is>
          <t>BERG</t>
        </is>
      </c>
      <c r="G258" t="n">
        <v>11.9</v>
      </c>
      <c r="H258" t="n">
        <v>0</v>
      </c>
      <c r="I258" t="n">
        <v>0</v>
      </c>
      <c r="J258" t="n">
        <v>0</v>
      </c>
      <c r="K258" t="n">
        <v>0</v>
      </c>
      <c r="L258" t="n">
        <v>0</v>
      </c>
      <c r="M258" t="n">
        <v>0</v>
      </c>
      <c r="N258" t="n">
        <v>0</v>
      </c>
      <c r="O258" t="n">
        <v>0</v>
      </c>
      <c r="P258" t="n">
        <v>0</v>
      </c>
      <c r="Q258" t="n">
        <v>0</v>
      </c>
      <c r="R258" s="2" t="inlineStr"/>
    </row>
    <row r="259" ht="15" customHeight="1">
      <c r="A259" t="inlineStr">
        <is>
          <t>A 8711-2024</t>
        </is>
      </c>
      <c r="B259" s="1" t="n">
        <v>45356</v>
      </c>
      <c r="C259" s="1" t="n">
        <v>45970</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15624-2023</t>
        </is>
      </c>
      <c r="B260" s="1" t="n">
        <v>45020.94496527778</v>
      </c>
      <c r="C260" s="1" t="n">
        <v>45970</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35636-2023</t>
        </is>
      </c>
      <c r="B261" s="1" t="n">
        <v>45147</v>
      </c>
      <c r="C261" s="1" t="n">
        <v>45970</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50612-2023</t>
        </is>
      </c>
      <c r="B262" s="1" t="n">
        <v>45217.444375</v>
      </c>
      <c r="C262" s="1" t="n">
        <v>45970</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46902-2024</t>
        </is>
      </c>
      <c r="B263" s="1" t="n">
        <v>45583.69847222222</v>
      </c>
      <c r="C263" s="1" t="n">
        <v>45970</v>
      </c>
      <c r="D263" t="inlineStr">
        <is>
          <t>JÄMTLANDS LÄN</t>
        </is>
      </c>
      <c r="E263" t="inlineStr">
        <is>
          <t>BERG</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54071-2023</t>
        </is>
      </c>
      <c r="B264" s="1" t="n">
        <v>45231</v>
      </c>
      <c r="C264" s="1" t="n">
        <v>45970</v>
      </c>
      <c r="D264" t="inlineStr">
        <is>
          <t>JÄMTLANDS LÄN</t>
        </is>
      </c>
      <c r="E264" t="inlineStr">
        <is>
          <t>BERG</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37726-2022</t>
        </is>
      </c>
      <c r="B265" s="1" t="n">
        <v>44810.56636574074</v>
      </c>
      <c r="C265" s="1" t="n">
        <v>45970</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5221-2022</t>
        </is>
      </c>
      <c r="B266" s="1" t="n">
        <v>44594.48864583333</v>
      </c>
      <c r="C266" s="1" t="n">
        <v>45970</v>
      </c>
      <c r="D266" t="inlineStr">
        <is>
          <t>JÄMTLANDS LÄN</t>
        </is>
      </c>
      <c r="E266" t="inlineStr">
        <is>
          <t>BERG</t>
        </is>
      </c>
      <c r="G266" t="n">
        <v>4.9</v>
      </c>
      <c r="H266" t="n">
        <v>0</v>
      </c>
      <c r="I266" t="n">
        <v>0</v>
      </c>
      <c r="J266" t="n">
        <v>0</v>
      </c>
      <c r="K266" t="n">
        <v>0</v>
      </c>
      <c r="L266" t="n">
        <v>0</v>
      </c>
      <c r="M266" t="n">
        <v>0</v>
      </c>
      <c r="N266" t="n">
        <v>0</v>
      </c>
      <c r="O266" t="n">
        <v>0</v>
      </c>
      <c r="P266" t="n">
        <v>0</v>
      </c>
      <c r="Q266" t="n">
        <v>0</v>
      </c>
      <c r="R266" s="2" t="inlineStr"/>
    </row>
    <row r="267" ht="15" customHeight="1">
      <c r="A267" t="inlineStr">
        <is>
          <t>A 5222-2022</t>
        </is>
      </c>
      <c r="B267" s="1" t="n">
        <v>44594.4892824074</v>
      </c>
      <c r="C267" s="1" t="n">
        <v>45970</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45347-2023</t>
        </is>
      </c>
      <c r="B268" s="1" t="n">
        <v>45191</v>
      </c>
      <c r="C268" s="1" t="n">
        <v>45970</v>
      </c>
      <c r="D268" t="inlineStr">
        <is>
          <t>JÄMTLANDS LÄN</t>
        </is>
      </c>
      <c r="E268" t="inlineStr">
        <is>
          <t>BERG</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36079-2024</t>
        </is>
      </c>
      <c r="B269" s="1" t="n">
        <v>45533.66685185185</v>
      </c>
      <c r="C269" s="1" t="n">
        <v>45970</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461-2023</t>
        </is>
      </c>
      <c r="B270" s="1" t="n">
        <v>44929</v>
      </c>
      <c r="C270" s="1" t="n">
        <v>45970</v>
      </c>
      <c r="D270" t="inlineStr">
        <is>
          <t>JÄMTLANDS LÄN</t>
        </is>
      </c>
      <c r="E270" t="inlineStr">
        <is>
          <t>BERG</t>
        </is>
      </c>
      <c r="G270" t="n">
        <v>5.8</v>
      </c>
      <c r="H270" t="n">
        <v>0</v>
      </c>
      <c r="I270" t="n">
        <v>0</v>
      </c>
      <c r="J270" t="n">
        <v>0</v>
      </c>
      <c r="K270" t="n">
        <v>0</v>
      </c>
      <c r="L270" t="n">
        <v>0</v>
      </c>
      <c r="M270" t="n">
        <v>0</v>
      </c>
      <c r="N270" t="n">
        <v>0</v>
      </c>
      <c r="O270" t="n">
        <v>0</v>
      </c>
      <c r="P270" t="n">
        <v>0</v>
      </c>
      <c r="Q270" t="n">
        <v>0</v>
      </c>
      <c r="R270" s="2" t="inlineStr"/>
    </row>
    <row r="271" ht="15" customHeight="1">
      <c r="A271" t="inlineStr">
        <is>
          <t>A 29511-2021</t>
        </is>
      </c>
      <c r="B271" s="1" t="n">
        <v>44361</v>
      </c>
      <c r="C271" s="1" t="n">
        <v>45970</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45970</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27395-2021</t>
        </is>
      </c>
      <c r="B273" s="1" t="n">
        <v>44350</v>
      </c>
      <c r="C273" s="1" t="n">
        <v>45970</v>
      </c>
      <c r="D273" t="inlineStr">
        <is>
          <t>JÄMTLANDS LÄN</t>
        </is>
      </c>
      <c r="E273" t="inlineStr">
        <is>
          <t>BERG</t>
        </is>
      </c>
      <c r="G273" t="n">
        <v>4.4</v>
      </c>
      <c r="H273" t="n">
        <v>0</v>
      </c>
      <c r="I273" t="n">
        <v>0</v>
      </c>
      <c r="J273" t="n">
        <v>0</v>
      </c>
      <c r="K273" t="n">
        <v>0</v>
      </c>
      <c r="L273" t="n">
        <v>0</v>
      </c>
      <c r="M273" t="n">
        <v>0</v>
      </c>
      <c r="N273" t="n">
        <v>0</v>
      </c>
      <c r="O273" t="n">
        <v>0</v>
      </c>
      <c r="P273" t="n">
        <v>0</v>
      </c>
      <c r="Q273" t="n">
        <v>0</v>
      </c>
      <c r="R273" s="2" t="inlineStr"/>
    </row>
    <row r="274" ht="15" customHeight="1">
      <c r="A274" t="inlineStr">
        <is>
          <t>A 32248-2024</t>
        </is>
      </c>
      <c r="B274" s="1" t="n">
        <v>45511.95144675926</v>
      </c>
      <c r="C274" s="1" t="n">
        <v>45970</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45970</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8733-2025</t>
        </is>
      </c>
      <c r="B276" s="1" t="n">
        <v>45712.53197916667</v>
      </c>
      <c r="C276" s="1" t="n">
        <v>45970</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64487-2023</t>
        </is>
      </c>
      <c r="B277" s="1" t="n">
        <v>45280.92613425926</v>
      </c>
      <c r="C277" s="1" t="n">
        <v>45970</v>
      </c>
      <c r="D277" t="inlineStr">
        <is>
          <t>JÄMTLANDS LÄN</t>
        </is>
      </c>
      <c r="E277" t="inlineStr">
        <is>
          <t>BERG</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64489-2023</t>
        </is>
      </c>
      <c r="B278" s="1" t="n">
        <v>45280</v>
      </c>
      <c r="C278" s="1" t="n">
        <v>45970</v>
      </c>
      <c r="D278" t="inlineStr">
        <is>
          <t>JÄMTLANDS LÄN</t>
        </is>
      </c>
      <c r="E278" t="inlineStr">
        <is>
          <t>BERG</t>
        </is>
      </c>
      <c r="F278" t="inlineStr">
        <is>
          <t>Övriga Aktiebolag</t>
        </is>
      </c>
      <c r="G278" t="n">
        <v>14.1</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45970</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45970</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692-2021</t>
        </is>
      </c>
      <c r="B281" s="1" t="n">
        <v>44203</v>
      </c>
      <c r="C281" s="1" t="n">
        <v>45970</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60068-2022</t>
        </is>
      </c>
      <c r="B282" s="1" t="n">
        <v>44902</v>
      </c>
      <c r="C282" s="1" t="n">
        <v>45970</v>
      </c>
      <c r="D282" t="inlineStr">
        <is>
          <t>JÄMTLANDS LÄN</t>
        </is>
      </c>
      <c r="E282" t="inlineStr">
        <is>
          <t>BERG</t>
        </is>
      </c>
      <c r="G282" t="n">
        <v>5.2</v>
      </c>
      <c r="H282" t="n">
        <v>0</v>
      </c>
      <c r="I282" t="n">
        <v>0</v>
      </c>
      <c r="J282" t="n">
        <v>0</v>
      </c>
      <c r="K282" t="n">
        <v>0</v>
      </c>
      <c r="L282" t="n">
        <v>0</v>
      </c>
      <c r="M282" t="n">
        <v>0</v>
      </c>
      <c r="N282" t="n">
        <v>0</v>
      </c>
      <c r="O282" t="n">
        <v>0</v>
      </c>
      <c r="P282" t="n">
        <v>0</v>
      </c>
      <c r="Q282" t="n">
        <v>0</v>
      </c>
      <c r="R282" s="2" t="inlineStr"/>
    </row>
    <row r="283" ht="15" customHeight="1">
      <c r="A283" t="inlineStr">
        <is>
          <t>A 32178-2024</t>
        </is>
      </c>
      <c r="B283" s="1" t="n">
        <v>45511</v>
      </c>
      <c r="C283" s="1" t="n">
        <v>45970</v>
      </c>
      <c r="D283" t="inlineStr">
        <is>
          <t>JÄMTLANDS LÄN</t>
        </is>
      </c>
      <c r="E283" t="inlineStr">
        <is>
          <t>BERG</t>
        </is>
      </c>
      <c r="G283" t="n">
        <v>11.4</v>
      </c>
      <c r="H283" t="n">
        <v>0</v>
      </c>
      <c r="I283" t="n">
        <v>0</v>
      </c>
      <c r="J283" t="n">
        <v>0</v>
      </c>
      <c r="K283" t="n">
        <v>0</v>
      </c>
      <c r="L283" t="n">
        <v>0</v>
      </c>
      <c r="M283" t="n">
        <v>0</v>
      </c>
      <c r="N283" t="n">
        <v>0</v>
      </c>
      <c r="O283" t="n">
        <v>0</v>
      </c>
      <c r="P283" t="n">
        <v>0</v>
      </c>
      <c r="Q283" t="n">
        <v>0</v>
      </c>
      <c r="R283" s="2" t="inlineStr"/>
    </row>
    <row r="284" ht="15" customHeight="1">
      <c r="A284" t="inlineStr">
        <is>
          <t>A 23877-2024</t>
        </is>
      </c>
      <c r="B284" s="1" t="n">
        <v>45455.63024305556</v>
      </c>
      <c r="C284" s="1" t="n">
        <v>45970</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23880-2024</t>
        </is>
      </c>
      <c r="B285" s="1" t="n">
        <v>45455.63731481481</v>
      </c>
      <c r="C285" s="1" t="n">
        <v>45970</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3798-2022</t>
        </is>
      </c>
      <c r="B286" s="1" t="n">
        <v>44586</v>
      </c>
      <c r="C286" s="1" t="n">
        <v>45970</v>
      </c>
      <c r="D286" t="inlineStr">
        <is>
          <t>JÄMTLANDS LÄN</t>
        </is>
      </c>
      <c r="E286" t="inlineStr">
        <is>
          <t>BERG</t>
        </is>
      </c>
      <c r="G286" t="n">
        <v>0.1</v>
      </c>
      <c r="H286" t="n">
        <v>0</v>
      </c>
      <c r="I286" t="n">
        <v>0</v>
      </c>
      <c r="J286" t="n">
        <v>0</v>
      </c>
      <c r="K286" t="n">
        <v>0</v>
      </c>
      <c r="L286" t="n">
        <v>0</v>
      </c>
      <c r="M286" t="n">
        <v>0</v>
      </c>
      <c r="N286" t="n">
        <v>0</v>
      </c>
      <c r="O286" t="n">
        <v>0</v>
      </c>
      <c r="P286" t="n">
        <v>0</v>
      </c>
      <c r="Q286" t="n">
        <v>0</v>
      </c>
      <c r="R286" s="2" t="inlineStr"/>
    </row>
    <row r="287" ht="15" customHeight="1">
      <c r="A287" t="inlineStr">
        <is>
          <t>A 22297-2022</t>
        </is>
      </c>
      <c r="B287" s="1" t="n">
        <v>44712</v>
      </c>
      <c r="C287" s="1" t="n">
        <v>45970</v>
      </c>
      <c r="D287" t="inlineStr">
        <is>
          <t>JÄMTLANDS LÄN</t>
        </is>
      </c>
      <c r="E287" t="inlineStr">
        <is>
          <t>BERG</t>
        </is>
      </c>
      <c r="G287" t="n">
        <v>1</v>
      </c>
      <c r="H287" t="n">
        <v>0</v>
      </c>
      <c r="I287" t="n">
        <v>0</v>
      </c>
      <c r="J287" t="n">
        <v>0</v>
      </c>
      <c r="K287" t="n">
        <v>0</v>
      </c>
      <c r="L287" t="n">
        <v>0</v>
      </c>
      <c r="M287" t="n">
        <v>0</v>
      </c>
      <c r="N287" t="n">
        <v>0</v>
      </c>
      <c r="O287" t="n">
        <v>0</v>
      </c>
      <c r="P287" t="n">
        <v>0</v>
      </c>
      <c r="Q287" t="n">
        <v>0</v>
      </c>
      <c r="R287" s="2" t="inlineStr"/>
    </row>
    <row r="288" ht="15" customHeight="1">
      <c r="A288" t="inlineStr">
        <is>
          <t>A 23165-2024</t>
        </is>
      </c>
      <c r="B288" s="1" t="n">
        <v>45450</v>
      </c>
      <c r="C288" s="1" t="n">
        <v>45970</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18833-2024</t>
        </is>
      </c>
      <c r="B289" s="1" t="n">
        <v>45426.65157407407</v>
      </c>
      <c r="C289" s="1" t="n">
        <v>45970</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54992-2023</t>
        </is>
      </c>
      <c r="B290" s="1" t="n">
        <v>45236.96789351852</v>
      </c>
      <c r="C290" s="1" t="n">
        <v>45970</v>
      </c>
      <c r="D290" t="inlineStr">
        <is>
          <t>JÄMTLANDS LÄN</t>
        </is>
      </c>
      <c r="E290" t="inlineStr">
        <is>
          <t>BERG</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54994-2023</t>
        </is>
      </c>
      <c r="B291" s="1" t="n">
        <v>45236</v>
      </c>
      <c r="C291" s="1" t="n">
        <v>45970</v>
      </c>
      <c r="D291" t="inlineStr">
        <is>
          <t>JÄMTLANDS LÄN</t>
        </is>
      </c>
      <c r="E291" t="inlineStr">
        <is>
          <t>BERG</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65207-2023</t>
        </is>
      </c>
      <c r="B292" s="1" t="n">
        <v>45289</v>
      </c>
      <c r="C292" s="1" t="n">
        <v>45970</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15785-2021</t>
        </is>
      </c>
      <c r="B293" s="1" t="n">
        <v>44286.58679398148</v>
      </c>
      <c r="C293" s="1" t="n">
        <v>45970</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12254-2025</t>
        </is>
      </c>
      <c r="B294" s="1" t="n">
        <v>45729</v>
      </c>
      <c r="C294" s="1" t="n">
        <v>45970</v>
      </c>
      <c r="D294" t="inlineStr">
        <is>
          <t>JÄMTLANDS LÄN</t>
        </is>
      </c>
      <c r="E294" t="inlineStr">
        <is>
          <t>BERG</t>
        </is>
      </c>
      <c r="G294" t="n">
        <v>26.3</v>
      </c>
      <c r="H294" t="n">
        <v>0</v>
      </c>
      <c r="I294" t="n">
        <v>0</v>
      </c>
      <c r="J294" t="n">
        <v>0</v>
      </c>
      <c r="K294" t="n">
        <v>0</v>
      </c>
      <c r="L294" t="n">
        <v>0</v>
      </c>
      <c r="M294" t="n">
        <v>0</v>
      </c>
      <c r="N294" t="n">
        <v>0</v>
      </c>
      <c r="O294" t="n">
        <v>0</v>
      </c>
      <c r="P294" t="n">
        <v>0</v>
      </c>
      <c r="Q294" t="n">
        <v>0</v>
      </c>
      <c r="R294" s="2" t="inlineStr"/>
    </row>
    <row r="295" ht="15" customHeight="1">
      <c r="A295" t="inlineStr">
        <is>
          <t>A 22020-2024</t>
        </is>
      </c>
      <c r="B295" s="1" t="n">
        <v>45443.5894675926</v>
      </c>
      <c r="C295" s="1" t="n">
        <v>45970</v>
      </c>
      <c r="D295" t="inlineStr">
        <is>
          <t>JÄMTLANDS LÄN</t>
        </is>
      </c>
      <c r="E295" t="inlineStr">
        <is>
          <t>BERG</t>
        </is>
      </c>
      <c r="G295" t="n">
        <v>4.9</v>
      </c>
      <c r="H295" t="n">
        <v>0</v>
      </c>
      <c r="I295" t="n">
        <v>0</v>
      </c>
      <c r="J295" t="n">
        <v>0</v>
      </c>
      <c r="K295" t="n">
        <v>0</v>
      </c>
      <c r="L295" t="n">
        <v>0</v>
      </c>
      <c r="M295" t="n">
        <v>0</v>
      </c>
      <c r="N295" t="n">
        <v>0</v>
      </c>
      <c r="O295" t="n">
        <v>0</v>
      </c>
      <c r="P295" t="n">
        <v>0</v>
      </c>
      <c r="Q295" t="n">
        <v>0</v>
      </c>
      <c r="R295" s="2" t="inlineStr"/>
    </row>
    <row r="296" ht="15" customHeight="1">
      <c r="A296" t="inlineStr">
        <is>
          <t>A 61652-2024</t>
        </is>
      </c>
      <c r="B296" s="1" t="n">
        <v>45646.72293981481</v>
      </c>
      <c r="C296" s="1" t="n">
        <v>45970</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38428-2025</t>
        </is>
      </c>
      <c r="B297" s="1" t="n">
        <v>45883.63628472222</v>
      </c>
      <c r="C297" s="1" t="n">
        <v>45970</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18153-2024</t>
        </is>
      </c>
      <c r="B298" s="1" t="n">
        <v>45420</v>
      </c>
      <c r="C298" s="1" t="n">
        <v>45970</v>
      </c>
      <c r="D298" t="inlineStr">
        <is>
          <t>JÄMTLANDS LÄN</t>
        </is>
      </c>
      <c r="E298" t="inlineStr">
        <is>
          <t>BERG</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51548-2023</t>
        </is>
      </c>
      <c r="B299" s="1" t="n">
        <v>45215</v>
      </c>
      <c r="C299" s="1" t="n">
        <v>45970</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13373-2024</t>
        </is>
      </c>
      <c r="B300" s="1" t="n">
        <v>45387.37010416666</v>
      </c>
      <c r="C300" s="1" t="n">
        <v>45970</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21679-2023</t>
        </is>
      </c>
      <c r="B301" s="1" t="n">
        <v>45063.94199074074</v>
      </c>
      <c r="C301" s="1" t="n">
        <v>45970</v>
      </c>
      <c r="D301" t="inlineStr">
        <is>
          <t>JÄMTLANDS LÄN</t>
        </is>
      </c>
      <c r="E301" t="inlineStr">
        <is>
          <t>BERG</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45970</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38388-2025</t>
        </is>
      </c>
      <c r="B303" s="1" t="n">
        <v>45883.57467592593</v>
      </c>
      <c r="C303" s="1" t="n">
        <v>45970</v>
      </c>
      <c r="D303" t="inlineStr">
        <is>
          <t>JÄMTLANDS LÄN</t>
        </is>
      </c>
      <c r="E303" t="inlineStr">
        <is>
          <t>BERG</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38408-2025</t>
        </is>
      </c>
      <c r="B304" s="1" t="n">
        <v>45883.59412037037</v>
      </c>
      <c r="C304" s="1" t="n">
        <v>45970</v>
      </c>
      <c r="D304" t="inlineStr">
        <is>
          <t>JÄMTLANDS LÄN</t>
        </is>
      </c>
      <c r="E304" t="inlineStr">
        <is>
          <t>BERG</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18872-2023</t>
        </is>
      </c>
      <c r="B305" s="1" t="n">
        <v>45042</v>
      </c>
      <c r="C305" s="1" t="n">
        <v>45970</v>
      </c>
      <c r="D305" t="inlineStr">
        <is>
          <t>JÄMTLANDS LÄN</t>
        </is>
      </c>
      <c r="E305" t="inlineStr">
        <is>
          <t>BERG</t>
        </is>
      </c>
      <c r="G305" t="n">
        <v>13.2</v>
      </c>
      <c r="H305" t="n">
        <v>0</v>
      </c>
      <c r="I305" t="n">
        <v>0</v>
      </c>
      <c r="J305" t="n">
        <v>0</v>
      </c>
      <c r="K305" t="n">
        <v>0</v>
      </c>
      <c r="L305" t="n">
        <v>0</v>
      </c>
      <c r="M305" t="n">
        <v>0</v>
      </c>
      <c r="N305" t="n">
        <v>0</v>
      </c>
      <c r="O305" t="n">
        <v>0</v>
      </c>
      <c r="P305" t="n">
        <v>0</v>
      </c>
      <c r="Q305" t="n">
        <v>0</v>
      </c>
      <c r="R305" s="2" t="inlineStr"/>
    </row>
    <row r="306" ht="15" customHeight="1">
      <c r="A306" t="inlineStr">
        <is>
          <t>A 35911-2024</t>
        </is>
      </c>
      <c r="B306" s="1" t="n">
        <v>45533.41498842592</v>
      </c>
      <c r="C306" s="1" t="n">
        <v>45970</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41105-2023</t>
        </is>
      </c>
      <c r="B307" s="1" t="n">
        <v>45170</v>
      </c>
      <c r="C307" s="1" t="n">
        <v>45970</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47430-2025</t>
        </is>
      </c>
      <c r="B308" s="1" t="n">
        <v>45930.63619212963</v>
      </c>
      <c r="C308" s="1" t="n">
        <v>45970</v>
      </c>
      <c r="D308" t="inlineStr">
        <is>
          <t>JÄMTLANDS LÄN</t>
        </is>
      </c>
      <c r="E308" t="inlineStr">
        <is>
          <t>BERG</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47431-2025</t>
        </is>
      </c>
      <c r="B309" s="1" t="n">
        <v>45930.63626157407</v>
      </c>
      <c r="C309" s="1" t="n">
        <v>45970</v>
      </c>
      <c r="D309" t="inlineStr">
        <is>
          <t>JÄMTLANDS LÄN</t>
        </is>
      </c>
      <c r="E309" t="inlineStr">
        <is>
          <t>BERG</t>
        </is>
      </c>
      <c r="F309" t="inlineStr">
        <is>
          <t>SCA</t>
        </is>
      </c>
      <c r="G309" t="n">
        <v>9.5</v>
      </c>
      <c r="H309" t="n">
        <v>0</v>
      </c>
      <c r="I309" t="n">
        <v>0</v>
      </c>
      <c r="J309" t="n">
        <v>0</v>
      </c>
      <c r="K309" t="n">
        <v>0</v>
      </c>
      <c r="L309" t="n">
        <v>0</v>
      </c>
      <c r="M309" t="n">
        <v>0</v>
      </c>
      <c r="N309" t="n">
        <v>0</v>
      </c>
      <c r="O309" t="n">
        <v>0</v>
      </c>
      <c r="P309" t="n">
        <v>0</v>
      </c>
      <c r="Q309" t="n">
        <v>0</v>
      </c>
      <c r="R309" s="2" t="inlineStr"/>
    </row>
    <row r="310" ht="15" customHeight="1">
      <c r="A310" t="inlineStr">
        <is>
          <t>A 43403-2023</t>
        </is>
      </c>
      <c r="B310" s="1" t="n">
        <v>45183</v>
      </c>
      <c r="C310" s="1" t="n">
        <v>45970</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19428-2025</t>
        </is>
      </c>
      <c r="B311" s="1" t="n">
        <v>45769.79763888889</v>
      </c>
      <c r="C311" s="1" t="n">
        <v>45970</v>
      </c>
      <c r="D311" t="inlineStr">
        <is>
          <t>JÄMTLANDS LÄN</t>
        </is>
      </c>
      <c r="E311" t="inlineStr">
        <is>
          <t>BERG</t>
        </is>
      </c>
      <c r="G311" t="n">
        <v>7.1</v>
      </c>
      <c r="H311" t="n">
        <v>0</v>
      </c>
      <c r="I311" t="n">
        <v>0</v>
      </c>
      <c r="J311" t="n">
        <v>0</v>
      </c>
      <c r="K311" t="n">
        <v>0</v>
      </c>
      <c r="L311" t="n">
        <v>0</v>
      </c>
      <c r="M311" t="n">
        <v>0</v>
      </c>
      <c r="N311" t="n">
        <v>0</v>
      </c>
      <c r="O311" t="n">
        <v>0</v>
      </c>
      <c r="P311" t="n">
        <v>0</v>
      </c>
      <c r="Q311" t="n">
        <v>0</v>
      </c>
      <c r="R311" s="2" t="inlineStr"/>
    </row>
    <row r="312" ht="15" customHeight="1">
      <c r="A312" t="inlineStr">
        <is>
          <t>A 47145-2025</t>
        </is>
      </c>
      <c r="B312" s="1" t="n">
        <v>45929.71310185185</v>
      </c>
      <c r="C312" s="1" t="n">
        <v>45970</v>
      </c>
      <c r="D312" t="inlineStr">
        <is>
          <t>JÄMTLANDS LÄN</t>
        </is>
      </c>
      <c r="E312" t="inlineStr">
        <is>
          <t>BERG</t>
        </is>
      </c>
      <c r="G312" t="n">
        <v>3.5</v>
      </c>
      <c r="H312" t="n">
        <v>0</v>
      </c>
      <c r="I312" t="n">
        <v>0</v>
      </c>
      <c r="J312" t="n">
        <v>0</v>
      </c>
      <c r="K312" t="n">
        <v>0</v>
      </c>
      <c r="L312" t="n">
        <v>0</v>
      </c>
      <c r="M312" t="n">
        <v>0</v>
      </c>
      <c r="N312" t="n">
        <v>0</v>
      </c>
      <c r="O312" t="n">
        <v>0</v>
      </c>
      <c r="P312" t="n">
        <v>0</v>
      </c>
      <c r="Q312" t="n">
        <v>0</v>
      </c>
      <c r="R312" s="2" t="inlineStr"/>
    </row>
    <row r="313" ht="15" customHeight="1">
      <c r="A313" t="inlineStr">
        <is>
          <t>A 6982-2025</t>
        </is>
      </c>
      <c r="B313" s="1" t="n">
        <v>45701.55769675926</v>
      </c>
      <c r="C313" s="1" t="n">
        <v>45970</v>
      </c>
      <c r="D313" t="inlineStr">
        <is>
          <t>JÄMTLANDS LÄN</t>
        </is>
      </c>
      <c r="E313" t="inlineStr">
        <is>
          <t>BERG</t>
        </is>
      </c>
      <c r="G313" t="n">
        <v>6.8</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45970</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2472-2025</t>
        </is>
      </c>
      <c r="B315" s="1" t="n">
        <v>45674.47341435185</v>
      </c>
      <c r="C315" s="1" t="n">
        <v>45970</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2474-2025</t>
        </is>
      </c>
      <c r="B316" s="1" t="n">
        <v>45674.47496527778</v>
      </c>
      <c r="C316" s="1" t="n">
        <v>45970</v>
      </c>
      <c r="D316" t="inlineStr">
        <is>
          <t>JÄMTLANDS LÄN</t>
        </is>
      </c>
      <c r="E316" t="inlineStr">
        <is>
          <t>BERG</t>
        </is>
      </c>
      <c r="G316" t="n">
        <v>1.2</v>
      </c>
      <c r="H316" t="n">
        <v>0</v>
      </c>
      <c r="I316" t="n">
        <v>0</v>
      </c>
      <c r="J316" t="n">
        <v>0</v>
      </c>
      <c r="K316" t="n">
        <v>0</v>
      </c>
      <c r="L316" t="n">
        <v>0</v>
      </c>
      <c r="M316" t="n">
        <v>0</v>
      </c>
      <c r="N316" t="n">
        <v>0</v>
      </c>
      <c r="O316" t="n">
        <v>0</v>
      </c>
      <c r="P316" t="n">
        <v>0</v>
      </c>
      <c r="Q316" t="n">
        <v>0</v>
      </c>
      <c r="R316" s="2" t="inlineStr"/>
    </row>
    <row r="317" ht="15" customHeight="1">
      <c r="A317" t="inlineStr">
        <is>
          <t>A 47434-2025</t>
        </is>
      </c>
      <c r="B317" s="1" t="n">
        <v>45930.63659722222</v>
      </c>
      <c r="C317" s="1" t="n">
        <v>45970</v>
      </c>
      <c r="D317" t="inlineStr">
        <is>
          <t>JÄMTLANDS LÄN</t>
        </is>
      </c>
      <c r="E317" t="inlineStr">
        <is>
          <t>BERG</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45970</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39809-2025</t>
        </is>
      </c>
      <c r="B319" s="1" t="n">
        <v>45891</v>
      </c>
      <c r="C319" s="1" t="n">
        <v>45970</v>
      </c>
      <c r="D319" t="inlineStr">
        <is>
          <t>JÄMTLANDS LÄN</t>
        </is>
      </c>
      <c r="E319" t="inlineStr">
        <is>
          <t>BERG</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46854-2025</t>
        </is>
      </c>
      <c r="B320" s="1" t="n">
        <v>45928.87376157408</v>
      </c>
      <c r="C320" s="1" t="n">
        <v>45970</v>
      </c>
      <c r="D320" t="inlineStr">
        <is>
          <t>JÄMTLANDS LÄN</t>
        </is>
      </c>
      <c r="E320" t="inlineStr">
        <is>
          <t>BERG</t>
        </is>
      </c>
      <c r="F320" t="inlineStr">
        <is>
          <t>Kyrkan</t>
        </is>
      </c>
      <c r="G320" t="n">
        <v>4.8</v>
      </c>
      <c r="H320" t="n">
        <v>0</v>
      </c>
      <c r="I320" t="n">
        <v>0</v>
      </c>
      <c r="J320" t="n">
        <v>0</v>
      </c>
      <c r="K320" t="n">
        <v>0</v>
      </c>
      <c r="L320" t="n">
        <v>0</v>
      </c>
      <c r="M320" t="n">
        <v>0</v>
      </c>
      <c r="N320" t="n">
        <v>0</v>
      </c>
      <c r="O320" t="n">
        <v>0</v>
      </c>
      <c r="P320" t="n">
        <v>0</v>
      </c>
      <c r="Q320" t="n">
        <v>0</v>
      </c>
      <c r="R320" s="2" t="inlineStr"/>
    </row>
    <row r="321" ht="15" customHeight="1">
      <c r="A321" t="inlineStr">
        <is>
          <t>A 47168-2025</t>
        </is>
      </c>
      <c r="B321" s="1" t="n">
        <v>45929.86864583333</v>
      </c>
      <c r="C321" s="1" t="n">
        <v>45970</v>
      </c>
      <c r="D321" t="inlineStr">
        <is>
          <t>JÄMTLANDS LÄN</t>
        </is>
      </c>
      <c r="E321" t="inlineStr">
        <is>
          <t>BERG</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46908-2025</t>
        </is>
      </c>
      <c r="B322" s="1" t="n">
        <v>45929.40664351852</v>
      </c>
      <c r="C322" s="1" t="n">
        <v>45970</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58157-2021</t>
        </is>
      </c>
      <c r="B323" s="1" t="n">
        <v>44487.60703703704</v>
      </c>
      <c r="C323" s="1" t="n">
        <v>45970</v>
      </c>
      <c r="D323" t="inlineStr">
        <is>
          <t>JÄMTLANDS LÄN</t>
        </is>
      </c>
      <c r="E323" t="inlineStr">
        <is>
          <t>BERG</t>
        </is>
      </c>
      <c r="G323" t="n">
        <v>4.5</v>
      </c>
      <c r="H323" t="n">
        <v>0</v>
      </c>
      <c r="I323" t="n">
        <v>0</v>
      </c>
      <c r="J323" t="n">
        <v>0</v>
      </c>
      <c r="K323" t="n">
        <v>0</v>
      </c>
      <c r="L323" t="n">
        <v>0</v>
      </c>
      <c r="M323" t="n">
        <v>0</v>
      </c>
      <c r="N323" t="n">
        <v>0</v>
      </c>
      <c r="O323" t="n">
        <v>0</v>
      </c>
      <c r="P323" t="n">
        <v>0</v>
      </c>
      <c r="Q323" t="n">
        <v>0</v>
      </c>
      <c r="R323" s="2" t="inlineStr"/>
    </row>
    <row r="324" ht="15" customHeight="1">
      <c r="A324" t="inlineStr">
        <is>
          <t>A 50780-2021</t>
        </is>
      </c>
      <c r="B324" s="1" t="n">
        <v>44459</v>
      </c>
      <c r="C324" s="1" t="n">
        <v>45970</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433-2023</t>
        </is>
      </c>
      <c r="B325" s="1" t="n">
        <v>44923</v>
      </c>
      <c r="C325" s="1" t="n">
        <v>45970</v>
      </c>
      <c r="D325" t="inlineStr">
        <is>
          <t>JÄMTLANDS LÄN</t>
        </is>
      </c>
      <c r="E325" t="inlineStr">
        <is>
          <t>BERG</t>
        </is>
      </c>
      <c r="G325" t="n">
        <v>1.5</v>
      </c>
      <c r="H325" t="n">
        <v>0</v>
      </c>
      <c r="I325" t="n">
        <v>0</v>
      </c>
      <c r="J325" t="n">
        <v>0</v>
      </c>
      <c r="K325" t="n">
        <v>0</v>
      </c>
      <c r="L325" t="n">
        <v>0</v>
      </c>
      <c r="M325" t="n">
        <v>0</v>
      </c>
      <c r="N325" t="n">
        <v>0</v>
      </c>
      <c r="O325" t="n">
        <v>0</v>
      </c>
      <c r="P325" t="n">
        <v>0</v>
      </c>
      <c r="Q325" t="n">
        <v>0</v>
      </c>
      <c r="R325" s="2" t="inlineStr"/>
    </row>
    <row r="326" ht="15" customHeight="1">
      <c r="A326" t="inlineStr">
        <is>
          <t>A 61980-2024</t>
        </is>
      </c>
      <c r="B326" s="1" t="n">
        <v>45653.66269675926</v>
      </c>
      <c r="C326" s="1" t="n">
        <v>45970</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40824-2023</t>
        </is>
      </c>
      <c r="B327" s="1" t="n">
        <v>45171</v>
      </c>
      <c r="C327" s="1" t="n">
        <v>45970</v>
      </c>
      <c r="D327" t="inlineStr">
        <is>
          <t>JÄMTLANDS LÄN</t>
        </is>
      </c>
      <c r="E327" t="inlineStr">
        <is>
          <t>BERG</t>
        </is>
      </c>
      <c r="G327" t="n">
        <v>0.5</v>
      </c>
      <c r="H327" t="n">
        <v>0</v>
      </c>
      <c r="I327" t="n">
        <v>0</v>
      </c>
      <c r="J327" t="n">
        <v>0</v>
      </c>
      <c r="K327" t="n">
        <v>0</v>
      </c>
      <c r="L327" t="n">
        <v>0</v>
      </c>
      <c r="M327" t="n">
        <v>0</v>
      </c>
      <c r="N327" t="n">
        <v>0</v>
      </c>
      <c r="O327" t="n">
        <v>0</v>
      </c>
      <c r="P327" t="n">
        <v>0</v>
      </c>
      <c r="Q327" t="n">
        <v>0</v>
      </c>
      <c r="R327" s="2" t="inlineStr"/>
    </row>
    <row r="328" ht="15" customHeight="1">
      <c r="A328" t="inlineStr">
        <is>
          <t>A 47193-2025</t>
        </is>
      </c>
      <c r="B328" s="1" t="n">
        <v>45930.34469907408</v>
      </c>
      <c r="C328" s="1" t="n">
        <v>45970</v>
      </c>
      <c r="D328" t="inlineStr">
        <is>
          <t>JÄMTLANDS LÄN</t>
        </is>
      </c>
      <c r="E328" t="inlineStr">
        <is>
          <t>BERG</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47197-2025</t>
        </is>
      </c>
      <c r="B329" s="1" t="n">
        <v>45930.34533564815</v>
      </c>
      <c r="C329" s="1" t="n">
        <v>45970</v>
      </c>
      <c r="D329" t="inlineStr">
        <is>
          <t>JÄMTLANDS LÄN</t>
        </is>
      </c>
      <c r="E329" t="inlineStr">
        <is>
          <t>BERG</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47119-2024</t>
        </is>
      </c>
      <c r="B330" s="1" t="n">
        <v>45586.56431712963</v>
      </c>
      <c r="C330" s="1" t="n">
        <v>45970</v>
      </c>
      <c r="D330" t="inlineStr">
        <is>
          <t>JÄMTLANDS LÄN</t>
        </is>
      </c>
      <c r="E330" t="inlineStr">
        <is>
          <t>BERG</t>
        </is>
      </c>
      <c r="G330" t="n">
        <v>5</v>
      </c>
      <c r="H330" t="n">
        <v>0</v>
      </c>
      <c r="I330" t="n">
        <v>0</v>
      </c>
      <c r="J330" t="n">
        <v>0</v>
      </c>
      <c r="K330" t="n">
        <v>0</v>
      </c>
      <c r="L330" t="n">
        <v>0</v>
      </c>
      <c r="M330" t="n">
        <v>0</v>
      </c>
      <c r="N330" t="n">
        <v>0</v>
      </c>
      <c r="O330" t="n">
        <v>0</v>
      </c>
      <c r="P330" t="n">
        <v>0</v>
      </c>
      <c r="Q330" t="n">
        <v>0</v>
      </c>
      <c r="R330" s="2" t="inlineStr"/>
    </row>
    <row r="331" ht="15" customHeight="1">
      <c r="A331" t="inlineStr">
        <is>
          <t>A 1982-2022</t>
        </is>
      </c>
      <c r="B331" s="1" t="n">
        <v>44575</v>
      </c>
      <c r="C331" s="1" t="n">
        <v>45970</v>
      </c>
      <c r="D331" t="inlineStr">
        <is>
          <t>JÄMTLANDS LÄN</t>
        </is>
      </c>
      <c r="E331" t="inlineStr">
        <is>
          <t>BERG</t>
        </is>
      </c>
      <c r="G331" t="n">
        <v>1.6</v>
      </c>
      <c r="H331" t="n">
        <v>0</v>
      </c>
      <c r="I331" t="n">
        <v>0</v>
      </c>
      <c r="J331" t="n">
        <v>0</v>
      </c>
      <c r="K331" t="n">
        <v>0</v>
      </c>
      <c r="L331" t="n">
        <v>0</v>
      </c>
      <c r="M331" t="n">
        <v>0</v>
      </c>
      <c r="N331" t="n">
        <v>0</v>
      </c>
      <c r="O331" t="n">
        <v>0</v>
      </c>
      <c r="P331" t="n">
        <v>0</v>
      </c>
      <c r="Q331" t="n">
        <v>0</v>
      </c>
      <c r="R331" s="2" t="inlineStr"/>
    </row>
    <row r="332" ht="15" customHeight="1">
      <c r="A332" t="inlineStr">
        <is>
          <t>A 1989-2022</t>
        </is>
      </c>
      <c r="B332" s="1" t="n">
        <v>44575.55935185185</v>
      </c>
      <c r="C332" s="1" t="n">
        <v>45970</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8191-2025</t>
        </is>
      </c>
      <c r="B333" s="1" t="n">
        <v>45708.40821759259</v>
      </c>
      <c r="C333" s="1" t="n">
        <v>45970</v>
      </c>
      <c r="D333" t="inlineStr">
        <is>
          <t>JÄMTLANDS LÄN</t>
        </is>
      </c>
      <c r="E333" t="inlineStr">
        <is>
          <t>BERG</t>
        </is>
      </c>
      <c r="G333" t="n">
        <v>1.1</v>
      </c>
      <c r="H333" t="n">
        <v>0</v>
      </c>
      <c r="I333" t="n">
        <v>0</v>
      </c>
      <c r="J333" t="n">
        <v>0</v>
      </c>
      <c r="K333" t="n">
        <v>0</v>
      </c>
      <c r="L333" t="n">
        <v>0</v>
      </c>
      <c r="M333" t="n">
        <v>0</v>
      </c>
      <c r="N333" t="n">
        <v>0</v>
      </c>
      <c r="O333" t="n">
        <v>0</v>
      </c>
      <c r="P333" t="n">
        <v>0</v>
      </c>
      <c r="Q333" t="n">
        <v>0</v>
      </c>
      <c r="R333" s="2" t="inlineStr"/>
    </row>
    <row r="334" ht="15" customHeight="1">
      <c r="A334" t="inlineStr">
        <is>
          <t>A 44911-2021</t>
        </is>
      </c>
      <c r="B334" s="1" t="n">
        <v>44435</v>
      </c>
      <c r="C334" s="1" t="n">
        <v>45970</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56490-2024</t>
        </is>
      </c>
      <c r="B335" s="1" t="n">
        <v>45625.48765046296</v>
      </c>
      <c r="C335" s="1" t="n">
        <v>45970</v>
      </c>
      <c r="D335" t="inlineStr">
        <is>
          <t>JÄMTLANDS LÄN</t>
        </is>
      </c>
      <c r="E335" t="inlineStr">
        <is>
          <t>BERG</t>
        </is>
      </c>
      <c r="G335" t="n">
        <v>5.9</v>
      </c>
      <c r="H335" t="n">
        <v>0</v>
      </c>
      <c r="I335" t="n">
        <v>0</v>
      </c>
      <c r="J335" t="n">
        <v>0</v>
      </c>
      <c r="K335" t="n">
        <v>0</v>
      </c>
      <c r="L335" t="n">
        <v>0</v>
      </c>
      <c r="M335" t="n">
        <v>0</v>
      </c>
      <c r="N335" t="n">
        <v>0</v>
      </c>
      <c r="O335" t="n">
        <v>0</v>
      </c>
      <c r="P335" t="n">
        <v>0</v>
      </c>
      <c r="Q335" t="n">
        <v>0</v>
      </c>
      <c r="R335" s="2" t="inlineStr"/>
    </row>
    <row r="336" ht="15" customHeight="1">
      <c r="A336" t="inlineStr">
        <is>
          <t>A 53883-2023</t>
        </is>
      </c>
      <c r="B336" s="1" t="n">
        <v>45231.5221875</v>
      </c>
      <c r="C336" s="1" t="n">
        <v>45970</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24011-2023</t>
        </is>
      </c>
      <c r="B337" s="1" t="n">
        <v>45078</v>
      </c>
      <c r="C337" s="1" t="n">
        <v>45970</v>
      </c>
      <c r="D337" t="inlineStr">
        <is>
          <t>JÄMTLANDS LÄN</t>
        </is>
      </c>
      <c r="E337" t="inlineStr">
        <is>
          <t>BERG</t>
        </is>
      </c>
      <c r="G337" t="n">
        <v>1.4</v>
      </c>
      <c r="H337" t="n">
        <v>0</v>
      </c>
      <c r="I337" t="n">
        <v>0</v>
      </c>
      <c r="J337" t="n">
        <v>0</v>
      </c>
      <c r="K337" t="n">
        <v>0</v>
      </c>
      <c r="L337" t="n">
        <v>0</v>
      </c>
      <c r="M337" t="n">
        <v>0</v>
      </c>
      <c r="N337" t="n">
        <v>0</v>
      </c>
      <c r="O337" t="n">
        <v>0</v>
      </c>
      <c r="P337" t="n">
        <v>0</v>
      </c>
      <c r="Q337" t="n">
        <v>0</v>
      </c>
      <c r="R337" s="2" t="inlineStr"/>
    </row>
    <row r="338" ht="15" customHeight="1">
      <c r="A338" t="inlineStr">
        <is>
          <t>A 32654-2025</t>
        </is>
      </c>
      <c r="B338" s="1" t="n">
        <v>45838.6778587963</v>
      </c>
      <c r="C338" s="1" t="n">
        <v>45970</v>
      </c>
      <c r="D338" t="inlineStr">
        <is>
          <t>JÄMTLANDS LÄN</t>
        </is>
      </c>
      <c r="E338" t="inlineStr">
        <is>
          <t>BERG</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15013-2025</t>
        </is>
      </c>
      <c r="B339" s="1" t="n">
        <v>45743.62734953704</v>
      </c>
      <c r="C339" s="1" t="n">
        <v>45970</v>
      </c>
      <c r="D339" t="inlineStr">
        <is>
          <t>JÄMTLANDS LÄN</t>
        </is>
      </c>
      <c r="E339" t="inlineStr">
        <is>
          <t>BERG</t>
        </is>
      </c>
      <c r="G339" t="n">
        <v>4.6</v>
      </c>
      <c r="H339" t="n">
        <v>0</v>
      </c>
      <c r="I339" t="n">
        <v>0</v>
      </c>
      <c r="J339" t="n">
        <v>0</v>
      </c>
      <c r="K339" t="n">
        <v>0</v>
      </c>
      <c r="L339" t="n">
        <v>0</v>
      </c>
      <c r="M339" t="n">
        <v>0</v>
      </c>
      <c r="N339" t="n">
        <v>0</v>
      </c>
      <c r="O339" t="n">
        <v>0</v>
      </c>
      <c r="P339" t="n">
        <v>0</v>
      </c>
      <c r="Q339" t="n">
        <v>0</v>
      </c>
      <c r="R339" s="2" t="inlineStr"/>
    </row>
    <row r="340" ht="15" customHeight="1">
      <c r="A340" t="inlineStr">
        <is>
          <t>A 14198-2023</t>
        </is>
      </c>
      <c r="B340" s="1" t="n">
        <v>45009.57518518518</v>
      </c>
      <c r="C340" s="1" t="n">
        <v>45970</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64251-2023</t>
        </is>
      </c>
      <c r="B341" s="1" t="n">
        <v>45279.92756944444</v>
      </c>
      <c r="C341" s="1" t="n">
        <v>45970</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58817-2024</t>
        </is>
      </c>
      <c r="B342" s="1" t="n">
        <v>45636.35909722222</v>
      </c>
      <c r="C342" s="1" t="n">
        <v>45970</v>
      </c>
      <c r="D342" t="inlineStr">
        <is>
          <t>JÄMTLANDS LÄN</t>
        </is>
      </c>
      <c r="E342" t="inlineStr">
        <is>
          <t>BERG</t>
        </is>
      </c>
      <c r="G342" t="n">
        <v>1.5</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45970</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3419-2025</t>
        </is>
      </c>
      <c r="B344" s="1" t="n">
        <v>45680.4165625</v>
      </c>
      <c r="C344" s="1" t="n">
        <v>45970</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45970</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45970</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41927-2023</t>
        </is>
      </c>
      <c r="B347" s="1" t="n">
        <v>45176</v>
      </c>
      <c r="C347" s="1" t="n">
        <v>45970</v>
      </c>
      <c r="D347" t="inlineStr">
        <is>
          <t>JÄMTLANDS LÄN</t>
        </is>
      </c>
      <c r="E347" t="inlineStr">
        <is>
          <t>BERG</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17922-2024</t>
        </is>
      </c>
      <c r="B348" s="1" t="n">
        <v>45419.5853587963</v>
      </c>
      <c r="C348" s="1" t="n">
        <v>45970</v>
      </c>
      <c r="D348" t="inlineStr">
        <is>
          <t>JÄMTLANDS LÄN</t>
        </is>
      </c>
      <c r="E348" t="inlineStr">
        <is>
          <t>BERG</t>
        </is>
      </c>
      <c r="F348" t="inlineStr">
        <is>
          <t>Holmen skog AB</t>
        </is>
      </c>
      <c r="G348" t="n">
        <v>6.8</v>
      </c>
      <c r="H348" t="n">
        <v>0</v>
      </c>
      <c r="I348" t="n">
        <v>0</v>
      </c>
      <c r="J348" t="n">
        <v>0</v>
      </c>
      <c r="K348" t="n">
        <v>0</v>
      </c>
      <c r="L348" t="n">
        <v>0</v>
      </c>
      <c r="M348" t="n">
        <v>0</v>
      </c>
      <c r="N348" t="n">
        <v>0</v>
      </c>
      <c r="O348" t="n">
        <v>0</v>
      </c>
      <c r="P348" t="n">
        <v>0</v>
      </c>
      <c r="Q348" t="n">
        <v>0</v>
      </c>
      <c r="R348" s="2" t="inlineStr"/>
    </row>
    <row r="349" ht="15" customHeight="1">
      <c r="A349" t="inlineStr">
        <is>
          <t>A 59526-2024</t>
        </is>
      </c>
      <c r="B349" s="1" t="n">
        <v>45638.58019675926</v>
      </c>
      <c r="C349" s="1" t="n">
        <v>45970</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64752-2023</t>
        </is>
      </c>
      <c r="B350" s="1" t="n">
        <v>45281.92891203704</v>
      </c>
      <c r="C350" s="1" t="n">
        <v>45970</v>
      </c>
      <c r="D350" t="inlineStr">
        <is>
          <t>JÄMTLANDS LÄN</t>
        </is>
      </c>
      <c r="E350" t="inlineStr">
        <is>
          <t>BERG</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54799-2021</t>
        </is>
      </c>
      <c r="B351" s="1" t="n">
        <v>44473</v>
      </c>
      <c r="C351" s="1" t="n">
        <v>45970</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5187-2025</t>
        </is>
      </c>
      <c r="B352" s="1" t="n">
        <v>45691.64266203704</v>
      </c>
      <c r="C352" s="1" t="n">
        <v>45970</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19891-2025</t>
        </is>
      </c>
      <c r="B353" s="1" t="n">
        <v>45771.5743287037</v>
      </c>
      <c r="C353" s="1" t="n">
        <v>45970</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29540-2024</t>
        </is>
      </c>
      <c r="B354" s="1" t="n">
        <v>45484</v>
      </c>
      <c r="C354" s="1" t="n">
        <v>45970</v>
      </c>
      <c r="D354" t="inlineStr">
        <is>
          <t>JÄMTLANDS LÄN</t>
        </is>
      </c>
      <c r="E354" t="inlineStr">
        <is>
          <t>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8069-2024</t>
        </is>
      </c>
      <c r="B355" s="1" t="n">
        <v>45351.41600694445</v>
      </c>
      <c r="C355" s="1" t="n">
        <v>45970</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45970</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38682-2023</t>
        </is>
      </c>
      <c r="B357" s="1" t="n">
        <v>45162</v>
      </c>
      <c r="C357" s="1" t="n">
        <v>45970</v>
      </c>
      <c r="D357" t="inlineStr">
        <is>
          <t>JÄMTLANDS LÄN</t>
        </is>
      </c>
      <c r="E357" t="inlineStr">
        <is>
          <t>BERG</t>
        </is>
      </c>
      <c r="F357" t="inlineStr">
        <is>
          <t>SCA</t>
        </is>
      </c>
      <c r="G357" t="n">
        <v>21.3</v>
      </c>
      <c r="H357" t="n">
        <v>0</v>
      </c>
      <c r="I357" t="n">
        <v>0</v>
      </c>
      <c r="J357" t="n">
        <v>0</v>
      </c>
      <c r="K357" t="n">
        <v>0</v>
      </c>
      <c r="L357" t="n">
        <v>0</v>
      </c>
      <c r="M357" t="n">
        <v>0</v>
      </c>
      <c r="N357" t="n">
        <v>0</v>
      </c>
      <c r="O357" t="n">
        <v>0</v>
      </c>
      <c r="P357" t="n">
        <v>0</v>
      </c>
      <c r="Q357" t="n">
        <v>0</v>
      </c>
      <c r="R357" s="2" t="inlineStr"/>
    </row>
    <row r="358" ht="15" customHeight="1">
      <c r="A358" t="inlineStr">
        <is>
          <t>A 46268-2023</t>
        </is>
      </c>
      <c r="B358" s="1" t="n">
        <v>45196</v>
      </c>
      <c r="C358" s="1" t="n">
        <v>45970</v>
      </c>
      <c r="D358" t="inlineStr">
        <is>
          <t>JÄMTLANDS LÄN</t>
        </is>
      </c>
      <c r="E358" t="inlineStr">
        <is>
          <t>BERG</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7447-2022</t>
        </is>
      </c>
      <c r="B359" s="1" t="n">
        <v>44606</v>
      </c>
      <c r="C359" s="1" t="n">
        <v>45970</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32465-2024</t>
        </is>
      </c>
      <c r="B360" s="1" t="n">
        <v>45512.96096064815</v>
      </c>
      <c r="C360" s="1" t="n">
        <v>45970</v>
      </c>
      <c r="D360" t="inlineStr">
        <is>
          <t>JÄMTLANDS LÄN</t>
        </is>
      </c>
      <c r="E360" t="inlineStr">
        <is>
          <t>BERG</t>
        </is>
      </c>
      <c r="G360" t="n">
        <v>6.7</v>
      </c>
      <c r="H360" t="n">
        <v>0</v>
      </c>
      <c r="I360" t="n">
        <v>0</v>
      </c>
      <c r="J360" t="n">
        <v>0</v>
      </c>
      <c r="K360" t="n">
        <v>0</v>
      </c>
      <c r="L360" t="n">
        <v>0</v>
      </c>
      <c r="M360" t="n">
        <v>0</v>
      </c>
      <c r="N360" t="n">
        <v>0</v>
      </c>
      <c r="O360" t="n">
        <v>0</v>
      </c>
      <c r="P360" t="n">
        <v>0</v>
      </c>
      <c r="Q360" t="n">
        <v>0</v>
      </c>
      <c r="R360" s="2" t="inlineStr"/>
    </row>
    <row r="361" ht="15" customHeight="1">
      <c r="A361" t="inlineStr">
        <is>
          <t>A 29424-2024</t>
        </is>
      </c>
      <c r="B361" s="1" t="n">
        <v>45483.71451388889</v>
      </c>
      <c r="C361" s="1" t="n">
        <v>45970</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30917-2024</t>
        </is>
      </c>
      <c r="B362" s="1" t="n">
        <v>45498.66611111111</v>
      </c>
      <c r="C362" s="1" t="n">
        <v>45970</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30992-2024</t>
        </is>
      </c>
      <c r="B363" s="1" t="n">
        <v>45499</v>
      </c>
      <c r="C363" s="1" t="n">
        <v>45970</v>
      </c>
      <c r="D363" t="inlineStr">
        <is>
          <t>JÄMTLANDS LÄN</t>
        </is>
      </c>
      <c r="E363" t="inlineStr">
        <is>
          <t>BERG</t>
        </is>
      </c>
      <c r="F363" t="inlineStr">
        <is>
          <t>Sveaskog</t>
        </is>
      </c>
      <c r="G363" t="n">
        <v>5.1</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45970</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49555-2023</t>
        </is>
      </c>
      <c r="B365" s="1" t="n">
        <v>45205</v>
      </c>
      <c r="C365" s="1" t="n">
        <v>45970</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46853-2025</t>
        </is>
      </c>
      <c r="B366" s="1" t="n">
        <v>45928.86563657408</v>
      </c>
      <c r="C366" s="1" t="n">
        <v>45970</v>
      </c>
      <c r="D366" t="inlineStr">
        <is>
          <t>JÄMTLANDS LÄN</t>
        </is>
      </c>
      <c r="E366" t="inlineStr">
        <is>
          <t>BERG</t>
        </is>
      </c>
      <c r="F366" t="inlineStr">
        <is>
          <t>Kyrkan</t>
        </is>
      </c>
      <c r="G366" t="n">
        <v>7.9</v>
      </c>
      <c r="H366" t="n">
        <v>0</v>
      </c>
      <c r="I366" t="n">
        <v>0</v>
      </c>
      <c r="J366" t="n">
        <v>0</v>
      </c>
      <c r="K366" t="n">
        <v>0</v>
      </c>
      <c r="L366" t="n">
        <v>0</v>
      </c>
      <c r="M366" t="n">
        <v>0</v>
      </c>
      <c r="N366" t="n">
        <v>0</v>
      </c>
      <c r="O366" t="n">
        <v>0</v>
      </c>
      <c r="P366" t="n">
        <v>0</v>
      </c>
      <c r="Q366" t="n">
        <v>0</v>
      </c>
      <c r="R366" s="2" t="inlineStr"/>
    </row>
    <row r="367" ht="15" customHeight="1">
      <c r="A367" t="inlineStr">
        <is>
          <t>A 5911-2024</t>
        </is>
      </c>
      <c r="B367" s="1" t="n">
        <v>45335</v>
      </c>
      <c r="C367" s="1" t="n">
        <v>45970</v>
      </c>
      <c r="D367" t="inlineStr">
        <is>
          <t>JÄMTLANDS LÄN</t>
        </is>
      </c>
      <c r="E367" t="inlineStr">
        <is>
          <t>BERG</t>
        </is>
      </c>
      <c r="F367" t="inlineStr">
        <is>
          <t>SCA</t>
        </is>
      </c>
      <c r="G367" t="n">
        <v>28.6</v>
      </c>
      <c r="H367" t="n">
        <v>0</v>
      </c>
      <c r="I367" t="n">
        <v>0</v>
      </c>
      <c r="J367" t="n">
        <v>0</v>
      </c>
      <c r="K367" t="n">
        <v>0</v>
      </c>
      <c r="L367" t="n">
        <v>0</v>
      </c>
      <c r="M367" t="n">
        <v>0</v>
      </c>
      <c r="N367" t="n">
        <v>0</v>
      </c>
      <c r="O367" t="n">
        <v>0</v>
      </c>
      <c r="P367" t="n">
        <v>0</v>
      </c>
      <c r="Q367" t="n">
        <v>0</v>
      </c>
      <c r="R367" s="2" t="inlineStr"/>
    </row>
    <row r="368" ht="15" customHeight="1">
      <c r="A368" t="inlineStr">
        <is>
          <t>A 1499-2025</t>
        </is>
      </c>
      <c r="B368" s="1" t="n">
        <v>45670.41112268518</v>
      </c>
      <c r="C368" s="1" t="n">
        <v>45970</v>
      </c>
      <c r="D368" t="inlineStr">
        <is>
          <t>JÄMTLANDS LÄN</t>
        </is>
      </c>
      <c r="E368" t="inlineStr">
        <is>
          <t>BERG</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45970</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45970</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45970</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50169-2023</t>
        </is>
      </c>
      <c r="B372" s="1" t="n">
        <v>45208</v>
      </c>
      <c r="C372" s="1" t="n">
        <v>45970</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44313-2023</t>
        </is>
      </c>
      <c r="B373" s="1" t="n">
        <v>45188.6505787037</v>
      </c>
      <c r="C373" s="1" t="n">
        <v>45970</v>
      </c>
      <c r="D373" t="inlineStr">
        <is>
          <t>JÄMTLANDS LÄN</t>
        </is>
      </c>
      <c r="E373" t="inlineStr">
        <is>
          <t>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38-2024</t>
        </is>
      </c>
      <c r="B374" s="1" t="n">
        <v>45293</v>
      </c>
      <c r="C374" s="1" t="n">
        <v>45970</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24307-2023</t>
        </is>
      </c>
      <c r="B375" s="1" t="n">
        <v>45079.94229166667</v>
      </c>
      <c r="C375" s="1" t="n">
        <v>45970</v>
      </c>
      <c r="D375" t="inlineStr">
        <is>
          <t>JÄMTLANDS LÄN</t>
        </is>
      </c>
      <c r="E375" t="inlineStr">
        <is>
          <t>BERG</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12392-2025</t>
        </is>
      </c>
      <c r="B376" s="1" t="n">
        <v>45730.40104166666</v>
      </c>
      <c r="C376" s="1" t="n">
        <v>45970</v>
      </c>
      <c r="D376" t="inlineStr">
        <is>
          <t>JÄMTLANDS LÄN</t>
        </is>
      </c>
      <c r="E376" t="inlineStr">
        <is>
          <t>BERG</t>
        </is>
      </c>
      <c r="G376" t="n">
        <v>5.1</v>
      </c>
      <c r="H376" t="n">
        <v>0</v>
      </c>
      <c r="I376" t="n">
        <v>0</v>
      </c>
      <c r="J376" t="n">
        <v>0</v>
      </c>
      <c r="K376" t="n">
        <v>0</v>
      </c>
      <c r="L376" t="n">
        <v>0</v>
      </c>
      <c r="M376" t="n">
        <v>0</v>
      </c>
      <c r="N376" t="n">
        <v>0</v>
      </c>
      <c r="O376" t="n">
        <v>0</v>
      </c>
      <c r="P376" t="n">
        <v>0</v>
      </c>
      <c r="Q376" t="n">
        <v>0</v>
      </c>
      <c r="R376" s="2" t="inlineStr"/>
    </row>
    <row r="377" ht="15" customHeight="1">
      <c r="A377" t="inlineStr">
        <is>
          <t>A 37093-2024</t>
        </is>
      </c>
      <c r="B377" s="1" t="n">
        <v>45539.50018518518</v>
      </c>
      <c r="C377" s="1" t="n">
        <v>45970</v>
      </c>
      <c r="D377" t="inlineStr">
        <is>
          <t>JÄMTLANDS LÄN</t>
        </is>
      </c>
      <c r="E377" t="inlineStr">
        <is>
          <t>BERG</t>
        </is>
      </c>
      <c r="F377" t="inlineStr">
        <is>
          <t>Övriga Aktiebolag</t>
        </is>
      </c>
      <c r="G377" t="n">
        <v>15.4</v>
      </c>
      <c r="H377" t="n">
        <v>0</v>
      </c>
      <c r="I377" t="n">
        <v>0</v>
      </c>
      <c r="J377" t="n">
        <v>0</v>
      </c>
      <c r="K377" t="n">
        <v>0</v>
      </c>
      <c r="L377" t="n">
        <v>0</v>
      </c>
      <c r="M377" t="n">
        <v>0</v>
      </c>
      <c r="N377" t="n">
        <v>0</v>
      </c>
      <c r="O377" t="n">
        <v>0</v>
      </c>
      <c r="P377" t="n">
        <v>0</v>
      </c>
      <c r="Q377" t="n">
        <v>0</v>
      </c>
      <c r="R377" s="2" t="inlineStr"/>
    </row>
    <row r="378" ht="15" customHeight="1">
      <c r="A378" t="inlineStr">
        <is>
          <t>A 32879-2024</t>
        </is>
      </c>
      <c r="B378" s="1" t="n">
        <v>45516.68450231481</v>
      </c>
      <c r="C378" s="1" t="n">
        <v>45970</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19345-2024</t>
        </is>
      </c>
      <c r="B379" s="1" t="n">
        <v>45428.97185185185</v>
      </c>
      <c r="C379" s="1" t="n">
        <v>45970</v>
      </c>
      <c r="D379" t="inlineStr">
        <is>
          <t>JÄMTLANDS LÄN</t>
        </is>
      </c>
      <c r="E379" t="inlineStr">
        <is>
          <t>BERG</t>
        </is>
      </c>
      <c r="F379" t="inlineStr">
        <is>
          <t>SCA</t>
        </is>
      </c>
      <c r="G379" t="n">
        <v>14.7</v>
      </c>
      <c r="H379" t="n">
        <v>0</v>
      </c>
      <c r="I379" t="n">
        <v>0</v>
      </c>
      <c r="J379" t="n">
        <v>0</v>
      </c>
      <c r="K379" t="n">
        <v>0</v>
      </c>
      <c r="L379" t="n">
        <v>0</v>
      </c>
      <c r="M379" t="n">
        <v>0</v>
      </c>
      <c r="N379" t="n">
        <v>0</v>
      </c>
      <c r="O379" t="n">
        <v>0</v>
      </c>
      <c r="P379" t="n">
        <v>0</v>
      </c>
      <c r="Q379" t="n">
        <v>0</v>
      </c>
      <c r="R379" s="2" t="inlineStr"/>
    </row>
    <row r="380" ht="15" customHeight="1">
      <c r="A380" t="inlineStr">
        <is>
          <t>A 53456-2022</t>
        </is>
      </c>
      <c r="B380" s="1" t="n">
        <v>44874</v>
      </c>
      <c r="C380" s="1" t="n">
        <v>45970</v>
      </c>
      <c r="D380" t="inlineStr">
        <is>
          <t>JÄMTLANDS LÄN</t>
        </is>
      </c>
      <c r="E380" t="inlineStr">
        <is>
          <t>BERG</t>
        </is>
      </c>
      <c r="G380" t="n">
        <v>13.3</v>
      </c>
      <c r="H380" t="n">
        <v>0</v>
      </c>
      <c r="I380" t="n">
        <v>0</v>
      </c>
      <c r="J380" t="n">
        <v>0</v>
      </c>
      <c r="K380" t="n">
        <v>0</v>
      </c>
      <c r="L380" t="n">
        <v>0</v>
      </c>
      <c r="M380" t="n">
        <v>0</v>
      </c>
      <c r="N380" t="n">
        <v>0</v>
      </c>
      <c r="O380" t="n">
        <v>0</v>
      </c>
      <c r="P380" t="n">
        <v>0</v>
      </c>
      <c r="Q380" t="n">
        <v>0</v>
      </c>
      <c r="R380" s="2" t="inlineStr"/>
    </row>
    <row r="381" ht="15" customHeight="1">
      <c r="A381" t="inlineStr">
        <is>
          <t>A 31129-2024</t>
        </is>
      </c>
      <c r="B381" s="1" t="n">
        <v>45502</v>
      </c>
      <c r="C381" s="1" t="n">
        <v>45970</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171-2022</t>
        </is>
      </c>
      <c r="B382" s="1" t="n">
        <v>44564</v>
      </c>
      <c r="C382" s="1" t="n">
        <v>45970</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45970</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45970</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39004-2025</t>
        </is>
      </c>
      <c r="B385" s="1" t="n">
        <v>45888.34472222222</v>
      </c>
      <c r="C385" s="1" t="n">
        <v>45970</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27579-2024</t>
        </is>
      </c>
      <c r="B386" s="1" t="n">
        <v>45474.65244212963</v>
      </c>
      <c r="C386" s="1" t="n">
        <v>45970</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162-2024</t>
        </is>
      </c>
      <c r="B387" s="1" t="n">
        <v>45294</v>
      </c>
      <c r="C387" s="1" t="n">
        <v>45970</v>
      </c>
      <c r="D387" t="inlineStr">
        <is>
          <t>JÄMTLANDS LÄN</t>
        </is>
      </c>
      <c r="E387" t="inlineStr">
        <is>
          <t>BERG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17748-2024</t>
        </is>
      </c>
      <c r="B388" s="1" t="n">
        <v>45418</v>
      </c>
      <c r="C388" s="1" t="n">
        <v>45970</v>
      </c>
      <c r="D388" t="inlineStr">
        <is>
          <t>JÄMTLANDS LÄN</t>
        </is>
      </c>
      <c r="E388" t="inlineStr">
        <is>
          <t>BERG</t>
        </is>
      </c>
      <c r="G388" t="n">
        <v>0.9</v>
      </c>
      <c r="H388" t="n">
        <v>0</v>
      </c>
      <c r="I388" t="n">
        <v>0</v>
      </c>
      <c r="J388" t="n">
        <v>0</v>
      </c>
      <c r="K388" t="n">
        <v>0</v>
      </c>
      <c r="L388" t="n">
        <v>0</v>
      </c>
      <c r="M388" t="n">
        <v>0</v>
      </c>
      <c r="N388" t="n">
        <v>0</v>
      </c>
      <c r="O388" t="n">
        <v>0</v>
      </c>
      <c r="P388" t="n">
        <v>0</v>
      </c>
      <c r="Q388" t="n">
        <v>0</v>
      </c>
      <c r="R388" s="2" t="inlineStr"/>
    </row>
    <row r="389" ht="15" customHeight="1">
      <c r="A389" t="inlineStr">
        <is>
          <t>A 47137-2025</t>
        </is>
      </c>
      <c r="B389" s="1" t="n">
        <v>45929.69876157407</v>
      </c>
      <c r="C389" s="1" t="n">
        <v>45970</v>
      </c>
      <c r="D389" t="inlineStr">
        <is>
          <t>JÄMTLANDS LÄN</t>
        </is>
      </c>
      <c r="E389" t="inlineStr">
        <is>
          <t>BERG</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47141-2025</t>
        </is>
      </c>
      <c r="B390" s="1" t="n">
        <v>45929.70355324074</v>
      </c>
      <c r="C390" s="1" t="n">
        <v>45970</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45970</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525-2023</t>
        </is>
      </c>
      <c r="B392" s="1" t="n">
        <v>44924</v>
      </c>
      <c r="C392" s="1" t="n">
        <v>45970</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18007-2024</t>
        </is>
      </c>
      <c r="B393" s="1" t="n">
        <v>45419.94912037037</v>
      </c>
      <c r="C393" s="1" t="n">
        <v>45970</v>
      </c>
      <c r="D393" t="inlineStr">
        <is>
          <t>JÄMTLANDS LÄN</t>
        </is>
      </c>
      <c r="E393" t="inlineStr">
        <is>
          <t>BERG</t>
        </is>
      </c>
      <c r="G393" t="n">
        <v>0.7</v>
      </c>
      <c r="H393" t="n">
        <v>0</v>
      </c>
      <c r="I393" t="n">
        <v>0</v>
      </c>
      <c r="J393" t="n">
        <v>0</v>
      </c>
      <c r="K393" t="n">
        <v>0</v>
      </c>
      <c r="L393" t="n">
        <v>0</v>
      </c>
      <c r="M393" t="n">
        <v>0</v>
      </c>
      <c r="N393" t="n">
        <v>0</v>
      </c>
      <c r="O393" t="n">
        <v>0</v>
      </c>
      <c r="P393" t="n">
        <v>0</v>
      </c>
      <c r="Q393" t="n">
        <v>0</v>
      </c>
      <c r="R393" s="2" t="inlineStr"/>
    </row>
    <row r="394" ht="15" customHeight="1">
      <c r="A394" t="inlineStr">
        <is>
          <t>A 61239-2022</t>
        </is>
      </c>
      <c r="B394" s="1" t="n">
        <v>44909</v>
      </c>
      <c r="C394" s="1" t="n">
        <v>45970</v>
      </c>
      <c r="D394" t="inlineStr">
        <is>
          <t>JÄMTLANDS LÄN</t>
        </is>
      </c>
      <c r="E394" t="inlineStr">
        <is>
          <t>BERG</t>
        </is>
      </c>
      <c r="G394" t="n">
        <v>13.5</v>
      </c>
      <c r="H394" t="n">
        <v>0</v>
      </c>
      <c r="I394" t="n">
        <v>0</v>
      </c>
      <c r="J394" t="n">
        <v>0</v>
      </c>
      <c r="K394" t="n">
        <v>0</v>
      </c>
      <c r="L394" t="n">
        <v>0</v>
      </c>
      <c r="M394" t="n">
        <v>0</v>
      </c>
      <c r="N394" t="n">
        <v>0</v>
      </c>
      <c r="O394" t="n">
        <v>0</v>
      </c>
      <c r="P394" t="n">
        <v>0</v>
      </c>
      <c r="Q394" t="n">
        <v>0</v>
      </c>
      <c r="R394" s="2" t="inlineStr"/>
    </row>
    <row r="395" ht="15" customHeight="1">
      <c r="A395" t="inlineStr">
        <is>
          <t>A 61251-2022</t>
        </is>
      </c>
      <c r="B395" s="1" t="n">
        <v>44909</v>
      </c>
      <c r="C395" s="1" t="n">
        <v>45970</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61255-2022</t>
        </is>
      </c>
      <c r="B396" s="1" t="n">
        <v>44909</v>
      </c>
      <c r="C396" s="1" t="n">
        <v>45970</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47135-2025</t>
        </is>
      </c>
      <c r="B397" s="1" t="n">
        <v>45929.69799768519</v>
      </c>
      <c r="C397" s="1" t="n">
        <v>45970</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19258-2025</t>
        </is>
      </c>
      <c r="B398" s="1" t="n">
        <v>45769.49987268518</v>
      </c>
      <c r="C398" s="1" t="n">
        <v>45970</v>
      </c>
      <c r="D398" t="inlineStr">
        <is>
          <t>JÄMTLANDS LÄN</t>
        </is>
      </c>
      <c r="E398" t="inlineStr">
        <is>
          <t>BERG</t>
        </is>
      </c>
      <c r="G398" t="n">
        <v>10.9</v>
      </c>
      <c r="H398" t="n">
        <v>0</v>
      </c>
      <c r="I398" t="n">
        <v>0</v>
      </c>
      <c r="J398" t="n">
        <v>0</v>
      </c>
      <c r="K398" t="n">
        <v>0</v>
      </c>
      <c r="L398" t="n">
        <v>0</v>
      </c>
      <c r="M398" t="n">
        <v>0</v>
      </c>
      <c r="N398" t="n">
        <v>0</v>
      </c>
      <c r="O398" t="n">
        <v>0</v>
      </c>
      <c r="P398" t="n">
        <v>0</v>
      </c>
      <c r="Q398" t="n">
        <v>0</v>
      </c>
      <c r="R398" s="2" t="inlineStr"/>
    </row>
    <row r="399" ht="15" customHeight="1">
      <c r="A399" t="inlineStr">
        <is>
          <t>A 46991-2024</t>
        </is>
      </c>
      <c r="B399" s="1" t="n">
        <v>45586.365625</v>
      </c>
      <c r="C399" s="1" t="n">
        <v>45970</v>
      </c>
      <c r="D399" t="inlineStr">
        <is>
          <t>JÄMTLANDS LÄN</t>
        </is>
      </c>
      <c r="E399" t="inlineStr">
        <is>
          <t>BERG</t>
        </is>
      </c>
      <c r="G399" t="n">
        <v>2.9</v>
      </c>
      <c r="H399" t="n">
        <v>0</v>
      </c>
      <c r="I399" t="n">
        <v>0</v>
      </c>
      <c r="J399" t="n">
        <v>0</v>
      </c>
      <c r="K399" t="n">
        <v>0</v>
      </c>
      <c r="L399" t="n">
        <v>0</v>
      </c>
      <c r="M399" t="n">
        <v>0</v>
      </c>
      <c r="N399" t="n">
        <v>0</v>
      </c>
      <c r="O399" t="n">
        <v>0</v>
      </c>
      <c r="P399" t="n">
        <v>0</v>
      </c>
      <c r="Q399" t="n">
        <v>0</v>
      </c>
      <c r="R399" s="2" t="inlineStr"/>
    </row>
    <row r="400" ht="15" customHeight="1">
      <c r="A400" t="inlineStr">
        <is>
          <t>A 39544-2025</t>
        </is>
      </c>
      <c r="B400" s="1" t="n">
        <v>45890.45547453704</v>
      </c>
      <c r="C400" s="1" t="n">
        <v>45970</v>
      </c>
      <c r="D400" t="inlineStr">
        <is>
          <t>JÄMTLANDS LÄN</t>
        </is>
      </c>
      <c r="E400" t="inlineStr">
        <is>
          <t>BERG</t>
        </is>
      </c>
      <c r="G400" t="n">
        <v>7.5</v>
      </c>
      <c r="H400" t="n">
        <v>0</v>
      </c>
      <c r="I400" t="n">
        <v>0</v>
      </c>
      <c r="J400" t="n">
        <v>0</v>
      </c>
      <c r="K400" t="n">
        <v>0</v>
      </c>
      <c r="L400" t="n">
        <v>0</v>
      </c>
      <c r="M400" t="n">
        <v>0</v>
      </c>
      <c r="N400" t="n">
        <v>0</v>
      </c>
      <c r="O400" t="n">
        <v>0</v>
      </c>
      <c r="P400" t="n">
        <v>0</v>
      </c>
      <c r="Q400" t="n">
        <v>0</v>
      </c>
      <c r="R400" s="2" t="inlineStr"/>
    </row>
    <row r="401" ht="15" customHeight="1">
      <c r="A401" t="inlineStr">
        <is>
          <t>A 8388-2022</t>
        </is>
      </c>
      <c r="B401" s="1" t="n">
        <v>44610</v>
      </c>
      <c r="C401" s="1" t="n">
        <v>45970</v>
      </c>
      <c r="D401" t="inlineStr">
        <is>
          <t>JÄMTLANDS LÄN</t>
        </is>
      </c>
      <c r="E401" t="inlineStr">
        <is>
          <t>BERG</t>
        </is>
      </c>
      <c r="G401" t="n">
        <v>2.6</v>
      </c>
      <c r="H401" t="n">
        <v>0</v>
      </c>
      <c r="I401" t="n">
        <v>0</v>
      </c>
      <c r="J401" t="n">
        <v>0</v>
      </c>
      <c r="K401" t="n">
        <v>0</v>
      </c>
      <c r="L401" t="n">
        <v>0</v>
      </c>
      <c r="M401" t="n">
        <v>0</v>
      </c>
      <c r="N401" t="n">
        <v>0</v>
      </c>
      <c r="O401" t="n">
        <v>0</v>
      </c>
      <c r="P401" t="n">
        <v>0</v>
      </c>
      <c r="Q401" t="n">
        <v>0</v>
      </c>
      <c r="R401" s="2" t="inlineStr"/>
    </row>
    <row r="402" ht="15" customHeight="1">
      <c r="A402" t="inlineStr">
        <is>
          <t>A 39601-2025</t>
        </is>
      </c>
      <c r="B402" s="1" t="n">
        <v>45890.55284722222</v>
      </c>
      <c r="C402" s="1" t="n">
        <v>45970</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39269-2024</t>
        </is>
      </c>
      <c r="B403" s="1" t="n">
        <v>45551.34488425926</v>
      </c>
      <c r="C403" s="1" t="n">
        <v>45970</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9252-2025</t>
        </is>
      </c>
      <c r="B404" s="1" t="n">
        <v>45714.59415509259</v>
      </c>
      <c r="C404" s="1" t="n">
        <v>45970</v>
      </c>
      <c r="D404" t="inlineStr">
        <is>
          <t>JÄMTLANDS LÄN</t>
        </is>
      </c>
      <c r="E404" t="inlineStr">
        <is>
          <t>BERG</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10974-2025</t>
        </is>
      </c>
      <c r="B405" s="1" t="n">
        <v>45723.38790509259</v>
      </c>
      <c r="C405" s="1" t="n">
        <v>45970</v>
      </c>
      <c r="D405" t="inlineStr">
        <is>
          <t>JÄMTLANDS LÄN</t>
        </is>
      </c>
      <c r="E405" t="inlineStr">
        <is>
          <t>BERG</t>
        </is>
      </c>
      <c r="G405" t="n">
        <v>6.9</v>
      </c>
      <c r="H405" t="n">
        <v>0</v>
      </c>
      <c r="I405" t="n">
        <v>0</v>
      </c>
      <c r="J405" t="n">
        <v>0</v>
      </c>
      <c r="K405" t="n">
        <v>0</v>
      </c>
      <c r="L405" t="n">
        <v>0</v>
      </c>
      <c r="M405" t="n">
        <v>0</v>
      </c>
      <c r="N405" t="n">
        <v>0</v>
      </c>
      <c r="O405" t="n">
        <v>0</v>
      </c>
      <c r="P405" t="n">
        <v>0</v>
      </c>
      <c r="Q405" t="n">
        <v>0</v>
      </c>
      <c r="R405" s="2" t="inlineStr"/>
    </row>
    <row r="406" ht="15" customHeight="1">
      <c r="A406" t="inlineStr">
        <is>
          <t>A 47821-2025</t>
        </is>
      </c>
      <c r="B406" s="1" t="n">
        <v>45932.34421296296</v>
      </c>
      <c r="C406" s="1" t="n">
        <v>45970</v>
      </c>
      <c r="D406" t="inlineStr">
        <is>
          <t>JÄMTLANDS LÄN</t>
        </is>
      </c>
      <c r="E406" t="inlineStr">
        <is>
          <t>BERG</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53894-2023</t>
        </is>
      </c>
      <c r="B407" s="1" t="n">
        <v>45231.53321759259</v>
      </c>
      <c r="C407" s="1" t="n">
        <v>45970</v>
      </c>
      <c r="D407" t="inlineStr">
        <is>
          <t>JÄMTLANDS LÄN</t>
        </is>
      </c>
      <c r="E407" t="inlineStr">
        <is>
          <t>BERG</t>
        </is>
      </c>
      <c r="G407" t="n">
        <v>0.5</v>
      </c>
      <c r="H407" t="n">
        <v>0</v>
      </c>
      <c r="I407" t="n">
        <v>0</v>
      </c>
      <c r="J407" t="n">
        <v>0</v>
      </c>
      <c r="K407" t="n">
        <v>0</v>
      </c>
      <c r="L407" t="n">
        <v>0</v>
      </c>
      <c r="M407" t="n">
        <v>0</v>
      </c>
      <c r="N407" t="n">
        <v>0</v>
      </c>
      <c r="O407" t="n">
        <v>0</v>
      </c>
      <c r="P407" t="n">
        <v>0</v>
      </c>
      <c r="Q407" t="n">
        <v>0</v>
      </c>
      <c r="R407" s="2" t="inlineStr"/>
    </row>
    <row r="408" ht="15" customHeight="1">
      <c r="A408" t="inlineStr">
        <is>
          <t>A 6645-2025</t>
        </is>
      </c>
      <c r="B408" s="1" t="n">
        <v>45700.39645833334</v>
      </c>
      <c r="C408" s="1" t="n">
        <v>45970</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45970</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45970</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41069-2022</t>
        </is>
      </c>
      <c r="B411" s="1" t="n">
        <v>44825.60015046296</v>
      </c>
      <c r="C411" s="1" t="n">
        <v>45970</v>
      </c>
      <c r="D411" t="inlineStr">
        <is>
          <t>JÄMTLANDS LÄN</t>
        </is>
      </c>
      <c r="E411" t="inlineStr">
        <is>
          <t>BERG</t>
        </is>
      </c>
      <c r="G411" t="n">
        <v>1.5</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45970</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21717-2023</t>
        </is>
      </c>
      <c r="B413" s="1" t="n">
        <v>45063</v>
      </c>
      <c r="C413" s="1" t="n">
        <v>45970</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47533-2025</t>
        </is>
      </c>
      <c r="B414" s="1" t="n">
        <v>45931.34659722223</v>
      </c>
      <c r="C414" s="1" t="n">
        <v>45970</v>
      </c>
      <c r="D414" t="inlineStr">
        <is>
          <t>JÄMTLANDS LÄN</t>
        </is>
      </c>
      <c r="E414" t="inlineStr">
        <is>
          <t>BERG</t>
        </is>
      </c>
      <c r="G414" t="n">
        <v>3.1</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45970</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46858-2023</t>
        </is>
      </c>
      <c r="B416" s="1" t="n">
        <v>45199.97042824074</v>
      </c>
      <c r="C416" s="1" t="n">
        <v>45970</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49225-2024</t>
        </is>
      </c>
      <c r="B417" s="1" t="n">
        <v>45595.4177662037</v>
      </c>
      <c r="C417" s="1" t="n">
        <v>45970</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25565-2023</t>
        </is>
      </c>
      <c r="B418" s="1" t="n">
        <v>45082</v>
      </c>
      <c r="C418" s="1" t="n">
        <v>45970</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51951-2021</t>
        </is>
      </c>
      <c r="B419" s="1" t="n">
        <v>44462</v>
      </c>
      <c r="C419" s="1" t="n">
        <v>45970</v>
      </c>
      <c r="D419" t="inlineStr">
        <is>
          <t>JÄMTLANDS LÄN</t>
        </is>
      </c>
      <c r="E419" t="inlineStr">
        <is>
          <t>BERG</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14697-2025</t>
        </is>
      </c>
      <c r="B420" s="1" t="n">
        <v>45742.59415509259</v>
      </c>
      <c r="C420" s="1" t="n">
        <v>45970</v>
      </c>
      <c r="D420" t="inlineStr">
        <is>
          <t>JÄMTLANDS LÄN</t>
        </is>
      </c>
      <c r="E420" t="inlineStr">
        <is>
          <t>BERG</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56226-2024</t>
        </is>
      </c>
      <c r="B421" s="1" t="n">
        <v>45624.61572916667</v>
      </c>
      <c r="C421" s="1" t="n">
        <v>45970</v>
      </c>
      <c r="D421" t="inlineStr">
        <is>
          <t>JÄMTLANDS LÄN</t>
        </is>
      </c>
      <c r="E421" t="inlineStr">
        <is>
          <t>BERG</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18261-2022</t>
        </is>
      </c>
      <c r="B422" s="1" t="n">
        <v>44685.45633101852</v>
      </c>
      <c r="C422" s="1" t="n">
        <v>45970</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54863-2023</t>
        </is>
      </c>
      <c r="B423" s="1" t="n">
        <v>45236</v>
      </c>
      <c r="C423" s="1" t="n">
        <v>45970</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16022-2025</t>
        </is>
      </c>
      <c r="B424" s="1" t="n">
        <v>45749.60973379629</v>
      </c>
      <c r="C424" s="1" t="n">
        <v>45970</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48663-2023</t>
        </is>
      </c>
      <c r="B425" s="1" t="n">
        <v>45202</v>
      </c>
      <c r="C425" s="1" t="n">
        <v>45970</v>
      </c>
      <c r="D425" t="inlineStr">
        <is>
          <t>JÄMTLANDS LÄN</t>
        </is>
      </c>
      <c r="E425" t="inlineStr">
        <is>
          <t>BERG</t>
        </is>
      </c>
      <c r="G425" t="n">
        <v>1.6</v>
      </c>
      <c r="H425" t="n">
        <v>0</v>
      </c>
      <c r="I425" t="n">
        <v>0</v>
      </c>
      <c r="J425" t="n">
        <v>0</v>
      </c>
      <c r="K425" t="n">
        <v>0</v>
      </c>
      <c r="L425" t="n">
        <v>0</v>
      </c>
      <c r="M425" t="n">
        <v>0</v>
      </c>
      <c r="N425" t="n">
        <v>0</v>
      </c>
      <c r="O425" t="n">
        <v>0</v>
      </c>
      <c r="P425" t="n">
        <v>0</v>
      </c>
      <c r="Q425" t="n">
        <v>0</v>
      </c>
      <c r="R425" s="2" t="inlineStr"/>
    </row>
    <row r="426" ht="15" customHeight="1">
      <c r="A426" t="inlineStr">
        <is>
          <t>A 4476-2025</t>
        </is>
      </c>
      <c r="B426" s="1" t="n">
        <v>45686.62828703703</v>
      </c>
      <c r="C426" s="1" t="n">
        <v>45970</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32064-2023</t>
        </is>
      </c>
      <c r="B427" s="1" t="n">
        <v>45119.57108796296</v>
      </c>
      <c r="C427" s="1" t="n">
        <v>45970</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61837-2023</t>
        </is>
      </c>
      <c r="B428" s="1" t="n">
        <v>45264</v>
      </c>
      <c r="C428" s="1" t="n">
        <v>45970</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35792-2024</t>
        </is>
      </c>
      <c r="B429" s="1" t="n">
        <v>45532.62950231481</v>
      </c>
      <c r="C429" s="1" t="n">
        <v>45970</v>
      </c>
      <c r="D429" t="inlineStr">
        <is>
          <t>JÄMTLANDS LÄN</t>
        </is>
      </c>
      <c r="E429" t="inlineStr">
        <is>
          <t>BERG</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41886-2024</t>
        </is>
      </c>
      <c r="B430" s="1" t="n">
        <v>45561.48825231481</v>
      </c>
      <c r="C430" s="1" t="n">
        <v>45970</v>
      </c>
      <c r="D430" t="inlineStr">
        <is>
          <t>JÄMTLANDS LÄN</t>
        </is>
      </c>
      <c r="E430" t="inlineStr">
        <is>
          <t>BERG</t>
        </is>
      </c>
      <c r="G430" t="n">
        <v>1.2</v>
      </c>
      <c r="H430" t="n">
        <v>0</v>
      </c>
      <c r="I430" t="n">
        <v>0</v>
      </c>
      <c r="J430" t="n">
        <v>0</v>
      </c>
      <c r="K430" t="n">
        <v>0</v>
      </c>
      <c r="L430" t="n">
        <v>0</v>
      </c>
      <c r="M430" t="n">
        <v>0</v>
      </c>
      <c r="N430" t="n">
        <v>0</v>
      </c>
      <c r="O430" t="n">
        <v>0</v>
      </c>
      <c r="P430" t="n">
        <v>0</v>
      </c>
      <c r="Q430" t="n">
        <v>0</v>
      </c>
      <c r="R430" s="2" t="inlineStr"/>
    </row>
    <row r="431" ht="15" customHeight="1">
      <c r="A431" t="inlineStr">
        <is>
          <t>A 13672-2024</t>
        </is>
      </c>
      <c r="B431" s="1" t="n">
        <v>45390</v>
      </c>
      <c r="C431" s="1" t="n">
        <v>45970</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40990-2022</t>
        </is>
      </c>
      <c r="B432" s="1" t="n">
        <v>44823</v>
      </c>
      <c r="C432" s="1" t="n">
        <v>45970</v>
      </c>
      <c r="D432" t="inlineStr">
        <is>
          <t>JÄMTLANDS LÄN</t>
        </is>
      </c>
      <c r="E432" t="inlineStr">
        <is>
          <t>BERG</t>
        </is>
      </c>
      <c r="G432" t="n">
        <v>11.7</v>
      </c>
      <c r="H432" t="n">
        <v>0</v>
      </c>
      <c r="I432" t="n">
        <v>0</v>
      </c>
      <c r="J432" t="n">
        <v>0</v>
      </c>
      <c r="K432" t="n">
        <v>0</v>
      </c>
      <c r="L432" t="n">
        <v>0</v>
      </c>
      <c r="M432" t="n">
        <v>0</v>
      </c>
      <c r="N432" t="n">
        <v>0</v>
      </c>
      <c r="O432" t="n">
        <v>0</v>
      </c>
      <c r="P432" t="n">
        <v>0</v>
      </c>
      <c r="Q432" t="n">
        <v>0</v>
      </c>
      <c r="R432" s="2" t="inlineStr"/>
    </row>
    <row r="433" ht="15" customHeight="1">
      <c r="A433" t="inlineStr">
        <is>
          <t>A 41875-2024</t>
        </is>
      </c>
      <c r="B433" s="1" t="n">
        <v>45561.47431712963</v>
      </c>
      <c r="C433" s="1" t="n">
        <v>45970</v>
      </c>
      <c r="D433" t="inlineStr">
        <is>
          <t>JÄMTLANDS LÄN</t>
        </is>
      </c>
      <c r="E433" t="inlineStr">
        <is>
          <t>BERG</t>
        </is>
      </c>
      <c r="G433" t="n">
        <v>1.3</v>
      </c>
      <c r="H433" t="n">
        <v>0</v>
      </c>
      <c r="I433" t="n">
        <v>0</v>
      </c>
      <c r="J433" t="n">
        <v>0</v>
      </c>
      <c r="K433" t="n">
        <v>0</v>
      </c>
      <c r="L433" t="n">
        <v>0</v>
      </c>
      <c r="M433" t="n">
        <v>0</v>
      </c>
      <c r="N433" t="n">
        <v>0</v>
      </c>
      <c r="O433" t="n">
        <v>0</v>
      </c>
      <c r="P433" t="n">
        <v>0</v>
      </c>
      <c r="Q433" t="n">
        <v>0</v>
      </c>
      <c r="R433" s="2" t="inlineStr"/>
    </row>
    <row r="434" ht="15" customHeight="1">
      <c r="A434" t="inlineStr">
        <is>
          <t>A 8733-2024</t>
        </is>
      </c>
      <c r="B434" s="1" t="n">
        <v>45355</v>
      </c>
      <c r="C434" s="1" t="n">
        <v>45970</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18408-2025</t>
        </is>
      </c>
      <c r="B435" s="1" t="n">
        <v>45762.61128472222</v>
      </c>
      <c r="C435" s="1" t="n">
        <v>45970</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20899-2023</t>
        </is>
      </c>
      <c r="B436" s="1" t="n">
        <v>45060</v>
      </c>
      <c r="C436" s="1" t="n">
        <v>45970</v>
      </c>
      <c r="D436" t="inlineStr">
        <is>
          <t>JÄMTLANDS LÄN</t>
        </is>
      </c>
      <c r="E436" t="inlineStr">
        <is>
          <t>BERG</t>
        </is>
      </c>
      <c r="G436" t="n">
        <v>1.9</v>
      </c>
      <c r="H436" t="n">
        <v>0</v>
      </c>
      <c r="I436" t="n">
        <v>0</v>
      </c>
      <c r="J436" t="n">
        <v>0</v>
      </c>
      <c r="K436" t="n">
        <v>0</v>
      </c>
      <c r="L436" t="n">
        <v>0</v>
      </c>
      <c r="M436" t="n">
        <v>0</v>
      </c>
      <c r="N436" t="n">
        <v>0</v>
      </c>
      <c r="O436" t="n">
        <v>0</v>
      </c>
      <c r="P436" t="n">
        <v>0</v>
      </c>
      <c r="Q436" t="n">
        <v>0</v>
      </c>
      <c r="R436" s="2" t="inlineStr"/>
    </row>
    <row r="437" ht="15" customHeight="1">
      <c r="A437" t="inlineStr">
        <is>
          <t>A 47534-2025</t>
        </is>
      </c>
      <c r="B437" s="1" t="n">
        <v>45931.3466550926</v>
      </c>
      <c r="C437" s="1" t="n">
        <v>45970</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5219-2022</t>
        </is>
      </c>
      <c r="B438" s="1" t="n">
        <v>44594.48569444445</v>
      </c>
      <c r="C438" s="1" t="n">
        <v>45970</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7744-2024</t>
        </is>
      </c>
      <c r="B439" s="1" t="n">
        <v>45349</v>
      </c>
      <c r="C439" s="1" t="n">
        <v>45970</v>
      </c>
      <c r="D439" t="inlineStr">
        <is>
          <t>JÄMTLANDS LÄN</t>
        </is>
      </c>
      <c r="E439" t="inlineStr">
        <is>
          <t>BERG</t>
        </is>
      </c>
      <c r="G439" t="n">
        <v>1.7</v>
      </c>
      <c r="H439" t="n">
        <v>0</v>
      </c>
      <c r="I439" t="n">
        <v>0</v>
      </c>
      <c r="J439" t="n">
        <v>0</v>
      </c>
      <c r="K439" t="n">
        <v>0</v>
      </c>
      <c r="L439" t="n">
        <v>0</v>
      </c>
      <c r="M439" t="n">
        <v>0</v>
      </c>
      <c r="N439" t="n">
        <v>0</v>
      </c>
      <c r="O439" t="n">
        <v>0</v>
      </c>
      <c r="P439" t="n">
        <v>0</v>
      </c>
      <c r="Q439" t="n">
        <v>0</v>
      </c>
      <c r="R439" s="2" t="inlineStr"/>
    </row>
    <row r="440" ht="15" customHeight="1">
      <c r="A440" t="inlineStr">
        <is>
          <t>A 39418-2025</t>
        </is>
      </c>
      <c r="B440" s="1" t="n">
        <v>45889</v>
      </c>
      <c r="C440" s="1" t="n">
        <v>45970</v>
      </c>
      <c r="D440" t="inlineStr">
        <is>
          <t>JÄMTLANDS LÄN</t>
        </is>
      </c>
      <c r="E440" t="inlineStr">
        <is>
          <t>BERG</t>
        </is>
      </c>
      <c r="G440" t="n">
        <v>19.8</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45970</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48056-2025</t>
        </is>
      </c>
      <c r="B442" s="1" t="n">
        <v>45932.67946759259</v>
      </c>
      <c r="C442" s="1" t="n">
        <v>45970</v>
      </c>
      <c r="D442" t="inlineStr">
        <is>
          <t>JÄMTLANDS LÄN</t>
        </is>
      </c>
      <c r="E442" t="inlineStr">
        <is>
          <t>BERG</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45970</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18217-2023</t>
        </is>
      </c>
      <c r="B444" s="1" t="n">
        <v>45040</v>
      </c>
      <c r="C444" s="1" t="n">
        <v>45970</v>
      </c>
      <c r="D444" t="inlineStr">
        <is>
          <t>JÄMTLANDS LÄN</t>
        </is>
      </c>
      <c r="E444" t="inlineStr">
        <is>
          <t>BERG</t>
        </is>
      </c>
      <c r="G444" t="n">
        <v>4.5</v>
      </c>
      <c r="H444" t="n">
        <v>0</v>
      </c>
      <c r="I444" t="n">
        <v>0</v>
      </c>
      <c r="J444" t="n">
        <v>0</v>
      </c>
      <c r="K444" t="n">
        <v>0</v>
      </c>
      <c r="L444" t="n">
        <v>0</v>
      </c>
      <c r="M444" t="n">
        <v>0</v>
      </c>
      <c r="N444" t="n">
        <v>0</v>
      </c>
      <c r="O444" t="n">
        <v>0</v>
      </c>
      <c r="P444" t="n">
        <v>0</v>
      </c>
      <c r="Q444" t="n">
        <v>0</v>
      </c>
      <c r="R444" s="2" t="inlineStr"/>
    </row>
    <row r="445" ht="15" customHeight="1">
      <c r="A445" t="inlineStr">
        <is>
          <t>A 18112-2024</t>
        </is>
      </c>
      <c r="B445" s="1" t="n">
        <v>45420.49851851852</v>
      </c>
      <c r="C445" s="1" t="n">
        <v>45970</v>
      </c>
      <c r="D445" t="inlineStr">
        <is>
          <t>JÄMTLANDS LÄN</t>
        </is>
      </c>
      <c r="E445" t="inlineStr">
        <is>
          <t>BERG</t>
        </is>
      </c>
      <c r="F445" t="inlineStr">
        <is>
          <t>Holmen skog AB</t>
        </is>
      </c>
      <c r="G445" t="n">
        <v>16.6</v>
      </c>
      <c r="H445" t="n">
        <v>0</v>
      </c>
      <c r="I445" t="n">
        <v>0</v>
      </c>
      <c r="J445" t="n">
        <v>0</v>
      </c>
      <c r="K445" t="n">
        <v>0</v>
      </c>
      <c r="L445" t="n">
        <v>0</v>
      </c>
      <c r="M445" t="n">
        <v>0</v>
      </c>
      <c r="N445" t="n">
        <v>0</v>
      </c>
      <c r="O445" t="n">
        <v>0</v>
      </c>
      <c r="P445" t="n">
        <v>0</v>
      </c>
      <c r="Q445" t="n">
        <v>0</v>
      </c>
      <c r="R445" s="2" t="inlineStr"/>
    </row>
    <row r="446" ht="15" customHeight="1">
      <c r="A446" t="inlineStr">
        <is>
          <t>A 48209-2025</t>
        </is>
      </c>
      <c r="B446" s="1" t="n">
        <v>45933.4900462963</v>
      </c>
      <c r="C446" s="1" t="n">
        <v>45970</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3842-2023</t>
        </is>
      </c>
      <c r="B447" s="1" t="n">
        <v>44951</v>
      </c>
      <c r="C447" s="1" t="n">
        <v>45970</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14190-2023</t>
        </is>
      </c>
      <c r="B448" s="1" t="n">
        <v>45009.56106481481</v>
      </c>
      <c r="C448" s="1" t="n">
        <v>45970</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21521-2024</t>
        </is>
      </c>
      <c r="B449" s="1" t="n">
        <v>45441.58313657407</v>
      </c>
      <c r="C449" s="1" t="n">
        <v>45970</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18775-2024</t>
        </is>
      </c>
      <c r="B450" s="1" t="n">
        <v>45426</v>
      </c>
      <c r="C450" s="1" t="n">
        <v>45970</v>
      </c>
      <c r="D450" t="inlineStr">
        <is>
          <t>JÄMTLANDS LÄN</t>
        </is>
      </c>
      <c r="E450" t="inlineStr">
        <is>
          <t>BERG</t>
        </is>
      </c>
      <c r="G450" t="n">
        <v>13.9</v>
      </c>
      <c r="H450" t="n">
        <v>0</v>
      </c>
      <c r="I450" t="n">
        <v>0</v>
      </c>
      <c r="J450" t="n">
        <v>0</v>
      </c>
      <c r="K450" t="n">
        <v>0</v>
      </c>
      <c r="L450" t="n">
        <v>0</v>
      </c>
      <c r="M450" t="n">
        <v>0</v>
      </c>
      <c r="N450" t="n">
        <v>0</v>
      </c>
      <c r="O450" t="n">
        <v>0</v>
      </c>
      <c r="P450" t="n">
        <v>0</v>
      </c>
      <c r="Q450" t="n">
        <v>0</v>
      </c>
      <c r="R450" s="2" t="inlineStr"/>
    </row>
    <row r="451" ht="15" customHeight="1">
      <c r="A451" t="inlineStr">
        <is>
          <t>A 48511-2025</t>
        </is>
      </c>
      <c r="B451" s="1" t="n">
        <v>45936.3865162037</v>
      </c>
      <c r="C451" s="1" t="n">
        <v>45970</v>
      </c>
      <c r="D451" t="inlineStr">
        <is>
          <t>JÄMTLANDS LÄN</t>
        </is>
      </c>
      <c r="E451" t="inlineStr">
        <is>
          <t>BERG</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18752-2024</t>
        </is>
      </c>
      <c r="B452" s="1" t="n">
        <v>45426.54224537037</v>
      </c>
      <c r="C452" s="1" t="n">
        <v>45970</v>
      </c>
      <c r="D452" t="inlineStr">
        <is>
          <t>JÄMTLANDS LÄN</t>
        </is>
      </c>
      <c r="E452" t="inlineStr">
        <is>
          <t>BERG</t>
        </is>
      </c>
      <c r="G452" t="n">
        <v>0.7</v>
      </c>
      <c r="H452" t="n">
        <v>0</v>
      </c>
      <c r="I452" t="n">
        <v>0</v>
      </c>
      <c r="J452" t="n">
        <v>0</v>
      </c>
      <c r="K452" t="n">
        <v>0</v>
      </c>
      <c r="L452" t="n">
        <v>0</v>
      </c>
      <c r="M452" t="n">
        <v>0</v>
      </c>
      <c r="N452" t="n">
        <v>0</v>
      </c>
      <c r="O452" t="n">
        <v>0</v>
      </c>
      <c r="P452" t="n">
        <v>0</v>
      </c>
      <c r="Q452" t="n">
        <v>0</v>
      </c>
      <c r="R452" s="2" t="inlineStr"/>
    </row>
    <row r="453" ht="15" customHeight="1">
      <c r="A453" t="inlineStr">
        <is>
          <t>A 48168-2025</t>
        </is>
      </c>
      <c r="B453" s="1" t="n">
        <v>45933.43004629629</v>
      </c>
      <c r="C453" s="1" t="n">
        <v>45970</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44110-2022</t>
        </is>
      </c>
      <c r="B454" s="1" t="n">
        <v>44837</v>
      </c>
      <c r="C454" s="1" t="n">
        <v>45970</v>
      </c>
      <c r="D454" t="inlineStr">
        <is>
          <t>JÄMTLANDS LÄN</t>
        </is>
      </c>
      <c r="E454" t="inlineStr">
        <is>
          <t>BERG</t>
        </is>
      </c>
      <c r="G454" t="n">
        <v>1.9</v>
      </c>
      <c r="H454" t="n">
        <v>0</v>
      </c>
      <c r="I454" t="n">
        <v>0</v>
      </c>
      <c r="J454" t="n">
        <v>0</v>
      </c>
      <c r="K454" t="n">
        <v>0</v>
      </c>
      <c r="L454" t="n">
        <v>0</v>
      </c>
      <c r="M454" t="n">
        <v>0</v>
      </c>
      <c r="N454" t="n">
        <v>0</v>
      </c>
      <c r="O454" t="n">
        <v>0</v>
      </c>
      <c r="P454" t="n">
        <v>0</v>
      </c>
      <c r="Q454" t="n">
        <v>0</v>
      </c>
      <c r="R454" s="2" t="inlineStr"/>
    </row>
    <row r="455" ht="15" customHeight="1">
      <c r="A455" t="inlineStr">
        <is>
          <t>A 36287-2024</t>
        </is>
      </c>
      <c r="B455" s="1" t="n">
        <v>45534</v>
      </c>
      <c r="C455" s="1" t="n">
        <v>45970</v>
      </c>
      <c r="D455" t="inlineStr">
        <is>
          <t>JÄMTLANDS LÄN</t>
        </is>
      </c>
      <c r="E455" t="inlineStr">
        <is>
          <t>BERG</t>
        </is>
      </c>
      <c r="F455" t="inlineStr">
        <is>
          <t>Kyrkan</t>
        </is>
      </c>
      <c r="G455" t="n">
        <v>0.8</v>
      </c>
      <c r="H455" t="n">
        <v>0</v>
      </c>
      <c r="I455" t="n">
        <v>0</v>
      </c>
      <c r="J455" t="n">
        <v>0</v>
      </c>
      <c r="K455" t="n">
        <v>0</v>
      </c>
      <c r="L455" t="n">
        <v>0</v>
      </c>
      <c r="M455" t="n">
        <v>0</v>
      </c>
      <c r="N455" t="n">
        <v>0</v>
      </c>
      <c r="O455" t="n">
        <v>0</v>
      </c>
      <c r="P455" t="n">
        <v>0</v>
      </c>
      <c r="Q455" t="n">
        <v>0</v>
      </c>
      <c r="R455" s="2" t="inlineStr"/>
    </row>
    <row r="456" ht="15" customHeight="1">
      <c r="A456" t="inlineStr">
        <is>
          <t>A 45208-2024</t>
        </is>
      </c>
      <c r="B456" s="1" t="n">
        <v>45575.7077662037</v>
      </c>
      <c r="C456" s="1" t="n">
        <v>45970</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41634-2024</t>
        </is>
      </c>
      <c r="B457" s="1" t="n">
        <v>45560.61496527777</v>
      </c>
      <c r="C457" s="1" t="n">
        <v>45970</v>
      </c>
      <c r="D457" t="inlineStr">
        <is>
          <t>JÄMTLANDS LÄN</t>
        </is>
      </c>
      <c r="E457" t="inlineStr">
        <is>
          <t>BERG</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592-2021</t>
        </is>
      </c>
      <c r="B458" s="1" t="n">
        <v>44201</v>
      </c>
      <c r="C458" s="1" t="n">
        <v>45970</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10230-2024</t>
        </is>
      </c>
      <c r="B459" s="1" t="n">
        <v>45365.31883101852</v>
      </c>
      <c r="C459" s="1" t="n">
        <v>45970</v>
      </c>
      <c r="D459" t="inlineStr">
        <is>
          <t>JÄMTLANDS LÄN</t>
        </is>
      </c>
      <c r="E459" t="inlineStr">
        <is>
          <t>BERG</t>
        </is>
      </c>
      <c r="G459" t="n">
        <v>6.3</v>
      </c>
      <c r="H459" t="n">
        <v>0</v>
      </c>
      <c r="I459" t="n">
        <v>0</v>
      </c>
      <c r="J459" t="n">
        <v>0</v>
      </c>
      <c r="K459" t="n">
        <v>0</v>
      </c>
      <c r="L459" t="n">
        <v>0</v>
      </c>
      <c r="M459" t="n">
        <v>0</v>
      </c>
      <c r="N459" t="n">
        <v>0</v>
      </c>
      <c r="O459" t="n">
        <v>0</v>
      </c>
      <c r="P459" t="n">
        <v>0</v>
      </c>
      <c r="Q459" t="n">
        <v>0</v>
      </c>
      <c r="R459" s="2" t="inlineStr"/>
    </row>
    <row r="460" ht="15" customHeight="1">
      <c r="A460" t="inlineStr">
        <is>
          <t>A 49277-2024</t>
        </is>
      </c>
      <c r="B460" s="1" t="n">
        <v>45595.50820601852</v>
      </c>
      <c r="C460" s="1" t="n">
        <v>45970</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60331-2023</t>
        </is>
      </c>
      <c r="B461" s="1" t="n">
        <v>45258</v>
      </c>
      <c r="C461" s="1" t="n">
        <v>45970</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13524-2024</t>
        </is>
      </c>
      <c r="B462" s="1" t="n">
        <v>45387.78174768519</v>
      </c>
      <c r="C462" s="1" t="n">
        <v>45970</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34601-2024</t>
        </is>
      </c>
      <c r="B463" s="1" t="n">
        <v>45526.4034375</v>
      </c>
      <c r="C463" s="1" t="n">
        <v>45970</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47407-2024</t>
        </is>
      </c>
      <c r="B464" s="1" t="n">
        <v>45587.47828703704</v>
      </c>
      <c r="C464" s="1" t="n">
        <v>45970</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8065-2024</t>
        </is>
      </c>
      <c r="B465" s="1" t="n">
        <v>45351.40697916667</v>
      </c>
      <c r="C465" s="1" t="n">
        <v>45970</v>
      </c>
      <c r="D465" t="inlineStr">
        <is>
          <t>JÄMTLANDS LÄN</t>
        </is>
      </c>
      <c r="E465" t="inlineStr">
        <is>
          <t>BERG</t>
        </is>
      </c>
      <c r="G465" t="n">
        <v>6.9</v>
      </c>
      <c r="H465" t="n">
        <v>0</v>
      </c>
      <c r="I465" t="n">
        <v>0</v>
      </c>
      <c r="J465" t="n">
        <v>0</v>
      </c>
      <c r="K465" t="n">
        <v>0</v>
      </c>
      <c r="L465" t="n">
        <v>0</v>
      </c>
      <c r="M465" t="n">
        <v>0</v>
      </c>
      <c r="N465" t="n">
        <v>0</v>
      </c>
      <c r="O465" t="n">
        <v>0</v>
      </c>
      <c r="P465" t="n">
        <v>0</v>
      </c>
      <c r="Q465" t="n">
        <v>0</v>
      </c>
      <c r="R465" s="2" t="inlineStr"/>
    </row>
    <row r="466" ht="15" customHeight="1">
      <c r="A466" t="inlineStr">
        <is>
          <t>A 47083-2024</t>
        </is>
      </c>
      <c r="B466" s="1" t="n">
        <v>45586.50625</v>
      </c>
      <c r="C466" s="1" t="n">
        <v>45970</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47099-2024</t>
        </is>
      </c>
      <c r="B467" s="1" t="n">
        <v>45586.53743055555</v>
      </c>
      <c r="C467" s="1" t="n">
        <v>45970</v>
      </c>
      <c r="D467" t="inlineStr">
        <is>
          <t>JÄMTLANDS LÄN</t>
        </is>
      </c>
      <c r="E467" t="inlineStr">
        <is>
          <t>BERG</t>
        </is>
      </c>
      <c r="G467" t="n">
        <v>5.9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45970</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29581-2024</t>
        </is>
      </c>
      <c r="B469" s="1" t="n">
        <v>45484.5740162037</v>
      </c>
      <c r="C469" s="1" t="n">
        <v>45970</v>
      </c>
      <c r="D469" t="inlineStr">
        <is>
          <t>JÄMTLANDS LÄN</t>
        </is>
      </c>
      <c r="E469" t="inlineStr">
        <is>
          <t>BERG</t>
        </is>
      </c>
      <c r="G469" t="n">
        <v>16.7</v>
      </c>
      <c r="H469" t="n">
        <v>0</v>
      </c>
      <c r="I469" t="n">
        <v>0</v>
      </c>
      <c r="J469" t="n">
        <v>0</v>
      </c>
      <c r="K469" t="n">
        <v>0</v>
      </c>
      <c r="L469" t="n">
        <v>0</v>
      </c>
      <c r="M469" t="n">
        <v>0</v>
      </c>
      <c r="N469" t="n">
        <v>0</v>
      </c>
      <c r="O469" t="n">
        <v>0</v>
      </c>
      <c r="P469" t="n">
        <v>0</v>
      </c>
      <c r="Q469" t="n">
        <v>0</v>
      </c>
      <c r="R469" s="2" t="inlineStr"/>
    </row>
    <row r="470" ht="15" customHeight="1">
      <c r="A470" t="inlineStr">
        <is>
          <t>A 14594-2025</t>
        </is>
      </c>
      <c r="B470" s="1" t="n">
        <v>45742.34414351852</v>
      </c>
      <c r="C470" s="1" t="n">
        <v>45970</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14596-2025</t>
        </is>
      </c>
      <c r="B471" s="1" t="n">
        <v>45742.34449074074</v>
      </c>
      <c r="C471" s="1" t="n">
        <v>45970</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5644-2025</t>
        </is>
      </c>
      <c r="B472" s="1" t="n">
        <v>45693.6833449074</v>
      </c>
      <c r="C472" s="1" t="n">
        <v>45970</v>
      </c>
      <c r="D472" t="inlineStr">
        <is>
          <t>JÄMTLANDS LÄN</t>
        </is>
      </c>
      <c r="E472" t="inlineStr">
        <is>
          <t>BERG</t>
        </is>
      </c>
      <c r="G472" t="n">
        <v>2.1</v>
      </c>
      <c r="H472" t="n">
        <v>0</v>
      </c>
      <c r="I472" t="n">
        <v>0</v>
      </c>
      <c r="J472" t="n">
        <v>0</v>
      </c>
      <c r="K472" t="n">
        <v>0</v>
      </c>
      <c r="L472" t="n">
        <v>0</v>
      </c>
      <c r="M472" t="n">
        <v>0</v>
      </c>
      <c r="N472" t="n">
        <v>0</v>
      </c>
      <c r="O472" t="n">
        <v>0</v>
      </c>
      <c r="P472" t="n">
        <v>0</v>
      </c>
      <c r="Q472" t="n">
        <v>0</v>
      </c>
      <c r="R472" s="2" t="inlineStr"/>
    </row>
    <row r="473" ht="15" customHeight="1">
      <c r="A473" t="inlineStr">
        <is>
          <t>A 48508-2025</t>
        </is>
      </c>
      <c r="B473" s="1" t="n">
        <v>45936.3859837963</v>
      </c>
      <c r="C473" s="1" t="n">
        <v>45970</v>
      </c>
      <c r="D473" t="inlineStr">
        <is>
          <t>JÄMTLANDS LÄN</t>
        </is>
      </c>
      <c r="E473" t="inlineStr">
        <is>
          <t>BERG</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60076-2024</t>
        </is>
      </c>
      <c r="B474" s="1" t="n">
        <v>45642.53166666667</v>
      </c>
      <c r="C474" s="1" t="n">
        <v>45970</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8238-2024</t>
        </is>
      </c>
      <c r="B475" s="1" t="n">
        <v>45351.98450231482</v>
      </c>
      <c r="C475" s="1" t="n">
        <v>45970</v>
      </c>
      <c r="D475" t="inlineStr">
        <is>
          <t>JÄMTLANDS LÄN</t>
        </is>
      </c>
      <c r="E475" t="inlineStr">
        <is>
          <t>BERG</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64486-2023</t>
        </is>
      </c>
      <c r="B476" s="1" t="n">
        <v>45280</v>
      </c>
      <c r="C476" s="1" t="n">
        <v>45970</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64488-2023</t>
        </is>
      </c>
      <c r="B477" s="1" t="n">
        <v>45280.92618055556</v>
      </c>
      <c r="C477" s="1" t="n">
        <v>45970</v>
      </c>
      <c r="D477" t="inlineStr">
        <is>
          <t>JÄMTLANDS LÄN</t>
        </is>
      </c>
      <c r="E477" t="inlineStr">
        <is>
          <t>BERG</t>
        </is>
      </c>
      <c r="F477" t="inlineStr">
        <is>
          <t>Övriga Aktiebolag</t>
        </is>
      </c>
      <c r="G477" t="n">
        <v>7.1</v>
      </c>
      <c r="H477" t="n">
        <v>0</v>
      </c>
      <c r="I477" t="n">
        <v>0</v>
      </c>
      <c r="J477" t="n">
        <v>0</v>
      </c>
      <c r="K477" t="n">
        <v>0</v>
      </c>
      <c r="L477" t="n">
        <v>0</v>
      </c>
      <c r="M477" t="n">
        <v>0</v>
      </c>
      <c r="N477" t="n">
        <v>0</v>
      </c>
      <c r="O477" t="n">
        <v>0</v>
      </c>
      <c r="P477" t="n">
        <v>0</v>
      </c>
      <c r="Q477" t="n">
        <v>0</v>
      </c>
      <c r="R477" s="2" t="inlineStr"/>
    </row>
    <row r="478" ht="15" customHeight="1">
      <c r="A478" t="inlineStr">
        <is>
          <t>A 43279-2024</t>
        </is>
      </c>
      <c r="B478" s="1" t="n">
        <v>45568.3975462963</v>
      </c>
      <c r="C478" s="1" t="n">
        <v>45970</v>
      </c>
      <c r="D478" t="inlineStr">
        <is>
          <t>JÄMTLANDS LÄN</t>
        </is>
      </c>
      <c r="E478" t="inlineStr">
        <is>
          <t>BERG</t>
        </is>
      </c>
      <c r="G478" t="n">
        <v>7.6</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45970</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15992-2025</t>
        </is>
      </c>
      <c r="B480" s="1" t="n">
        <v>45749.58319444444</v>
      </c>
      <c r="C480" s="1" t="n">
        <v>45970</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33386-2025</t>
        </is>
      </c>
      <c r="B481" s="1" t="n">
        <v>45841.40587962963</v>
      </c>
      <c r="C481" s="1" t="n">
        <v>45970</v>
      </c>
      <c r="D481" t="inlineStr">
        <is>
          <t>JÄMTLANDS LÄN</t>
        </is>
      </c>
      <c r="E481" t="inlineStr">
        <is>
          <t>BERG</t>
        </is>
      </c>
      <c r="G481" t="n">
        <v>37.7</v>
      </c>
      <c r="H481" t="n">
        <v>0</v>
      </c>
      <c r="I481" t="n">
        <v>0</v>
      </c>
      <c r="J481" t="n">
        <v>0</v>
      </c>
      <c r="K481" t="n">
        <v>0</v>
      </c>
      <c r="L481" t="n">
        <v>0</v>
      </c>
      <c r="M481" t="n">
        <v>0</v>
      </c>
      <c r="N481" t="n">
        <v>0</v>
      </c>
      <c r="O481" t="n">
        <v>0</v>
      </c>
      <c r="P481" t="n">
        <v>0</v>
      </c>
      <c r="Q481" t="n">
        <v>0</v>
      </c>
      <c r="R481" s="2" t="inlineStr"/>
    </row>
    <row r="482" ht="15" customHeight="1">
      <c r="A482" t="inlineStr">
        <is>
          <t>A 40060-2025</t>
        </is>
      </c>
      <c r="B482" s="1" t="n">
        <v>45894.42746527777</v>
      </c>
      <c r="C482" s="1" t="n">
        <v>45970</v>
      </c>
      <c r="D482" t="inlineStr">
        <is>
          <t>JÄMTLANDS LÄN</t>
        </is>
      </c>
      <c r="E482" t="inlineStr">
        <is>
          <t>BERG</t>
        </is>
      </c>
      <c r="F482" t="inlineStr">
        <is>
          <t>SCA</t>
        </is>
      </c>
      <c r="G482" t="n">
        <v>8</v>
      </c>
      <c r="H482" t="n">
        <v>0</v>
      </c>
      <c r="I482" t="n">
        <v>0</v>
      </c>
      <c r="J482" t="n">
        <v>0</v>
      </c>
      <c r="K482" t="n">
        <v>0</v>
      </c>
      <c r="L482" t="n">
        <v>0</v>
      </c>
      <c r="M482" t="n">
        <v>0</v>
      </c>
      <c r="N482" t="n">
        <v>0</v>
      </c>
      <c r="O482" t="n">
        <v>0</v>
      </c>
      <c r="P482" t="n">
        <v>0</v>
      </c>
      <c r="Q482" t="n">
        <v>0</v>
      </c>
      <c r="R482" s="2" t="inlineStr"/>
    </row>
    <row r="483" ht="15" customHeight="1">
      <c r="A483" t="inlineStr">
        <is>
          <t>A 59634-2022</t>
        </is>
      </c>
      <c r="B483" s="1" t="n">
        <v>44907.9645949074</v>
      </c>
      <c r="C483" s="1" t="n">
        <v>45970</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60404-2023</t>
        </is>
      </c>
      <c r="B484" s="1" t="n">
        <v>45259.46332175926</v>
      </c>
      <c r="C484" s="1" t="n">
        <v>45970</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16247-2024</t>
        </is>
      </c>
      <c r="B485" s="1" t="n">
        <v>45407.05797453703</v>
      </c>
      <c r="C485" s="1" t="n">
        <v>45970</v>
      </c>
      <c r="D485" t="inlineStr">
        <is>
          <t>JÄMTLANDS LÄN</t>
        </is>
      </c>
      <c r="E485" t="inlineStr">
        <is>
          <t>BERG</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25306-2023</t>
        </is>
      </c>
      <c r="B486" s="1" t="n">
        <v>45086</v>
      </c>
      <c r="C486" s="1" t="n">
        <v>45970</v>
      </c>
      <c r="D486" t="inlineStr">
        <is>
          <t>JÄMTLANDS LÄN</t>
        </is>
      </c>
      <c r="E486" t="inlineStr">
        <is>
          <t>BERG</t>
        </is>
      </c>
      <c r="G486" t="n">
        <v>23.3</v>
      </c>
      <c r="H486" t="n">
        <v>0</v>
      </c>
      <c r="I486" t="n">
        <v>0</v>
      </c>
      <c r="J486" t="n">
        <v>0</v>
      </c>
      <c r="K486" t="n">
        <v>0</v>
      </c>
      <c r="L486" t="n">
        <v>0</v>
      </c>
      <c r="M486" t="n">
        <v>0</v>
      </c>
      <c r="N486" t="n">
        <v>0</v>
      </c>
      <c r="O486" t="n">
        <v>0</v>
      </c>
      <c r="P486" t="n">
        <v>0</v>
      </c>
      <c r="Q486" t="n">
        <v>0</v>
      </c>
      <c r="R486" s="2" t="inlineStr"/>
    </row>
    <row r="487" ht="15" customHeight="1">
      <c r="A487" t="inlineStr">
        <is>
          <t>A 48704-2025</t>
        </is>
      </c>
      <c r="B487" s="1" t="n">
        <v>45936.6222337963</v>
      </c>
      <c r="C487" s="1" t="n">
        <v>45970</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9482-2024</t>
        </is>
      </c>
      <c r="B488" s="1" t="n">
        <v>45359.57847222222</v>
      </c>
      <c r="C488" s="1" t="n">
        <v>45970</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48770-2025</t>
        </is>
      </c>
      <c r="B489" s="1" t="n">
        <v>45936.91108796297</v>
      </c>
      <c r="C489" s="1" t="n">
        <v>45970</v>
      </c>
      <c r="D489" t="inlineStr">
        <is>
          <t>JÄMTLANDS LÄN</t>
        </is>
      </c>
      <c r="E489" t="inlineStr">
        <is>
          <t>BERG</t>
        </is>
      </c>
      <c r="G489" t="n">
        <v>1.7</v>
      </c>
      <c r="H489" t="n">
        <v>0</v>
      </c>
      <c r="I489" t="n">
        <v>0</v>
      </c>
      <c r="J489" t="n">
        <v>0</v>
      </c>
      <c r="K489" t="n">
        <v>0</v>
      </c>
      <c r="L489" t="n">
        <v>0</v>
      </c>
      <c r="M489" t="n">
        <v>0</v>
      </c>
      <c r="N489" t="n">
        <v>0</v>
      </c>
      <c r="O489" t="n">
        <v>0</v>
      </c>
      <c r="P489" t="n">
        <v>0</v>
      </c>
      <c r="Q489" t="n">
        <v>0</v>
      </c>
      <c r="R489" s="2" t="inlineStr"/>
    </row>
    <row r="490" ht="15" customHeight="1">
      <c r="A490" t="inlineStr">
        <is>
          <t>A 26959-2022</t>
        </is>
      </c>
      <c r="B490" s="1" t="n">
        <v>44740.66048611111</v>
      </c>
      <c r="C490" s="1" t="n">
        <v>45970</v>
      </c>
      <c r="D490" t="inlineStr">
        <is>
          <t>JÄMTLANDS LÄN</t>
        </is>
      </c>
      <c r="E490" t="inlineStr">
        <is>
          <t>BERG</t>
        </is>
      </c>
      <c r="G490" t="n">
        <v>2.8</v>
      </c>
      <c r="H490" t="n">
        <v>0</v>
      </c>
      <c r="I490" t="n">
        <v>0</v>
      </c>
      <c r="J490" t="n">
        <v>0</v>
      </c>
      <c r="K490" t="n">
        <v>0</v>
      </c>
      <c r="L490" t="n">
        <v>0</v>
      </c>
      <c r="M490" t="n">
        <v>0</v>
      </c>
      <c r="N490" t="n">
        <v>0</v>
      </c>
      <c r="O490" t="n">
        <v>0</v>
      </c>
      <c r="P490" t="n">
        <v>0</v>
      </c>
      <c r="Q490" t="n">
        <v>0</v>
      </c>
      <c r="R490" s="2" t="inlineStr"/>
    </row>
    <row r="491" ht="15" customHeight="1">
      <c r="A491" t="inlineStr">
        <is>
          <t>A 3173-2025</t>
        </is>
      </c>
      <c r="B491" s="1" t="n">
        <v>45679.38309027778</v>
      </c>
      <c r="C491" s="1" t="n">
        <v>45970</v>
      </c>
      <c r="D491" t="inlineStr">
        <is>
          <t>JÄMTLANDS LÄN</t>
        </is>
      </c>
      <c r="E491" t="inlineStr">
        <is>
          <t>BERG</t>
        </is>
      </c>
      <c r="G491" t="n">
        <v>8.9</v>
      </c>
      <c r="H491" t="n">
        <v>0</v>
      </c>
      <c r="I491" t="n">
        <v>0</v>
      </c>
      <c r="J491" t="n">
        <v>0</v>
      </c>
      <c r="K491" t="n">
        <v>0</v>
      </c>
      <c r="L491" t="n">
        <v>0</v>
      </c>
      <c r="M491" t="n">
        <v>0</v>
      </c>
      <c r="N491" t="n">
        <v>0</v>
      </c>
      <c r="O491" t="n">
        <v>0</v>
      </c>
      <c r="P491" t="n">
        <v>0</v>
      </c>
      <c r="Q491" t="n">
        <v>0</v>
      </c>
      <c r="R491" s="2" t="inlineStr"/>
    </row>
    <row r="492" ht="15" customHeight="1">
      <c r="A492" t="inlineStr">
        <is>
          <t>A 44997-2021</t>
        </is>
      </c>
      <c r="B492" s="1" t="n">
        <v>44438</v>
      </c>
      <c r="C492" s="1" t="n">
        <v>45970</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10465-2023</t>
        </is>
      </c>
      <c r="B493" s="1" t="n">
        <v>44987.60319444445</v>
      </c>
      <c r="C493" s="1" t="n">
        <v>45970</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3625-2024</t>
        </is>
      </c>
      <c r="B494" s="1" t="n">
        <v>45320</v>
      </c>
      <c r="C494" s="1" t="n">
        <v>45970</v>
      </c>
      <c r="D494" t="inlineStr">
        <is>
          <t>JÄMTLANDS LÄN</t>
        </is>
      </c>
      <c r="E494" t="inlineStr">
        <is>
          <t>BERG</t>
        </is>
      </c>
      <c r="F494" t="inlineStr">
        <is>
          <t>SCA</t>
        </is>
      </c>
      <c r="G494" t="n">
        <v>23.7</v>
      </c>
      <c r="H494" t="n">
        <v>0</v>
      </c>
      <c r="I494" t="n">
        <v>0</v>
      </c>
      <c r="J494" t="n">
        <v>0</v>
      </c>
      <c r="K494" t="n">
        <v>0</v>
      </c>
      <c r="L494" t="n">
        <v>0</v>
      </c>
      <c r="M494" t="n">
        <v>0</v>
      </c>
      <c r="N494" t="n">
        <v>0</v>
      </c>
      <c r="O494" t="n">
        <v>0</v>
      </c>
      <c r="P494" t="n">
        <v>0</v>
      </c>
      <c r="Q494" t="n">
        <v>0</v>
      </c>
      <c r="R494" s="2" t="inlineStr"/>
    </row>
    <row r="495" ht="15" customHeight="1">
      <c r="A495" t="inlineStr">
        <is>
          <t>A 60587-2022</t>
        </is>
      </c>
      <c r="B495" s="1" t="n">
        <v>44911.58445601852</v>
      </c>
      <c r="C495" s="1" t="n">
        <v>45970</v>
      </c>
      <c r="D495" t="inlineStr">
        <is>
          <t>JÄMTLANDS LÄN</t>
        </is>
      </c>
      <c r="E495" t="inlineStr">
        <is>
          <t>BERG</t>
        </is>
      </c>
      <c r="G495" t="n">
        <v>4.8</v>
      </c>
      <c r="H495" t="n">
        <v>0</v>
      </c>
      <c r="I495" t="n">
        <v>0</v>
      </c>
      <c r="J495" t="n">
        <v>0</v>
      </c>
      <c r="K495" t="n">
        <v>0</v>
      </c>
      <c r="L495" t="n">
        <v>0</v>
      </c>
      <c r="M495" t="n">
        <v>0</v>
      </c>
      <c r="N495" t="n">
        <v>0</v>
      </c>
      <c r="O495" t="n">
        <v>0</v>
      </c>
      <c r="P495" t="n">
        <v>0</v>
      </c>
      <c r="Q495" t="n">
        <v>0</v>
      </c>
      <c r="R495" s="2" t="inlineStr"/>
    </row>
    <row r="496" ht="15" customHeight="1">
      <c r="A496" t="inlineStr">
        <is>
          <t>A 19429-2025</t>
        </is>
      </c>
      <c r="B496" s="1" t="n">
        <v>45769.8025462963</v>
      </c>
      <c r="C496" s="1" t="n">
        <v>45970</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13436-2024</t>
        </is>
      </c>
      <c r="B497" s="1" t="n">
        <v>45387.4865625</v>
      </c>
      <c r="C497" s="1" t="n">
        <v>45970</v>
      </c>
      <c r="D497" t="inlineStr">
        <is>
          <t>JÄMTLANDS LÄN</t>
        </is>
      </c>
      <c r="E497" t="inlineStr">
        <is>
          <t>BERG</t>
        </is>
      </c>
      <c r="G497" t="n">
        <v>28.9</v>
      </c>
      <c r="H497" t="n">
        <v>0</v>
      </c>
      <c r="I497" t="n">
        <v>0</v>
      </c>
      <c r="J497" t="n">
        <v>0</v>
      </c>
      <c r="K497" t="n">
        <v>0</v>
      </c>
      <c r="L497" t="n">
        <v>0</v>
      </c>
      <c r="M497" t="n">
        <v>0</v>
      </c>
      <c r="N497" t="n">
        <v>0</v>
      </c>
      <c r="O497" t="n">
        <v>0</v>
      </c>
      <c r="P497" t="n">
        <v>0</v>
      </c>
      <c r="Q497" t="n">
        <v>0</v>
      </c>
      <c r="R497" s="2" t="inlineStr"/>
    </row>
    <row r="498" ht="15" customHeight="1">
      <c r="A498" t="inlineStr">
        <is>
          <t>A 11274-2025</t>
        </is>
      </c>
      <c r="B498" s="1" t="n">
        <v>45726.40868055556</v>
      </c>
      <c r="C498" s="1" t="n">
        <v>45970</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37589-2021</t>
        </is>
      </c>
      <c r="B499" s="1" t="n">
        <v>44399</v>
      </c>
      <c r="C499" s="1" t="n">
        <v>45970</v>
      </c>
      <c r="D499" t="inlineStr">
        <is>
          <t>JÄMTLANDS LÄN</t>
        </is>
      </c>
      <c r="E499" t="inlineStr">
        <is>
          <t>BERG</t>
        </is>
      </c>
      <c r="G499" t="n">
        <v>8.6</v>
      </c>
      <c r="H499" t="n">
        <v>0</v>
      </c>
      <c r="I499" t="n">
        <v>0</v>
      </c>
      <c r="J499" t="n">
        <v>0</v>
      </c>
      <c r="K499" t="n">
        <v>0</v>
      </c>
      <c r="L499" t="n">
        <v>0</v>
      </c>
      <c r="M499" t="n">
        <v>0</v>
      </c>
      <c r="N499" t="n">
        <v>0</v>
      </c>
      <c r="O499" t="n">
        <v>0</v>
      </c>
      <c r="P499" t="n">
        <v>0</v>
      </c>
      <c r="Q499" t="n">
        <v>0</v>
      </c>
      <c r="R499" s="2" t="inlineStr"/>
    </row>
    <row r="500" ht="15" customHeight="1">
      <c r="A500" t="inlineStr">
        <is>
          <t>A 16553-2025</t>
        </is>
      </c>
      <c r="B500" s="1" t="n">
        <v>45751.69967592593</v>
      </c>
      <c r="C500" s="1" t="n">
        <v>45970</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62360-2023</t>
        </is>
      </c>
      <c r="B501" s="1" t="n">
        <v>45267</v>
      </c>
      <c r="C501" s="1" t="n">
        <v>45970</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60249-2022</t>
        </is>
      </c>
      <c r="B502" s="1" t="n">
        <v>44903</v>
      </c>
      <c r="C502" s="1" t="n">
        <v>45970</v>
      </c>
      <c r="D502" t="inlineStr">
        <is>
          <t>JÄMTLANDS LÄN</t>
        </is>
      </c>
      <c r="E502" t="inlineStr">
        <is>
          <t>BERG</t>
        </is>
      </c>
      <c r="G502" t="n">
        <v>6</v>
      </c>
      <c r="H502" t="n">
        <v>0</v>
      </c>
      <c r="I502" t="n">
        <v>0</v>
      </c>
      <c r="J502" t="n">
        <v>0</v>
      </c>
      <c r="K502" t="n">
        <v>0</v>
      </c>
      <c r="L502" t="n">
        <v>0</v>
      </c>
      <c r="M502" t="n">
        <v>0</v>
      </c>
      <c r="N502" t="n">
        <v>0</v>
      </c>
      <c r="O502" t="n">
        <v>0</v>
      </c>
      <c r="P502" t="n">
        <v>0</v>
      </c>
      <c r="Q502" t="n">
        <v>0</v>
      </c>
      <c r="R502" s="2" t="inlineStr"/>
    </row>
    <row r="503" ht="15" customHeight="1">
      <c r="A503" t="inlineStr">
        <is>
          <t>A 18685-2024</t>
        </is>
      </c>
      <c r="B503" s="1" t="n">
        <v>45426.38322916667</v>
      </c>
      <c r="C503" s="1" t="n">
        <v>45970</v>
      </c>
      <c r="D503" t="inlineStr">
        <is>
          <t>JÄMTLANDS LÄN</t>
        </is>
      </c>
      <c r="E503" t="inlineStr">
        <is>
          <t>BERG</t>
        </is>
      </c>
      <c r="G503" t="n">
        <v>5.1</v>
      </c>
      <c r="H503" t="n">
        <v>0</v>
      </c>
      <c r="I503" t="n">
        <v>0</v>
      </c>
      <c r="J503" t="n">
        <v>0</v>
      </c>
      <c r="K503" t="n">
        <v>0</v>
      </c>
      <c r="L503" t="n">
        <v>0</v>
      </c>
      <c r="M503" t="n">
        <v>0</v>
      </c>
      <c r="N503" t="n">
        <v>0</v>
      </c>
      <c r="O503" t="n">
        <v>0</v>
      </c>
      <c r="P503" t="n">
        <v>0</v>
      </c>
      <c r="Q503" t="n">
        <v>0</v>
      </c>
      <c r="R503" s="2" t="inlineStr"/>
    </row>
    <row r="504" ht="15" customHeight="1">
      <c r="A504" t="inlineStr">
        <is>
          <t>A 50172-2023</t>
        </is>
      </c>
      <c r="B504" s="1" t="n">
        <v>45208</v>
      </c>
      <c r="C504" s="1" t="n">
        <v>45970</v>
      </c>
      <c r="D504" t="inlineStr">
        <is>
          <t>JÄMTLANDS LÄN</t>
        </is>
      </c>
      <c r="E504" t="inlineStr">
        <is>
          <t>BERG</t>
        </is>
      </c>
      <c r="G504" t="n">
        <v>0.9</v>
      </c>
      <c r="H504" t="n">
        <v>0</v>
      </c>
      <c r="I504" t="n">
        <v>0</v>
      </c>
      <c r="J504" t="n">
        <v>0</v>
      </c>
      <c r="K504" t="n">
        <v>0</v>
      </c>
      <c r="L504" t="n">
        <v>0</v>
      </c>
      <c r="M504" t="n">
        <v>0</v>
      </c>
      <c r="N504" t="n">
        <v>0</v>
      </c>
      <c r="O504" t="n">
        <v>0</v>
      </c>
      <c r="P504" t="n">
        <v>0</v>
      </c>
      <c r="Q504" t="n">
        <v>0</v>
      </c>
      <c r="R504" s="2" t="inlineStr"/>
    </row>
    <row r="505" ht="15" customHeight="1">
      <c r="A505" t="inlineStr">
        <is>
          <t>A 59498-2024</t>
        </is>
      </c>
      <c r="B505" s="1" t="n">
        <v>45638.54635416667</v>
      </c>
      <c r="C505" s="1" t="n">
        <v>45970</v>
      </c>
      <c r="D505" t="inlineStr">
        <is>
          <t>JÄMTLANDS LÄN</t>
        </is>
      </c>
      <c r="E505" t="inlineStr">
        <is>
          <t>BERG</t>
        </is>
      </c>
      <c r="G505" t="n">
        <v>2.4</v>
      </c>
      <c r="H505" t="n">
        <v>0</v>
      </c>
      <c r="I505" t="n">
        <v>0</v>
      </c>
      <c r="J505" t="n">
        <v>0</v>
      </c>
      <c r="K505" t="n">
        <v>0</v>
      </c>
      <c r="L505" t="n">
        <v>0</v>
      </c>
      <c r="M505" t="n">
        <v>0</v>
      </c>
      <c r="N505" t="n">
        <v>0</v>
      </c>
      <c r="O505" t="n">
        <v>0</v>
      </c>
      <c r="P505" t="n">
        <v>0</v>
      </c>
      <c r="Q505" t="n">
        <v>0</v>
      </c>
      <c r="R505" s="2" t="inlineStr"/>
    </row>
    <row r="506" ht="15" customHeight="1">
      <c r="A506" t="inlineStr">
        <is>
          <t>A 11704-2023</t>
        </is>
      </c>
      <c r="B506" s="1" t="n">
        <v>44994.54274305556</v>
      </c>
      <c r="C506" s="1" t="n">
        <v>45970</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65209-2023</t>
        </is>
      </c>
      <c r="B507" s="1" t="n">
        <v>45289</v>
      </c>
      <c r="C507" s="1" t="n">
        <v>45970</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17899-2024</t>
        </is>
      </c>
      <c r="B508" s="1" t="n">
        <v>45419.49334490741</v>
      </c>
      <c r="C508" s="1" t="n">
        <v>45970</v>
      </c>
      <c r="D508" t="inlineStr">
        <is>
          <t>JÄMTLANDS LÄN</t>
        </is>
      </c>
      <c r="E508" t="inlineStr">
        <is>
          <t>BERG</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14834-2025</t>
        </is>
      </c>
      <c r="B509" s="1" t="n">
        <v>45743.38224537037</v>
      </c>
      <c r="C509" s="1" t="n">
        <v>45970</v>
      </c>
      <c r="D509" t="inlineStr">
        <is>
          <t>JÄMTLANDS LÄN</t>
        </is>
      </c>
      <c r="E509" t="inlineStr">
        <is>
          <t>BERG</t>
        </is>
      </c>
      <c r="G509" t="n">
        <v>3.8</v>
      </c>
      <c r="H509" t="n">
        <v>0</v>
      </c>
      <c r="I509" t="n">
        <v>0</v>
      </c>
      <c r="J509" t="n">
        <v>0</v>
      </c>
      <c r="K509" t="n">
        <v>0</v>
      </c>
      <c r="L509" t="n">
        <v>0</v>
      </c>
      <c r="M509" t="n">
        <v>0</v>
      </c>
      <c r="N509" t="n">
        <v>0</v>
      </c>
      <c r="O509" t="n">
        <v>0</v>
      </c>
      <c r="P509" t="n">
        <v>0</v>
      </c>
      <c r="Q509" t="n">
        <v>0</v>
      </c>
      <c r="R509" s="2" t="inlineStr"/>
    </row>
    <row r="510" ht="15" customHeight="1">
      <c r="A510" t="inlineStr">
        <is>
          <t>A 19181-2025</t>
        </is>
      </c>
      <c r="B510" s="1" t="n">
        <v>45769.40174768519</v>
      </c>
      <c r="C510" s="1" t="n">
        <v>45970</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48250-2025</t>
        </is>
      </c>
      <c r="B511" s="1" t="n">
        <v>45933.55259259259</v>
      </c>
      <c r="C511" s="1" t="n">
        <v>45970</v>
      </c>
      <c r="D511" t="inlineStr">
        <is>
          <t>JÄMTLANDS LÄN</t>
        </is>
      </c>
      <c r="E511" t="inlineStr">
        <is>
          <t>BERG</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12611-2025</t>
        </is>
      </c>
      <c r="B512" s="1" t="n">
        <v>45733.33921296296</v>
      </c>
      <c r="C512" s="1" t="n">
        <v>45970</v>
      </c>
      <c r="D512" t="inlineStr">
        <is>
          <t>JÄMTLANDS LÄN</t>
        </is>
      </c>
      <c r="E512" t="inlineStr">
        <is>
          <t>BERG</t>
        </is>
      </c>
      <c r="G512" t="n">
        <v>7.7</v>
      </c>
      <c r="H512" t="n">
        <v>0</v>
      </c>
      <c r="I512" t="n">
        <v>0</v>
      </c>
      <c r="J512" t="n">
        <v>0</v>
      </c>
      <c r="K512" t="n">
        <v>0</v>
      </c>
      <c r="L512" t="n">
        <v>0</v>
      </c>
      <c r="M512" t="n">
        <v>0</v>
      </c>
      <c r="N512" t="n">
        <v>0</v>
      </c>
      <c r="O512" t="n">
        <v>0</v>
      </c>
      <c r="P512" t="n">
        <v>0</v>
      </c>
      <c r="Q512" t="n">
        <v>0</v>
      </c>
      <c r="R512" s="2" t="inlineStr"/>
    </row>
    <row r="513" ht="15" customHeight="1">
      <c r="A513" t="inlineStr">
        <is>
          <t>A 4246-2025</t>
        </is>
      </c>
      <c r="B513" s="1" t="n">
        <v>45685.59083333334</v>
      </c>
      <c r="C513" s="1" t="n">
        <v>45970</v>
      </c>
      <c r="D513" t="inlineStr">
        <is>
          <t>JÄMTLANDS LÄN</t>
        </is>
      </c>
      <c r="E513" t="inlineStr">
        <is>
          <t>BERG</t>
        </is>
      </c>
      <c r="G513" t="n">
        <v>2.4</v>
      </c>
      <c r="H513" t="n">
        <v>0</v>
      </c>
      <c r="I513" t="n">
        <v>0</v>
      </c>
      <c r="J513" t="n">
        <v>0</v>
      </c>
      <c r="K513" t="n">
        <v>0</v>
      </c>
      <c r="L513" t="n">
        <v>0</v>
      </c>
      <c r="M513" t="n">
        <v>0</v>
      </c>
      <c r="N513" t="n">
        <v>0</v>
      </c>
      <c r="O513" t="n">
        <v>0</v>
      </c>
      <c r="P513" t="n">
        <v>0</v>
      </c>
      <c r="Q513" t="n">
        <v>0</v>
      </c>
      <c r="R513" s="2" t="inlineStr"/>
    </row>
    <row r="514" ht="15" customHeight="1">
      <c r="A514" t="inlineStr">
        <is>
          <t>A 47674-2024</t>
        </is>
      </c>
      <c r="B514" s="1" t="n">
        <v>45588.40413194444</v>
      </c>
      <c r="C514" s="1" t="n">
        <v>45970</v>
      </c>
      <c r="D514" t="inlineStr">
        <is>
          <t>JÄMTLANDS LÄN</t>
        </is>
      </c>
      <c r="E514" t="inlineStr">
        <is>
          <t>BERG</t>
        </is>
      </c>
      <c r="G514" t="n">
        <v>0.5</v>
      </c>
      <c r="H514" t="n">
        <v>0</v>
      </c>
      <c r="I514" t="n">
        <v>0</v>
      </c>
      <c r="J514" t="n">
        <v>0</v>
      </c>
      <c r="K514" t="n">
        <v>0</v>
      </c>
      <c r="L514" t="n">
        <v>0</v>
      </c>
      <c r="M514" t="n">
        <v>0</v>
      </c>
      <c r="N514" t="n">
        <v>0</v>
      </c>
      <c r="O514" t="n">
        <v>0</v>
      </c>
      <c r="P514" t="n">
        <v>0</v>
      </c>
      <c r="Q514" t="n">
        <v>0</v>
      </c>
      <c r="R514" s="2" t="inlineStr"/>
    </row>
    <row r="515" ht="15" customHeight="1">
      <c r="A515" t="inlineStr">
        <is>
          <t>A 45206-2024</t>
        </is>
      </c>
      <c r="B515" s="1" t="n">
        <v>45575.69966435185</v>
      </c>
      <c r="C515" s="1" t="n">
        <v>45970</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48190-2025</t>
        </is>
      </c>
      <c r="B516" s="1" t="n">
        <v>45933.46930555555</v>
      </c>
      <c r="C516" s="1" t="n">
        <v>45970</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14153-2023</t>
        </is>
      </c>
      <c r="B517" s="1" t="n">
        <v>45008</v>
      </c>
      <c r="C517" s="1" t="n">
        <v>45970</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49041-2025</t>
        </is>
      </c>
      <c r="B518" s="1" t="n">
        <v>45937.63592592593</v>
      </c>
      <c r="C518" s="1" t="n">
        <v>45970</v>
      </c>
      <c r="D518" t="inlineStr">
        <is>
          <t>JÄMTLANDS LÄN</t>
        </is>
      </c>
      <c r="E518" t="inlineStr">
        <is>
          <t>BERG</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49349-2025</t>
        </is>
      </c>
      <c r="B519" s="1" t="n">
        <v>45938.61060185185</v>
      </c>
      <c r="C519" s="1" t="n">
        <v>45970</v>
      </c>
      <c r="D519" t="inlineStr">
        <is>
          <t>JÄMTLANDS LÄN</t>
        </is>
      </c>
      <c r="E519" t="inlineStr">
        <is>
          <t>BERG</t>
        </is>
      </c>
      <c r="G519" t="n">
        <v>2.5</v>
      </c>
      <c r="H519" t="n">
        <v>0</v>
      </c>
      <c r="I519" t="n">
        <v>0</v>
      </c>
      <c r="J519" t="n">
        <v>0</v>
      </c>
      <c r="K519" t="n">
        <v>0</v>
      </c>
      <c r="L519" t="n">
        <v>0</v>
      </c>
      <c r="M519" t="n">
        <v>0</v>
      </c>
      <c r="N519" t="n">
        <v>0</v>
      </c>
      <c r="O519" t="n">
        <v>0</v>
      </c>
      <c r="P519" t="n">
        <v>0</v>
      </c>
      <c r="Q519" t="n">
        <v>0</v>
      </c>
      <c r="R519" s="2" t="inlineStr"/>
    </row>
    <row r="520" ht="15" customHeight="1">
      <c r="A520" t="inlineStr">
        <is>
          <t>A 40630-2025</t>
        </is>
      </c>
      <c r="B520" s="1" t="n">
        <v>45896</v>
      </c>
      <c r="C520" s="1" t="n">
        <v>45970</v>
      </c>
      <c r="D520" t="inlineStr">
        <is>
          <t>JÄMTLANDS LÄN</t>
        </is>
      </c>
      <c r="E520" t="inlineStr">
        <is>
          <t>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32711-2024</t>
        </is>
      </c>
      <c r="B521" s="1" t="n">
        <v>45516</v>
      </c>
      <c r="C521" s="1" t="n">
        <v>45970</v>
      </c>
      <c r="D521" t="inlineStr">
        <is>
          <t>JÄMTLANDS LÄN</t>
        </is>
      </c>
      <c r="E521" t="inlineStr">
        <is>
          <t>BERG</t>
        </is>
      </c>
      <c r="G521" t="n">
        <v>0</v>
      </c>
      <c r="H521" t="n">
        <v>0</v>
      </c>
      <c r="I521" t="n">
        <v>0</v>
      </c>
      <c r="J521" t="n">
        <v>0</v>
      </c>
      <c r="K521" t="n">
        <v>0</v>
      </c>
      <c r="L521" t="n">
        <v>0</v>
      </c>
      <c r="M521" t="n">
        <v>0</v>
      </c>
      <c r="N521" t="n">
        <v>0</v>
      </c>
      <c r="O521" t="n">
        <v>0</v>
      </c>
      <c r="P521" t="n">
        <v>0</v>
      </c>
      <c r="Q521" t="n">
        <v>0</v>
      </c>
      <c r="R521" s="2" t="inlineStr"/>
    </row>
    <row r="522" ht="15" customHeight="1">
      <c r="A522" t="inlineStr">
        <is>
          <t>A 40410-2025</t>
        </is>
      </c>
      <c r="B522" s="1" t="n">
        <v>45895.57349537037</v>
      </c>
      <c r="C522" s="1" t="n">
        <v>45970</v>
      </c>
      <c r="D522" t="inlineStr">
        <is>
          <t>JÄMTLANDS LÄN</t>
        </is>
      </c>
      <c r="E522" t="inlineStr">
        <is>
          <t>BERG</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41868-2024</t>
        </is>
      </c>
      <c r="B523" s="1" t="n">
        <v>45561.46900462963</v>
      </c>
      <c r="C523" s="1" t="n">
        <v>45970</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48865-2025</t>
        </is>
      </c>
      <c r="B524" s="1" t="n">
        <v>45937.44760416666</v>
      </c>
      <c r="C524" s="1" t="n">
        <v>45970</v>
      </c>
      <c r="D524" t="inlineStr">
        <is>
          <t>JÄMTLANDS LÄN</t>
        </is>
      </c>
      <c r="E524" t="inlineStr">
        <is>
          <t>BERG</t>
        </is>
      </c>
      <c r="G524" t="n">
        <v>5.8</v>
      </c>
      <c r="H524" t="n">
        <v>0</v>
      </c>
      <c r="I524" t="n">
        <v>0</v>
      </c>
      <c r="J524" t="n">
        <v>0</v>
      </c>
      <c r="K524" t="n">
        <v>0</v>
      </c>
      <c r="L524" t="n">
        <v>0</v>
      </c>
      <c r="M524" t="n">
        <v>0</v>
      </c>
      <c r="N524" t="n">
        <v>0</v>
      </c>
      <c r="O524" t="n">
        <v>0</v>
      </c>
      <c r="P524" t="n">
        <v>0</v>
      </c>
      <c r="Q524" t="n">
        <v>0</v>
      </c>
      <c r="R524" s="2" t="inlineStr"/>
    </row>
    <row r="525" ht="15" customHeight="1">
      <c r="A525" t="inlineStr">
        <is>
          <t>A 40266-2025</t>
        </is>
      </c>
      <c r="B525" s="1" t="n">
        <v>45895.34478009259</v>
      </c>
      <c r="C525" s="1" t="n">
        <v>45970</v>
      </c>
      <c r="D525" t="inlineStr">
        <is>
          <t>JÄMTLANDS LÄN</t>
        </is>
      </c>
      <c r="E525" t="inlineStr">
        <is>
          <t>BERG</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14672-2025</t>
        </is>
      </c>
      <c r="B526" s="1" t="n">
        <v>45742.55269675926</v>
      </c>
      <c r="C526" s="1" t="n">
        <v>45970</v>
      </c>
      <c r="D526" t="inlineStr">
        <is>
          <t>JÄMTLANDS LÄN</t>
        </is>
      </c>
      <c r="E526" t="inlineStr">
        <is>
          <t>BERG</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34845-2023</t>
        </is>
      </c>
      <c r="B527" s="1" t="n">
        <v>45141.95964120371</v>
      </c>
      <c r="C527" s="1" t="n">
        <v>45970</v>
      </c>
      <c r="D527" t="inlineStr">
        <is>
          <t>JÄMTLANDS LÄN</t>
        </is>
      </c>
      <c r="E527" t="inlineStr">
        <is>
          <t>BERG</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51201-2023</t>
        </is>
      </c>
      <c r="B528" s="1" t="n">
        <v>45219.42320601852</v>
      </c>
      <c r="C528" s="1" t="n">
        <v>45970</v>
      </c>
      <c r="D528" t="inlineStr">
        <is>
          <t>JÄMTLANDS LÄN</t>
        </is>
      </c>
      <c r="E528" t="inlineStr">
        <is>
          <t>BERG</t>
        </is>
      </c>
      <c r="G528" t="n">
        <v>1.2</v>
      </c>
      <c r="H528" t="n">
        <v>0</v>
      </c>
      <c r="I528" t="n">
        <v>0</v>
      </c>
      <c r="J528" t="n">
        <v>0</v>
      </c>
      <c r="K528" t="n">
        <v>0</v>
      </c>
      <c r="L528" t="n">
        <v>0</v>
      </c>
      <c r="M528" t="n">
        <v>0</v>
      </c>
      <c r="N528" t="n">
        <v>0</v>
      </c>
      <c r="O528" t="n">
        <v>0</v>
      </c>
      <c r="P528" t="n">
        <v>0</v>
      </c>
      <c r="Q528" t="n">
        <v>0</v>
      </c>
      <c r="R528" s="2" t="inlineStr"/>
    </row>
    <row r="529" ht="15" customHeight="1">
      <c r="A529" t="inlineStr">
        <is>
          <t>A 31330-2024</t>
        </is>
      </c>
      <c r="B529" s="1" t="n">
        <v>45504</v>
      </c>
      <c r="C529" s="1" t="n">
        <v>45970</v>
      </c>
      <c r="D529" t="inlineStr">
        <is>
          <t>JÄMTLANDS LÄN</t>
        </is>
      </c>
      <c r="E529" t="inlineStr">
        <is>
          <t>BERG</t>
        </is>
      </c>
      <c r="G529" t="n">
        <v>30.5</v>
      </c>
      <c r="H529" t="n">
        <v>0</v>
      </c>
      <c r="I529" t="n">
        <v>0</v>
      </c>
      <c r="J529" t="n">
        <v>0</v>
      </c>
      <c r="K529" t="n">
        <v>0</v>
      </c>
      <c r="L529" t="n">
        <v>0</v>
      </c>
      <c r="M529" t="n">
        <v>0</v>
      </c>
      <c r="N529" t="n">
        <v>0</v>
      </c>
      <c r="O529" t="n">
        <v>0</v>
      </c>
      <c r="P529" t="n">
        <v>0</v>
      </c>
      <c r="Q529" t="n">
        <v>0</v>
      </c>
      <c r="R529" s="2" t="inlineStr"/>
    </row>
    <row r="530" ht="15" customHeight="1">
      <c r="A530" t="inlineStr">
        <is>
          <t>A 40339-2025</t>
        </is>
      </c>
      <c r="B530" s="1" t="n">
        <v>45895</v>
      </c>
      <c r="C530" s="1" t="n">
        <v>45970</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40340-2025</t>
        </is>
      </c>
      <c r="B531" s="1" t="n">
        <v>45895.46922453704</v>
      </c>
      <c r="C531" s="1" t="n">
        <v>45970</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40341-2025</t>
        </is>
      </c>
      <c r="B532" s="1" t="n">
        <v>45895</v>
      </c>
      <c r="C532" s="1" t="n">
        <v>45970</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48968-2025</t>
        </is>
      </c>
      <c r="B533" s="1" t="n">
        <v>45937.56285879629</v>
      </c>
      <c r="C533" s="1" t="n">
        <v>45970</v>
      </c>
      <c r="D533" t="inlineStr">
        <is>
          <t>JÄMTLANDS LÄN</t>
        </is>
      </c>
      <c r="E533" t="inlineStr">
        <is>
          <t>BERG</t>
        </is>
      </c>
      <c r="G533" t="n">
        <v>20</v>
      </c>
      <c r="H533" t="n">
        <v>0</v>
      </c>
      <c r="I533" t="n">
        <v>0</v>
      </c>
      <c r="J533" t="n">
        <v>0</v>
      </c>
      <c r="K533" t="n">
        <v>0</v>
      </c>
      <c r="L533" t="n">
        <v>0</v>
      </c>
      <c r="M533" t="n">
        <v>0</v>
      </c>
      <c r="N533" t="n">
        <v>0</v>
      </c>
      <c r="O533" t="n">
        <v>0</v>
      </c>
      <c r="P533" t="n">
        <v>0</v>
      </c>
      <c r="Q533" t="n">
        <v>0</v>
      </c>
      <c r="R533" s="2" t="inlineStr"/>
    </row>
    <row r="534" ht="15" customHeight="1">
      <c r="A534" t="inlineStr">
        <is>
          <t>A 149-2024</t>
        </is>
      </c>
      <c r="B534" s="1" t="n">
        <v>45294</v>
      </c>
      <c r="C534" s="1" t="n">
        <v>45970</v>
      </c>
      <c r="D534" t="inlineStr">
        <is>
          <t>JÄMTLANDS LÄN</t>
        </is>
      </c>
      <c r="E534" t="inlineStr">
        <is>
          <t>BERG</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52774-2023</t>
        </is>
      </c>
      <c r="B535" s="1" t="n">
        <v>45219</v>
      </c>
      <c r="C535" s="1" t="n">
        <v>45970</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49391-2025</t>
        </is>
      </c>
      <c r="B536" s="1" t="n">
        <v>45938.65011574074</v>
      </c>
      <c r="C536" s="1" t="n">
        <v>45970</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40617-2025</t>
        </is>
      </c>
      <c r="B537" s="1" t="n">
        <v>45896.58326388889</v>
      </c>
      <c r="C537" s="1" t="n">
        <v>45970</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21472-2025</t>
        </is>
      </c>
      <c r="B538" s="1" t="n">
        <v>45782.59024305556</v>
      </c>
      <c r="C538" s="1" t="n">
        <v>45970</v>
      </c>
      <c r="D538" t="inlineStr">
        <is>
          <t>JÄMTLANDS LÄN</t>
        </is>
      </c>
      <c r="E538" t="inlineStr">
        <is>
          <t>BERG</t>
        </is>
      </c>
      <c r="G538" t="n">
        <v>21.9</v>
      </c>
      <c r="H538" t="n">
        <v>0</v>
      </c>
      <c r="I538" t="n">
        <v>0</v>
      </c>
      <c r="J538" t="n">
        <v>0</v>
      </c>
      <c r="K538" t="n">
        <v>0</v>
      </c>
      <c r="L538" t="n">
        <v>0</v>
      </c>
      <c r="M538" t="n">
        <v>0</v>
      </c>
      <c r="N538" t="n">
        <v>0</v>
      </c>
      <c r="O538" t="n">
        <v>0</v>
      </c>
      <c r="P538" t="n">
        <v>0</v>
      </c>
      <c r="Q538" t="n">
        <v>0</v>
      </c>
      <c r="R538" s="2" t="inlineStr"/>
    </row>
    <row r="539" ht="15" customHeight="1">
      <c r="A539" t="inlineStr">
        <is>
          <t>A 34367-2024</t>
        </is>
      </c>
      <c r="B539" s="1" t="n">
        <v>45525.38040509259</v>
      </c>
      <c r="C539" s="1" t="n">
        <v>45970</v>
      </c>
      <c r="D539" t="inlineStr">
        <is>
          <t>JÄMTLANDS LÄN</t>
        </is>
      </c>
      <c r="E539" t="inlineStr">
        <is>
          <t>BERG</t>
        </is>
      </c>
      <c r="G539" t="n">
        <v>0.4</v>
      </c>
      <c r="H539" t="n">
        <v>0</v>
      </c>
      <c r="I539" t="n">
        <v>0</v>
      </c>
      <c r="J539" t="n">
        <v>0</v>
      </c>
      <c r="K539" t="n">
        <v>0</v>
      </c>
      <c r="L539" t="n">
        <v>0</v>
      </c>
      <c r="M539" t="n">
        <v>0</v>
      </c>
      <c r="N539" t="n">
        <v>0</v>
      </c>
      <c r="O539" t="n">
        <v>0</v>
      </c>
      <c r="P539" t="n">
        <v>0</v>
      </c>
      <c r="Q539" t="n">
        <v>0</v>
      </c>
      <c r="R539" s="2" t="inlineStr"/>
    </row>
    <row r="540" ht="15" customHeight="1">
      <c r="A540" t="inlineStr">
        <is>
          <t>A 34369-2024</t>
        </is>
      </c>
      <c r="B540" s="1" t="n">
        <v>45525.38228009259</v>
      </c>
      <c r="C540" s="1" t="n">
        <v>45970</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9478-2024</t>
        </is>
      </c>
      <c r="B541" s="1" t="n">
        <v>45359.5732175926</v>
      </c>
      <c r="C541" s="1" t="n">
        <v>45970</v>
      </c>
      <c r="D541" t="inlineStr">
        <is>
          <t>JÄMTLANDS LÄN</t>
        </is>
      </c>
      <c r="E541" t="inlineStr">
        <is>
          <t>BERG</t>
        </is>
      </c>
      <c r="G541" t="n">
        <v>6.2</v>
      </c>
      <c r="H541" t="n">
        <v>0</v>
      </c>
      <c r="I541" t="n">
        <v>0</v>
      </c>
      <c r="J541" t="n">
        <v>0</v>
      </c>
      <c r="K541" t="n">
        <v>0</v>
      </c>
      <c r="L541" t="n">
        <v>0</v>
      </c>
      <c r="M541" t="n">
        <v>0</v>
      </c>
      <c r="N541" t="n">
        <v>0</v>
      </c>
      <c r="O541" t="n">
        <v>0</v>
      </c>
      <c r="P541" t="n">
        <v>0</v>
      </c>
      <c r="Q541" t="n">
        <v>0</v>
      </c>
      <c r="R541" s="2" t="inlineStr"/>
    </row>
    <row r="542" ht="15" customHeight="1">
      <c r="A542" t="inlineStr">
        <is>
          <t>A 51172-2024</t>
        </is>
      </c>
      <c r="B542" s="1" t="n">
        <v>45603.59056712963</v>
      </c>
      <c r="C542" s="1" t="n">
        <v>45970</v>
      </c>
      <c r="D542" t="inlineStr">
        <is>
          <t>JÄMTLANDS LÄN</t>
        </is>
      </c>
      <c r="E542" t="inlineStr">
        <is>
          <t>BERG</t>
        </is>
      </c>
      <c r="G542" t="n">
        <v>12.2</v>
      </c>
      <c r="H542" t="n">
        <v>0</v>
      </c>
      <c r="I542" t="n">
        <v>0</v>
      </c>
      <c r="J542" t="n">
        <v>0</v>
      </c>
      <c r="K542" t="n">
        <v>0</v>
      </c>
      <c r="L542" t="n">
        <v>0</v>
      </c>
      <c r="M542" t="n">
        <v>0</v>
      </c>
      <c r="N542" t="n">
        <v>0</v>
      </c>
      <c r="O542" t="n">
        <v>0</v>
      </c>
      <c r="P542" t="n">
        <v>0</v>
      </c>
      <c r="Q542" t="n">
        <v>0</v>
      </c>
      <c r="R542" s="2" t="inlineStr"/>
    </row>
    <row r="543" ht="15" customHeight="1">
      <c r="A543" t="inlineStr">
        <is>
          <t>A 21292-2025</t>
        </is>
      </c>
      <c r="B543" s="1" t="n">
        <v>45780.39354166666</v>
      </c>
      <c r="C543" s="1" t="n">
        <v>45970</v>
      </c>
      <c r="D543" t="inlineStr">
        <is>
          <t>JÄMTLANDS LÄN</t>
        </is>
      </c>
      <c r="E543" t="inlineStr">
        <is>
          <t>BERG</t>
        </is>
      </c>
      <c r="G543" t="n">
        <v>1.6</v>
      </c>
      <c r="H543" t="n">
        <v>0</v>
      </c>
      <c r="I543" t="n">
        <v>0</v>
      </c>
      <c r="J543" t="n">
        <v>0</v>
      </c>
      <c r="K543" t="n">
        <v>0</v>
      </c>
      <c r="L543" t="n">
        <v>0</v>
      </c>
      <c r="M543" t="n">
        <v>0</v>
      </c>
      <c r="N543" t="n">
        <v>0</v>
      </c>
      <c r="O543" t="n">
        <v>0</v>
      </c>
      <c r="P543" t="n">
        <v>0</v>
      </c>
      <c r="Q543" t="n">
        <v>0</v>
      </c>
      <c r="R543" s="2" t="inlineStr"/>
    </row>
    <row r="544" ht="15" customHeight="1">
      <c r="A544" t="inlineStr">
        <is>
          <t>A 9077-2023</t>
        </is>
      </c>
      <c r="B544" s="1" t="n">
        <v>44979</v>
      </c>
      <c r="C544" s="1" t="n">
        <v>45970</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13108-2025</t>
        </is>
      </c>
      <c r="B545" s="1" t="n">
        <v>45734</v>
      </c>
      <c r="C545" s="1" t="n">
        <v>45970</v>
      </c>
      <c r="D545" t="inlineStr">
        <is>
          <t>JÄMTLANDS LÄN</t>
        </is>
      </c>
      <c r="E545" t="inlineStr">
        <is>
          <t>BERG</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41247-2025</t>
        </is>
      </c>
      <c r="B546" s="1" t="n">
        <v>45898.60109953704</v>
      </c>
      <c r="C546" s="1" t="n">
        <v>45970</v>
      </c>
      <c r="D546" t="inlineStr">
        <is>
          <t>JÄMTLANDS LÄN</t>
        </is>
      </c>
      <c r="E546" t="inlineStr">
        <is>
          <t>BERG</t>
        </is>
      </c>
      <c r="G546" t="n">
        <v>17.5</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45970</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21156-2025</t>
        </is>
      </c>
      <c r="B548" s="1" t="n">
        <v>45779.37599537037</v>
      </c>
      <c r="C548" s="1" t="n">
        <v>45970</v>
      </c>
      <c r="D548" t="inlineStr">
        <is>
          <t>JÄMTLANDS LÄN</t>
        </is>
      </c>
      <c r="E548" t="inlineStr">
        <is>
          <t>BERG</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60847-2023</t>
        </is>
      </c>
      <c r="B549" s="1" t="n">
        <v>45260</v>
      </c>
      <c r="C549" s="1" t="n">
        <v>45970</v>
      </c>
      <c r="D549" t="inlineStr">
        <is>
          <t>JÄMTLANDS LÄN</t>
        </is>
      </c>
      <c r="E549" t="inlineStr">
        <is>
          <t>BERG</t>
        </is>
      </c>
      <c r="G549" t="n">
        <v>2.5</v>
      </c>
      <c r="H549" t="n">
        <v>0</v>
      </c>
      <c r="I549" t="n">
        <v>0</v>
      </c>
      <c r="J549" t="n">
        <v>0</v>
      </c>
      <c r="K549" t="n">
        <v>0</v>
      </c>
      <c r="L549" t="n">
        <v>0</v>
      </c>
      <c r="M549" t="n">
        <v>0</v>
      </c>
      <c r="N549" t="n">
        <v>0</v>
      </c>
      <c r="O549" t="n">
        <v>0</v>
      </c>
      <c r="P549" t="n">
        <v>0</v>
      </c>
      <c r="Q549" t="n">
        <v>0</v>
      </c>
      <c r="R549" s="2" t="inlineStr"/>
    </row>
    <row r="550" ht="15" customHeight="1">
      <c r="A550" t="inlineStr">
        <is>
          <t>A 65210-2023</t>
        </is>
      </c>
      <c r="B550" s="1" t="n">
        <v>45289</v>
      </c>
      <c r="C550" s="1" t="n">
        <v>45970</v>
      </c>
      <c r="D550" t="inlineStr">
        <is>
          <t>JÄMTLANDS LÄN</t>
        </is>
      </c>
      <c r="E550" t="inlineStr">
        <is>
          <t>BERG</t>
        </is>
      </c>
      <c r="G550" t="n">
        <v>0.4</v>
      </c>
      <c r="H550" t="n">
        <v>0</v>
      </c>
      <c r="I550" t="n">
        <v>0</v>
      </c>
      <c r="J550" t="n">
        <v>0</v>
      </c>
      <c r="K550" t="n">
        <v>0</v>
      </c>
      <c r="L550" t="n">
        <v>0</v>
      </c>
      <c r="M550" t="n">
        <v>0</v>
      </c>
      <c r="N550" t="n">
        <v>0</v>
      </c>
      <c r="O550" t="n">
        <v>0</v>
      </c>
      <c r="P550" t="n">
        <v>0</v>
      </c>
      <c r="Q550" t="n">
        <v>0</v>
      </c>
      <c r="R550" s="2" t="inlineStr"/>
    </row>
    <row r="551" ht="15" customHeight="1">
      <c r="A551" t="inlineStr">
        <is>
          <t>A 21851-2025</t>
        </is>
      </c>
      <c r="B551" s="1" t="n">
        <v>45784.34417824074</v>
      </c>
      <c r="C551" s="1" t="n">
        <v>45970</v>
      </c>
      <c r="D551" t="inlineStr">
        <is>
          <t>JÄMTLANDS LÄN</t>
        </is>
      </c>
      <c r="E551" t="inlineStr">
        <is>
          <t>BERG</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32020-2023</t>
        </is>
      </c>
      <c r="B552" s="1" t="n">
        <v>45119.49261574074</v>
      </c>
      <c r="C552" s="1" t="n">
        <v>45970</v>
      </c>
      <c r="D552" t="inlineStr">
        <is>
          <t>JÄMTLANDS LÄN</t>
        </is>
      </c>
      <c r="E552" t="inlineStr">
        <is>
          <t>BERG</t>
        </is>
      </c>
      <c r="G552" t="n">
        <v>10.3</v>
      </c>
      <c r="H552" t="n">
        <v>0</v>
      </c>
      <c r="I552" t="n">
        <v>0</v>
      </c>
      <c r="J552" t="n">
        <v>0</v>
      </c>
      <c r="K552" t="n">
        <v>0</v>
      </c>
      <c r="L552" t="n">
        <v>0</v>
      </c>
      <c r="M552" t="n">
        <v>0</v>
      </c>
      <c r="N552" t="n">
        <v>0</v>
      </c>
      <c r="O552" t="n">
        <v>0</v>
      </c>
      <c r="P552" t="n">
        <v>0</v>
      </c>
      <c r="Q552" t="n">
        <v>0</v>
      </c>
      <c r="R552" s="2" t="inlineStr"/>
    </row>
    <row r="553" ht="15" customHeight="1">
      <c r="A553" t="inlineStr">
        <is>
          <t>A 27239-2023</t>
        </is>
      </c>
      <c r="B553" s="1" t="n">
        <v>45092</v>
      </c>
      <c r="C553" s="1" t="n">
        <v>45970</v>
      </c>
      <c r="D553" t="inlineStr">
        <is>
          <t>JÄMTLANDS LÄN</t>
        </is>
      </c>
      <c r="E553" t="inlineStr">
        <is>
          <t>BERG</t>
        </is>
      </c>
      <c r="G553" t="n">
        <v>5.3</v>
      </c>
      <c r="H553" t="n">
        <v>0</v>
      </c>
      <c r="I553" t="n">
        <v>0</v>
      </c>
      <c r="J553" t="n">
        <v>0</v>
      </c>
      <c r="K553" t="n">
        <v>0</v>
      </c>
      <c r="L553" t="n">
        <v>0</v>
      </c>
      <c r="M553" t="n">
        <v>0</v>
      </c>
      <c r="N553" t="n">
        <v>0</v>
      </c>
      <c r="O553" t="n">
        <v>0</v>
      </c>
      <c r="P553" t="n">
        <v>0</v>
      </c>
      <c r="Q553" t="n">
        <v>0</v>
      </c>
      <c r="R553" s="2" t="inlineStr"/>
    </row>
    <row r="554" ht="15" customHeight="1">
      <c r="A554" t="inlineStr">
        <is>
          <t>A 59459-2024</t>
        </is>
      </c>
      <c r="B554" s="1" t="n">
        <v>45638</v>
      </c>
      <c r="C554" s="1" t="n">
        <v>45970</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33750-2023</t>
        </is>
      </c>
      <c r="B555" s="1" t="n">
        <v>45120</v>
      </c>
      <c r="C555" s="1" t="n">
        <v>45970</v>
      </c>
      <c r="D555" t="inlineStr">
        <is>
          <t>JÄMTLANDS LÄN</t>
        </is>
      </c>
      <c r="E555" t="inlineStr">
        <is>
          <t>BERG</t>
        </is>
      </c>
      <c r="G555" t="n">
        <v>2.6</v>
      </c>
      <c r="H555" t="n">
        <v>0</v>
      </c>
      <c r="I555" t="n">
        <v>0</v>
      </c>
      <c r="J555" t="n">
        <v>0</v>
      </c>
      <c r="K555" t="n">
        <v>0</v>
      </c>
      <c r="L555" t="n">
        <v>0</v>
      </c>
      <c r="M555" t="n">
        <v>0</v>
      </c>
      <c r="N555" t="n">
        <v>0</v>
      </c>
      <c r="O555" t="n">
        <v>0</v>
      </c>
      <c r="P555" t="n">
        <v>0</v>
      </c>
      <c r="Q555" t="n">
        <v>0</v>
      </c>
      <c r="R555" s="2" t="inlineStr"/>
    </row>
    <row r="556" ht="15" customHeight="1">
      <c r="A556" t="inlineStr">
        <is>
          <t>A 41295-2025</t>
        </is>
      </c>
      <c r="B556" s="1" t="n">
        <v>45898.65660879629</v>
      </c>
      <c r="C556" s="1" t="n">
        <v>45970</v>
      </c>
      <c r="D556" t="inlineStr">
        <is>
          <t>JÄMTLANDS LÄN</t>
        </is>
      </c>
      <c r="E556" t="inlineStr">
        <is>
          <t>BERG</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11599-2025</t>
        </is>
      </c>
      <c r="B557" s="1" t="n">
        <v>45727.4261574074</v>
      </c>
      <c r="C557" s="1" t="n">
        <v>45970</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37086-2024</t>
        </is>
      </c>
      <c r="B558" s="1" t="n">
        <v>45539.49776620371</v>
      </c>
      <c r="C558" s="1" t="n">
        <v>45970</v>
      </c>
      <c r="D558" t="inlineStr">
        <is>
          <t>JÄMTLANDS LÄN</t>
        </is>
      </c>
      <c r="E558" t="inlineStr">
        <is>
          <t>BERG</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49749-2025</t>
        </is>
      </c>
      <c r="B559" s="1" t="n">
        <v>45940.34486111111</v>
      </c>
      <c r="C559" s="1" t="n">
        <v>45970</v>
      </c>
      <c r="D559" t="inlineStr">
        <is>
          <t>JÄMTLANDS LÄN</t>
        </is>
      </c>
      <c r="E559" t="inlineStr">
        <is>
          <t>BERG</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49797-2025</t>
        </is>
      </c>
      <c r="B560" s="1" t="n">
        <v>45940.40804398148</v>
      </c>
      <c r="C560" s="1" t="n">
        <v>45970</v>
      </c>
      <c r="D560" t="inlineStr">
        <is>
          <t>JÄMTLANDS LÄN</t>
        </is>
      </c>
      <c r="E560" t="inlineStr">
        <is>
          <t>BERG</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43762-2023</t>
        </is>
      </c>
      <c r="B561" s="1" t="n">
        <v>45182</v>
      </c>
      <c r="C561" s="1" t="n">
        <v>45970</v>
      </c>
      <c r="D561" t="inlineStr">
        <is>
          <t>JÄMTLANDS LÄN</t>
        </is>
      </c>
      <c r="E561" t="inlineStr">
        <is>
          <t>BERG</t>
        </is>
      </c>
      <c r="G561" t="n">
        <v>6.4</v>
      </c>
      <c r="H561" t="n">
        <v>0</v>
      </c>
      <c r="I561" t="n">
        <v>0</v>
      </c>
      <c r="J561" t="n">
        <v>0</v>
      </c>
      <c r="K561" t="n">
        <v>0</v>
      </c>
      <c r="L561" t="n">
        <v>0</v>
      </c>
      <c r="M561" t="n">
        <v>0</v>
      </c>
      <c r="N561" t="n">
        <v>0</v>
      </c>
      <c r="O561" t="n">
        <v>0</v>
      </c>
      <c r="P561" t="n">
        <v>0</v>
      </c>
      <c r="Q561" t="n">
        <v>0</v>
      </c>
      <c r="R561" s="2" t="inlineStr"/>
    </row>
    <row r="562" ht="15" customHeight="1">
      <c r="A562" t="inlineStr">
        <is>
          <t>A 22180-2025</t>
        </is>
      </c>
      <c r="B562" s="1" t="n">
        <v>45785</v>
      </c>
      <c r="C562" s="1" t="n">
        <v>45970</v>
      </c>
      <c r="D562" t="inlineStr">
        <is>
          <t>JÄMTLANDS LÄN</t>
        </is>
      </c>
      <c r="E562" t="inlineStr">
        <is>
          <t>BERG</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22478-2025</t>
        </is>
      </c>
      <c r="B563" s="1" t="n">
        <v>45786.6349537037</v>
      </c>
      <c r="C563" s="1" t="n">
        <v>45970</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31155-2024</t>
        </is>
      </c>
      <c r="B564" s="1" t="n">
        <v>45503</v>
      </c>
      <c r="C564" s="1" t="n">
        <v>45970</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46366-2024</t>
        </is>
      </c>
      <c r="B565" s="1" t="n">
        <v>45582.36490740741</v>
      </c>
      <c r="C565" s="1" t="n">
        <v>45970</v>
      </c>
      <c r="D565" t="inlineStr">
        <is>
          <t>JÄMTLANDS LÄN</t>
        </is>
      </c>
      <c r="E565" t="inlineStr">
        <is>
          <t>BERG</t>
        </is>
      </c>
      <c r="G565" t="n">
        <v>5</v>
      </c>
      <c r="H565" t="n">
        <v>0</v>
      </c>
      <c r="I565" t="n">
        <v>0</v>
      </c>
      <c r="J565" t="n">
        <v>0</v>
      </c>
      <c r="K565" t="n">
        <v>0</v>
      </c>
      <c r="L565" t="n">
        <v>0</v>
      </c>
      <c r="M565" t="n">
        <v>0</v>
      </c>
      <c r="N565" t="n">
        <v>0</v>
      </c>
      <c r="O565" t="n">
        <v>0</v>
      </c>
      <c r="P565" t="n">
        <v>0</v>
      </c>
      <c r="Q565" t="n">
        <v>0</v>
      </c>
      <c r="R565" s="2" t="inlineStr"/>
    </row>
    <row r="566" ht="15" customHeight="1">
      <c r="A566" t="inlineStr">
        <is>
          <t>A 40918-2025</t>
        </is>
      </c>
      <c r="B566" s="1" t="n">
        <v>45897.6292824074</v>
      </c>
      <c r="C566" s="1" t="n">
        <v>45970</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35921-2024</t>
        </is>
      </c>
      <c r="B567" s="1" t="n">
        <v>45533.42659722222</v>
      </c>
      <c r="C567" s="1" t="n">
        <v>45970</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22724-2025</t>
        </is>
      </c>
      <c r="B568" s="1" t="n">
        <v>45789.57361111111</v>
      </c>
      <c r="C568" s="1" t="n">
        <v>45970</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40708-2025</t>
        </is>
      </c>
      <c r="B569" s="1" t="n">
        <v>45897</v>
      </c>
      <c r="C569" s="1" t="n">
        <v>45970</v>
      </c>
      <c r="D569" t="inlineStr">
        <is>
          <t>JÄMTLANDS LÄN</t>
        </is>
      </c>
      <c r="E569" t="inlineStr">
        <is>
          <t>BERG</t>
        </is>
      </c>
      <c r="G569" t="n">
        <v>6.6</v>
      </c>
      <c r="H569" t="n">
        <v>0</v>
      </c>
      <c r="I569" t="n">
        <v>0</v>
      </c>
      <c r="J569" t="n">
        <v>0</v>
      </c>
      <c r="K569" t="n">
        <v>0</v>
      </c>
      <c r="L569" t="n">
        <v>0</v>
      </c>
      <c r="M569" t="n">
        <v>0</v>
      </c>
      <c r="N569" t="n">
        <v>0</v>
      </c>
      <c r="O569" t="n">
        <v>0</v>
      </c>
      <c r="P569" t="n">
        <v>0</v>
      </c>
      <c r="Q569" t="n">
        <v>0</v>
      </c>
      <c r="R569" s="2" t="inlineStr"/>
    </row>
    <row r="570" ht="15" customHeight="1">
      <c r="A570" t="inlineStr">
        <is>
          <t>A 40873-2025</t>
        </is>
      </c>
      <c r="B570" s="1" t="n">
        <v>45897.5744675926</v>
      </c>
      <c r="C570" s="1" t="n">
        <v>45970</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49573-2025</t>
        </is>
      </c>
      <c r="B571" s="1" t="n">
        <v>45939.49037037037</v>
      </c>
      <c r="C571" s="1" t="n">
        <v>45970</v>
      </c>
      <c r="D571" t="inlineStr">
        <is>
          <t>JÄMTLANDS LÄN</t>
        </is>
      </c>
      <c r="E571" t="inlineStr">
        <is>
          <t>BERG</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22672-2025</t>
        </is>
      </c>
      <c r="B572" s="1" t="n">
        <v>45789.4903587963</v>
      </c>
      <c r="C572" s="1" t="n">
        <v>45970</v>
      </c>
      <c r="D572" t="inlineStr">
        <is>
          <t>JÄMTLANDS LÄN</t>
        </is>
      </c>
      <c r="E572" t="inlineStr">
        <is>
          <t>BERG</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22653-2025</t>
        </is>
      </c>
      <c r="B573" s="1" t="n">
        <v>45789.46931712963</v>
      </c>
      <c r="C573" s="1" t="n">
        <v>45970</v>
      </c>
      <c r="D573" t="inlineStr">
        <is>
          <t>JÄMTLANDS LÄN</t>
        </is>
      </c>
      <c r="E573" t="inlineStr">
        <is>
          <t>BERG</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22995-2025</t>
        </is>
      </c>
      <c r="B574" s="1" t="n">
        <v>45790.58265046297</v>
      </c>
      <c r="C574" s="1" t="n">
        <v>45970</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23026-2025</t>
        </is>
      </c>
      <c r="B575" s="1" t="n">
        <v>45790.65690972222</v>
      </c>
      <c r="C575" s="1" t="n">
        <v>45970</v>
      </c>
      <c r="D575" t="inlineStr">
        <is>
          <t>JÄMTLANDS LÄN</t>
        </is>
      </c>
      <c r="E575" t="inlineStr">
        <is>
          <t>BERG</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22991-2025</t>
        </is>
      </c>
      <c r="B576" s="1" t="n">
        <v>45790.57836805555</v>
      </c>
      <c r="C576" s="1" t="n">
        <v>45970</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41265-2025</t>
        </is>
      </c>
      <c r="B577" s="1" t="n">
        <v>45898.6153587963</v>
      </c>
      <c r="C577" s="1" t="n">
        <v>45970</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41263-2025</t>
        </is>
      </c>
      <c r="B578" s="1" t="n">
        <v>45898.61517361111</v>
      </c>
      <c r="C578" s="1" t="n">
        <v>45970</v>
      </c>
      <c r="D578" t="inlineStr">
        <is>
          <t>JÄMTLANDS LÄN</t>
        </is>
      </c>
      <c r="E578" t="inlineStr">
        <is>
          <t>BERG</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40737-2025</t>
        </is>
      </c>
      <c r="B579" s="1" t="n">
        <v>45897.36572916667</v>
      </c>
      <c r="C579" s="1" t="n">
        <v>45970</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5014-2024</t>
        </is>
      </c>
      <c r="B580" s="1" t="n">
        <v>45329</v>
      </c>
      <c r="C580" s="1" t="n">
        <v>45970</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49918-2025</t>
        </is>
      </c>
      <c r="B581" s="1" t="n">
        <v>45940.6290625</v>
      </c>
      <c r="C581" s="1" t="n">
        <v>45970</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34650-2024</t>
        </is>
      </c>
      <c r="B582" s="1" t="n">
        <v>45526.48329861111</v>
      </c>
      <c r="C582" s="1" t="n">
        <v>45970</v>
      </c>
      <c r="D582" t="inlineStr">
        <is>
          <t>JÄMTLANDS LÄN</t>
        </is>
      </c>
      <c r="E582" t="inlineStr">
        <is>
          <t>BERG</t>
        </is>
      </c>
      <c r="G582" t="n">
        <v>4.9</v>
      </c>
      <c r="H582" t="n">
        <v>0</v>
      </c>
      <c r="I582" t="n">
        <v>0</v>
      </c>
      <c r="J582" t="n">
        <v>0</v>
      </c>
      <c r="K582" t="n">
        <v>0</v>
      </c>
      <c r="L582" t="n">
        <v>0</v>
      </c>
      <c r="M582" t="n">
        <v>0</v>
      </c>
      <c r="N582" t="n">
        <v>0</v>
      </c>
      <c r="O582" t="n">
        <v>0</v>
      </c>
      <c r="P582" t="n">
        <v>0</v>
      </c>
      <c r="Q582" t="n">
        <v>0</v>
      </c>
      <c r="R582" s="2" t="inlineStr"/>
    </row>
    <row r="583" ht="15" customHeight="1">
      <c r="A583" t="inlineStr">
        <is>
          <t>A 49604-2025</t>
        </is>
      </c>
      <c r="B583" s="1" t="n">
        <v>45939.55241898148</v>
      </c>
      <c r="C583" s="1" t="n">
        <v>45970</v>
      </c>
      <c r="D583" t="inlineStr">
        <is>
          <t>JÄMTLANDS LÄN</t>
        </is>
      </c>
      <c r="E583" t="inlineStr">
        <is>
          <t>BERG</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50435-2025</t>
        </is>
      </c>
      <c r="B584" s="1" t="n">
        <v>45944.6984837963</v>
      </c>
      <c r="C584" s="1" t="n">
        <v>45970</v>
      </c>
      <c r="D584" t="inlineStr">
        <is>
          <t>JÄMTLANDS LÄN</t>
        </is>
      </c>
      <c r="E584" t="inlineStr">
        <is>
          <t>BERG</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50231-2025</t>
        </is>
      </c>
      <c r="B585" s="1" t="n">
        <v>45943.70643518519</v>
      </c>
      <c r="C585" s="1" t="n">
        <v>45970</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50273-2025</t>
        </is>
      </c>
      <c r="B586" s="1" t="n">
        <v>45944.36600694444</v>
      </c>
      <c r="C586" s="1" t="n">
        <v>45970</v>
      </c>
      <c r="D586" t="inlineStr">
        <is>
          <t>JÄMTLANDS LÄN</t>
        </is>
      </c>
      <c r="E586" t="inlineStr">
        <is>
          <t>BERG</t>
        </is>
      </c>
      <c r="G586" t="n">
        <v>5.7</v>
      </c>
      <c r="H586" t="n">
        <v>0</v>
      </c>
      <c r="I586" t="n">
        <v>0</v>
      </c>
      <c r="J586" t="n">
        <v>0</v>
      </c>
      <c r="K586" t="n">
        <v>0</v>
      </c>
      <c r="L586" t="n">
        <v>0</v>
      </c>
      <c r="M586" t="n">
        <v>0</v>
      </c>
      <c r="N586" t="n">
        <v>0</v>
      </c>
      <c r="O586" t="n">
        <v>0</v>
      </c>
      <c r="P586" t="n">
        <v>0</v>
      </c>
      <c r="Q586" t="n">
        <v>0</v>
      </c>
      <c r="R586" s="2" t="inlineStr"/>
    </row>
    <row r="587" ht="15" customHeight="1">
      <c r="A587" t="inlineStr">
        <is>
          <t>A 47428-2025</t>
        </is>
      </c>
      <c r="B587" s="1" t="n">
        <v>45930</v>
      </c>
      <c r="C587" s="1" t="n">
        <v>45970</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50182-2025</t>
        </is>
      </c>
      <c r="B588" s="1" t="n">
        <v>45943.61550925926</v>
      </c>
      <c r="C588" s="1" t="n">
        <v>45970</v>
      </c>
      <c r="D588" t="inlineStr">
        <is>
          <t>JÄMTLANDS LÄN</t>
        </is>
      </c>
      <c r="E588" t="inlineStr">
        <is>
          <t>BERG</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45346-2023</t>
        </is>
      </c>
      <c r="B589" s="1" t="n">
        <v>45191</v>
      </c>
      <c r="C589" s="1" t="n">
        <v>45970</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50230-2025</t>
        </is>
      </c>
      <c r="B590" s="1" t="n">
        <v>45943.70216435185</v>
      </c>
      <c r="C590" s="1" t="n">
        <v>45970</v>
      </c>
      <c r="D590" t="inlineStr">
        <is>
          <t>JÄMTLANDS LÄN</t>
        </is>
      </c>
      <c r="E590" t="inlineStr">
        <is>
          <t>BERG</t>
        </is>
      </c>
      <c r="G590" t="n">
        <v>6.3</v>
      </c>
      <c r="H590" t="n">
        <v>0</v>
      </c>
      <c r="I590" t="n">
        <v>0</v>
      </c>
      <c r="J590" t="n">
        <v>0</v>
      </c>
      <c r="K590" t="n">
        <v>0</v>
      </c>
      <c r="L590" t="n">
        <v>0</v>
      </c>
      <c r="M590" t="n">
        <v>0</v>
      </c>
      <c r="N590" t="n">
        <v>0</v>
      </c>
      <c r="O590" t="n">
        <v>0</v>
      </c>
      <c r="P590" t="n">
        <v>0</v>
      </c>
      <c r="Q590" t="n">
        <v>0</v>
      </c>
      <c r="R590" s="2" t="inlineStr"/>
    </row>
    <row r="591" ht="15" customHeight="1">
      <c r="A591" t="inlineStr">
        <is>
          <t>A 50233-2025</t>
        </is>
      </c>
      <c r="B591" s="1" t="n">
        <v>45943.71228009259</v>
      </c>
      <c r="C591" s="1" t="n">
        <v>45970</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23902-2025</t>
        </is>
      </c>
      <c r="B592" s="1" t="n">
        <v>45794.34447916667</v>
      </c>
      <c r="C592" s="1" t="n">
        <v>45970</v>
      </c>
      <c r="D592" t="inlineStr">
        <is>
          <t>JÄMTLANDS LÄN</t>
        </is>
      </c>
      <c r="E592" t="inlineStr">
        <is>
          <t>BERG</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23913-2025</t>
        </is>
      </c>
      <c r="B593" s="1" t="n">
        <v>45795.34442129629</v>
      </c>
      <c r="C593" s="1" t="n">
        <v>45970</v>
      </c>
      <c r="D593" t="inlineStr">
        <is>
          <t>JÄMTLANDS LÄN</t>
        </is>
      </c>
      <c r="E593" t="inlineStr">
        <is>
          <t>BERG</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51039-2024</t>
        </is>
      </c>
      <c r="B594" s="1" t="n">
        <v>45603.43164351852</v>
      </c>
      <c r="C594" s="1" t="n">
        <v>45970</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46584-2025</t>
        </is>
      </c>
      <c r="B595" s="1" t="n">
        <v>45926</v>
      </c>
      <c r="C595" s="1" t="n">
        <v>45970</v>
      </c>
      <c r="D595" t="inlineStr">
        <is>
          <t>JÄMTLANDS LÄN</t>
        </is>
      </c>
      <c r="E595" t="inlineStr">
        <is>
          <t>BERG</t>
        </is>
      </c>
      <c r="G595" t="n">
        <v>17.1</v>
      </c>
      <c r="H595" t="n">
        <v>0</v>
      </c>
      <c r="I595" t="n">
        <v>0</v>
      </c>
      <c r="J595" t="n">
        <v>0</v>
      </c>
      <c r="K595" t="n">
        <v>0</v>
      </c>
      <c r="L595" t="n">
        <v>0</v>
      </c>
      <c r="M595" t="n">
        <v>0</v>
      </c>
      <c r="N595" t="n">
        <v>0</v>
      </c>
      <c r="O595" t="n">
        <v>0</v>
      </c>
      <c r="P595" t="n">
        <v>0</v>
      </c>
      <c r="Q595" t="n">
        <v>0</v>
      </c>
      <c r="R595" s="2" t="inlineStr"/>
    </row>
    <row r="596" ht="15" customHeight="1">
      <c r="A596" t="inlineStr">
        <is>
          <t>A 50024-2025</t>
        </is>
      </c>
      <c r="B596" s="1" t="n">
        <v>45943.37563657408</v>
      </c>
      <c r="C596" s="1" t="n">
        <v>45970</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50227-2025</t>
        </is>
      </c>
      <c r="B597" s="1" t="n">
        <v>45943.69686342592</v>
      </c>
      <c r="C597" s="1" t="n">
        <v>45970</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20882-2023</t>
        </is>
      </c>
      <c r="B598" s="1" t="n">
        <v>45058</v>
      </c>
      <c r="C598" s="1" t="n">
        <v>45970</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59521-2024</t>
        </is>
      </c>
      <c r="B599" s="1" t="n">
        <v>45638.57283564815</v>
      </c>
      <c r="C599" s="1" t="n">
        <v>45970</v>
      </c>
      <c r="D599" t="inlineStr">
        <is>
          <t>JÄMTLANDS LÄN</t>
        </is>
      </c>
      <c r="E599" t="inlineStr">
        <is>
          <t>BERG</t>
        </is>
      </c>
      <c r="G599" t="n">
        <v>2.1</v>
      </c>
      <c r="H599" t="n">
        <v>0</v>
      </c>
      <c r="I599" t="n">
        <v>0</v>
      </c>
      <c r="J599" t="n">
        <v>0</v>
      </c>
      <c r="K599" t="n">
        <v>0</v>
      </c>
      <c r="L599" t="n">
        <v>0</v>
      </c>
      <c r="M599" t="n">
        <v>0</v>
      </c>
      <c r="N599" t="n">
        <v>0</v>
      </c>
      <c r="O599" t="n">
        <v>0</v>
      </c>
      <c r="P599" t="n">
        <v>0</v>
      </c>
      <c r="Q599" t="n">
        <v>0</v>
      </c>
      <c r="R599" s="2" t="inlineStr"/>
    </row>
    <row r="600" ht="15" customHeight="1">
      <c r="A600" t="inlineStr">
        <is>
          <t>A 23900-2025</t>
        </is>
      </c>
      <c r="B600" s="1" t="n">
        <v>45794.34425925926</v>
      </c>
      <c r="C600" s="1" t="n">
        <v>45970</v>
      </c>
      <c r="D600" t="inlineStr">
        <is>
          <t>JÄMTLANDS LÄN</t>
        </is>
      </c>
      <c r="E600" t="inlineStr">
        <is>
          <t>BERG</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23915-2025</t>
        </is>
      </c>
      <c r="B601" s="1" t="n">
        <v>45795.3446412037</v>
      </c>
      <c r="C601" s="1" t="n">
        <v>45970</v>
      </c>
      <c r="D601" t="inlineStr">
        <is>
          <t>JÄMTLANDS LÄN</t>
        </is>
      </c>
      <c r="E601" t="inlineStr">
        <is>
          <t>BERG</t>
        </is>
      </c>
      <c r="F601" t="inlineStr">
        <is>
          <t>SCA</t>
        </is>
      </c>
      <c r="G601" t="n">
        <v>16.7</v>
      </c>
      <c r="H601" t="n">
        <v>0</v>
      </c>
      <c r="I601" t="n">
        <v>0</v>
      </c>
      <c r="J601" t="n">
        <v>0</v>
      </c>
      <c r="K601" t="n">
        <v>0</v>
      </c>
      <c r="L601" t="n">
        <v>0</v>
      </c>
      <c r="M601" t="n">
        <v>0</v>
      </c>
      <c r="N601" t="n">
        <v>0</v>
      </c>
      <c r="O601" t="n">
        <v>0</v>
      </c>
      <c r="P601" t="n">
        <v>0</v>
      </c>
      <c r="Q601" t="n">
        <v>0</v>
      </c>
      <c r="R601" s="2" t="inlineStr"/>
    </row>
    <row r="602" ht="15" customHeight="1">
      <c r="A602" t="inlineStr">
        <is>
          <t>A 23916-2025</t>
        </is>
      </c>
      <c r="B602" s="1" t="n">
        <v>45795.34472222222</v>
      </c>
      <c r="C602" s="1" t="n">
        <v>45970</v>
      </c>
      <c r="D602" t="inlineStr">
        <is>
          <t>JÄMTLANDS LÄN</t>
        </is>
      </c>
      <c r="E602" t="inlineStr">
        <is>
          <t>BERG</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48307-2024</t>
        </is>
      </c>
      <c r="B603" s="1" t="n">
        <v>45590.47684027778</v>
      </c>
      <c r="C603" s="1" t="n">
        <v>45970</v>
      </c>
      <c r="D603" t="inlineStr">
        <is>
          <t>JÄMTLANDS LÄN</t>
        </is>
      </c>
      <c r="E603" t="inlineStr">
        <is>
          <t>BERG</t>
        </is>
      </c>
      <c r="G603" t="n">
        <v>3.8</v>
      </c>
      <c r="H603" t="n">
        <v>0</v>
      </c>
      <c r="I603" t="n">
        <v>0</v>
      </c>
      <c r="J603" t="n">
        <v>0</v>
      </c>
      <c r="K603" t="n">
        <v>0</v>
      </c>
      <c r="L603" t="n">
        <v>0</v>
      </c>
      <c r="M603" t="n">
        <v>0</v>
      </c>
      <c r="N603" t="n">
        <v>0</v>
      </c>
      <c r="O603" t="n">
        <v>0</v>
      </c>
      <c r="P603" t="n">
        <v>0</v>
      </c>
      <c r="Q603" t="n">
        <v>0</v>
      </c>
      <c r="R603" s="2" t="inlineStr"/>
    </row>
    <row r="604" ht="15" customHeight="1">
      <c r="A604" t="inlineStr">
        <is>
          <t>A 46874-2023</t>
        </is>
      </c>
      <c r="B604" s="1" t="n">
        <v>45200</v>
      </c>
      <c r="C604" s="1" t="n">
        <v>45970</v>
      </c>
      <c r="D604" t="inlineStr">
        <is>
          <t>JÄMTLANDS LÄN</t>
        </is>
      </c>
      <c r="E604" t="inlineStr">
        <is>
          <t>BERG</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23920-2025</t>
        </is>
      </c>
      <c r="B605" s="1" t="n">
        <v>45795.34505787037</v>
      </c>
      <c r="C605" s="1" t="n">
        <v>45970</v>
      </c>
      <c r="D605" t="inlineStr">
        <is>
          <t>JÄMTLANDS LÄN</t>
        </is>
      </c>
      <c r="E605" t="inlineStr">
        <is>
          <t>BERG</t>
        </is>
      </c>
      <c r="F605" t="inlineStr">
        <is>
          <t>SCA</t>
        </is>
      </c>
      <c r="G605" t="n">
        <v>8.5</v>
      </c>
      <c r="H605" t="n">
        <v>0</v>
      </c>
      <c r="I605" t="n">
        <v>0</v>
      </c>
      <c r="J605" t="n">
        <v>0</v>
      </c>
      <c r="K605" t="n">
        <v>0</v>
      </c>
      <c r="L605" t="n">
        <v>0</v>
      </c>
      <c r="M605" t="n">
        <v>0</v>
      </c>
      <c r="N605" t="n">
        <v>0</v>
      </c>
      <c r="O605" t="n">
        <v>0</v>
      </c>
      <c r="P605" t="n">
        <v>0</v>
      </c>
      <c r="Q605" t="n">
        <v>0</v>
      </c>
      <c r="R605" s="2" t="inlineStr"/>
    </row>
    <row r="606" ht="15" customHeight="1">
      <c r="A606" t="inlineStr">
        <is>
          <t>A 23901-2025</t>
        </is>
      </c>
      <c r="B606" s="1" t="n">
        <v>45794.34436342592</v>
      </c>
      <c r="C606" s="1" t="n">
        <v>45970</v>
      </c>
      <c r="D606" t="inlineStr">
        <is>
          <t>JÄMTLANDS LÄN</t>
        </is>
      </c>
      <c r="E606" t="inlineStr">
        <is>
          <t>BERG</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23919-2025</t>
        </is>
      </c>
      <c r="B607" s="1" t="n">
        <v>45795.34497685185</v>
      </c>
      <c r="C607" s="1" t="n">
        <v>45970</v>
      </c>
      <c r="D607" t="inlineStr">
        <is>
          <t>JÄMTLANDS LÄN</t>
        </is>
      </c>
      <c r="E607" t="inlineStr">
        <is>
          <t>BERG</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1495-2025</t>
        </is>
      </c>
      <c r="B608" s="1" t="n">
        <v>45670.40652777778</v>
      </c>
      <c r="C608" s="1" t="n">
        <v>45970</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24060-2025</t>
        </is>
      </c>
      <c r="B609" s="1" t="n">
        <v>45796.5216087963</v>
      </c>
      <c r="C609" s="1" t="n">
        <v>45970</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35986-2023</t>
        </is>
      </c>
      <c r="B610" s="1" t="n">
        <v>45148</v>
      </c>
      <c r="C610" s="1" t="n">
        <v>45970</v>
      </c>
      <c r="D610" t="inlineStr">
        <is>
          <t>JÄMTLANDS LÄN</t>
        </is>
      </c>
      <c r="E610" t="inlineStr">
        <is>
          <t>BERG</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50020-2025</t>
        </is>
      </c>
      <c r="B611" s="1" t="n">
        <v>45943.36899305556</v>
      </c>
      <c r="C611" s="1" t="n">
        <v>45970</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23766-2025</t>
        </is>
      </c>
      <c r="B612" s="1" t="n">
        <v>45793.46954861111</v>
      </c>
      <c r="C612" s="1" t="n">
        <v>45970</v>
      </c>
      <c r="D612" t="inlineStr">
        <is>
          <t>JÄMTLANDS LÄN</t>
        </is>
      </c>
      <c r="E612" t="inlineStr">
        <is>
          <t>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57661-2024</t>
        </is>
      </c>
      <c r="B613" s="1" t="n">
        <v>45630.6140162037</v>
      </c>
      <c r="C613" s="1" t="n">
        <v>45970</v>
      </c>
      <c r="D613" t="inlineStr">
        <is>
          <t>JÄMTLANDS LÄN</t>
        </is>
      </c>
      <c r="E613" t="inlineStr">
        <is>
          <t>BERG</t>
        </is>
      </c>
      <c r="G613" t="n">
        <v>0.8</v>
      </c>
      <c r="H613" t="n">
        <v>0</v>
      </c>
      <c r="I613" t="n">
        <v>0</v>
      </c>
      <c r="J613" t="n">
        <v>0</v>
      </c>
      <c r="K613" t="n">
        <v>0</v>
      </c>
      <c r="L613" t="n">
        <v>0</v>
      </c>
      <c r="M613" t="n">
        <v>0</v>
      </c>
      <c r="N613" t="n">
        <v>0</v>
      </c>
      <c r="O613" t="n">
        <v>0</v>
      </c>
      <c r="P613" t="n">
        <v>0</v>
      </c>
      <c r="Q613" t="n">
        <v>0</v>
      </c>
      <c r="R613" s="2" t="inlineStr"/>
    </row>
    <row r="614" ht="15" customHeight="1">
      <c r="A614" t="inlineStr">
        <is>
          <t>A 24360-2025</t>
        </is>
      </c>
      <c r="B614" s="1" t="n">
        <v>45797.59502314815</v>
      </c>
      <c r="C614" s="1" t="n">
        <v>45970</v>
      </c>
      <c r="D614" t="inlineStr">
        <is>
          <t>JÄMTLANDS LÄN</t>
        </is>
      </c>
      <c r="E614" t="inlineStr">
        <is>
          <t>BERG</t>
        </is>
      </c>
      <c r="F614" t="inlineStr">
        <is>
          <t>SCA</t>
        </is>
      </c>
      <c r="G614" t="n">
        <v>10.5</v>
      </c>
      <c r="H614" t="n">
        <v>0</v>
      </c>
      <c r="I614" t="n">
        <v>0</v>
      </c>
      <c r="J614" t="n">
        <v>0</v>
      </c>
      <c r="K614" t="n">
        <v>0</v>
      </c>
      <c r="L614" t="n">
        <v>0</v>
      </c>
      <c r="M614" t="n">
        <v>0</v>
      </c>
      <c r="N614" t="n">
        <v>0</v>
      </c>
      <c r="O614" t="n">
        <v>0</v>
      </c>
      <c r="P614" t="n">
        <v>0</v>
      </c>
      <c r="Q614" t="n">
        <v>0</v>
      </c>
      <c r="R614" s="2" t="inlineStr"/>
    </row>
    <row r="615" ht="15" customHeight="1">
      <c r="A615" t="inlineStr">
        <is>
          <t>A 58176-2024</t>
        </is>
      </c>
      <c r="B615" s="1" t="n">
        <v>45632.46771990741</v>
      </c>
      <c r="C615" s="1" t="n">
        <v>45970</v>
      </c>
      <c r="D615" t="inlineStr">
        <is>
          <t>JÄMTLANDS LÄN</t>
        </is>
      </c>
      <c r="E615" t="inlineStr">
        <is>
          <t>BERG</t>
        </is>
      </c>
      <c r="G615" t="n">
        <v>14.4</v>
      </c>
      <c r="H615" t="n">
        <v>0</v>
      </c>
      <c r="I615" t="n">
        <v>0</v>
      </c>
      <c r="J615" t="n">
        <v>0</v>
      </c>
      <c r="K615" t="n">
        <v>0</v>
      </c>
      <c r="L615" t="n">
        <v>0</v>
      </c>
      <c r="M615" t="n">
        <v>0</v>
      </c>
      <c r="N615" t="n">
        <v>0</v>
      </c>
      <c r="O615" t="n">
        <v>0</v>
      </c>
      <c r="P615" t="n">
        <v>0</v>
      </c>
      <c r="Q615" t="n">
        <v>0</v>
      </c>
      <c r="R615" s="2" t="inlineStr"/>
    </row>
    <row r="616" ht="15" customHeight="1">
      <c r="A616" t="inlineStr">
        <is>
          <t>A 24324-2025</t>
        </is>
      </c>
      <c r="B616" s="1" t="n">
        <v>45797.56049768518</v>
      </c>
      <c r="C616" s="1" t="n">
        <v>45970</v>
      </c>
      <c r="D616" t="inlineStr">
        <is>
          <t>JÄMTLANDS LÄN</t>
        </is>
      </c>
      <c r="E616" t="inlineStr">
        <is>
          <t>BERG</t>
        </is>
      </c>
      <c r="G616" t="n">
        <v>1.6</v>
      </c>
      <c r="H616" t="n">
        <v>0</v>
      </c>
      <c r="I616" t="n">
        <v>0</v>
      </c>
      <c r="J616" t="n">
        <v>0</v>
      </c>
      <c r="K616" t="n">
        <v>0</v>
      </c>
      <c r="L616" t="n">
        <v>0</v>
      </c>
      <c r="M616" t="n">
        <v>0</v>
      </c>
      <c r="N616" t="n">
        <v>0</v>
      </c>
      <c r="O616" t="n">
        <v>0</v>
      </c>
      <c r="P616" t="n">
        <v>0</v>
      </c>
      <c r="Q616" t="n">
        <v>0</v>
      </c>
      <c r="R616" s="2" t="inlineStr"/>
    </row>
    <row r="617" ht="15" customHeight="1">
      <c r="A617" t="inlineStr">
        <is>
          <t>A 24390-2025</t>
        </is>
      </c>
      <c r="B617" s="1" t="n">
        <v>45797.63576388889</v>
      </c>
      <c r="C617" s="1" t="n">
        <v>45970</v>
      </c>
      <c r="D617" t="inlineStr">
        <is>
          <t>JÄMTLANDS LÄN</t>
        </is>
      </c>
      <c r="E617" t="inlineStr">
        <is>
          <t>BERG</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50408-2025</t>
        </is>
      </c>
      <c r="B618" s="1" t="n">
        <v>45944.64006944445</v>
      </c>
      <c r="C618" s="1" t="n">
        <v>45970</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7021-2025</t>
        </is>
      </c>
      <c r="B619" s="1" t="n">
        <v>45701.61520833334</v>
      </c>
      <c r="C619" s="1" t="n">
        <v>45970</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45970</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50094-2025</t>
        </is>
      </c>
      <c r="B621" s="1" t="n">
        <v>45943.49340277778</v>
      </c>
      <c r="C621" s="1" t="n">
        <v>45970</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21508-2024</t>
        </is>
      </c>
      <c r="B622" s="1" t="n">
        <v>45441.56905092593</v>
      </c>
      <c r="C622" s="1" t="n">
        <v>45970</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49048-2024</t>
        </is>
      </c>
      <c r="B623" s="1" t="n">
        <v>45594.57427083333</v>
      </c>
      <c r="C623" s="1" t="n">
        <v>45970</v>
      </c>
      <c r="D623" t="inlineStr">
        <is>
          <t>JÄMTLANDS LÄN</t>
        </is>
      </c>
      <c r="E623" t="inlineStr">
        <is>
          <t>BERG</t>
        </is>
      </c>
      <c r="G623" t="n">
        <v>1.3</v>
      </c>
      <c r="H623" t="n">
        <v>0</v>
      </c>
      <c r="I623" t="n">
        <v>0</v>
      </c>
      <c r="J623" t="n">
        <v>0</v>
      </c>
      <c r="K623" t="n">
        <v>0</v>
      </c>
      <c r="L623" t="n">
        <v>0</v>
      </c>
      <c r="M623" t="n">
        <v>0</v>
      </c>
      <c r="N623" t="n">
        <v>0</v>
      </c>
      <c r="O623" t="n">
        <v>0</v>
      </c>
      <c r="P623" t="n">
        <v>0</v>
      </c>
      <c r="Q623" t="n">
        <v>0</v>
      </c>
      <c r="R623" s="2" t="inlineStr"/>
    </row>
    <row r="624" ht="15" customHeight="1">
      <c r="A624" t="inlineStr">
        <is>
          <t>A 29378-2024</t>
        </is>
      </c>
      <c r="B624" s="1" t="n">
        <v>45483.59328703704</v>
      </c>
      <c r="C624" s="1" t="n">
        <v>45970</v>
      </c>
      <c r="D624" t="inlineStr">
        <is>
          <t>JÄMTLANDS LÄN</t>
        </is>
      </c>
      <c r="E624" t="inlineStr">
        <is>
          <t>BERG</t>
        </is>
      </c>
      <c r="G624" t="n">
        <v>5.6</v>
      </c>
      <c r="H624" t="n">
        <v>0</v>
      </c>
      <c r="I624" t="n">
        <v>0</v>
      </c>
      <c r="J624" t="n">
        <v>0</v>
      </c>
      <c r="K624" t="n">
        <v>0</v>
      </c>
      <c r="L624" t="n">
        <v>0</v>
      </c>
      <c r="M624" t="n">
        <v>0</v>
      </c>
      <c r="N624" t="n">
        <v>0</v>
      </c>
      <c r="O624" t="n">
        <v>0</v>
      </c>
      <c r="P624" t="n">
        <v>0</v>
      </c>
      <c r="Q624" t="n">
        <v>0</v>
      </c>
      <c r="R624" s="2" t="inlineStr"/>
    </row>
    <row r="625" ht="15" customHeight="1">
      <c r="A625" t="inlineStr">
        <is>
          <t>A 24786-2025</t>
        </is>
      </c>
      <c r="B625" s="1" t="n">
        <v>45799.42777777778</v>
      </c>
      <c r="C625" s="1" t="n">
        <v>45970</v>
      </c>
      <c r="D625" t="inlineStr">
        <is>
          <t>JÄMTLANDS LÄN</t>
        </is>
      </c>
      <c r="E625" t="inlineStr">
        <is>
          <t>BERG</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50562-2025</t>
        </is>
      </c>
      <c r="B626" s="1" t="n">
        <v>45945.55256944444</v>
      </c>
      <c r="C626" s="1" t="n">
        <v>45970</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45970</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24869-2025</t>
        </is>
      </c>
      <c r="B628" s="1" t="n">
        <v>45799.48994212963</v>
      </c>
      <c r="C628" s="1" t="n">
        <v>45970</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60409-2023</t>
        </is>
      </c>
      <c r="B629" s="1" t="n">
        <v>45259.47972222222</v>
      </c>
      <c r="C629" s="1" t="n">
        <v>45970</v>
      </c>
      <c r="D629" t="inlineStr">
        <is>
          <t>JÄMTLANDS LÄN</t>
        </is>
      </c>
      <c r="E629" t="inlineStr">
        <is>
          <t>BERG</t>
        </is>
      </c>
      <c r="G629" t="n">
        <v>5.8</v>
      </c>
      <c r="H629" t="n">
        <v>0</v>
      </c>
      <c r="I629" t="n">
        <v>0</v>
      </c>
      <c r="J629" t="n">
        <v>0</v>
      </c>
      <c r="K629" t="n">
        <v>0</v>
      </c>
      <c r="L629" t="n">
        <v>0</v>
      </c>
      <c r="M629" t="n">
        <v>0</v>
      </c>
      <c r="N629" t="n">
        <v>0</v>
      </c>
      <c r="O629" t="n">
        <v>0</v>
      </c>
      <c r="P629" t="n">
        <v>0</v>
      </c>
      <c r="Q629" t="n">
        <v>0</v>
      </c>
      <c r="R629" s="2" t="inlineStr"/>
    </row>
    <row r="630" ht="15" customHeight="1">
      <c r="A630" t="inlineStr">
        <is>
          <t>A 37248-2023</t>
        </is>
      </c>
      <c r="B630" s="1" t="n">
        <v>45155.954375</v>
      </c>
      <c r="C630" s="1" t="n">
        <v>45970</v>
      </c>
      <c r="D630" t="inlineStr">
        <is>
          <t>JÄMTLANDS LÄN</t>
        </is>
      </c>
      <c r="E630" t="inlineStr">
        <is>
          <t>BERG</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24954-2025</t>
        </is>
      </c>
      <c r="B631" s="1" t="n">
        <v>45799.57385416667</v>
      </c>
      <c r="C631" s="1" t="n">
        <v>45970</v>
      </c>
      <c r="D631" t="inlineStr">
        <is>
          <t>JÄMTLANDS LÄN</t>
        </is>
      </c>
      <c r="E631" t="inlineStr">
        <is>
          <t>BERG</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64709-2021</t>
        </is>
      </c>
      <c r="B632" s="1" t="n">
        <v>44512</v>
      </c>
      <c r="C632" s="1" t="n">
        <v>45970</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50698-2025</t>
        </is>
      </c>
      <c r="B633" s="1" t="n">
        <v>45945.91894675926</v>
      </c>
      <c r="C633" s="1" t="n">
        <v>45970</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25938-2025</t>
        </is>
      </c>
      <c r="B634" s="1" t="n">
        <v>45804.59414351852</v>
      </c>
      <c r="C634" s="1" t="n">
        <v>45970</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25960-2025</t>
        </is>
      </c>
      <c r="B635" s="1" t="n">
        <v>45804.60972222222</v>
      </c>
      <c r="C635" s="1" t="n">
        <v>45970</v>
      </c>
      <c r="D635" t="inlineStr">
        <is>
          <t>JÄMTLANDS LÄN</t>
        </is>
      </c>
      <c r="E635" t="inlineStr">
        <is>
          <t>BERG</t>
        </is>
      </c>
      <c r="G635" t="n">
        <v>7.3</v>
      </c>
      <c r="H635" t="n">
        <v>0</v>
      </c>
      <c r="I635" t="n">
        <v>0</v>
      </c>
      <c r="J635" t="n">
        <v>0</v>
      </c>
      <c r="K635" t="n">
        <v>0</v>
      </c>
      <c r="L635" t="n">
        <v>0</v>
      </c>
      <c r="M635" t="n">
        <v>0</v>
      </c>
      <c r="N635" t="n">
        <v>0</v>
      </c>
      <c r="O635" t="n">
        <v>0</v>
      </c>
      <c r="P635" t="n">
        <v>0</v>
      </c>
      <c r="Q635" t="n">
        <v>0</v>
      </c>
      <c r="R635" s="2" t="inlineStr"/>
    </row>
    <row r="636" ht="15" customHeight="1">
      <c r="A636" t="inlineStr">
        <is>
          <t>A 25976-2025</t>
        </is>
      </c>
      <c r="B636" s="1" t="n">
        <v>45804.63596064815</v>
      </c>
      <c r="C636" s="1" t="n">
        <v>45970</v>
      </c>
      <c r="D636" t="inlineStr">
        <is>
          <t>JÄMTLANDS LÄN</t>
        </is>
      </c>
      <c r="E636" t="inlineStr">
        <is>
          <t>BERG</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25979-2025</t>
        </is>
      </c>
      <c r="B637" s="1" t="n">
        <v>45804.63642361111</v>
      </c>
      <c r="C637" s="1" t="n">
        <v>45970</v>
      </c>
      <c r="D637" t="inlineStr">
        <is>
          <t>JÄMTLANDS LÄN</t>
        </is>
      </c>
      <c r="E637" t="inlineStr">
        <is>
          <t>BERG</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2855-2025</t>
        </is>
      </c>
      <c r="B638" s="1" t="n">
        <v>45678</v>
      </c>
      <c r="C638" s="1" t="n">
        <v>45970</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25885-2025</t>
        </is>
      </c>
      <c r="B639" s="1" t="n">
        <v>45804.51075231482</v>
      </c>
      <c r="C639" s="1" t="n">
        <v>45970</v>
      </c>
      <c r="D639" t="inlineStr">
        <is>
          <t>JÄMTLANDS LÄN</t>
        </is>
      </c>
      <c r="E639" t="inlineStr">
        <is>
          <t>BERG</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25887-2025</t>
        </is>
      </c>
      <c r="B640" s="1" t="n">
        <v>45804.51104166666</v>
      </c>
      <c r="C640" s="1" t="n">
        <v>45970</v>
      </c>
      <c r="D640" t="inlineStr">
        <is>
          <t>JÄMTLANDS LÄN</t>
        </is>
      </c>
      <c r="E640" t="inlineStr">
        <is>
          <t>BERG</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50458-2025</t>
        </is>
      </c>
      <c r="B641" s="1" t="n">
        <v>45945</v>
      </c>
      <c r="C641" s="1" t="n">
        <v>45970</v>
      </c>
      <c r="D641" t="inlineStr">
        <is>
          <t>JÄMTLANDS LÄN</t>
        </is>
      </c>
      <c r="E641" t="inlineStr">
        <is>
          <t>BERG</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25886-2025</t>
        </is>
      </c>
      <c r="B642" s="1" t="n">
        <v>45804.51092592593</v>
      </c>
      <c r="C642" s="1" t="n">
        <v>45970</v>
      </c>
      <c r="D642" t="inlineStr">
        <is>
          <t>JÄMTLANDS LÄN</t>
        </is>
      </c>
      <c r="E642" t="inlineStr">
        <is>
          <t>BERG</t>
        </is>
      </c>
      <c r="F642" t="inlineStr">
        <is>
          <t>SCA</t>
        </is>
      </c>
      <c r="G642" t="n">
        <v>18.3</v>
      </c>
      <c r="H642" t="n">
        <v>0</v>
      </c>
      <c r="I642" t="n">
        <v>0</v>
      </c>
      <c r="J642" t="n">
        <v>0</v>
      </c>
      <c r="K642" t="n">
        <v>0</v>
      </c>
      <c r="L642" t="n">
        <v>0</v>
      </c>
      <c r="M642" t="n">
        <v>0</v>
      </c>
      <c r="N642" t="n">
        <v>0</v>
      </c>
      <c r="O642" t="n">
        <v>0</v>
      </c>
      <c r="P642" t="n">
        <v>0</v>
      </c>
      <c r="Q642" t="n">
        <v>0</v>
      </c>
      <c r="R642" s="2" t="inlineStr"/>
    </row>
    <row r="643" ht="15" customHeight="1">
      <c r="A643" t="inlineStr">
        <is>
          <t>A 25951-2025</t>
        </is>
      </c>
      <c r="B643" s="1" t="n">
        <v>45804.5984375</v>
      </c>
      <c r="C643" s="1" t="n">
        <v>45970</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41930-2025</t>
        </is>
      </c>
      <c r="B644" s="1" t="n">
        <v>45903.43454861111</v>
      </c>
      <c r="C644" s="1" t="n">
        <v>45970</v>
      </c>
      <c r="D644" t="inlineStr">
        <is>
          <t>JÄMTLANDS LÄN</t>
        </is>
      </c>
      <c r="E644" t="inlineStr">
        <is>
          <t>BERG</t>
        </is>
      </c>
      <c r="F644" t="inlineStr">
        <is>
          <t>Övriga statliga verk och myndigheter</t>
        </is>
      </c>
      <c r="G644" t="n">
        <v>2.4</v>
      </c>
      <c r="H644" t="n">
        <v>0</v>
      </c>
      <c r="I644" t="n">
        <v>0</v>
      </c>
      <c r="J644" t="n">
        <v>0</v>
      </c>
      <c r="K644" t="n">
        <v>0</v>
      </c>
      <c r="L644" t="n">
        <v>0</v>
      </c>
      <c r="M644" t="n">
        <v>0</v>
      </c>
      <c r="N644" t="n">
        <v>0</v>
      </c>
      <c r="O644" t="n">
        <v>0</v>
      </c>
      <c r="P644" t="n">
        <v>0</v>
      </c>
      <c r="Q644" t="n">
        <v>0</v>
      </c>
      <c r="R644" s="2" t="inlineStr"/>
    </row>
    <row r="645" ht="15" customHeight="1">
      <c r="A645" t="inlineStr">
        <is>
          <t>A 25980-2025</t>
        </is>
      </c>
      <c r="B645" s="1" t="n">
        <v>45804.63658564815</v>
      </c>
      <c r="C645" s="1" t="n">
        <v>45970</v>
      </c>
      <c r="D645" t="inlineStr">
        <is>
          <t>JÄMTLANDS LÄN</t>
        </is>
      </c>
      <c r="E645" t="inlineStr">
        <is>
          <t>BERG</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25441-2025</t>
        </is>
      </c>
      <c r="B646" s="1" t="n">
        <v>45801.34476851852</v>
      </c>
      <c r="C646" s="1" t="n">
        <v>45970</v>
      </c>
      <c r="D646" t="inlineStr">
        <is>
          <t>JÄMTLANDS LÄN</t>
        </is>
      </c>
      <c r="E646" t="inlineStr">
        <is>
          <t>BERG</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25454-2025</t>
        </is>
      </c>
      <c r="B647" s="1" t="n">
        <v>45802.34460648148</v>
      </c>
      <c r="C647" s="1" t="n">
        <v>45970</v>
      </c>
      <c r="D647" t="inlineStr">
        <is>
          <t>JÄMTLANDS LÄN</t>
        </is>
      </c>
      <c r="E647" t="inlineStr">
        <is>
          <t>BERG</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7482-2022</t>
        </is>
      </c>
      <c r="B648" s="1" t="n">
        <v>44606</v>
      </c>
      <c r="C648" s="1" t="n">
        <v>45970</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26013-2025</t>
        </is>
      </c>
      <c r="B649" s="1" t="n">
        <v>45804.67760416667</v>
      </c>
      <c r="C649" s="1" t="n">
        <v>45970</v>
      </c>
      <c r="D649" t="inlineStr">
        <is>
          <t>JÄMTLANDS LÄN</t>
        </is>
      </c>
      <c r="E649" t="inlineStr">
        <is>
          <t>BERG</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61085-2024</t>
        </is>
      </c>
      <c r="B650" s="1" t="n">
        <v>45645.53202546296</v>
      </c>
      <c r="C650" s="1" t="n">
        <v>45970</v>
      </c>
      <c r="D650" t="inlineStr">
        <is>
          <t>JÄMTLANDS LÄN</t>
        </is>
      </c>
      <c r="E650" t="inlineStr">
        <is>
          <t>BERG</t>
        </is>
      </c>
      <c r="F650" t="inlineStr">
        <is>
          <t>SCA</t>
        </is>
      </c>
      <c r="G650" t="n">
        <v>12.2</v>
      </c>
      <c r="H650" t="n">
        <v>0</v>
      </c>
      <c r="I650" t="n">
        <v>0</v>
      </c>
      <c r="J650" t="n">
        <v>0</v>
      </c>
      <c r="K650" t="n">
        <v>0</v>
      </c>
      <c r="L650" t="n">
        <v>0</v>
      </c>
      <c r="M650" t="n">
        <v>0</v>
      </c>
      <c r="N650" t="n">
        <v>0</v>
      </c>
      <c r="O650" t="n">
        <v>0</v>
      </c>
      <c r="P650" t="n">
        <v>0</v>
      </c>
      <c r="Q650" t="n">
        <v>0</v>
      </c>
      <c r="R650" s="2" t="inlineStr"/>
    </row>
    <row r="651" ht="15" customHeight="1">
      <c r="A651" t="inlineStr">
        <is>
          <t>A 25452-2025</t>
        </is>
      </c>
      <c r="B651" s="1" t="n">
        <v>45802.34440972222</v>
      </c>
      <c r="C651" s="1" t="n">
        <v>45970</v>
      </c>
      <c r="D651" t="inlineStr">
        <is>
          <t>JÄMTLANDS LÄN</t>
        </is>
      </c>
      <c r="E651" t="inlineStr">
        <is>
          <t>BERG</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25453-2025</t>
        </is>
      </c>
      <c r="B652" s="1" t="n">
        <v>45802.34451388889</v>
      </c>
      <c r="C652" s="1" t="n">
        <v>45970</v>
      </c>
      <c r="D652" t="inlineStr">
        <is>
          <t>JÄMTLANDS LÄN</t>
        </is>
      </c>
      <c r="E652" t="inlineStr">
        <is>
          <t>BERG</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3961-2025</t>
        </is>
      </c>
      <c r="B653" s="1" t="n">
        <v>45684.50217592593</v>
      </c>
      <c r="C653" s="1" t="n">
        <v>45970</v>
      </c>
      <c r="D653" t="inlineStr">
        <is>
          <t>JÄMTLANDS LÄN</t>
        </is>
      </c>
      <c r="E653" t="inlineStr">
        <is>
          <t>BERG</t>
        </is>
      </c>
      <c r="G653" t="n">
        <v>14.9</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45970</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3964-2025</t>
        </is>
      </c>
      <c r="B655" s="1" t="n">
        <v>45684.50761574074</v>
      </c>
      <c r="C655" s="1" t="n">
        <v>45970</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17266-2025</t>
        </is>
      </c>
      <c r="B656" s="1" t="n">
        <v>45756</v>
      </c>
      <c r="C656" s="1" t="n">
        <v>45970</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42003-2025</t>
        </is>
      </c>
      <c r="B657" s="1" t="n">
        <v>45903.55403935185</v>
      </c>
      <c r="C657" s="1" t="n">
        <v>45970</v>
      </c>
      <c r="D657" t="inlineStr">
        <is>
          <t>JÄMTLANDS LÄN</t>
        </is>
      </c>
      <c r="E657" t="inlineStr">
        <is>
          <t>BERG</t>
        </is>
      </c>
      <c r="F657" t="inlineStr">
        <is>
          <t>Övriga statliga verk och myndigheter</t>
        </is>
      </c>
      <c r="G657" t="n">
        <v>10.5</v>
      </c>
      <c r="H657" t="n">
        <v>0</v>
      </c>
      <c r="I657" t="n">
        <v>0</v>
      </c>
      <c r="J657" t="n">
        <v>0</v>
      </c>
      <c r="K657" t="n">
        <v>0</v>
      </c>
      <c r="L657" t="n">
        <v>0</v>
      </c>
      <c r="M657" t="n">
        <v>0</v>
      </c>
      <c r="N657" t="n">
        <v>0</v>
      </c>
      <c r="O657" t="n">
        <v>0</v>
      </c>
      <c r="P657" t="n">
        <v>0</v>
      </c>
      <c r="Q657" t="n">
        <v>0</v>
      </c>
      <c r="R657" s="2" t="inlineStr"/>
    </row>
    <row r="658" ht="15" customHeight="1">
      <c r="A658" t="inlineStr">
        <is>
          <t>A 26378-2025</t>
        </is>
      </c>
      <c r="B658" s="1" t="n">
        <v>45806.48989583334</v>
      </c>
      <c r="C658" s="1" t="n">
        <v>45970</v>
      </c>
      <c r="D658" t="inlineStr">
        <is>
          <t>JÄMTLANDS LÄN</t>
        </is>
      </c>
      <c r="E658" t="inlineStr">
        <is>
          <t>BERG</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26275-2025</t>
        </is>
      </c>
      <c r="B659" s="1" t="n">
        <v>45805.60230324074</v>
      </c>
      <c r="C659" s="1" t="n">
        <v>45970</v>
      </c>
      <c r="D659" t="inlineStr">
        <is>
          <t>JÄMTLANDS LÄN</t>
        </is>
      </c>
      <c r="E659" t="inlineStr">
        <is>
          <t>BERG</t>
        </is>
      </c>
      <c r="G659" t="n">
        <v>10.2</v>
      </c>
      <c r="H659" t="n">
        <v>0</v>
      </c>
      <c r="I659" t="n">
        <v>0</v>
      </c>
      <c r="J659" t="n">
        <v>0</v>
      </c>
      <c r="K659" t="n">
        <v>0</v>
      </c>
      <c r="L659" t="n">
        <v>0</v>
      </c>
      <c r="M659" t="n">
        <v>0</v>
      </c>
      <c r="N659" t="n">
        <v>0</v>
      </c>
      <c r="O659" t="n">
        <v>0</v>
      </c>
      <c r="P659" t="n">
        <v>0</v>
      </c>
      <c r="Q659" t="n">
        <v>0</v>
      </c>
      <c r="R659" s="2" t="inlineStr"/>
    </row>
    <row r="660" ht="15" customHeight="1">
      <c r="A660" t="inlineStr">
        <is>
          <t>A 26053-2025</t>
        </is>
      </c>
      <c r="B660" s="1" t="n">
        <v>45804.75445601852</v>
      </c>
      <c r="C660" s="1" t="n">
        <v>45970</v>
      </c>
      <c r="D660" t="inlineStr">
        <is>
          <t>JÄMTLANDS LÄN</t>
        </is>
      </c>
      <c r="E660" t="inlineStr">
        <is>
          <t>BERG</t>
        </is>
      </c>
      <c r="G660" t="n">
        <v>6</v>
      </c>
      <c r="H660" t="n">
        <v>0</v>
      </c>
      <c r="I660" t="n">
        <v>0</v>
      </c>
      <c r="J660" t="n">
        <v>0</v>
      </c>
      <c r="K660" t="n">
        <v>0</v>
      </c>
      <c r="L660" t="n">
        <v>0</v>
      </c>
      <c r="M660" t="n">
        <v>0</v>
      </c>
      <c r="N660" t="n">
        <v>0</v>
      </c>
      <c r="O660" t="n">
        <v>0</v>
      </c>
      <c r="P660" t="n">
        <v>0</v>
      </c>
      <c r="Q660" t="n">
        <v>0</v>
      </c>
      <c r="R660" s="2" t="inlineStr"/>
    </row>
    <row r="661" ht="15" customHeight="1">
      <c r="A661" t="inlineStr">
        <is>
          <t>A 50531-2025</t>
        </is>
      </c>
      <c r="B661" s="1" t="n">
        <v>45945.47693287037</v>
      </c>
      <c r="C661" s="1" t="n">
        <v>45970</v>
      </c>
      <c r="D661" t="inlineStr">
        <is>
          <t>JÄMTLANDS LÄN</t>
        </is>
      </c>
      <c r="E661" t="inlineStr">
        <is>
          <t>BERG</t>
        </is>
      </c>
      <c r="G661" t="n">
        <v>13.9</v>
      </c>
      <c r="H661" t="n">
        <v>0</v>
      </c>
      <c r="I661" t="n">
        <v>0</v>
      </c>
      <c r="J661" t="n">
        <v>0</v>
      </c>
      <c r="K661" t="n">
        <v>0</v>
      </c>
      <c r="L661" t="n">
        <v>0</v>
      </c>
      <c r="M661" t="n">
        <v>0</v>
      </c>
      <c r="N661" t="n">
        <v>0</v>
      </c>
      <c r="O661" t="n">
        <v>0</v>
      </c>
      <c r="P661" t="n">
        <v>0</v>
      </c>
      <c r="Q661" t="n">
        <v>0</v>
      </c>
      <c r="R661" s="2" t="inlineStr"/>
    </row>
    <row r="662" ht="15" customHeight="1">
      <c r="A662" t="inlineStr">
        <is>
          <t>A 50547-2025</t>
        </is>
      </c>
      <c r="B662" s="1" t="n">
        <v>45945.51104166666</v>
      </c>
      <c r="C662" s="1" t="n">
        <v>45970</v>
      </c>
      <c r="D662" t="inlineStr">
        <is>
          <t>JÄMTLANDS LÄN</t>
        </is>
      </c>
      <c r="E662" t="inlineStr">
        <is>
          <t>BERG</t>
        </is>
      </c>
      <c r="F662" t="inlineStr">
        <is>
          <t>SCA</t>
        </is>
      </c>
      <c r="G662" t="n">
        <v>12.6</v>
      </c>
      <c r="H662" t="n">
        <v>0</v>
      </c>
      <c r="I662" t="n">
        <v>0</v>
      </c>
      <c r="J662" t="n">
        <v>0</v>
      </c>
      <c r="K662" t="n">
        <v>0</v>
      </c>
      <c r="L662" t="n">
        <v>0</v>
      </c>
      <c r="M662" t="n">
        <v>0</v>
      </c>
      <c r="N662" t="n">
        <v>0</v>
      </c>
      <c r="O662" t="n">
        <v>0</v>
      </c>
      <c r="P662" t="n">
        <v>0</v>
      </c>
      <c r="Q662" t="n">
        <v>0</v>
      </c>
      <c r="R662" s="2" t="inlineStr"/>
    </row>
    <row r="663" ht="15" customHeight="1">
      <c r="A663" t="inlineStr">
        <is>
          <t>A 26374-2025</t>
        </is>
      </c>
      <c r="B663" s="1" t="n">
        <v>45806.42745370371</v>
      </c>
      <c r="C663" s="1" t="n">
        <v>45970</v>
      </c>
      <c r="D663" t="inlineStr">
        <is>
          <t>JÄMTLANDS LÄN</t>
        </is>
      </c>
      <c r="E663" t="inlineStr">
        <is>
          <t>BERG</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26186-2025</t>
        </is>
      </c>
      <c r="B664" s="1" t="n">
        <v>45805.47840277778</v>
      </c>
      <c r="C664" s="1" t="n">
        <v>45970</v>
      </c>
      <c r="D664" t="inlineStr">
        <is>
          <t>JÄMTLANDS LÄN</t>
        </is>
      </c>
      <c r="E664" t="inlineStr">
        <is>
          <t>BERG</t>
        </is>
      </c>
      <c r="G664" t="n">
        <v>5.3</v>
      </c>
      <c r="H664" t="n">
        <v>0</v>
      </c>
      <c r="I664" t="n">
        <v>0</v>
      </c>
      <c r="J664" t="n">
        <v>0</v>
      </c>
      <c r="K664" t="n">
        <v>0</v>
      </c>
      <c r="L664" t="n">
        <v>0</v>
      </c>
      <c r="M664" t="n">
        <v>0</v>
      </c>
      <c r="N664" t="n">
        <v>0</v>
      </c>
      <c r="O664" t="n">
        <v>0</v>
      </c>
      <c r="P664" t="n">
        <v>0</v>
      </c>
      <c r="Q664" t="n">
        <v>0</v>
      </c>
      <c r="R664" s="2" t="inlineStr"/>
    </row>
    <row r="665" ht="15" customHeight="1">
      <c r="A665" t="inlineStr">
        <is>
          <t>A 41997-2025</t>
        </is>
      </c>
      <c r="B665" s="1" t="n">
        <v>45903.55162037037</v>
      </c>
      <c r="C665" s="1" t="n">
        <v>45970</v>
      </c>
      <c r="D665" t="inlineStr">
        <is>
          <t>JÄMTLANDS LÄN</t>
        </is>
      </c>
      <c r="E665" t="inlineStr">
        <is>
          <t>BERG</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51301-2025</t>
        </is>
      </c>
      <c r="B666" s="1" t="n">
        <v>45950.36480324074</v>
      </c>
      <c r="C666" s="1" t="n">
        <v>45970</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33962-2024</t>
        </is>
      </c>
      <c r="B667" s="1" t="n">
        <v>45523.48854166667</v>
      </c>
      <c r="C667" s="1" t="n">
        <v>45970</v>
      </c>
      <c r="D667" t="inlineStr">
        <is>
          <t>JÄMTLANDS LÄN</t>
        </is>
      </c>
      <c r="E667" t="inlineStr">
        <is>
          <t>BERG</t>
        </is>
      </c>
      <c r="G667" t="n">
        <v>2.2</v>
      </c>
      <c r="H667" t="n">
        <v>0</v>
      </c>
      <c r="I667" t="n">
        <v>0</v>
      </c>
      <c r="J667" t="n">
        <v>0</v>
      </c>
      <c r="K667" t="n">
        <v>0</v>
      </c>
      <c r="L667" t="n">
        <v>0</v>
      </c>
      <c r="M667" t="n">
        <v>0</v>
      </c>
      <c r="N667" t="n">
        <v>0</v>
      </c>
      <c r="O667" t="n">
        <v>0</v>
      </c>
      <c r="P667" t="n">
        <v>0</v>
      </c>
      <c r="Q667" t="n">
        <v>0</v>
      </c>
      <c r="R667" s="2" t="inlineStr"/>
    </row>
    <row r="668" ht="15" customHeight="1">
      <c r="A668" t="inlineStr">
        <is>
          <t>A 13149-2025</t>
        </is>
      </c>
      <c r="B668" s="1" t="n">
        <v>45735.34424768519</v>
      </c>
      <c r="C668" s="1" t="n">
        <v>45970</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51083-2025</t>
        </is>
      </c>
      <c r="B669" s="1" t="n">
        <v>45947.4678587963</v>
      </c>
      <c r="C669" s="1" t="n">
        <v>45970</v>
      </c>
      <c r="D669" t="inlineStr">
        <is>
          <t>JÄMTLANDS LÄN</t>
        </is>
      </c>
      <c r="E669" t="inlineStr">
        <is>
          <t>BERG</t>
        </is>
      </c>
      <c r="F669" t="inlineStr">
        <is>
          <t>Övriga Aktiebolag</t>
        </is>
      </c>
      <c r="G669" t="n">
        <v>10.4</v>
      </c>
      <c r="H669" t="n">
        <v>0</v>
      </c>
      <c r="I669" t="n">
        <v>0</v>
      </c>
      <c r="J669" t="n">
        <v>0</v>
      </c>
      <c r="K669" t="n">
        <v>0</v>
      </c>
      <c r="L669" t="n">
        <v>0</v>
      </c>
      <c r="M669" t="n">
        <v>0</v>
      </c>
      <c r="N669" t="n">
        <v>0</v>
      </c>
      <c r="O669" t="n">
        <v>0</v>
      </c>
      <c r="P669" t="n">
        <v>0</v>
      </c>
      <c r="Q669" t="n">
        <v>0</v>
      </c>
      <c r="R669" s="2" t="inlineStr"/>
    </row>
    <row r="670" ht="15" customHeight="1">
      <c r="A670" t="inlineStr">
        <is>
          <t>A 42415-2025</t>
        </is>
      </c>
      <c r="B670" s="1" t="n">
        <v>45905.39195601852</v>
      </c>
      <c r="C670" s="1" t="n">
        <v>45970</v>
      </c>
      <c r="D670" t="inlineStr">
        <is>
          <t>JÄMTLANDS LÄN</t>
        </is>
      </c>
      <c r="E670" t="inlineStr">
        <is>
          <t>BERG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53085-2024</t>
        </is>
      </c>
      <c r="B671" s="1" t="n">
        <v>45611.51072916666</v>
      </c>
      <c r="C671" s="1" t="n">
        <v>45970</v>
      </c>
      <c r="D671" t="inlineStr">
        <is>
          <t>JÄMTLANDS LÄN</t>
        </is>
      </c>
      <c r="E671" t="inlineStr">
        <is>
          <t>BERG</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31024-2025</t>
        </is>
      </c>
      <c r="B672" s="1" t="n">
        <v>45832.52571759259</v>
      </c>
      <c r="C672" s="1" t="n">
        <v>45970</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51080-2025</t>
        </is>
      </c>
      <c r="B673" s="1" t="n">
        <v>45947.46655092593</v>
      </c>
      <c r="C673" s="1" t="n">
        <v>45970</v>
      </c>
      <c r="D673" t="inlineStr">
        <is>
          <t>JÄMTLANDS LÄN</t>
        </is>
      </c>
      <c r="E673" t="inlineStr">
        <is>
          <t>BERG</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51495-2025</t>
        </is>
      </c>
      <c r="B674" s="1" t="n">
        <v>45950.6366550926</v>
      </c>
      <c r="C674" s="1" t="n">
        <v>45970</v>
      </c>
      <c r="D674" t="inlineStr">
        <is>
          <t>JÄMTLANDS LÄN</t>
        </is>
      </c>
      <c r="E674" t="inlineStr">
        <is>
          <t>BERG</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51079-2025</t>
        </is>
      </c>
      <c r="B675" s="1" t="n">
        <v>45947.465</v>
      </c>
      <c r="C675" s="1" t="n">
        <v>45970</v>
      </c>
      <c r="D675" t="inlineStr">
        <is>
          <t>JÄMTLANDS LÄN</t>
        </is>
      </c>
      <c r="E675" t="inlineStr">
        <is>
          <t>BERG</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51203-2025</t>
        </is>
      </c>
      <c r="B676" s="1" t="n">
        <v>45947.63592592593</v>
      </c>
      <c r="C676" s="1" t="n">
        <v>45970</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26743-2025</t>
        </is>
      </c>
      <c r="B677" s="1" t="n">
        <v>45810.53163194445</v>
      </c>
      <c r="C677" s="1" t="n">
        <v>45970</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42378-2025</t>
        </is>
      </c>
      <c r="B678" s="1" t="n">
        <v>45905.34423611111</v>
      </c>
      <c r="C678" s="1" t="n">
        <v>45970</v>
      </c>
      <c r="D678" t="inlineStr">
        <is>
          <t>JÄMTLANDS LÄN</t>
        </is>
      </c>
      <c r="E678" t="inlineStr">
        <is>
          <t>BERG</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42439-2025</t>
        </is>
      </c>
      <c r="B679" s="1" t="n">
        <v>45905.42969907408</v>
      </c>
      <c r="C679" s="1" t="n">
        <v>45970</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42862-2025</t>
        </is>
      </c>
      <c r="B680" s="1" t="n">
        <v>45908.61515046296</v>
      </c>
      <c r="C680" s="1" t="n">
        <v>45970</v>
      </c>
      <c r="D680" t="inlineStr">
        <is>
          <t>JÄMTLANDS LÄN</t>
        </is>
      </c>
      <c r="E680" t="inlineStr">
        <is>
          <t>BERG</t>
        </is>
      </c>
      <c r="G680" t="n">
        <v>1.8</v>
      </c>
      <c r="H680" t="n">
        <v>0</v>
      </c>
      <c r="I680" t="n">
        <v>0</v>
      </c>
      <c r="J680" t="n">
        <v>0</v>
      </c>
      <c r="K680" t="n">
        <v>0</v>
      </c>
      <c r="L680" t="n">
        <v>0</v>
      </c>
      <c r="M680" t="n">
        <v>0</v>
      </c>
      <c r="N680" t="n">
        <v>0</v>
      </c>
      <c r="O680" t="n">
        <v>0</v>
      </c>
      <c r="P680" t="n">
        <v>0</v>
      </c>
      <c r="Q680" t="n">
        <v>0</v>
      </c>
      <c r="R680" s="2" t="inlineStr"/>
    </row>
    <row r="681" ht="15" customHeight="1">
      <c r="A681" t="inlineStr">
        <is>
          <t>A 27312-2025</t>
        </is>
      </c>
      <c r="B681" s="1" t="n">
        <v>45812.58002314815</v>
      </c>
      <c r="C681" s="1" t="n">
        <v>45970</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51883-2025</t>
        </is>
      </c>
      <c r="B682" s="1" t="n">
        <v>45952.40701388889</v>
      </c>
      <c r="C682" s="1" t="n">
        <v>45970</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52062-2025</t>
        </is>
      </c>
      <c r="B683" s="1" t="n">
        <v>45952.63679398148</v>
      </c>
      <c r="C683" s="1" t="n">
        <v>45970</v>
      </c>
      <c r="D683" t="inlineStr">
        <is>
          <t>JÄMTLANDS LÄN</t>
        </is>
      </c>
      <c r="E683" t="inlineStr">
        <is>
          <t>BERG</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45970</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27317-2025</t>
        </is>
      </c>
      <c r="B685" s="1" t="n">
        <v>45812.59011574074</v>
      </c>
      <c r="C685" s="1" t="n">
        <v>45970</v>
      </c>
      <c r="D685" t="inlineStr">
        <is>
          <t>JÄMTLANDS LÄN</t>
        </is>
      </c>
      <c r="E685" t="inlineStr">
        <is>
          <t>BERG</t>
        </is>
      </c>
      <c r="G685" t="n">
        <v>6.2</v>
      </c>
      <c r="H685" t="n">
        <v>0</v>
      </c>
      <c r="I685" t="n">
        <v>0</v>
      </c>
      <c r="J685" t="n">
        <v>0</v>
      </c>
      <c r="K685" t="n">
        <v>0</v>
      </c>
      <c r="L685" t="n">
        <v>0</v>
      </c>
      <c r="M685" t="n">
        <v>0</v>
      </c>
      <c r="N685" t="n">
        <v>0</v>
      </c>
      <c r="O685" t="n">
        <v>0</v>
      </c>
      <c r="P685" t="n">
        <v>0</v>
      </c>
      <c r="Q685" t="n">
        <v>0</v>
      </c>
      <c r="R685" s="2" t="inlineStr"/>
    </row>
    <row r="686" ht="15" customHeight="1">
      <c r="A686" t="inlineStr">
        <is>
          <t>A 52128-2025</t>
        </is>
      </c>
      <c r="B686" s="1" t="n">
        <v>45952.72754629629</v>
      </c>
      <c r="C686" s="1" t="n">
        <v>45970</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2247-2025</t>
        </is>
      </c>
      <c r="B687" s="1" t="n">
        <v>45673.49039351852</v>
      </c>
      <c r="C687" s="1" t="n">
        <v>45970</v>
      </c>
      <c r="D687" t="inlineStr">
        <is>
          <t>JÄMTLANDS LÄN</t>
        </is>
      </c>
      <c r="E687" t="inlineStr">
        <is>
          <t>BERG</t>
        </is>
      </c>
      <c r="F687" t="inlineStr">
        <is>
          <t>SCA</t>
        </is>
      </c>
      <c r="G687" t="n">
        <v>13.3</v>
      </c>
      <c r="H687" t="n">
        <v>0</v>
      </c>
      <c r="I687" t="n">
        <v>0</v>
      </c>
      <c r="J687" t="n">
        <v>0</v>
      </c>
      <c r="K687" t="n">
        <v>0</v>
      </c>
      <c r="L687" t="n">
        <v>0</v>
      </c>
      <c r="M687" t="n">
        <v>0</v>
      </c>
      <c r="N687" t="n">
        <v>0</v>
      </c>
      <c r="O687" t="n">
        <v>0</v>
      </c>
      <c r="P687" t="n">
        <v>0</v>
      </c>
      <c r="Q687" t="n">
        <v>0</v>
      </c>
      <c r="R687" s="2" t="inlineStr"/>
    </row>
    <row r="688" ht="15" customHeight="1">
      <c r="A688" t="inlineStr">
        <is>
          <t>A 27063-2025</t>
        </is>
      </c>
      <c r="B688" s="1" t="n">
        <v>45811.63626157407</v>
      </c>
      <c r="C688" s="1" t="n">
        <v>45970</v>
      </c>
      <c r="D688" t="inlineStr">
        <is>
          <t>JÄMTLANDS LÄN</t>
        </is>
      </c>
      <c r="E688" t="inlineStr">
        <is>
          <t>BERG</t>
        </is>
      </c>
      <c r="F688" t="inlineStr">
        <is>
          <t>SCA</t>
        </is>
      </c>
      <c r="G688" t="n">
        <v>18.9</v>
      </c>
      <c r="H688" t="n">
        <v>0</v>
      </c>
      <c r="I688" t="n">
        <v>0</v>
      </c>
      <c r="J688" t="n">
        <v>0</v>
      </c>
      <c r="K688" t="n">
        <v>0</v>
      </c>
      <c r="L688" t="n">
        <v>0</v>
      </c>
      <c r="M688" t="n">
        <v>0</v>
      </c>
      <c r="N688" t="n">
        <v>0</v>
      </c>
      <c r="O688" t="n">
        <v>0</v>
      </c>
      <c r="P688" t="n">
        <v>0</v>
      </c>
      <c r="Q688" t="n">
        <v>0</v>
      </c>
      <c r="R688" s="2" t="inlineStr"/>
    </row>
    <row r="689" ht="15" customHeight="1">
      <c r="A689" t="inlineStr">
        <is>
          <t>A 14930-2025</t>
        </is>
      </c>
      <c r="B689" s="1" t="n">
        <v>45743</v>
      </c>
      <c r="C689" s="1" t="n">
        <v>45970</v>
      </c>
      <c r="D689" t="inlineStr">
        <is>
          <t>JÄMTLANDS LÄN</t>
        </is>
      </c>
      <c r="E689" t="inlineStr">
        <is>
          <t>BERG</t>
        </is>
      </c>
      <c r="F689" t="inlineStr">
        <is>
          <t>SCA</t>
        </is>
      </c>
      <c r="G689" t="n">
        <v>27.8</v>
      </c>
      <c r="H689" t="n">
        <v>0</v>
      </c>
      <c r="I689" t="n">
        <v>0</v>
      </c>
      <c r="J689" t="n">
        <v>0</v>
      </c>
      <c r="K689" t="n">
        <v>0</v>
      </c>
      <c r="L689" t="n">
        <v>0</v>
      </c>
      <c r="M689" t="n">
        <v>0</v>
      </c>
      <c r="N689" t="n">
        <v>0</v>
      </c>
      <c r="O689" t="n">
        <v>0</v>
      </c>
      <c r="P689" t="n">
        <v>0</v>
      </c>
      <c r="Q689" t="n">
        <v>0</v>
      </c>
      <c r="R689" s="2" t="inlineStr"/>
    </row>
    <row r="690" ht="15" customHeight="1">
      <c r="A690" t="inlineStr">
        <is>
          <t>A 27044-2025</t>
        </is>
      </c>
      <c r="B690" s="1" t="n">
        <v>45811.61496527777</v>
      </c>
      <c r="C690" s="1" t="n">
        <v>45970</v>
      </c>
      <c r="D690" t="inlineStr">
        <is>
          <t>JÄMTLANDS LÄN</t>
        </is>
      </c>
      <c r="E690" t="inlineStr">
        <is>
          <t>BERG</t>
        </is>
      </c>
      <c r="F690" t="inlineStr">
        <is>
          <t>SCA</t>
        </is>
      </c>
      <c r="G690" t="n">
        <v>26.1</v>
      </c>
      <c r="H690" t="n">
        <v>0</v>
      </c>
      <c r="I690" t="n">
        <v>0</v>
      </c>
      <c r="J690" t="n">
        <v>0</v>
      </c>
      <c r="K690" t="n">
        <v>0</v>
      </c>
      <c r="L690" t="n">
        <v>0</v>
      </c>
      <c r="M690" t="n">
        <v>0</v>
      </c>
      <c r="N690" t="n">
        <v>0</v>
      </c>
      <c r="O690" t="n">
        <v>0</v>
      </c>
      <c r="P690" t="n">
        <v>0</v>
      </c>
      <c r="Q690" t="n">
        <v>0</v>
      </c>
      <c r="R690" s="2" t="inlineStr"/>
    </row>
    <row r="691" ht="15" customHeight="1">
      <c r="A691" t="inlineStr">
        <is>
          <t>A 27575-2025</t>
        </is>
      </c>
      <c r="B691" s="1" t="n">
        <v>45813.49083333334</v>
      </c>
      <c r="C691" s="1" t="n">
        <v>45970</v>
      </c>
      <c r="D691" t="inlineStr">
        <is>
          <t>JÄMTLANDS LÄN</t>
        </is>
      </c>
      <c r="E691" t="inlineStr">
        <is>
          <t>BERG</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27603-2025</t>
        </is>
      </c>
      <c r="B692" s="1" t="n">
        <v>45813.53174768519</v>
      </c>
      <c r="C692" s="1" t="n">
        <v>45970</v>
      </c>
      <c r="D692" t="inlineStr">
        <is>
          <t>JÄMTLANDS LÄN</t>
        </is>
      </c>
      <c r="E692" t="inlineStr">
        <is>
          <t>BERG</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27569-2025</t>
        </is>
      </c>
      <c r="B693" s="1" t="n">
        <v>45813.49018518518</v>
      </c>
      <c r="C693" s="1" t="n">
        <v>45970</v>
      </c>
      <c r="D693" t="inlineStr">
        <is>
          <t>JÄMTLANDS LÄN</t>
        </is>
      </c>
      <c r="E693" t="inlineStr">
        <is>
          <t>BERG</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43015-2025</t>
        </is>
      </c>
      <c r="B694" s="1" t="n">
        <v>45909.49278935185</v>
      </c>
      <c r="C694" s="1" t="n">
        <v>45970</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27459-2025</t>
        </is>
      </c>
      <c r="B695" s="1" t="n">
        <v>45813.34561342592</v>
      </c>
      <c r="C695" s="1" t="n">
        <v>45970</v>
      </c>
      <c r="D695" t="inlineStr">
        <is>
          <t>JÄMTLANDS LÄN</t>
        </is>
      </c>
      <c r="E695" t="inlineStr">
        <is>
          <t>BERG</t>
        </is>
      </c>
      <c r="F695" t="inlineStr">
        <is>
          <t>SCA</t>
        </is>
      </c>
      <c r="G695" t="n">
        <v>19.2</v>
      </c>
      <c r="H695" t="n">
        <v>0</v>
      </c>
      <c r="I695" t="n">
        <v>0</v>
      </c>
      <c r="J695" t="n">
        <v>0</v>
      </c>
      <c r="K695" t="n">
        <v>0</v>
      </c>
      <c r="L695" t="n">
        <v>0</v>
      </c>
      <c r="M695" t="n">
        <v>0</v>
      </c>
      <c r="N695" t="n">
        <v>0</v>
      </c>
      <c r="O695" t="n">
        <v>0</v>
      </c>
      <c r="P695" t="n">
        <v>0</v>
      </c>
      <c r="Q695" t="n">
        <v>0</v>
      </c>
      <c r="R695" s="2" t="inlineStr"/>
    </row>
    <row r="696" ht="15" customHeight="1">
      <c r="A696" t="inlineStr">
        <is>
          <t>A 43458-2025</t>
        </is>
      </c>
      <c r="B696" s="1" t="n">
        <v>45911.46315972223</v>
      </c>
      <c r="C696" s="1" t="n">
        <v>45970</v>
      </c>
      <c r="D696" t="inlineStr">
        <is>
          <t>JÄMTLANDS LÄN</t>
        </is>
      </c>
      <c r="E696" t="inlineStr">
        <is>
          <t>BERG</t>
        </is>
      </c>
      <c r="G696" t="n">
        <v>11.2</v>
      </c>
      <c r="H696" t="n">
        <v>0</v>
      </c>
      <c r="I696" t="n">
        <v>0</v>
      </c>
      <c r="J696" t="n">
        <v>0</v>
      </c>
      <c r="K696" t="n">
        <v>0</v>
      </c>
      <c r="L696" t="n">
        <v>0</v>
      </c>
      <c r="M696" t="n">
        <v>0</v>
      </c>
      <c r="N696" t="n">
        <v>0</v>
      </c>
      <c r="O696" t="n">
        <v>0</v>
      </c>
      <c r="P696" t="n">
        <v>0</v>
      </c>
      <c r="Q696" t="n">
        <v>0</v>
      </c>
      <c r="R696" s="2" t="inlineStr"/>
    </row>
    <row r="697" ht="15" customHeight="1">
      <c r="A697" t="inlineStr">
        <is>
          <t>A 1646-2021</t>
        </is>
      </c>
      <c r="B697" s="1" t="n">
        <v>44209</v>
      </c>
      <c r="C697" s="1" t="n">
        <v>45970</v>
      </c>
      <c r="D697" t="inlineStr">
        <is>
          <t>JÄMTLANDS LÄN</t>
        </is>
      </c>
      <c r="E697" t="inlineStr">
        <is>
          <t>BERG</t>
        </is>
      </c>
      <c r="G697" t="n">
        <v>0.1</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45970</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52341-2025</t>
        </is>
      </c>
      <c r="B699" s="1" t="n">
        <v>45953.71564814815</v>
      </c>
      <c r="C699" s="1" t="n">
        <v>45970</v>
      </c>
      <c r="D699" t="inlineStr">
        <is>
          <t>JÄMTLANDS LÄN</t>
        </is>
      </c>
      <c r="E699" t="inlineStr">
        <is>
          <t>BERG</t>
        </is>
      </c>
      <c r="G699" t="n">
        <v>12.2</v>
      </c>
      <c r="H699" t="n">
        <v>0</v>
      </c>
      <c r="I699" t="n">
        <v>0</v>
      </c>
      <c r="J699" t="n">
        <v>0</v>
      </c>
      <c r="K699" t="n">
        <v>0</v>
      </c>
      <c r="L699" t="n">
        <v>0</v>
      </c>
      <c r="M699" t="n">
        <v>0</v>
      </c>
      <c r="N699" t="n">
        <v>0</v>
      </c>
      <c r="O699" t="n">
        <v>0</v>
      </c>
      <c r="P699" t="n">
        <v>0</v>
      </c>
      <c r="Q699" t="n">
        <v>0</v>
      </c>
      <c r="R699" s="2" t="inlineStr"/>
    </row>
    <row r="700" ht="15" customHeight="1">
      <c r="A700" t="inlineStr">
        <is>
          <t>A 52348-2025</t>
        </is>
      </c>
      <c r="B700" s="1" t="n">
        <v>45953.72064814815</v>
      </c>
      <c r="C700" s="1" t="n">
        <v>45970</v>
      </c>
      <c r="D700" t="inlineStr">
        <is>
          <t>JÄMTLANDS LÄN</t>
        </is>
      </c>
      <c r="E700" t="inlineStr">
        <is>
          <t>BERG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43442-2025</t>
        </is>
      </c>
      <c r="B701" s="1" t="n">
        <v>45911.44244212963</v>
      </c>
      <c r="C701" s="1" t="n">
        <v>45970</v>
      </c>
      <c r="D701" t="inlineStr">
        <is>
          <t>JÄMTLANDS LÄN</t>
        </is>
      </c>
      <c r="E701" t="inlineStr">
        <is>
          <t>BERG</t>
        </is>
      </c>
      <c r="G701" t="n">
        <v>3.8</v>
      </c>
      <c r="H701" t="n">
        <v>0</v>
      </c>
      <c r="I701" t="n">
        <v>0</v>
      </c>
      <c r="J701" t="n">
        <v>0</v>
      </c>
      <c r="K701" t="n">
        <v>0</v>
      </c>
      <c r="L701" t="n">
        <v>0</v>
      </c>
      <c r="M701" t="n">
        <v>0</v>
      </c>
      <c r="N701" t="n">
        <v>0</v>
      </c>
      <c r="O701" t="n">
        <v>0</v>
      </c>
      <c r="P701" t="n">
        <v>0</v>
      </c>
      <c r="Q701" t="n">
        <v>0</v>
      </c>
      <c r="R701" s="2" t="inlineStr"/>
    </row>
    <row r="702" ht="15" customHeight="1">
      <c r="A702" t="inlineStr">
        <is>
          <t>A 41264-2025</t>
        </is>
      </c>
      <c r="B702" s="1" t="n">
        <v>45898</v>
      </c>
      <c r="C702" s="1" t="n">
        <v>45970</v>
      </c>
      <c r="D702" t="inlineStr">
        <is>
          <t>JÄMTLANDS LÄN</t>
        </is>
      </c>
      <c r="E702" t="inlineStr">
        <is>
          <t>BERG</t>
        </is>
      </c>
      <c r="G702" t="n">
        <v>17.4</v>
      </c>
      <c r="H702" t="n">
        <v>0</v>
      </c>
      <c r="I702" t="n">
        <v>0</v>
      </c>
      <c r="J702" t="n">
        <v>0</v>
      </c>
      <c r="K702" t="n">
        <v>0</v>
      </c>
      <c r="L702" t="n">
        <v>0</v>
      </c>
      <c r="M702" t="n">
        <v>0</v>
      </c>
      <c r="N702" t="n">
        <v>0</v>
      </c>
      <c r="O702" t="n">
        <v>0</v>
      </c>
      <c r="P702" t="n">
        <v>0</v>
      </c>
      <c r="Q702" t="n">
        <v>0</v>
      </c>
      <c r="R702" s="2" t="inlineStr"/>
    </row>
    <row r="703" ht="15" customHeight="1">
      <c r="A703" t="inlineStr">
        <is>
          <t>A 28232-2025</t>
        </is>
      </c>
      <c r="B703" s="1" t="n">
        <v>45818.48989583334</v>
      </c>
      <c r="C703" s="1" t="n">
        <v>45970</v>
      </c>
      <c r="D703" t="inlineStr">
        <is>
          <t>JÄMTLANDS LÄN</t>
        </is>
      </c>
      <c r="E703" t="inlineStr">
        <is>
          <t>BERG</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48069-2023</t>
        </is>
      </c>
      <c r="B704" s="1" t="n">
        <v>45204</v>
      </c>
      <c r="C704" s="1" t="n">
        <v>45970</v>
      </c>
      <c r="D704" t="inlineStr">
        <is>
          <t>JÄMTLANDS LÄN</t>
        </is>
      </c>
      <c r="E704" t="inlineStr">
        <is>
          <t>BERG</t>
        </is>
      </c>
      <c r="F704" t="inlineStr">
        <is>
          <t>SCA</t>
        </is>
      </c>
      <c r="G704" t="n">
        <v>11.2</v>
      </c>
      <c r="H704" t="n">
        <v>0</v>
      </c>
      <c r="I704" t="n">
        <v>0</v>
      </c>
      <c r="J704" t="n">
        <v>0</v>
      </c>
      <c r="K704" t="n">
        <v>0</v>
      </c>
      <c r="L704" t="n">
        <v>0</v>
      </c>
      <c r="M704" t="n">
        <v>0</v>
      </c>
      <c r="N704" t="n">
        <v>0</v>
      </c>
      <c r="O704" t="n">
        <v>0</v>
      </c>
      <c r="P704" t="n">
        <v>0</v>
      </c>
      <c r="Q704" t="n">
        <v>0</v>
      </c>
      <c r="R704" s="2" t="inlineStr"/>
    </row>
    <row r="705" ht="15" customHeight="1">
      <c r="A705" t="inlineStr">
        <is>
          <t>A 28157-2025</t>
        </is>
      </c>
      <c r="B705" s="1" t="n">
        <v>45818.36512731481</v>
      </c>
      <c r="C705" s="1" t="n">
        <v>45970</v>
      </c>
      <c r="D705" t="inlineStr">
        <is>
          <t>JÄMTLANDS LÄN</t>
        </is>
      </c>
      <c r="E705" t="inlineStr">
        <is>
          <t>BERG</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28196-2025</t>
        </is>
      </c>
      <c r="B706" s="1" t="n">
        <v>45818.42753472222</v>
      </c>
      <c r="C706" s="1" t="n">
        <v>45970</v>
      </c>
      <c r="D706" t="inlineStr">
        <is>
          <t>JÄMTLANDS LÄN</t>
        </is>
      </c>
      <c r="E706" t="inlineStr">
        <is>
          <t>BERG</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52562-2025</t>
        </is>
      </c>
      <c r="B707" s="1" t="n">
        <v>45954.57357638889</v>
      </c>
      <c r="C707" s="1" t="n">
        <v>45970</v>
      </c>
      <c r="D707" t="inlineStr">
        <is>
          <t>JÄMTLANDS LÄN</t>
        </is>
      </c>
      <c r="E707" t="inlineStr">
        <is>
          <t>BERG</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43456-2025</t>
        </is>
      </c>
      <c r="B708" s="1" t="n">
        <v>45911.46148148148</v>
      </c>
      <c r="C708" s="1" t="n">
        <v>45970</v>
      </c>
      <c r="D708" t="inlineStr">
        <is>
          <t>JÄMTLANDS LÄN</t>
        </is>
      </c>
      <c r="E708" t="inlineStr">
        <is>
          <t>BERG</t>
        </is>
      </c>
      <c r="G708" t="n">
        <v>1</v>
      </c>
      <c r="H708" t="n">
        <v>0</v>
      </c>
      <c r="I708" t="n">
        <v>0</v>
      </c>
      <c r="J708" t="n">
        <v>0</v>
      </c>
      <c r="K708" t="n">
        <v>0</v>
      </c>
      <c r="L708" t="n">
        <v>0</v>
      </c>
      <c r="M708" t="n">
        <v>0</v>
      </c>
      <c r="N708" t="n">
        <v>0</v>
      </c>
      <c r="O708" t="n">
        <v>0</v>
      </c>
      <c r="P708" t="n">
        <v>0</v>
      </c>
      <c r="Q708" t="n">
        <v>0</v>
      </c>
      <c r="R708" s="2" t="inlineStr"/>
    </row>
    <row r="709" ht="15" customHeight="1">
      <c r="A709" t="inlineStr">
        <is>
          <t>A 28079-2025</t>
        </is>
      </c>
      <c r="B709" s="1" t="n">
        <v>45817.69681712963</v>
      </c>
      <c r="C709" s="1" t="n">
        <v>45970</v>
      </c>
      <c r="D709" t="inlineStr">
        <is>
          <t>JÄMTLANDS LÄN</t>
        </is>
      </c>
      <c r="E709" t="inlineStr">
        <is>
          <t>BERG</t>
        </is>
      </c>
      <c r="G709" t="n">
        <v>3.7</v>
      </c>
      <c r="H709" t="n">
        <v>0</v>
      </c>
      <c r="I709" t="n">
        <v>0</v>
      </c>
      <c r="J709" t="n">
        <v>0</v>
      </c>
      <c r="K709" t="n">
        <v>0</v>
      </c>
      <c r="L709" t="n">
        <v>0</v>
      </c>
      <c r="M709" t="n">
        <v>0</v>
      </c>
      <c r="N709" t="n">
        <v>0</v>
      </c>
      <c r="O709" t="n">
        <v>0</v>
      </c>
      <c r="P709" t="n">
        <v>0</v>
      </c>
      <c r="Q709" t="n">
        <v>0</v>
      </c>
      <c r="R709" s="2" t="inlineStr"/>
    </row>
    <row r="710" ht="15" customHeight="1">
      <c r="A710" t="inlineStr">
        <is>
          <t>A 34819-2023</t>
        </is>
      </c>
      <c r="B710" s="1" t="n">
        <v>45140</v>
      </c>
      <c r="C710" s="1" t="n">
        <v>45970</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27750-2025</t>
        </is>
      </c>
      <c r="B711" s="1" t="n">
        <v>45815.68543981481</v>
      </c>
      <c r="C711" s="1" t="n">
        <v>45970</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28257-2025</t>
        </is>
      </c>
      <c r="B712" s="1" t="n">
        <v>45818.55263888889</v>
      </c>
      <c r="C712" s="1" t="n">
        <v>45970</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27737-2025</t>
        </is>
      </c>
      <c r="B713" s="1" t="n">
        <v>45815.34414351852</v>
      </c>
      <c r="C713" s="1" t="n">
        <v>45970</v>
      </c>
      <c r="D713" t="inlineStr">
        <is>
          <t>JÄMTLANDS LÄN</t>
        </is>
      </c>
      <c r="E713" t="inlineStr">
        <is>
          <t>BERG</t>
        </is>
      </c>
      <c r="F713" t="inlineStr">
        <is>
          <t>SCA</t>
        </is>
      </c>
      <c r="G713" t="n">
        <v>10.9</v>
      </c>
      <c r="H713" t="n">
        <v>0</v>
      </c>
      <c r="I713" t="n">
        <v>0</v>
      </c>
      <c r="J713" t="n">
        <v>0</v>
      </c>
      <c r="K713" t="n">
        <v>0</v>
      </c>
      <c r="L713" t="n">
        <v>0</v>
      </c>
      <c r="M713" t="n">
        <v>0</v>
      </c>
      <c r="N713" t="n">
        <v>0</v>
      </c>
      <c r="O713" t="n">
        <v>0</v>
      </c>
      <c r="P713" t="n">
        <v>0</v>
      </c>
      <c r="Q713" t="n">
        <v>0</v>
      </c>
      <c r="R713" s="2" t="inlineStr"/>
    </row>
    <row r="714" ht="15" customHeight="1">
      <c r="A714" t="inlineStr">
        <is>
          <t>A 28077-2025</t>
        </is>
      </c>
      <c r="B714" s="1" t="n">
        <v>45817.68596064814</v>
      </c>
      <c r="C714" s="1" t="n">
        <v>45970</v>
      </c>
      <c r="D714" t="inlineStr">
        <is>
          <t>JÄMTLANDS LÄN</t>
        </is>
      </c>
      <c r="E714" t="inlineStr">
        <is>
          <t>BERG</t>
        </is>
      </c>
      <c r="G714" t="n">
        <v>6</v>
      </c>
      <c r="H714" t="n">
        <v>0</v>
      </c>
      <c r="I714" t="n">
        <v>0</v>
      </c>
      <c r="J714" t="n">
        <v>0</v>
      </c>
      <c r="K714" t="n">
        <v>0</v>
      </c>
      <c r="L714" t="n">
        <v>0</v>
      </c>
      <c r="M714" t="n">
        <v>0</v>
      </c>
      <c r="N714" t="n">
        <v>0</v>
      </c>
      <c r="O714" t="n">
        <v>0</v>
      </c>
      <c r="P714" t="n">
        <v>0</v>
      </c>
      <c r="Q714" t="n">
        <v>0</v>
      </c>
      <c r="R714" s="2" t="inlineStr"/>
    </row>
    <row r="715" ht="15" customHeight="1">
      <c r="A715" t="inlineStr">
        <is>
          <t>A 43443-2025</t>
        </is>
      </c>
      <c r="B715" s="1" t="n">
        <v>45911.44350694444</v>
      </c>
      <c r="C715" s="1" t="n">
        <v>45970</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36708-2023</t>
        </is>
      </c>
      <c r="B716" s="1" t="n">
        <v>45153.65226851852</v>
      </c>
      <c r="C716" s="1" t="n">
        <v>45970</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52225-2025</t>
        </is>
      </c>
      <c r="B717" s="1" t="n">
        <v>45953.44831018519</v>
      </c>
      <c r="C717" s="1" t="n">
        <v>45970</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52260-2025</t>
        </is>
      </c>
      <c r="B718" s="1" t="n">
        <v>45953.51113425926</v>
      </c>
      <c r="C718" s="1" t="n">
        <v>45970</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43364-2025</t>
        </is>
      </c>
      <c r="B719" s="1" t="n">
        <v>45911.34483796296</v>
      </c>
      <c r="C719" s="1" t="n">
        <v>45970</v>
      </c>
      <c r="D719" t="inlineStr">
        <is>
          <t>JÄMTLANDS LÄN</t>
        </is>
      </c>
      <c r="E719" t="inlineStr">
        <is>
          <t>BERG</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52256-2025</t>
        </is>
      </c>
      <c r="B720" s="1" t="n">
        <v>45953.50086805555</v>
      </c>
      <c r="C720" s="1" t="n">
        <v>45970</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43567-2025</t>
        </is>
      </c>
      <c r="B721" s="1" t="n">
        <v>45911.6327662037</v>
      </c>
      <c r="C721" s="1" t="n">
        <v>45970</v>
      </c>
      <c r="D721" t="inlineStr">
        <is>
          <t>JÄMTLANDS LÄN</t>
        </is>
      </c>
      <c r="E721" t="inlineStr">
        <is>
          <t>BERG</t>
        </is>
      </c>
      <c r="G721" t="n">
        <v>7.7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45970</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28454-2025</t>
        </is>
      </c>
      <c r="B723" s="1" t="n">
        <v>45819.40679398148</v>
      </c>
      <c r="C723" s="1" t="n">
        <v>45970</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28401-2025</t>
        </is>
      </c>
      <c r="B724" s="1" t="n">
        <v>45819.34469907408</v>
      </c>
      <c r="C724" s="1" t="n">
        <v>45970</v>
      </c>
      <c r="D724" t="inlineStr">
        <is>
          <t>JÄMTLANDS LÄN</t>
        </is>
      </c>
      <c r="E724" t="inlineStr">
        <is>
          <t>BERG</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28453-2025</t>
        </is>
      </c>
      <c r="B725" s="1" t="n">
        <v>45819.40668981482</v>
      </c>
      <c r="C725" s="1" t="n">
        <v>45970</v>
      </c>
      <c r="D725" t="inlineStr">
        <is>
          <t>JÄMTLANDS LÄN</t>
        </is>
      </c>
      <c r="E725" t="inlineStr">
        <is>
          <t>BERG</t>
        </is>
      </c>
      <c r="G725" t="n">
        <v>4.1</v>
      </c>
      <c r="H725" t="n">
        <v>0</v>
      </c>
      <c r="I725" t="n">
        <v>0</v>
      </c>
      <c r="J725" t="n">
        <v>0</v>
      </c>
      <c r="K725" t="n">
        <v>0</v>
      </c>
      <c r="L725" t="n">
        <v>0</v>
      </c>
      <c r="M725" t="n">
        <v>0</v>
      </c>
      <c r="N725" t="n">
        <v>0</v>
      </c>
      <c r="O725" t="n">
        <v>0</v>
      </c>
      <c r="P725" t="n">
        <v>0</v>
      </c>
      <c r="Q725" t="n">
        <v>0</v>
      </c>
      <c r="R725" s="2" t="inlineStr"/>
    </row>
    <row r="726" ht="15" customHeight="1">
      <c r="A726" t="inlineStr">
        <is>
          <t>A 28657-2025</t>
        </is>
      </c>
      <c r="B726" s="1" t="n">
        <v>45819.65709490741</v>
      </c>
      <c r="C726" s="1" t="n">
        <v>45970</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52340-2025</t>
        </is>
      </c>
      <c r="B727" s="1" t="n">
        <v>45953.70571759259</v>
      </c>
      <c r="C727" s="1" t="n">
        <v>45970</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43441-2025</t>
        </is>
      </c>
      <c r="B728" s="1" t="n">
        <v>45911.44184027778</v>
      </c>
      <c r="C728" s="1" t="n">
        <v>45970</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1520-2022</t>
        </is>
      </c>
      <c r="B729" s="1" t="n">
        <v>44572</v>
      </c>
      <c r="C729" s="1" t="n">
        <v>45970</v>
      </c>
      <c r="D729" t="inlineStr">
        <is>
          <t>JÄMTLANDS LÄN</t>
        </is>
      </c>
      <c r="E729" t="inlineStr">
        <is>
          <t>BERG</t>
        </is>
      </c>
      <c r="G729" t="n">
        <v>7.7</v>
      </c>
      <c r="H729" t="n">
        <v>0</v>
      </c>
      <c r="I729" t="n">
        <v>0</v>
      </c>
      <c r="J729" t="n">
        <v>0</v>
      </c>
      <c r="K729" t="n">
        <v>0</v>
      </c>
      <c r="L729" t="n">
        <v>0</v>
      </c>
      <c r="M729" t="n">
        <v>0</v>
      </c>
      <c r="N729" t="n">
        <v>0</v>
      </c>
      <c r="O729" t="n">
        <v>0</v>
      </c>
      <c r="P729" t="n">
        <v>0</v>
      </c>
      <c r="Q729" t="n">
        <v>0</v>
      </c>
      <c r="R729" s="2" t="inlineStr"/>
    </row>
    <row r="730" ht="15" customHeight="1">
      <c r="A730" t="inlineStr">
        <is>
          <t>A 29197-2025</t>
        </is>
      </c>
      <c r="B730" s="1" t="n">
        <v>45823.34438657408</v>
      </c>
      <c r="C730" s="1" t="n">
        <v>45970</v>
      </c>
      <c r="D730" t="inlineStr">
        <is>
          <t>JÄMTLANDS LÄN</t>
        </is>
      </c>
      <c r="E730" t="inlineStr">
        <is>
          <t>BERG</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29279-2025</t>
        </is>
      </c>
      <c r="B731" s="1" t="n">
        <v>45824.42381944445</v>
      </c>
      <c r="C731" s="1" t="n">
        <v>45970</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29310-2025</t>
        </is>
      </c>
      <c r="B732" s="1" t="n">
        <v>45824.46353009259</v>
      </c>
      <c r="C732" s="1" t="n">
        <v>45970</v>
      </c>
      <c r="D732" t="inlineStr">
        <is>
          <t>JÄMTLANDS LÄN</t>
        </is>
      </c>
      <c r="E732" t="inlineStr">
        <is>
          <t>BERG</t>
        </is>
      </c>
      <c r="G732" t="n">
        <v>5.6</v>
      </c>
      <c r="H732" t="n">
        <v>0</v>
      </c>
      <c r="I732" t="n">
        <v>0</v>
      </c>
      <c r="J732" t="n">
        <v>0</v>
      </c>
      <c r="K732" t="n">
        <v>0</v>
      </c>
      <c r="L732" t="n">
        <v>0</v>
      </c>
      <c r="M732" t="n">
        <v>0</v>
      </c>
      <c r="N732" t="n">
        <v>0</v>
      </c>
      <c r="O732" t="n">
        <v>0</v>
      </c>
      <c r="P732" t="n">
        <v>0</v>
      </c>
      <c r="Q732" t="n">
        <v>0</v>
      </c>
      <c r="R732" s="2" t="inlineStr"/>
    </row>
    <row r="733" ht="15" customHeight="1">
      <c r="A733" t="inlineStr">
        <is>
          <t>A 29198-2025</t>
        </is>
      </c>
      <c r="B733" s="1" t="n">
        <v>45823.34451388889</v>
      </c>
      <c r="C733" s="1" t="n">
        <v>45970</v>
      </c>
      <c r="D733" t="inlineStr">
        <is>
          <t>JÄMTLANDS LÄN</t>
        </is>
      </c>
      <c r="E733" t="inlineStr">
        <is>
          <t>BERG</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29199-2025</t>
        </is>
      </c>
      <c r="B734" s="1" t="n">
        <v>45823.34459490741</v>
      </c>
      <c r="C734" s="1" t="n">
        <v>45970</v>
      </c>
      <c r="D734" t="inlineStr">
        <is>
          <t>JÄMTLANDS LÄN</t>
        </is>
      </c>
      <c r="E734" t="inlineStr">
        <is>
          <t>BERG</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44051-2025</t>
        </is>
      </c>
      <c r="B735" s="1" t="n">
        <v>45915.51079861111</v>
      </c>
      <c r="C735" s="1" t="n">
        <v>45970</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29836-2025</t>
        </is>
      </c>
      <c r="B736" s="1" t="n">
        <v>45825.9468287037</v>
      </c>
      <c r="C736" s="1" t="n">
        <v>45970</v>
      </c>
      <c r="D736" t="inlineStr">
        <is>
          <t>JÄMTLANDS LÄN</t>
        </is>
      </c>
      <c r="E736" t="inlineStr">
        <is>
          <t>BERG</t>
        </is>
      </c>
      <c r="G736" t="n">
        <v>12.7</v>
      </c>
      <c r="H736" t="n">
        <v>0</v>
      </c>
      <c r="I736" t="n">
        <v>0</v>
      </c>
      <c r="J736" t="n">
        <v>0</v>
      </c>
      <c r="K736" t="n">
        <v>0</v>
      </c>
      <c r="L736" t="n">
        <v>0</v>
      </c>
      <c r="M736" t="n">
        <v>0</v>
      </c>
      <c r="N736" t="n">
        <v>0</v>
      </c>
      <c r="O736" t="n">
        <v>0</v>
      </c>
      <c r="P736" t="n">
        <v>0</v>
      </c>
      <c r="Q736" t="n">
        <v>0</v>
      </c>
      <c r="R736" s="2" t="inlineStr"/>
    </row>
    <row r="737" ht="15" customHeight="1">
      <c r="A737" t="inlineStr">
        <is>
          <t>A 30017-2025</t>
        </is>
      </c>
      <c r="B737" s="1" t="n">
        <v>45826.55306712963</v>
      </c>
      <c r="C737" s="1" t="n">
        <v>45970</v>
      </c>
      <c r="D737" t="inlineStr">
        <is>
          <t>JÄMTLANDS LÄN</t>
        </is>
      </c>
      <c r="E737" t="inlineStr">
        <is>
          <t>BERG</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29908-2025</t>
        </is>
      </c>
      <c r="B738" s="1" t="n">
        <v>45826</v>
      </c>
      <c r="C738" s="1" t="n">
        <v>45970</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46816-2023</t>
        </is>
      </c>
      <c r="B739" s="1" t="n">
        <v>45198</v>
      </c>
      <c r="C739" s="1" t="n">
        <v>45970</v>
      </c>
      <c r="D739" t="inlineStr">
        <is>
          <t>JÄMTLANDS LÄN</t>
        </is>
      </c>
      <c r="E739" t="inlineStr">
        <is>
          <t>BERG</t>
        </is>
      </c>
      <c r="F739" t="inlineStr">
        <is>
          <t>SCA</t>
        </is>
      </c>
      <c r="G739" t="n">
        <v>66.2</v>
      </c>
      <c r="H739" t="n">
        <v>0</v>
      </c>
      <c r="I739" t="n">
        <v>0</v>
      </c>
      <c r="J739" t="n">
        <v>0</v>
      </c>
      <c r="K739" t="n">
        <v>0</v>
      </c>
      <c r="L739" t="n">
        <v>0</v>
      </c>
      <c r="M739" t="n">
        <v>0</v>
      </c>
      <c r="N739" t="n">
        <v>0</v>
      </c>
      <c r="O739" t="n">
        <v>0</v>
      </c>
      <c r="P739" t="n">
        <v>0</v>
      </c>
      <c r="Q739" t="n">
        <v>0</v>
      </c>
      <c r="R739" s="2" t="inlineStr"/>
    </row>
    <row r="740" ht="15" customHeight="1">
      <c r="A740" t="inlineStr">
        <is>
          <t>A 29533-2025</t>
        </is>
      </c>
      <c r="B740" s="1" t="n">
        <v>45825.34466435185</v>
      </c>
      <c r="C740" s="1" t="n">
        <v>45970</v>
      </c>
      <c r="D740" t="inlineStr">
        <is>
          <t>JÄMTLANDS LÄN</t>
        </is>
      </c>
      <c r="E740" t="inlineStr">
        <is>
          <t>BERG</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29538-2025</t>
        </is>
      </c>
      <c r="B741" s="1" t="n">
        <v>45825.34517361111</v>
      </c>
      <c r="C741" s="1" t="n">
        <v>45970</v>
      </c>
      <c r="D741" t="inlineStr">
        <is>
          <t>JÄMTLANDS LÄN</t>
        </is>
      </c>
      <c r="E741" t="inlineStr">
        <is>
          <t>BERG</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31641-2022</t>
        </is>
      </c>
      <c r="B742" s="1" t="n">
        <v>44775.94119212963</v>
      </c>
      <c r="C742" s="1" t="n">
        <v>45970</v>
      </c>
      <c r="D742" t="inlineStr">
        <is>
          <t>JÄMTLANDS LÄN</t>
        </is>
      </c>
      <c r="E742" t="inlineStr">
        <is>
          <t>BERG</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29902-2025</t>
        </is>
      </c>
      <c r="B743" s="1" t="n">
        <v>45826</v>
      </c>
      <c r="C743" s="1" t="n">
        <v>45970</v>
      </c>
      <c r="D743" t="inlineStr">
        <is>
          <t>JÄMTLANDS LÄN</t>
        </is>
      </c>
      <c r="E743" t="inlineStr">
        <is>
          <t>BERG</t>
        </is>
      </c>
      <c r="G743" t="n">
        <v>9.1</v>
      </c>
      <c r="H743" t="n">
        <v>0</v>
      </c>
      <c r="I743" t="n">
        <v>0</v>
      </c>
      <c r="J743" t="n">
        <v>0</v>
      </c>
      <c r="K743" t="n">
        <v>0</v>
      </c>
      <c r="L743" t="n">
        <v>0</v>
      </c>
      <c r="M743" t="n">
        <v>0</v>
      </c>
      <c r="N743" t="n">
        <v>0</v>
      </c>
      <c r="O743" t="n">
        <v>0</v>
      </c>
      <c r="P743" t="n">
        <v>0</v>
      </c>
      <c r="Q743" t="n">
        <v>0</v>
      </c>
      <c r="R743" s="2" t="inlineStr"/>
    </row>
    <row r="744" ht="15" customHeight="1">
      <c r="A744" t="inlineStr">
        <is>
          <t>A 46872-2023</t>
        </is>
      </c>
      <c r="B744" s="1" t="n">
        <v>45200</v>
      </c>
      <c r="C744" s="1" t="n">
        <v>45970</v>
      </c>
      <c r="D744" t="inlineStr">
        <is>
          <t>JÄMTLANDS LÄN</t>
        </is>
      </c>
      <c r="E744" t="inlineStr">
        <is>
          <t>BERG</t>
        </is>
      </c>
      <c r="F744" t="inlineStr">
        <is>
          <t>Naturvårdsverket</t>
        </is>
      </c>
      <c r="G744" t="n">
        <v>1.2</v>
      </c>
      <c r="H744" t="n">
        <v>0</v>
      </c>
      <c r="I744" t="n">
        <v>0</v>
      </c>
      <c r="J744" t="n">
        <v>0</v>
      </c>
      <c r="K744" t="n">
        <v>0</v>
      </c>
      <c r="L744" t="n">
        <v>0</v>
      </c>
      <c r="M744" t="n">
        <v>0</v>
      </c>
      <c r="N744" t="n">
        <v>0</v>
      </c>
      <c r="O744" t="n">
        <v>0</v>
      </c>
      <c r="P744" t="n">
        <v>0</v>
      </c>
      <c r="Q744" t="n">
        <v>0</v>
      </c>
      <c r="R744" s="2" t="inlineStr"/>
      <c r="U744">
        <f>HYPERLINK("https://klasma.github.io/Logging_2326/knärot/A 46872-2023 karta knärot.png", "A 46872-2023")</f>
        <v/>
      </c>
      <c r="V744">
        <f>HYPERLINK("https://klasma.github.io/Logging_2326/klagomål/A 46872-2023 FSC-klagomål.docx", "A 46872-2023")</f>
        <v/>
      </c>
      <c r="W744">
        <f>HYPERLINK("https://klasma.github.io/Logging_2326/klagomålsmail/A 46872-2023 FSC-klagomål mail.docx", "A 46872-2023")</f>
        <v/>
      </c>
      <c r="X744">
        <f>HYPERLINK("https://klasma.github.io/Logging_2326/tillsyn/A 46872-2023 tillsynsbegäran.docx", "A 46872-2023")</f>
        <v/>
      </c>
      <c r="Y744">
        <f>HYPERLINK("https://klasma.github.io/Logging_2326/tillsynsmail/A 46872-2023 tillsynsbegäran mail.docx", "A 46872-2023")</f>
        <v/>
      </c>
    </row>
    <row r="745" ht="15" customHeight="1">
      <c r="A745" t="inlineStr">
        <is>
          <t>A 43968-2025</t>
        </is>
      </c>
      <c r="B745" s="1" t="n">
        <v>45915</v>
      </c>
      <c r="C745" s="1" t="n">
        <v>45970</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52938-2025</t>
        </is>
      </c>
      <c r="B746" s="1" t="n">
        <v>45957.63680555556</v>
      </c>
      <c r="C746" s="1" t="n">
        <v>45970</v>
      </c>
      <c r="D746" t="inlineStr">
        <is>
          <t>JÄMTLANDS LÄN</t>
        </is>
      </c>
      <c r="E746" t="inlineStr">
        <is>
          <t>BERG</t>
        </is>
      </c>
      <c r="G746" t="n">
        <v>3.6</v>
      </c>
      <c r="H746" t="n">
        <v>0</v>
      </c>
      <c r="I746" t="n">
        <v>0</v>
      </c>
      <c r="J746" t="n">
        <v>0</v>
      </c>
      <c r="K746" t="n">
        <v>0</v>
      </c>
      <c r="L746" t="n">
        <v>0</v>
      </c>
      <c r="M746" t="n">
        <v>0</v>
      </c>
      <c r="N746" t="n">
        <v>0</v>
      </c>
      <c r="O746" t="n">
        <v>0</v>
      </c>
      <c r="P746" t="n">
        <v>0</v>
      </c>
      <c r="Q746" t="n">
        <v>0</v>
      </c>
      <c r="R746" s="2" t="inlineStr"/>
    </row>
    <row r="747" ht="15" customHeight="1">
      <c r="A747" t="inlineStr">
        <is>
          <t>A 44302-2025</t>
        </is>
      </c>
      <c r="B747" s="1" t="n">
        <v>45915</v>
      </c>
      <c r="C747" s="1" t="n">
        <v>45970</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30314-2025</t>
        </is>
      </c>
      <c r="B748" s="1" t="n">
        <v>45827.49047453704</v>
      </c>
      <c r="C748" s="1" t="n">
        <v>45970</v>
      </c>
      <c r="D748" t="inlineStr">
        <is>
          <t>JÄMTLANDS LÄN</t>
        </is>
      </c>
      <c r="E748" t="inlineStr">
        <is>
          <t>BERG</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22275-2022</t>
        </is>
      </c>
      <c r="B749" s="1" t="n">
        <v>44712</v>
      </c>
      <c r="C749" s="1" t="n">
        <v>45970</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44303-2025</t>
        </is>
      </c>
      <c r="B750" s="1" t="n">
        <v>45915</v>
      </c>
      <c r="C750" s="1" t="n">
        <v>45970</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31682-2022</t>
        </is>
      </c>
      <c r="B751" s="1" t="n">
        <v>44776</v>
      </c>
      <c r="C751" s="1" t="n">
        <v>45970</v>
      </c>
      <c r="D751" t="inlineStr">
        <is>
          <t>JÄMTLANDS LÄN</t>
        </is>
      </c>
      <c r="E751" t="inlineStr">
        <is>
          <t>BERG</t>
        </is>
      </c>
      <c r="G751" t="n">
        <v>8</v>
      </c>
      <c r="H751" t="n">
        <v>0</v>
      </c>
      <c r="I751" t="n">
        <v>0</v>
      </c>
      <c r="J751" t="n">
        <v>0</v>
      </c>
      <c r="K751" t="n">
        <v>0</v>
      </c>
      <c r="L751" t="n">
        <v>0</v>
      </c>
      <c r="M751" t="n">
        <v>0</v>
      </c>
      <c r="N751" t="n">
        <v>0</v>
      </c>
      <c r="O751" t="n">
        <v>0</v>
      </c>
      <c r="P751" t="n">
        <v>0</v>
      </c>
      <c r="Q751" t="n">
        <v>0</v>
      </c>
      <c r="R751" s="2" t="inlineStr"/>
    </row>
    <row r="752" ht="15" customHeight="1">
      <c r="A752" t="inlineStr">
        <is>
          <t>A 53155-2025</t>
        </is>
      </c>
      <c r="B752" s="1" t="n">
        <v>45958.49011574074</v>
      </c>
      <c r="C752" s="1" t="n">
        <v>45970</v>
      </c>
      <c r="D752" t="inlineStr">
        <is>
          <t>JÄMTLANDS LÄN</t>
        </is>
      </c>
      <c r="E752" t="inlineStr">
        <is>
          <t>BERG</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53157-2025</t>
        </is>
      </c>
      <c r="B753" s="1" t="n">
        <v>45958.49056712963</v>
      </c>
      <c r="C753" s="1" t="n">
        <v>45970</v>
      </c>
      <c r="D753" t="inlineStr">
        <is>
          <t>JÄMTLANDS LÄN</t>
        </is>
      </c>
      <c r="E753" t="inlineStr">
        <is>
          <t>BERG</t>
        </is>
      </c>
      <c r="F753" t="inlineStr">
        <is>
          <t>SCA</t>
        </is>
      </c>
      <c r="G753" t="n">
        <v>9.5</v>
      </c>
      <c r="H753" t="n">
        <v>0</v>
      </c>
      <c r="I753" t="n">
        <v>0</v>
      </c>
      <c r="J753" t="n">
        <v>0</v>
      </c>
      <c r="K753" t="n">
        <v>0</v>
      </c>
      <c r="L753" t="n">
        <v>0</v>
      </c>
      <c r="M753" t="n">
        <v>0</v>
      </c>
      <c r="N753" t="n">
        <v>0</v>
      </c>
      <c r="O753" t="n">
        <v>0</v>
      </c>
      <c r="P753" t="n">
        <v>0</v>
      </c>
      <c r="Q753" t="n">
        <v>0</v>
      </c>
      <c r="R753" s="2" t="inlineStr"/>
    </row>
    <row r="754" ht="15" customHeight="1">
      <c r="A754" t="inlineStr">
        <is>
          <t>A 44043-2025</t>
        </is>
      </c>
      <c r="B754" s="1" t="n">
        <v>45915.49266203704</v>
      </c>
      <c r="C754" s="1" t="n">
        <v>45970</v>
      </c>
      <c r="D754" t="inlineStr">
        <is>
          <t>JÄMTLANDS LÄN</t>
        </is>
      </c>
      <c r="E754" t="inlineStr">
        <is>
          <t>BERG</t>
        </is>
      </c>
      <c r="G754" t="n">
        <v>3.4</v>
      </c>
      <c r="H754" t="n">
        <v>0</v>
      </c>
      <c r="I754" t="n">
        <v>0</v>
      </c>
      <c r="J754" t="n">
        <v>0</v>
      </c>
      <c r="K754" t="n">
        <v>0</v>
      </c>
      <c r="L754" t="n">
        <v>0</v>
      </c>
      <c r="M754" t="n">
        <v>0</v>
      </c>
      <c r="N754" t="n">
        <v>0</v>
      </c>
      <c r="O754" t="n">
        <v>0</v>
      </c>
      <c r="P754" t="n">
        <v>0</v>
      </c>
      <c r="Q754" t="n">
        <v>0</v>
      </c>
      <c r="R754" s="2" t="inlineStr"/>
    </row>
    <row r="755" ht="15" customHeight="1">
      <c r="A755" t="inlineStr">
        <is>
          <t>A 43982-2025</t>
        </is>
      </c>
      <c r="B755" s="1" t="n">
        <v>45915.42771990741</v>
      </c>
      <c r="C755" s="1" t="n">
        <v>45970</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31015-2025</t>
        </is>
      </c>
      <c r="B756" s="1" t="n">
        <v>45832.51086805556</v>
      </c>
      <c r="C756" s="1" t="n">
        <v>45970</v>
      </c>
      <c r="D756" t="inlineStr">
        <is>
          <t>JÄMTLANDS LÄN</t>
        </is>
      </c>
      <c r="E756" t="inlineStr">
        <is>
          <t>BERG</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31017-2025</t>
        </is>
      </c>
      <c r="B757" s="1" t="n">
        <v>45832.51111111111</v>
      </c>
      <c r="C757" s="1" t="n">
        <v>45970</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31136-2025</t>
        </is>
      </c>
      <c r="B758" s="1" t="n">
        <v>45832.63599537037</v>
      </c>
      <c r="C758" s="1" t="n">
        <v>45970</v>
      </c>
      <c r="D758" t="inlineStr">
        <is>
          <t>JÄMTLANDS LÄN</t>
        </is>
      </c>
      <c r="E758" t="inlineStr">
        <is>
          <t>BERG</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31070-2025</t>
        </is>
      </c>
      <c r="B759" s="1" t="n">
        <v>45832.57887731482</v>
      </c>
      <c r="C759" s="1" t="n">
        <v>45970</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31090-2025</t>
        </is>
      </c>
      <c r="B760" s="1" t="n">
        <v>45832.59436342592</v>
      </c>
      <c r="C760" s="1" t="n">
        <v>45970</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53085-2025</t>
        </is>
      </c>
      <c r="B761" s="1" t="n">
        <v>45958.40675925926</v>
      </c>
      <c r="C761" s="1" t="n">
        <v>45970</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44031-2025</t>
        </is>
      </c>
      <c r="B762" s="1" t="n">
        <v>45915.49019675926</v>
      </c>
      <c r="C762" s="1" t="n">
        <v>45970</v>
      </c>
      <c r="D762" t="inlineStr">
        <is>
          <t>JÄMTLANDS LÄN</t>
        </is>
      </c>
      <c r="E762" t="inlineStr">
        <is>
          <t>BERG</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52933-2025</t>
        </is>
      </c>
      <c r="B763" s="1" t="n">
        <v>45957.62528935185</v>
      </c>
      <c r="C763" s="1" t="n">
        <v>45970</v>
      </c>
      <c r="D763" t="inlineStr">
        <is>
          <t>JÄMTLANDS LÄN</t>
        </is>
      </c>
      <c r="E763" t="inlineStr">
        <is>
          <t>BERG</t>
        </is>
      </c>
      <c r="G763" t="n">
        <v>10.1</v>
      </c>
      <c r="H763" t="n">
        <v>0</v>
      </c>
      <c r="I763" t="n">
        <v>0</v>
      </c>
      <c r="J763" t="n">
        <v>0</v>
      </c>
      <c r="K763" t="n">
        <v>0</v>
      </c>
      <c r="L763" t="n">
        <v>0</v>
      </c>
      <c r="M763" t="n">
        <v>0</v>
      </c>
      <c r="N763" t="n">
        <v>0</v>
      </c>
      <c r="O763" t="n">
        <v>0</v>
      </c>
      <c r="P763" t="n">
        <v>0</v>
      </c>
      <c r="Q763" t="n">
        <v>0</v>
      </c>
      <c r="R763" s="2" t="inlineStr"/>
    </row>
    <row r="764" ht="15" customHeight="1">
      <c r="A764" t="inlineStr">
        <is>
          <t>A 53610-2025</t>
        </is>
      </c>
      <c r="B764" s="1" t="n">
        <v>45960.46951388889</v>
      </c>
      <c r="C764" s="1" t="n">
        <v>45970</v>
      </c>
      <c r="D764" t="inlineStr">
        <is>
          <t>JÄMTLANDS LÄN</t>
        </is>
      </c>
      <c r="E764" t="inlineStr">
        <is>
          <t>BERG</t>
        </is>
      </c>
      <c r="F764" t="inlineStr">
        <is>
          <t>SCA</t>
        </is>
      </c>
      <c r="G764" t="n">
        <v>30.7</v>
      </c>
      <c r="H764" t="n">
        <v>0</v>
      </c>
      <c r="I764" t="n">
        <v>0</v>
      </c>
      <c r="J764" t="n">
        <v>0</v>
      </c>
      <c r="K764" t="n">
        <v>0</v>
      </c>
      <c r="L764" t="n">
        <v>0</v>
      </c>
      <c r="M764" t="n">
        <v>0</v>
      </c>
      <c r="N764" t="n">
        <v>0</v>
      </c>
      <c r="O764" t="n">
        <v>0</v>
      </c>
      <c r="P764" t="n">
        <v>0</v>
      </c>
      <c r="Q764" t="n">
        <v>0</v>
      </c>
      <c r="R764" s="2" t="inlineStr"/>
    </row>
    <row r="765" ht="15" customHeight="1">
      <c r="A765" t="inlineStr">
        <is>
          <t>A 31820-2025</t>
        </is>
      </c>
      <c r="B765" s="1" t="n">
        <v>45834.57930555556</v>
      </c>
      <c r="C765" s="1" t="n">
        <v>45970</v>
      </c>
      <c r="D765" t="inlineStr">
        <is>
          <t>JÄMTLANDS LÄN</t>
        </is>
      </c>
      <c r="E765" t="inlineStr">
        <is>
          <t>BERG</t>
        </is>
      </c>
      <c r="G765" t="n">
        <v>13.9</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45217.55832175926</v>
      </c>
      <c r="C766" s="1" t="n">
        <v>45970</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53349-2025</t>
        </is>
      </c>
      <c r="B767" s="1" t="n">
        <v>45959.43579861111</v>
      </c>
      <c r="C767" s="1" t="n">
        <v>45970</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53778-2025</t>
        </is>
      </c>
      <c r="B768" s="1" t="n">
        <v>45960.69841435185</v>
      </c>
      <c r="C768" s="1" t="n">
        <v>45970</v>
      </c>
      <c r="D768" t="inlineStr">
        <is>
          <t>JÄMTLANDS LÄN</t>
        </is>
      </c>
      <c r="E768" t="inlineStr">
        <is>
          <t>BERG</t>
        </is>
      </c>
      <c r="F768" t="inlineStr">
        <is>
          <t>SCA</t>
        </is>
      </c>
      <c r="G768" t="n">
        <v>18.7</v>
      </c>
      <c r="H768" t="n">
        <v>0</v>
      </c>
      <c r="I768" t="n">
        <v>0</v>
      </c>
      <c r="J768" t="n">
        <v>0</v>
      </c>
      <c r="K768" t="n">
        <v>0</v>
      </c>
      <c r="L768" t="n">
        <v>0</v>
      </c>
      <c r="M768" t="n">
        <v>0</v>
      </c>
      <c r="N768" t="n">
        <v>0</v>
      </c>
      <c r="O768" t="n">
        <v>0</v>
      </c>
      <c r="P768" t="n">
        <v>0</v>
      </c>
      <c r="Q768" t="n">
        <v>0</v>
      </c>
      <c r="R768" s="2" t="inlineStr"/>
      <c r="U768">
        <f>HYPERLINK("https://klasma.github.io/Logging_2326/knärot/A 53778-2025 karta knärot.png", "A 53778-2025")</f>
        <v/>
      </c>
      <c r="V768">
        <f>HYPERLINK("https://klasma.github.io/Logging_2326/klagomål/A 53778-2025 FSC-klagomål.docx", "A 53778-2025")</f>
        <v/>
      </c>
      <c r="W768">
        <f>HYPERLINK("https://klasma.github.io/Logging_2326/klagomålsmail/A 53778-2025 FSC-klagomål mail.docx", "A 53778-2025")</f>
        <v/>
      </c>
      <c r="X768">
        <f>HYPERLINK("https://klasma.github.io/Logging_2326/tillsyn/A 53778-2025 tillsynsbegäran.docx", "A 53778-2025")</f>
        <v/>
      </c>
      <c r="Y768">
        <f>HYPERLINK("https://klasma.github.io/Logging_2326/tillsynsmail/A 53778-2025 tillsynsbegäran mail.docx", "A 53778-2025")</f>
        <v/>
      </c>
    </row>
    <row r="769" ht="15" customHeight="1">
      <c r="A769" t="inlineStr">
        <is>
          <t>A 53680-2025</t>
        </is>
      </c>
      <c r="B769" s="1" t="n">
        <v>45960.57361111111</v>
      </c>
      <c r="C769" s="1" t="n">
        <v>45970</v>
      </c>
      <c r="D769" t="inlineStr">
        <is>
          <t>JÄMTLANDS LÄN</t>
        </is>
      </c>
      <c r="E769" t="inlineStr">
        <is>
          <t>BERG</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54415-2023</t>
        </is>
      </c>
      <c r="B770" s="1" t="n">
        <v>45233.40039351852</v>
      </c>
      <c r="C770" s="1" t="n">
        <v>45970</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47176-2023</t>
        </is>
      </c>
      <c r="B771" s="1" t="n">
        <v>45201.94844907407</v>
      </c>
      <c r="C771" s="1" t="n">
        <v>45970</v>
      </c>
      <c r="D771" t="inlineStr">
        <is>
          <t>JÄMTLANDS LÄN</t>
        </is>
      </c>
      <c r="E771" t="inlineStr">
        <is>
          <t>BERG</t>
        </is>
      </c>
      <c r="F771" t="inlineStr">
        <is>
          <t>SCA</t>
        </is>
      </c>
      <c r="G771" t="n">
        <v>32.3</v>
      </c>
      <c r="H771" t="n">
        <v>0</v>
      </c>
      <c r="I771" t="n">
        <v>0</v>
      </c>
      <c r="J771" t="n">
        <v>0</v>
      </c>
      <c r="K771" t="n">
        <v>0</v>
      </c>
      <c r="L771" t="n">
        <v>0</v>
      </c>
      <c r="M771" t="n">
        <v>0</v>
      </c>
      <c r="N771" t="n">
        <v>0</v>
      </c>
      <c r="O771" t="n">
        <v>0</v>
      </c>
      <c r="P771" t="n">
        <v>0</v>
      </c>
      <c r="Q771" t="n">
        <v>0</v>
      </c>
      <c r="R771" s="2" t="inlineStr"/>
    </row>
    <row r="772" ht="15" customHeight="1">
      <c r="A772" t="inlineStr">
        <is>
          <t>A 53625-2025</t>
        </is>
      </c>
      <c r="B772" s="1" t="n">
        <v>45960.49020833334</v>
      </c>
      <c r="C772" s="1" t="n">
        <v>45970</v>
      </c>
      <c r="D772" t="inlineStr">
        <is>
          <t>JÄMTLANDS LÄN</t>
        </is>
      </c>
      <c r="E772" t="inlineStr">
        <is>
          <t>BERG</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41098-2023</t>
        </is>
      </c>
      <c r="B773" s="1" t="n">
        <v>45170</v>
      </c>
      <c r="C773" s="1" t="n">
        <v>45970</v>
      </c>
      <c r="D773" t="inlineStr">
        <is>
          <t>JÄMTLANDS LÄN</t>
        </is>
      </c>
      <c r="E773" t="inlineStr">
        <is>
          <t>BERG</t>
        </is>
      </c>
      <c r="G773" t="n">
        <v>3.1</v>
      </c>
      <c r="H773" t="n">
        <v>0</v>
      </c>
      <c r="I773" t="n">
        <v>0</v>
      </c>
      <c r="J773" t="n">
        <v>0</v>
      </c>
      <c r="K773" t="n">
        <v>0</v>
      </c>
      <c r="L773" t="n">
        <v>0</v>
      </c>
      <c r="M773" t="n">
        <v>0</v>
      </c>
      <c r="N773" t="n">
        <v>0</v>
      </c>
      <c r="O773" t="n">
        <v>0</v>
      </c>
      <c r="P773" t="n">
        <v>0</v>
      </c>
      <c r="Q773" t="n">
        <v>0</v>
      </c>
      <c r="R773" s="2" t="inlineStr"/>
    </row>
    <row r="774" ht="15" customHeight="1">
      <c r="A774" t="inlineStr">
        <is>
          <t>A 53712-2025</t>
        </is>
      </c>
      <c r="B774" s="1" t="n">
        <v>45960.61547453704</v>
      </c>
      <c r="C774" s="1" t="n">
        <v>45970</v>
      </c>
      <c r="D774" t="inlineStr">
        <is>
          <t>JÄMTLANDS LÄN</t>
        </is>
      </c>
      <c r="E774" t="inlineStr">
        <is>
          <t>BERG</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41106-2023</t>
        </is>
      </c>
      <c r="B775" s="1" t="n">
        <v>45170</v>
      </c>
      <c r="C775" s="1" t="n">
        <v>45970</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40415-2023</t>
        </is>
      </c>
      <c r="B776" s="1" t="n">
        <v>45169.93925925926</v>
      </c>
      <c r="C776" s="1" t="n">
        <v>45970</v>
      </c>
      <c r="D776" t="inlineStr">
        <is>
          <t>JÄMTLANDS LÄN</t>
        </is>
      </c>
      <c r="E776" t="inlineStr">
        <is>
          <t>BERG</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54998-2023</t>
        </is>
      </c>
      <c r="B777" s="1" t="n">
        <v>45236</v>
      </c>
      <c r="C777" s="1" t="n">
        <v>45970</v>
      </c>
      <c r="D777" t="inlineStr">
        <is>
          <t>JÄMTLANDS LÄN</t>
        </is>
      </c>
      <c r="E777" t="inlineStr">
        <is>
          <t>BERG</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44572-2025</t>
        </is>
      </c>
      <c r="B778" s="1" t="n">
        <v>45917</v>
      </c>
      <c r="C778" s="1" t="n">
        <v>45970</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32160-2025</t>
        </is>
      </c>
      <c r="B779" s="1" t="n">
        <v>45835.54142361111</v>
      </c>
      <c r="C779" s="1" t="n">
        <v>45970</v>
      </c>
      <c r="D779" t="inlineStr">
        <is>
          <t>JÄMTLANDS LÄN</t>
        </is>
      </c>
      <c r="E779" t="inlineStr">
        <is>
          <t>BERG</t>
        </is>
      </c>
      <c r="G779" t="n">
        <v>10.3</v>
      </c>
      <c r="H779" t="n">
        <v>0</v>
      </c>
      <c r="I779" t="n">
        <v>0</v>
      </c>
      <c r="J779" t="n">
        <v>0</v>
      </c>
      <c r="K779" t="n">
        <v>0</v>
      </c>
      <c r="L779" t="n">
        <v>0</v>
      </c>
      <c r="M779" t="n">
        <v>0</v>
      </c>
      <c r="N779" t="n">
        <v>0</v>
      </c>
      <c r="O779" t="n">
        <v>0</v>
      </c>
      <c r="P779" t="n">
        <v>0</v>
      </c>
      <c r="Q779" t="n">
        <v>0</v>
      </c>
      <c r="R779" s="2" t="inlineStr"/>
    </row>
    <row r="780" ht="15" customHeight="1">
      <c r="A780" t="inlineStr">
        <is>
          <t>A 26944-2022</t>
        </is>
      </c>
      <c r="B780" s="1" t="n">
        <v>44740</v>
      </c>
      <c r="C780" s="1" t="n">
        <v>45970</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63819-2023</t>
        </is>
      </c>
      <c r="B781" s="1" t="n">
        <v>45278.44128472222</v>
      </c>
      <c r="C781" s="1" t="n">
        <v>45970</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32919-2025</t>
        </is>
      </c>
      <c r="B782" s="1" t="n">
        <v>45839.64721064815</v>
      </c>
      <c r="C782" s="1" t="n">
        <v>45970</v>
      </c>
      <c r="D782" t="inlineStr">
        <is>
          <t>JÄMTLANDS LÄN</t>
        </is>
      </c>
      <c r="E782" t="inlineStr">
        <is>
          <t>BERG</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33054-2025</t>
        </is>
      </c>
      <c r="B783" s="1" t="n">
        <v>45840.42746527777</v>
      </c>
      <c r="C783" s="1" t="n">
        <v>45970</v>
      </c>
      <c r="D783" t="inlineStr">
        <is>
          <t>JÄMTLANDS LÄN</t>
        </is>
      </c>
      <c r="E783" t="inlineStr">
        <is>
          <t>BERG</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44088-2021</t>
        </is>
      </c>
      <c r="B784" s="1" t="n">
        <v>44434</v>
      </c>
      <c r="C784" s="1" t="n">
        <v>45970</v>
      </c>
      <c r="D784" t="inlineStr">
        <is>
          <t>JÄMTLANDS LÄN</t>
        </is>
      </c>
      <c r="E784" t="inlineStr">
        <is>
          <t>BERG</t>
        </is>
      </c>
      <c r="G784" t="n">
        <v>1.1</v>
      </c>
      <c r="H784" t="n">
        <v>0</v>
      </c>
      <c r="I784" t="n">
        <v>0</v>
      </c>
      <c r="J784" t="n">
        <v>0</v>
      </c>
      <c r="K784" t="n">
        <v>0</v>
      </c>
      <c r="L784" t="n">
        <v>0</v>
      </c>
      <c r="M784" t="n">
        <v>0</v>
      </c>
      <c r="N784" t="n">
        <v>0</v>
      </c>
      <c r="O784" t="n">
        <v>0</v>
      </c>
      <c r="P784" t="n">
        <v>0</v>
      </c>
      <c r="Q784" t="n">
        <v>0</v>
      </c>
      <c r="R784" s="2" t="inlineStr"/>
    </row>
    <row r="785" ht="15" customHeight="1">
      <c r="A785" t="inlineStr">
        <is>
          <t>A 44811-2025</t>
        </is>
      </c>
      <c r="B785" s="1" t="n">
        <v>45918.37195601852</v>
      </c>
      <c r="C785" s="1" t="n">
        <v>45970</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53305-2025</t>
        </is>
      </c>
      <c r="B786" s="1" t="n">
        <v>45959.334375</v>
      </c>
      <c r="C786" s="1" t="n">
        <v>45970</v>
      </c>
      <c r="D786" t="inlineStr">
        <is>
          <t>JÄMTLANDS LÄN</t>
        </is>
      </c>
      <c r="E786" t="inlineStr">
        <is>
          <t>BERG</t>
        </is>
      </c>
      <c r="G786" t="n">
        <v>3.3</v>
      </c>
      <c r="H786" t="n">
        <v>0</v>
      </c>
      <c r="I786" t="n">
        <v>0</v>
      </c>
      <c r="J786" t="n">
        <v>0</v>
      </c>
      <c r="K786" t="n">
        <v>0</v>
      </c>
      <c r="L786" t="n">
        <v>0</v>
      </c>
      <c r="M786" t="n">
        <v>0</v>
      </c>
      <c r="N786" t="n">
        <v>0</v>
      </c>
      <c r="O786" t="n">
        <v>0</v>
      </c>
      <c r="P786" t="n">
        <v>0</v>
      </c>
      <c r="Q786" t="n">
        <v>0</v>
      </c>
      <c r="R786" s="2" t="inlineStr"/>
    </row>
    <row r="787" ht="15" customHeight="1">
      <c r="A787" t="inlineStr">
        <is>
          <t>A 39510-2023</t>
        </is>
      </c>
      <c r="B787" s="1" t="n">
        <v>45166</v>
      </c>
      <c r="C787" s="1" t="n">
        <v>45970</v>
      </c>
      <c r="D787" t="inlineStr">
        <is>
          <t>JÄMTLANDS LÄN</t>
        </is>
      </c>
      <c r="E787" t="inlineStr">
        <is>
          <t>BERG</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19513-2025</t>
        </is>
      </c>
      <c r="B788" s="1" t="n">
        <v>45770.42762731481</v>
      </c>
      <c r="C788" s="1" t="n">
        <v>45970</v>
      </c>
      <c r="D788" t="inlineStr">
        <is>
          <t>JÄMTLANDS LÄN</t>
        </is>
      </c>
      <c r="E788" t="inlineStr">
        <is>
          <t>BERG</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1596-2024</t>
        </is>
      </c>
      <c r="B789" s="1" t="n">
        <v>45306</v>
      </c>
      <c r="C789" s="1" t="n">
        <v>45970</v>
      </c>
      <c r="D789" t="inlineStr">
        <is>
          <t>JÄMTLANDS LÄN</t>
        </is>
      </c>
      <c r="E789" t="inlineStr">
        <is>
          <t>BERG</t>
        </is>
      </c>
      <c r="G789" t="n">
        <v>0.8</v>
      </c>
      <c r="H789" t="n">
        <v>0</v>
      </c>
      <c r="I789" t="n">
        <v>0</v>
      </c>
      <c r="J789" t="n">
        <v>0</v>
      </c>
      <c r="K789" t="n">
        <v>0</v>
      </c>
      <c r="L789" t="n">
        <v>0</v>
      </c>
      <c r="M789" t="n">
        <v>0</v>
      </c>
      <c r="N789" t="n">
        <v>0</v>
      </c>
      <c r="O789" t="n">
        <v>0</v>
      </c>
      <c r="P789" t="n">
        <v>0</v>
      </c>
      <c r="Q789" t="n">
        <v>0</v>
      </c>
      <c r="R789" s="2" t="inlineStr"/>
    </row>
    <row r="790" ht="15" customHeight="1">
      <c r="A790" t="inlineStr">
        <is>
          <t>A 28403-2025</t>
        </is>
      </c>
      <c r="B790" s="1" t="n">
        <v>45819</v>
      </c>
      <c r="C790" s="1" t="n">
        <v>45970</v>
      </c>
      <c r="D790" t="inlineStr">
        <is>
          <t>JÄMTLANDS LÄN</t>
        </is>
      </c>
      <c r="E790" t="inlineStr">
        <is>
          <t>BERG</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32713-2025</t>
        </is>
      </c>
      <c r="B791" s="1" t="n">
        <v>45839.36935185185</v>
      </c>
      <c r="C791" s="1" t="n">
        <v>45970</v>
      </c>
      <c r="D791" t="inlineStr">
        <is>
          <t>JÄMTLANDS LÄN</t>
        </is>
      </c>
      <c r="E791" t="inlineStr">
        <is>
          <t>BERG</t>
        </is>
      </c>
      <c r="G791" t="n">
        <v>1.5</v>
      </c>
      <c r="H791" t="n">
        <v>0</v>
      </c>
      <c r="I791" t="n">
        <v>0</v>
      </c>
      <c r="J791" t="n">
        <v>0</v>
      </c>
      <c r="K791" t="n">
        <v>0</v>
      </c>
      <c r="L791" t="n">
        <v>0</v>
      </c>
      <c r="M791" t="n">
        <v>0</v>
      </c>
      <c r="N791" t="n">
        <v>0</v>
      </c>
      <c r="O791" t="n">
        <v>0</v>
      </c>
      <c r="P791" t="n">
        <v>0</v>
      </c>
      <c r="Q791" t="n">
        <v>0</v>
      </c>
      <c r="R791" s="2" t="inlineStr"/>
    </row>
    <row r="792" ht="15" customHeight="1">
      <c r="A792" t="inlineStr">
        <is>
          <t>A 36192-2024</t>
        </is>
      </c>
      <c r="B792" s="1" t="n">
        <v>45534.42809027778</v>
      </c>
      <c r="C792" s="1" t="n">
        <v>45970</v>
      </c>
      <c r="D792" t="inlineStr">
        <is>
          <t>JÄMTLANDS LÄN</t>
        </is>
      </c>
      <c r="E792" t="inlineStr">
        <is>
          <t>BERG</t>
        </is>
      </c>
      <c r="G792" t="n">
        <v>1.4</v>
      </c>
      <c r="H792" t="n">
        <v>0</v>
      </c>
      <c r="I792" t="n">
        <v>0</v>
      </c>
      <c r="J792" t="n">
        <v>0</v>
      </c>
      <c r="K792" t="n">
        <v>0</v>
      </c>
      <c r="L792" t="n">
        <v>0</v>
      </c>
      <c r="M792" t="n">
        <v>0</v>
      </c>
      <c r="N792" t="n">
        <v>0</v>
      </c>
      <c r="O792" t="n">
        <v>0</v>
      </c>
      <c r="P792" t="n">
        <v>0</v>
      </c>
      <c r="Q792" t="n">
        <v>0</v>
      </c>
      <c r="R792" s="2" t="inlineStr"/>
    </row>
    <row r="793" ht="15" customHeight="1">
      <c r="A793" t="inlineStr">
        <is>
          <t>A 33753-2025</t>
        </is>
      </c>
      <c r="B793" s="1" t="n">
        <v>45842.37199074074</v>
      </c>
      <c r="C793" s="1" t="n">
        <v>45970</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33748-2025</t>
        </is>
      </c>
      <c r="B794" s="1" t="n">
        <v>45842.35685185185</v>
      </c>
      <c r="C794" s="1" t="n">
        <v>45970</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44697-2025</t>
        </is>
      </c>
      <c r="B795" s="1" t="n">
        <v>45917.59888888889</v>
      </c>
      <c r="C795" s="1" t="n">
        <v>45970</v>
      </c>
      <c r="D795" t="inlineStr">
        <is>
          <t>JÄMTLANDS LÄN</t>
        </is>
      </c>
      <c r="E795" t="inlineStr">
        <is>
          <t>BERG</t>
        </is>
      </c>
      <c r="G795" t="n">
        <v>2.6</v>
      </c>
      <c r="H795" t="n">
        <v>0</v>
      </c>
      <c r="I795" t="n">
        <v>0</v>
      </c>
      <c r="J795" t="n">
        <v>0</v>
      </c>
      <c r="K795" t="n">
        <v>0</v>
      </c>
      <c r="L795" t="n">
        <v>0</v>
      </c>
      <c r="M795" t="n">
        <v>0</v>
      </c>
      <c r="N795" t="n">
        <v>0</v>
      </c>
      <c r="O795" t="n">
        <v>0</v>
      </c>
      <c r="P795" t="n">
        <v>0</v>
      </c>
      <c r="Q795" t="n">
        <v>0</v>
      </c>
      <c r="R795" s="2" t="inlineStr"/>
    </row>
    <row r="796" ht="15" customHeight="1">
      <c r="A796" t="inlineStr">
        <is>
          <t>A 4527-2025</t>
        </is>
      </c>
      <c r="B796" s="1" t="n">
        <v>45686</v>
      </c>
      <c r="C796" s="1" t="n">
        <v>45970</v>
      </c>
      <c r="D796" t="inlineStr">
        <is>
          <t>JÄMTLANDS LÄN</t>
        </is>
      </c>
      <c r="E796" t="inlineStr">
        <is>
          <t>BERG</t>
        </is>
      </c>
      <c r="G796" t="n">
        <v>17.8</v>
      </c>
      <c r="H796" t="n">
        <v>0</v>
      </c>
      <c r="I796" t="n">
        <v>0</v>
      </c>
      <c r="J796" t="n">
        <v>0</v>
      </c>
      <c r="K796" t="n">
        <v>0</v>
      </c>
      <c r="L796" t="n">
        <v>0</v>
      </c>
      <c r="M796" t="n">
        <v>0</v>
      </c>
      <c r="N796" t="n">
        <v>0</v>
      </c>
      <c r="O796" t="n">
        <v>0</v>
      </c>
      <c r="P796" t="n">
        <v>0</v>
      </c>
      <c r="Q796" t="n">
        <v>0</v>
      </c>
      <c r="R796" s="2" t="inlineStr"/>
    </row>
    <row r="797" ht="15" customHeight="1">
      <c r="A797" t="inlineStr">
        <is>
          <t>A 33750-2025</t>
        </is>
      </c>
      <c r="B797" s="1" t="n">
        <v>45842.36243055556</v>
      </c>
      <c r="C797" s="1" t="n">
        <v>45970</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166-2024</t>
        </is>
      </c>
      <c r="B798" s="1" t="n">
        <v>45294</v>
      </c>
      <c r="C798" s="1" t="n">
        <v>45970</v>
      </c>
      <c r="D798" t="inlineStr">
        <is>
          <t>JÄMTLANDS LÄN</t>
        </is>
      </c>
      <c r="E798" t="inlineStr">
        <is>
          <t>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8722-2024</t>
        </is>
      </c>
      <c r="B799" s="1" t="n">
        <v>45355</v>
      </c>
      <c r="C799" s="1" t="n">
        <v>45970</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8726-2024</t>
        </is>
      </c>
      <c r="B800" s="1" t="n">
        <v>45355</v>
      </c>
      <c r="C800" s="1" t="n">
        <v>45970</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34036-2025</t>
        </is>
      </c>
      <c r="B801" s="1" t="n">
        <v>45845.36954861111</v>
      </c>
      <c r="C801" s="1" t="n">
        <v>45970</v>
      </c>
      <c r="D801" t="inlineStr">
        <is>
          <t>JÄMTLANDS LÄN</t>
        </is>
      </c>
      <c r="E801" t="inlineStr">
        <is>
          <t>BERG</t>
        </is>
      </c>
      <c r="G801" t="n">
        <v>4.8</v>
      </c>
      <c r="H801" t="n">
        <v>0</v>
      </c>
      <c r="I801" t="n">
        <v>0</v>
      </c>
      <c r="J801" t="n">
        <v>0</v>
      </c>
      <c r="K801" t="n">
        <v>0</v>
      </c>
      <c r="L801" t="n">
        <v>0</v>
      </c>
      <c r="M801" t="n">
        <v>0</v>
      </c>
      <c r="N801" t="n">
        <v>0</v>
      </c>
      <c r="O801" t="n">
        <v>0</v>
      </c>
      <c r="P801" t="n">
        <v>0</v>
      </c>
      <c r="Q801" t="n">
        <v>0</v>
      </c>
      <c r="R801" s="2" t="inlineStr"/>
    </row>
    <row r="802" ht="15" customHeight="1">
      <c r="A802" t="inlineStr">
        <is>
          <t>A 34030-2025</t>
        </is>
      </c>
      <c r="B802" s="1" t="n">
        <v>45845.3633912037</v>
      </c>
      <c r="C802" s="1" t="n">
        <v>45970</v>
      </c>
      <c r="D802" t="inlineStr">
        <is>
          <t>JÄMTLANDS LÄN</t>
        </is>
      </c>
      <c r="E802" t="inlineStr">
        <is>
          <t>BERG</t>
        </is>
      </c>
      <c r="G802" t="n">
        <v>13.5</v>
      </c>
      <c r="H802" t="n">
        <v>0</v>
      </c>
      <c r="I802" t="n">
        <v>0</v>
      </c>
      <c r="J802" t="n">
        <v>0</v>
      </c>
      <c r="K802" t="n">
        <v>0</v>
      </c>
      <c r="L802" t="n">
        <v>0</v>
      </c>
      <c r="M802" t="n">
        <v>0</v>
      </c>
      <c r="N802" t="n">
        <v>0</v>
      </c>
      <c r="O802" t="n">
        <v>0</v>
      </c>
      <c r="P802" t="n">
        <v>0</v>
      </c>
      <c r="Q802" t="n">
        <v>0</v>
      </c>
      <c r="R802" s="2" t="inlineStr"/>
    </row>
    <row r="803" ht="15" customHeight="1">
      <c r="A803" t="inlineStr">
        <is>
          <t>A 7040-2024</t>
        </is>
      </c>
      <c r="B803" s="1" t="n">
        <v>45343</v>
      </c>
      <c r="C803" s="1" t="n">
        <v>45970</v>
      </c>
      <c r="D803" t="inlineStr">
        <is>
          <t>JÄMTLANDS LÄN</t>
        </is>
      </c>
      <c r="E803" t="inlineStr">
        <is>
          <t>BERG</t>
        </is>
      </c>
      <c r="G803" t="n">
        <v>15.9</v>
      </c>
      <c r="H803" t="n">
        <v>0</v>
      </c>
      <c r="I803" t="n">
        <v>0</v>
      </c>
      <c r="J803" t="n">
        <v>0</v>
      </c>
      <c r="K803" t="n">
        <v>0</v>
      </c>
      <c r="L803" t="n">
        <v>0</v>
      </c>
      <c r="M803" t="n">
        <v>0</v>
      </c>
      <c r="N803" t="n">
        <v>0</v>
      </c>
      <c r="O803" t="n">
        <v>0</v>
      </c>
      <c r="P803" t="n">
        <v>0</v>
      </c>
      <c r="Q803" t="n">
        <v>0</v>
      </c>
      <c r="R803" s="2" t="inlineStr"/>
    </row>
    <row r="804" ht="15" customHeight="1">
      <c r="A804" t="inlineStr">
        <is>
          <t>A 5215-2024</t>
        </is>
      </c>
      <c r="B804" s="1" t="n">
        <v>45330</v>
      </c>
      <c r="C804" s="1" t="n">
        <v>45970</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14341-2025</t>
        </is>
      </c>
      <c r="B805" s="1" t="n">
        <v>45741.26008101852</v>
      </c>
      <c r="C805" s="1" t="n">
        <v>45970</v>
      </c>
      <c r="D805" t="inlineStr">
        <is>
          <t>JÄMTLANDS LÄN</t>
        </is>
      </c>
      <c r="E805" t="inlineStr">
        <is>
          <t>BERG</t>
        </is>
      </c>
      <c r="G805" t="n">
        <v>3.8</v>
      </c>
      <c r="H805" t="n">
        <v>0</v>
      </c>
      <c r="I805" t="n">
        <v>0</v>
      </c>
      <c r="J805" t="n">
        <v>0</v>
      </c>
      <c r="K805" t="n">
        <v>0</v>
      </c>
      <c r="L805" t="n">
        <v>0</v>
      </c>
      <c r="M805" t="n">
        <v>0</v>
      </c>
      <c r="N805" t="n">
        <v>0</v>
      </c>
      <c r="O805" t="n">
        <v>0</v>
      </c>
      <c r="P805" t="n">
        <v>0</v>
      </c>
      <c r="Q805" t="n">
        <v>0</v>
      </c>
      <c r="R805" s="2" t="inlineStr"/>
    </row>
    <row r="806" ht="15" customHeight="1">
      <c r="A806" t="inlineStr">
        <is>
          <t>A 57669-2024</t>
        </is>
      </c>
      <c r="B806" s="1" t="n">
        <v>45630.62520833333</v>
      </c>
      <c r="C806" s="1" t="n">
        <v>45970</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45570-2025</t>
        </is>
      </c>
      <c r="B807" s="1" t="n">
        <v>45922.65715277778</v>
      </c>
      <c r="C807" s="1" t="n">
        <v>45970</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45129-2025</t>
        </is>
      </c>
      <c r="B808" s="1" t="n">
        <v>45919.43584490741</v>
      </c>
      <c r="C808" s="1" t="n">
        <v>45970</v>
      </c>
      <c r="D808" t="inlineStr">
        <is>
          <t>JÄMTLANDS LÄN</t>
        </is>
      </c>
      <c r="E808" t="inlineStr">
        <is>
          <t>BERG</t>
        </is>
      </c>
      <c r="F808" t="inlineStr">
        <is>
          <t>Övriga Aktiebolag</t>
        </is>
      </c>
      <c r="G808" t="n">
        <v>3.3</v>
      </c>
      <c r="H808" t="n">
        <v>0</v>
      </c>
      <c r="I808" t="n">
        <v>0</v>
      </c>
      <c r="J808" t="n">
        <v>0</v>
      </c>
      <c r="K808" t="n">
        <v>0</v>
      </c>
      <c r="L808" t="n">
        <v>0</v>
      </c>
      <c r="M808" t="n">
        <v>0</v>
      </c>
      <c r="N808" t="n">
        <v>0</v>
      </c>
      <c r="O808" t="n">
        <v>0</v>
      </c>
      <c r="P808" t="n">
        <v>0</v>
      </c>
      <c r="Q808" t="n">
        <v>0</v>
      </c>
      <c r="R808" s="2" t="inlineStr"/>
    </row>
    <row r="809" ht="15" customHeight="1">
      <c r="A809" t="inlineStr">
        <is>
          <t>A 45150-2025</t>
        </is>
      </c>
      <c r="B809" s="1" t="n">
        <v>45919.47131944444</v>
      </c>
      <c r="C809" s="1" t="n">
        <v>45970</v>
      </c>
      <c r="D809" t="inlineStr">
        <is>
          <t>JÄMTLANDS LÄN</t>
        </is>
      </c>
      <c r="E809" t="inlineStr">
        <is>
          <t>BERG</t>
        </is>
      </c>
      <c r="F809" t="inlineStr">
        <is>
          <t>Övriga Aktiebolag</t>
        </is>
      </c>
      <c r="G809" t="n">
        <v>9.6</v>
      </c>
      <c r="H809" t="n">
        <v>0</v>
      </c>
      <c r="I809" t="n">
        <v>0</v>
      </c>
      <c r="J809" t="n">
        <v>0</v>
      </c>
      <c r="K809" t="n">
        <v>0</v>
      </c>
      <c r="L809" t="n">
        <v>0</v>
      </c>
      <c r="M809" t="n">
        <v>0</v>
      </c>
      <c r="N809" t="n">
        <v>0</v>
      </c>
      <c r="O809" t="n">
        <v>0</v>
      </c>
      <c r="P809" t="n">
        <v>0</v>
      </c>
      <c r="Q809" t="n">
        <v>0</v>
      </c>
      <c r="R809" s="2" t="inlineStr"/>
    </row>
    <row r="810" ht="15" customHeight="1">
      <c r="A810" t="inlineStr">
        <is>
          <t>A 31131-2024</t>
        </is>
      </c>
      <c r="B810" s="1" t="n">
        <v>45502</v>
      </c>
      <c r="C810" s="1" t="n">
        <v>45970</v>
      </c>
      <c r="D810" t="inlineStr">
        <is>
          <t>JÄMTLANDS LÄN</t>
        </is>
      </c>
      <c r="E810" t="inlineStr">
        <is>
          <t>BERG</t>
        </is>
      </c>
      <c r="G810" t="n">
        <v>2.1</v>
      </c>
      <c r="H810" t="n">
        <v>0</v>
      </c>
      <c r="I810" t="n">
        <v>0</v>
      </c>
      <c r="J810" t="n">
        <v>0</v>
      </c>
      <c r="K810" t="n">
        <v>0</v>
      </c>
      <c r="L810" t="n">
        <v>0</v>
      </c>
      <c r="M810" t="n">
        <v>0</v>
      </c>
      <c r="N810" t="n">
        <v>0</v>
      </c>
      <c r="O810" t="n">
        <v>0</v>
      </c>
      <c r="P810" t="n">
        <v>0</v>
      </c>
      <c r="Q810" t="n">
        <v>0</v>
      </c>
      <c r="R810" s="2" t="inlineStr"/>
    </row>
    <row r="811" ht="15" customHeight="1">
      <c r="A811" t="inlineStr">
        <is>
          <t>A 31154-2024</t>
        </is>
      </c>
      <c r="B811" s="1" t="n">
        <v>45503.32976851852</v>
      </c>
      <c r="C811" s="1" t="n">
        <v>45970</v>
      </c>
      <c r="D811" t="inlineStr">
        <is>
          <t>JÄMTLANDS LÄN</t>
        </is>
      </c>
      <c r="E811" t="inlineStr">
        <is>
          <t>BERG</t>
        </is>
      </c>
      <c r="G811" t="n">
        <v>2.3</v>
      </c>
      <c r="H811" t="n">
        <v>0</v>
      </c>
      <c r="I811" t="n">
        <v>0</v>
      </c>
      <c r="J811" t="n">
        <v>0</v>
      </c>
      <c r="K811" t="n">
        <v>0</v>
      </c>
      <c r="L811" t="n">
        <v>0</v>
      </c>
      <c r="M811" t="n">
        <v>0</v>
      </c>
      <c r="N811" t="n">
        <v>0</v>
      </c>
      <c r="O811" t="n">
        <v>0</v>
      </c>
      <c r="P811" t="n">
        <v>0</v>
      </c>
      <c r="Q811" t="n">
        <v>0</v>
      </c>
      <c r="R811" s="2" t="inlineStr"/>
    </row>
    <row r="812" ht="15" customHeight="1">
      <c r="A812" t="inlineStr">
        <is>
          <t>A 34892-2025</t>
        </is>
      </c>
      <c r="B812" s="1" t="n">
        <v>45849.49047453704</v>
      </c>
      <c r="C812" s="1" t="n">
        <v>45970</v>
      </c>
      <c r="D812" t="inlineStr">
        <is>
          <t>JÄMTLANDS LÄN</t>
        </is>
      </c>
      <c r="E812" t="inlineStr">
        <is>
          <t>BERG</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45254-2025</t>
        </is>
      </c>
      <c r="B813" s="1" t="n">
        <v>45919.61523148148</v>
      </c>
      <c r="C813" s="1" t="n">
        <v>45970</v>
      </c>
      <c r="D813" t="inlineStr">
        <is>
          <t>JÄMTLANDS LÄN</t>
        </is>
      </c>
      <c r="E813" t="inlineStr">
        <is>
          <t>BERG</t>
        </is>
      </c>
      <c r="G813" t="n">
        <v>0.9</v>
      </c>
      <c r="H813" t="n">
        <v>0</v>
      </c>
      <c r="I813" t="n">
        <v>0</v>
      </c>
      <c r="J813" t="n">
        <v>0</v>
      </c>
      <c r="K813" t="n">
        <v>0</v>
      </c>
      <c r="L813" t="n">
        <v>0</v>
      </c>
      <c r="M813" t="n">
        <v>0</v>
      </c>
      <c r="N813" t="n">
        <v>0</v>
      </c>
      <c r="O813" t="n">
        <v>0</v>
      </c>
      <c r="P813" t="n">
        <v>0</v>
      </c>
      <c r="Q813" t="n">
        <v>0</v>
      </c>
      <c r="R813" s="2" t="inlineStr"/>
    </row>
    <row r="814" ht="15" customHeight="1">
      <c r="A814" t="inlineStr">
        <is>
          <t>A 19538-2023</t>
        </is>
      </c>
      <c r="B814" s="1" t="n">
        <v>45050</v>
      </c>
      <c r="C814" s="1" t="n">
        <v>45970</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13473-2025</t>
        </is>
      </c>
      <c r="B815" s="1" t="n">
        <v>45736.40671296296</v>
      </c>
      <c r="C815" s="1" t="n">
        <v>45970</v>
      </c>
      <c r="D815" t="inlineStr">
        <is>
          <t>JÄMTLANDS LÄN</t>
        </is>
      </c>
      <c r="E815" t="inlineStr">
        <is>
          <t>BERG</t>
        </is>
      </c>
      <c r="F815" t="inlineStr">
        <is>
          <t>SCA</t>
        </is>
      </c>
      <c r="G815" t="n">
        <v>13.7</v>
      </c>
      <c r="H815" t="n">
        <v>0</v>
      </c>
      <c r="I815" t="n">
        <v>0</v>
      </c>
      <c r="J815" t="n">
        <v>0</v>
      </c>
      <c r="K815" t="n">
        <v>0</v>
      </c>
      <c r="L815" t="n">
        <v>0</v>
      </c>
      <c r="M815" t="n">
        <v>0</v>
      </c>
      <c r="N815" t="n">
        <v>0</v>
      </c>
      <c r="O815" t="n">
        <v>0</v>
      </c>
      <c r="P815" t="n">
        <v>0</v>
      </c>
      <c r="Q815" t="n">
        <v>0</v>
      </c>
      <c r="R815" s="2" t="inlineStr"/>
    </row>
    <row r="816" ht="15" customHeight="1">
      <c r="A816" t="inlineStr">
        <is>
          <t>A 35183-2025</t>
        </is>
      </c>
      <c r="B816" s="1" t="n">
        <v>45853.29931712963</v>
      </c>
      <c r="C816" s="1" t="n">
        <v>45970</v>
      </c>
      <c r="D816" t="inlineStr">
        <is>
          <t>JÄMTLANDS LÄN</t>
        </is>
      </c>
      <c r="E816" t="inlineStr">
        <is>
          <t>BERG</t>
        </is>
      </c>
      <c r="G816" t="n">
        <v>2.8</v>
      </c>
      <c r="H816" t="n">
        <v>0</v>
      </c>
      <c r="I816" t="n">
        <v>0</v>
      </c>
      <c r="J816" t="n">
        <v>0</v>
      </c>
      <c r="K816" t="n">
        <v>0</v>
      </c>
      <c r="L816" t="n">
        <v>0</v>
      </c>
      <c r="M816" t="n">
        <v>0</v>
      </c>
      <c r="N816" t="n">
        <v>0</v>
      </c>
      <c r="O816" t="n">
        <v>0</v>
      </c>
      <c r="P816" t="n">
        <v>0</v>
      </c>
      <c r="Q816" t="n">
        <v>0</v>
      </c>
      <c r="R816" s="2" t="inlineStr"/>
    </row>
    <row r="817" ht="15" customHeight="1">
      <c r="A817" t="inlineStr">
        <is>
          <t>A 35363-2025</t>
        </is>
      </c>
      <c r="B817" s="1" t="n">
        <v>45854.67538194444</v>
      </c>
      <c r="C817" s="1" t="n">
        <v>45970</v>
      </c>
      <c r="D817" t="inlineStr">
        <is>
          <t>JÄMTLANDS LÄN</t>
        </is>
      </c>
      <c r="E817" t="inlineStr">
        <is>
          <t>BERG</t>
        </is>
      </c>
      <c r="G817" t="n">
        <v>9.5</v>
      </c>
      <c r="H817" t="n">
        <v>0</v>
      </c>
      <c r="I817" t="n">
        <v>0</v>
      </c>
      <c r="J817" t="n">
        <v>0</v>
      </c>
      <c r="K817" t="n">
        <v>0</v>
      </c>
      <c r="L817" t="n">
        <v>0</v>
      </c>
      <c r="M817" t="n">
        <v>0</v>
      </c>
      <c r="N817" t="n">
        <v>0</v>
      </c>
      <c r="O817" t="n">
        <v>0</v>
      </c>
      <c r="P817" t="n">
        <v>0</v>
      </c>
      <c r="Q817" t="n">
        <v>0</v>
      </c>
      <c r="R817" s="2" t="inlineStr"/>
    </row>
    <row r="818" ht="15" customHeight="1">
      <c r="A818" t="inlineStr">
        <is>
          <t>A 45249-2025</t>
        </is>
      </c>
      <c r="B818" s="1" t="n">
        <v>45919.61225694444</v>
      </c>
      <c r="C818" s="1" t="n">
        <v>45970</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18551-2025</t>
        </is>
      </c>
      <c r="B819" s="1" t="n">
        <v>45763.43650462963</v>
      </c>
      <c r="C819" s="1" t="n">
        <v>45970</v>
      </c>
      <c r="D819" t="inlineStr">
        <is>
          <t>JÄMTLANDS LÄN</t>
        </is>
      </c>
      <c r="E819" t="inlineStr">
        <is>
          <t>BERG</t>
        </is>
      </c>
      <c r="G819" t="n">
        <v>3.5</v>
      </c>
      <c r="H819" t="n">
        <v>0</v>
      </c>
      <c r="I819" t="n">
        <v>0</v>
      </c>
      <c r="J819" t="n">
        <v>0</v>
      </c>
      <c r="K819" t="n">
        <v>0</v>
      </c>
      <c r="L819" t="n">
        <v>0</v>
      </c>
      <c r="M819" t="n">
        <v>0</v>
      </c>
      <c r="N819" t="n">
        <v>0</v>
      </c>
      <c r="O819" t="n">
        <v>0</v>
      </c>
      <c r="P819" t="n">
        <v>0</v>
      </c>
      <c r="Q819" t="n">
        <v>0</v>
      </c>
      <c r="R819" s="2" t="inlineStr"/>
    </row>
    <row r="820" ht="15" customHeight="1">
      <c r="A820" t="inlineStr">
        <is>
          <t>A 35213-2025</t>
        </is>
      </c>
      <c r="B820" s="1" t="n">
        <v>45853.46494212963</v>
      </c>
      <c r="C820" s="1" t="n">
        <v>45970</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35184-2025</t>
        </is>
      </c>
      <c r="B821" s="1" t="n">
        <v>45853.30270833334</v>
      </c>
      <c r="C821" s="1" t="n">
        <v>45970</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16491-2023</t>
        </is>
      </c>
      <c r="B822" s="1" t="n">
        <v>45027</v>
      </c>
      <c r="C822" s="1" t="n">
        <v>45970</v>
      </c>
      <c r="D822" t="inlineStr">
        <is>
          <t>JÄMTLANDS LÄN</t>
        </is>
      </c>
      <c r="E822" t="inlineStr">
        <is>
          <t>BERG</t>
        </is>
      </c>
      <c r="G822" t="n">
        <v>2.5</v>
      </c>
      <c r="H822" t="n">
        <v>0</v>
      </c>
      <c r="I822" t="n">
        <v>0</v>
      </c>
      <c r="J822" t="n">
        <v>0</v>
      </c>
      <c r="K822" t="n">
        <v>0</v>
      </c>
      <c r="L822" t="n">
        <v>0</v>
      </c>
      <c r="M822" t="n">
        <v>0</v>
      </c>
      <c r="N822" t="n">
        <v>0</v>
      </c>
      <c r="O822" t="n">
        <v>0</v>
      </c>
      <c r="P822" t="n">
        <v>0</v>
      </c>
      <c r="Q822" t="n">
        <v>0</v>
      </c>
      <c r="R822" s="2" t="inlineStr"/>
    </row>
    <row r="823" ht="15" customHeight="1">
      <c r="A823" t="inlineStr">
        <is>
          <t>A 35360-2025</t>
        </is>
      </c>
      <c r="B823" s="1" t="n">
        <v>45854.66877314815</v>
      </c>
      <c r="C823" s="1" t="n">
        <v>45970</v>
      </c>
      <c r="D823" t="inlineStr">
        <is>
          <t>JÄMTLANDS LÄN</t>
        </is>
      </c>
      <c r="E823" t="inlineStr">
        <is>
          <t>BERG</t>
        </is>
      </c>
      <c r="G823" t="n">
        <v>3.7</v>
      </c>
      <c r="H823" t="n">
        <v>0</v>
      </c>
      <c r="I823" t="n">
        <v>0</v>
      </c>
      <c r="J823" t="n">
        <v>0</v>
      </c>
      <c r="K823" t="n">
        <v>0</v>
      </c>
      <c r="L823" t="n">
        <v>0</v>
      </c>
      <c r="M823" t="n">
        <v>0</v>
      </c>
      <c r="N823" t="n">
        <v>0</v>
      </c>
      <c r="O823" t="n">
        <v>0</v>
      </c>
      <c r="P823" t="n">
        <v>0</v>
      </c>
      <c r="Q823" t="n">
        <v>0</v>
      </c>
      <c r="R823" s="2" t="inlineStr"/>
    </row>
    <row r="824" ht="15" customHeight="1">
      <c r="A824" t="inlineStr">
        <is>
          <t>A 8239-2024</t>
        </is>
      </c>
      <c r="B824" s="1" t="n">
        <v>45351</v>
      </c>
      <c r="C824" s="1" t="n">
        <v>45970</v>
      </c>
      <c r="D824" t="inlineStr">
        <is>
          <t>JÄMTLANDS LÄN</t>
        </is>
      </c>
      <c r="E824" t="inlineStr">
        <is>
          <t>BERG</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64247-2023</t>
        </is>
      </c>
      <c r="B825" s="1" t="n">
        <v>45279.92739583334</v>
      </c>
      <c r="C825" s="1" t="n">
        <v>45970</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35576-2025</t>
        </is>
      </c>
      <c r="B826" s="1" t="n">
        <v>45856.63608796296</v>
      </c>
      <c r="C826" s="1" t="n">
        <v>45970</v>
      </c>
      <c r="D826" t="inlineStr">
        <is>
          <t>JÄMTLANDS LÄN</t>
        </is>
      </c>
      <c r="E826" t="inlineStr">
        <is>
          <t>BERG</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62555-2023</t>
        </is>
      </c>
      <c r="B827" s="1" t="n">
        <v>45268.9262962963</v>
      </c>
      <c r="C827" s="1" t="n">
        <v>45970</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45109-2025</t>
        </is>
      </c>
      <c r="B828" s="1" t="n">
        <v>45919.41850694444</v>
      </c>
      <c r="C828" s="1" t="n">
        <v>45970</v>
      </c>
      <c r="D828" t="inlineStr">
        <is>
          <t>JÄMTLANDS LÄN</t>
        </is>
      </c>
      <c r="E828" t="inlineStr">
        <is>
          <t>BERG</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36-2024</t>
        </is>
      </c>
      <c r="B829" s="1" t="n">
        <v>45293</v>
      </c>
      <c r="C829" s="1" t="n">
        <v>45970</v>
      </c>
      <c r="D829" t="inlineStr">
        <is>
          <t>JÄMTLANDS LÄN</t>
        </is>
      </c>
      <c r="E829" t="inlineStr">
        <is>
          <t>BERG</t>
        </is>
      </c>
      <c r="G829" t="n">
        <v>2.6</v>
      </c>
      <c r="H829" t="n">
        <v>0</v>
      </c>
      <c r="I829" t="n">
        <v>0</v>
      </c>
      <c r="J829" t="n">
        <v>0</v>
      </c>
      <c r="K829" t="n">
        <v>0</v>
      </c>
      <c r="L829" t="n">
        <v>0</v>
      </c>
      <c r="M829" t="n">
        <v>0</v>
      </c>
      <c r="N829" t="n">
        <v>0</v>
      </c>
      <c r="O829" t="n">
        <v>0</v>
      </c>
      <c r="P829" t="n">
        <v>0</v>
      </c>
      <c r="Q829" t="n">
        <v>0</v>
      </c>
      <c r="R829" s="2" t="inlineStr"/>
    </row>
    <row r="830" ht="15" customHeight="1">
      <c r="A830" t="inlineStr">
        <is>
          <t>A 45568-2025</t>
        </is>
      </c>
      <c r="B830" s="1" t="n">
        <v>45922.65672453704</v>
      </c>
      <c r="C830" s="1" t="n">
        <v>45970</v>
      </c>
      <c r="D830" t="inlineStr">
        <is>
          <t>JÄMTLANDS LÄN</t>
        </is>
      </c>
      <c r="E830" t="inlineStr">
        <is>
          <t>BERG</t>
        </is>
      </c>
      <c r="F830" t="inlineStr">
        <is>
          <t>SCA</t>
        </is>
      </c>
      <c r="G830" t="n">
        <v>7.8</v>
      </c>
      <c r="H830" t="n">
        <v>0</v>
      </c>
      <c r="I830" t="n">
        <v>0</v>
      </c>
      <c r="J830" t="n">
        <v>0</v>
      </c>
      <c r="K830" t="n">
        <v>0</v>
      </c>
      <c r="L830" t="n">
        <v>0</v>
      </c>
      <c r="M830" t="n">
        <v>0</v>
      </c>
      <c r="N830" t="n">
        <v>0</v>
      </c>
      <c r="O830" t="n">
        <v>0</v>
      </c>
      <c r="P830" t="n">
        <v>0</v>
      </c>
      <c r="Q830" t="n">
        <v>0</v>
      </c>
      <c r="R830" s="2" t="inlineStr"/>
    </row>
    <row r="831" ht="15" customHeight="1">
      <c r="A831" t="inlineStr">
        <is>
          <t>A 45390-2025</t>
        </is>
      </c>
      <c r="B831" s="1" t="n">
        <v>45922.40762731482</v>
      </c>
      <c r="C831" s="1" t="n">
        <v>45970</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31079-2024</t>
        </is>
      </c>
      <c r="B832" s="1" t="n">
        <v>45502.46423611111</v>
      </c>
      <c r="C832" s="1" t="n">
        <v>45970</v>
      </c>
      <c r="D832" t="inlineStr">
        <is>
          <t>JÄMTLANDS LÄN</t>
        </is>
      </c>
      <c r="E832" t="inlineStr">
        <is>
          <t>BERG</t>
        </is>
      </c>
      <c r="G832" t="n">
        <v>2.5</v>
      </c>
      <c r="H832" t="n">
        <v>0</v>
      </c>
      <c r="I832" t="n">
        <v>0</v>
      </c>
      <c r="J832" t="n">
        <v>0</v>
      </c>
      <c r="K832" t="n">
        <v>0</v>
      </c>
      <c r="L832" t="n">
        <v>0</v>
      </c>
      <c r="M832" t="n">
        <v>0</v>
      </c>
      <c r="N832" t="n">
        <v>0</v>
      </c>
      <c r="O832" t="n">
        <v>0</v>
      </c>
      <c r="P832" t="n">
        <v>0</v>
      </c>
      <c r="Q832" t="n">
        <v>0</v>
      </c>
      <c r="R832" s="2" t="inlineStr"/>
    </row>
    <row r="833" ht="15" customHeight="1">
      <c r="A833" t="inlineStr">
        <is>
          <t>A 35691-2025</t>
        </is>
      </c>
      <c r="B833" s="1" t="n">
        <v>45860.344375</v>
      </c>
      <c r="C833" s="1" t="n">
        <v>45970</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35681-2025</t>
        </is>
      </c>
      <c r="B834" s="1" t="n">
        <v>45859.77703703703</v>
      </c>
      <c r="C834" s="1" t="n">
        <v>45970</v>
      </c>
      <c r="D834" t="inlineStr">
        <is>
          <t>JÄMTLANDS LÄN</t>
        </is>
      </c>
      <c r="E834" t="inlineStr">
        <is>
          <t>BERG</t>
        </is>
      </c>
      <c r="G834" t="n">
        <v>27</v>
      </c>
      <c r="H834" t="n">
        <v>0</v>
      </c>
      <c r="I834" t="n">
        <v>0</v>
      </c>
      <c r="J834" t="n">
        <v>0</v>
      </c>
      <c r="K834" t="n">
        <v>0</v>
      </c>
      <c r="L834" t="n">
        <v>0</v>
      </c>
      <c r="M834" t="n">
        <v>0</v>
      </c>
      <c r="N834" t="n">
        <v>0</v>
      </c>
      <c r="O834" t="n">
        <v>0</v>
      </c>
      <c r="P834" t="n">
        <v>0</v>
      </c>
      <c r="Q834" t="n">
        <v>0</v>
      </c>
      <c r="R834" s="2" t="inlineStr"/>
    </row>
    <row r="835" ht="15" customHeight="1">
      <c r="A835" t="inlineStr">
        <is>
          <t>A 35684-2025</t>
        </is>
      </c>
      <c r="B835" s="1" t="n">
        <v>45859.88079861111</v>
      </c>
      <c r="C835" s="1" t="n">
        <v>45970</v>
      </c>
      <c r="D835" t="inlineStr">
        <is>
          <t>JÄMTLANDS LÄN</t>
        </is>
      </c>
      <c r="E835" t="inlineStr">
        <is>
          <t>BERG</t>
        </is>
      </c>
      <c r="G835" t="n">
        <v>6.1</v>
      </c>
      <c r="H835" t="n">
        <v>0</v>
      </c>
      <c r="I835" t="n">
        <v>0</v>
      </c>
      <c r="J835" t="n">
        <v>0</v>
      </c>
      <c r="K835" t="n">
        <v>0</v>
      </c>
      <c r="L835" t="n">
        <v>0</v>
      </c>
      <c r="M835" t="n">
        <v>0</v>
      </c>
      <c r="N835" t="n">
        <v>0</v>
      </c>
      <c r="O835" t="n">
        <v>0</v>
      </c>
      <c r="P835" t="n">
        <v>0</v>
      </c>
      <c r="Q835" t="n">
        <v>0</v>
      </c>
      <c r="R835" s="2" t="inlineStr"/>
    </row>
    <row r="836" ht="15" customHeight="1">
      <c r="A836" t="inlineStr">
        <is>
          <t>A 45459-2025</t>
        </is>
      </c>
      <c r="B836" s="1" t="n">
        <v>45922.49230324074</v>
      </c>
      <c r="C836" s="1" t="n">
        <v>45970</v>
      </c>
      <c r="D836" t="inlineStr">
        <is>
          <t>JÄMTLANDS LÄN</t>
        </is>
      </c>
      <c r="E836" t="inlineStr">
        <is>
          <t>BERG</t>
        </is>
      </c>
      <c r="F836" t="inlineStr">
        <is>
          <t>Kyrkan</t>
        </is>
      </c>
      <c r="G836" t="n">
        <v>8</v>
      </c>
      <c r="H836" t="n">
        <v>0</v>
      </c>
      <c r="I836" t="n">
        <v>0</v>
      </c>
      <c r="J836" t="n">
        <v>0</v>
      </c>
      <c r="K836" t="n">
        <v>0</v>
      </c>
      <c r="L836" t="n">
        <v>0</v>
      </c>
      <c r="M836" t="n">
        <v>0</v>
      </c>
      <c r="N836" t="n">
        <v>0</v>
      </c>
      <c r="O836" t="n">
        <v>0</v>
      </c>
      <c r="P836" t="n">
        <v>0</v>
      </c>
      <c r="Q836" t="n">
        <v>0</v>
      </c>
      <c r="R836" s="2" t="inlineStr"/>
    </row>
    <row r="837" ht="15" customHeight="1">
      <c r="A837" t="inlineStr">
        <is>
          <t>A 16002-2025</t>
        </is>
      </c>
      <c r="B837" s="1" t="n">
        <v>45749.59398148148</v>
      </c>
      <c r="C837" s="1" t="n">
        <v>45970</v>
      </c>
      <c r="D837" t="inlineStr">
        <is>
          <t>JÄMTLANDS LÄN</t>
        </is>
      </c>
      <c r="E837" t="inlineStr">
        <is>
          <t>BERG</t>
        </is>
      </c>
      <c r="G837" t="n">
        <v>0.7</v>
      </c>
      <c r="H837" t="n">
        <v>0</v>
      </c>
      <c r="I837" t="n">
        <v>0</v>
      </c>
      <c r="J837" t="n">
        <v>0</v>
      </c>
      <c r="K837" t="n">
        <v>0</v>
      </c>
      <c r="L837" t="n">
        <v>0</v>
      </c>
      <c r="M837" t="n">
        <v>0</v>
      </c>
      <c r="N837" t="n">
        <v>0</v>
      </c>
      <c r="O837" t="n">
        <v>0</v>
      </c>
      <c r="P837" t="n">
        <v>0</v>
      </c>
      <c r="Q837" t="n">
        <v>0</v>
      </c>
      <c r="R837" s="2" t="inlineStr"/>
    </row>
    <row r="838" ht="15" customHeight="1">
      <c r="A838" t="inlineStr">
        <is>
          <t>A 35683-2025</t>
        </is>
      </c>
      <c r="B838" s="1" t="n">
        <v>45859</v>
      </c>
      <c r="C838" s="1" t="n">
        <v>45970</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45171-2025</t>
        </is>
      </c>
      <c r="B839" s="1" t="n">
        <v>45919.50256944444</v>
      </c>
      <c r="C839" s="1" t="n">
        <v>45970</v>
      </c>
      <c r="D839" t="inlineStr">
        <is>
          <t>JÄMTLANDS LÄN</t>
        </is>
      </c>
      <c r="E839" t="inlineStr">
        <is>
          <t>BERG</t>
        </is>
      </c>
      <c r="F839" t="inlineStr">
        <is>
          <t>Övriga Aktiebolag</t>
        </is>
      </c>
      <c r="G839" t="n">
        <v>10.7</v>
      </c>
      <c r="H839" t="n">
        <v>0</v>
      </c>
      <c r="I839" t="n">
        <v>0</v>
      </c>
      <c r="J839" t="n">
        <v>0</v>
      </c>
      <c r="K839" t="n">
        <v>0</v>
      </c>
      <c r="L839" t="n">
        <v>0</v>
      </c>
      <c r="M839" t="n">
        <v>0</v>
      </c>
      <c r="N839" t="n">
        <v>0</v>
      </c>
      <c r="O839" t="n">
        <v>0</v>
      </c>
      <c r="P839" t="n">
        <v>0</v>
      </c>
      <c r="Q839" t="n">
        <v>0</v>
      </c>
      <c r="R839" s="2" t="inlineStr"/>
    </row>
    <row r="840" ht="15" customHeight="1">
      <c r="A840" t="inlineStr">
        <is>
          <t>A 14226-2021</t>
        </is>
      </c>
      <c r="B840" s="1" t="n">
        <v>44277</v>
      </c>
      <c r="C840" s="1" t="n">
        <v>45970</v>
      </c>
      <c r="D840" t="inlineStr">
        <is>
          <t>JÄMTLANDS LÄN</t>
        </is>
      </c>
      <c r="E840" t="inlineStr">
        <is>
          <t>BERG</t>
        </is>
      </c>
      <c r="G840" t="n">
        <v>23.7</v>
      </c>
      <c r="H840" t="n">
        <v>0</v>
      </c>
      <c r="I840" t="n">
        <v>0</v>
      </c>
      <c r="J840" t="n">
        <v>0</v>
      </c>
      <c r="K840" t="n">
        <v>0</v>
      </c>
      <c r="L840" t="n">
        <v>0</v>
      </c>
      <c r="M840" t="n">
        <v>0</v>
      </c>
      <c r="N840" t="n">
        <v>0</v>
      </c>
      <c r="O840" t="n">
        <v>0</v>
      </c>
      <c r="P840" t="n">
        <v>0</v>
      </c>
      <c r="Q840" t="n">
        <v>0</v>
      </c>
      <c r="R840" s="2" t="inlineStr"/>
    </row>
    <row r="841" ht="15" customHeight="1">
      <c r="A841" t="inlineStr">
        <is>
          <t>A 36142-2025</t>
        </is>
      </c>
      <c r="B841" s="1" t="n">
        <v>45866</v>
      </c>
      <c r="C841" s="1" t="n">
        <v>45970</v>
      </c>
      <c r="D841" t="inlineStr">
        <is>
          <t>JÄMTLANDS LÄN</t>
        </is>
      </c>
      <c r="E841" t="inlineStr">
        <is>
          <t>BERG</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14431-2025</t>
        </is>
      </c>
      <c r="B842" s="1" t="n">
        <v>45741</v>
      </c>
      <c r="C842" s="1" t="n">
        <v>45970</v>
      </c>
      <c r="D842" t="inlineStr">
        <is>
          <t>JÄMTLANDS LÄN</t>
        </is>
      </c>
      <c r="E842" t="inlineStr">
        <is>
          <t>BERG</t>
        </is>
      </c>
      <c r="G842" t="n">
        <v>1.7</v>
      </c>
      <c r="H842" t="n">
        <v>0</v>
      </c>
      <c r="I842" t="n">
        <v>0</v>
      </c>
      <c r="J842" t="n">
        <v>0</v>
      </c>
      <c r="K842" t="n">
        <v>0</v>
      </c>
      <c r="L842" t="n">
        <v>0</v>
      </c>
      <c r="M842" t="n">
        <v>0</v>
      </c>
      <c r="N842" t="n">
        <v>0</v>
      </c>
      <c r="O842" t="n">
        <v>0</v>
      </c>
      <c r="P842" t="n">
        <v>0</v>
      </c>
      <c r="Q842" t="n">
        <v>0</v>
      </c>
      <c r="R842" s="2" t="inlineStr"/>
    </row>
    <row r="843" ht="15" customHeight="1">
      <c r="A843" t="inlineStr">
        <is>
          <t>A 43137-2025</t>
        </is>
      </c>
      <c r="B843" s="1" t="n">
        <v>45909.85438657407</v>
      </c>
      <c r="C843" s="1" t="n">
        <v>45970</v>
      </c>
      <c r="D843" t="inlineStr">
        <is>
          <t>JÄMTLANDS LÄN</t>
        </is>
      </c>
      <c r="E843" t="inlineStr">
        <is>
          <t>BERG</t>
        </is>
      </c>
      <c r="F843" t="inlineStr">
        <is>
          <t>Övriga statliga verk och myndigheter</t>
        </is>
      </c>
      <c r="G843" t="n">
        <v>11.6</v>
      </c>
      <c r="H843" t="n">
        <v>0</v>
      </c>
      <c r="I843" t="n">
        <v>0</v>
      </c>
      <c r="J843" t="n">
        <v>0</v>
      </c>
      <c r="K843" t="n">
        <v>0</v>
      </c>
      <c r="L843" t="n">
        <v>0</v>
      </c>
      <c r="M843" t="n">
        <v>0</v>
      </c>
      <c r="N843" t="n">
        <v>0</v>
      </c>
      <c r="O843" t="n">
        <v>0</v>
      </c>
      <c r="P843" t="n">
        <v>0</v>
      </c>
      <c r="Q843" t="n">
        <v>0</v>
      </c>
      <c r="R843" s="2" t="inlineStr"/>
    </row>
    <row r="844" ht="15" customHeight="1">
      <c r="A844" t="inlineStr">
        <is>
          <t>A 36377-2025</t>
        </is>
      </c>
      <c r="B844" s="1" t="n">
        <v>45868.57342592593</v>
      </c>
      <c r="C844" s="1" t="n">
        <v>45970</v>
      </c>
      <c r="D844" t="inlineStr">
        <is>
          <t>JÄMTLANDS LÄN</t>
        </is>
      </c>
      <c r="E844" t="inlineStr">
        <is>
          <t>BERG</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22030-2025</t>
        </is>
      </c>
      <c r="B845" s="1" t="n">
        <v>45785.25814814815</v>
      </c>
      <c r="C845" s="1" t="n">
        <v>45970</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36896-2025</t>
        </is>
      </c>
      <c r="B846" s="1" t="n">
        <v>45874.4740625</v>
      </c>
      <c r="C846" s="1" t="n">
        <v>45970</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8251-2023</t>
        </is>
      </c>
      <c r="B847" s="1" t="n">
        <v>44974</v>
      </c>
      <c r="C847" s="1" t="n">
        <v>45970</v>
      </c>
      <c r="D847" t="inlineStr">
        <is>
          <t>JÄMTLANDS LÄN</t>
        </is>
      </c>
      <c r="E847" t="inlineStr">
        <is>
          <t>BERG</t>
        </is>
      </c>
      <c r="G847" t="n">
        <v>1.7</v>
      </c>
      <c r="H847" t="n">
        <v>0</v>
      </c>
      <c r="I847" t="n">
        <v>0</v>
      </c>
      <c r="J847" t="n">
        <v>0</v>
      </c>
      <c r="K847" t="n">
        <v>0</v>
      </c>
      <c r="L847" t="n">
        <v>0</v>
      </c>
      <c r="M847" t="n">
        <v>0</v>
      </c>
      <c r="N847" t="n">
        <v>0</v>
      </c>
      <c r="O847" t="n">
        <v>0</v>
      </c>
      <c r="P847" t="n">
        <v>0</v>
      </c>
      <c r="Q847" t="n">
        <v>0</v>
      </c>
      <c r="R847" s="2" t="inlineStr"/>
    </row>
    <row r="848" ht="15" customHeight="1">
      <c r="A848" t="inlineStr">
        <is>
          <t>A 57905-2024</t>
        </is>
      </c>
      <c r="B848" s="1" t="n">
        <v>45631.48989583334</v>
      </c>
      <c r="C848" s="1" t="n">
        <v>45970</v>
      </c>
      <c r="D848" t="inlineStr">
        <is>
          <t>JÄMTLANDS LÄN</t>
        </is>
      </c>
      <c r="E848" t="inlineStr">
        <is>
          <t>BERG</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36714-2025</t>
        </is>
      </c>
      <c r="B849" s="1" t="n">
        <v>45873.46881944445</v>
      </c>
      <c r="C849" s="1" t="n">
        <v>45970</v>
      </c>
      <c r="D849" t="inlineStr">
        <is>
          <t>JÄMTLANDS LÄN</t>
        </is>
      </c>
      <c r="E849" t="inlineStr">
        <is>
          <t>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53859-2025</t>
        </is>
      </c>
      <c r="B850" s="1" t="n">
        <v>45961</v>
      </c>
      <c r="C850" s="1" t="n">
        <v>45970</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45970</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45970</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45970</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54852-2025</t>
        </is>
      </c>
      <c r="B854" s="1" t="n">
        <v>45966.71946759259</v>
      </c>
      <c r="C854" s="1" t="n">
        <v>45970</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45640-2025</t>
        </is>
      </c>
      <c r="B855" s="1" t="n">
        <v>45922.961875</v>
      </c>
      <c r="C855" s="1" t="n">
        <v>45970</v>
      </c>
      <c r="D855" t="inlineStr">
        <is>
          <t>JÄMTLANDS LÄN</t>
        </is>
      </c>
      <c r="E855" t="inlineStr">
        <is>
          <t>BERG</t>
        </is>
      </c>
      <c r="G855" t="n">
        <v>2.3</v>
      </c>
      <c r="H855" t="n">
        <v>0</v>
      </c>
      <c r="I855" t="n">
        <v>0</v>
      </c>
      <c r="J855" t="n">
        <v>0</v>
      </c>
      <c r="K855" t="n">
        <v>0</v>
      </c>
      <c r="L855" t="n">
        <v>0</v>
      </c>
      <c r="M855" t="n">
        <v>0</v>
      </c>
      <c r="N855" t="n">
        <v>0</v>
      </c>
      <c r="O855" t="n">
        <v>0</v>
      </c>
      <c r="P855" t="n">
        <v>0</v>
      </c>
      <c r="Q855" t="n">
        <v>0</v>
      </c>
      <c r="R855" s="2" t="inlineStr"/>
    </row>
    <row r="856" ht="15" customHeight="1">
      <c r="A856" t="inlineStr">
        <is>
          <t>A 36668-2025</t>
        </is>
      </c>
      <c r="B856" s="1" t="n">
        <v>45873.38351851852</v>
      </c>
      <c r="C856" s="1" t="n">
        <v>45970</v>
      </c>
      <c r="D856" t="inlineStr">
        <is>
          <t>JÄMTLANDS LÄN</t>
        </is>
      </c>
      <c r="E856" t="inlineStr">
        <is>
          <t>BERG</t>
        </is>
      </c>
      <c r="G856" t="n">
        <v>6.7</v>
      </c>
      <c r="H856" t="n">
        <v>0</v>
      </c>
      <c r="I856" t="n">
        <v>0</v>
      </c>
      <c r="J856" t="n">
        <v>0</v>
      </c>
      <c r="K856" t="n">
        <v>0</v>
      </c>
      <c r="L856" t="n">
        <v>0</v>
      </c>
      <c r="M856" t="n">
        <v>0</v>
      </c>
      <c r="N856" t="n">
        <v>0</v>
      </c>
      <c r="O856" t="n">
        <v>0</v>
      </c>
      <c r="P856" t="n">
        <v>0</v>
      </c>
      <c r="Q856" t="n">
        <v>0</v>
      </c>
      <c r="R856" s="2" t="inlineStr"/>
    </row>
    <row r="857" ht="15" customHeight="1">
      <c r="A857" t="inlineStr">
        <is>
          <t>A 36718-2025</t>
        </is>
      </c>
      <c r="B857" s="1" t="n">
        <v>45873.47069444445</v>
      </c>
      <c r="C857" s="1" t="n">
        <v>45970</v>
      </c>
      <c r="D857" t="inlineStr">
        <is>
          <t>JÄMTLANDS LÄN</t>
        </is>
      </c>
      <c r="E857" t="inlineStr">
        <is>
          <t>BERG</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13805-2024</t>
        </is>
      </c>
      <c r="B858" s="1" t="n">
        <v>45390</v>
      </c>
      <c r="C858" s="1" t="n">
        <v>45970</v>
      </c>
      <c r="D858" t="inlineStr">
        <is>
          <t>JÄMTLANDS LÄN</t>
        </is>
      </c>
      <c r="E858" t="inlineStr">
        <is>
          <t>BERG</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45266.95052083334</v>
      </c>
      <c r="C859" s="1" t="n">
        <v>45970</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45266.95074074074</v>
      </c>
      <c r="C860" s="1" t="n">
        <v>45970</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1657-2021</t>
        </is>
      </c>
      <c r="B861" s="1" t="n">
        <v>44209</v>
      </c>
      <c r="C861" s="1" t="n">
        <v>45970</v>
      </c>
      <c r="D861" t="inlineStr">
        <is>
          <t>JÄMTLANDS LÄN</t>
        </is>
      </c>
      <c r="E861" t="inlineStr">
        <is>
          <t>BERG</t>
        </is>
      </c>
      <c r="G861" t="n">
        <v>0.1</v>
      </c>
      <c r="H861" t="n">
        <v>0</v>
      </c>
      <c r="I861" t="n">
        <v>0</v>
      </c>
      <c r="J861" t="n">
        <v>0</v>
      </c>
      <c r="K861" t="n">
        <v>0</v>
      </c>
      <c r="L861" t="n">
        <v>0</v>
      </c>
      <c r="M861" t="n">
        <v>0</v>
      </c>
      <c r="N861" t="n">
        <v>0</v>
      </c>
      <c r="O861" t="n">
        <v>0</v>
      </c>
      <c r="P861" t="n">
        <v>0</v>
      </c>
      <c r="Q861" t="n">
        <v>0</v>
      </c>
      <c r="R861" s="2" t="inlineStr"/>
    </row>
    <row r="862" ht="15" customHeight="1">
      <c r="A862" t="inlineStr">
        <is>
          <t>A 37066-2025</t>
        </is>
      </c>
      <c r="B862" s="1" t="n">
        <v>45875.3862962963</v>
      </c>
      <c r="C862" s="1" t="n">
        <v>45970</v>
      </c>
      <c r="D862" t="inlineStr">
        <is>
          <t>JÄMTLANDS LÄN</t>
        </is>
      </c>
      <c r="E862" t="inlineStr">
        <is>
          <t>BERG</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37201-2025</t>
        </is>
      </c>
      <c r="B863" s="1" t="n">
        <v>45875.67797453704</v>
      </c>
      <c r="C863" s="1" t="n">
        <v>45970</v>
      </c>
      <c r="D863" t="inlineStr">
        <is>
          <t>JÄMTLANDS LÄN</t>
        </is>
      </c>
      <c r="E863" t="inlineStr">
        <is>
          <t>BERG</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37062-2025</t>
        </is>
      </c>
      <c r="B864" s="1" t="n">
        <v>45875.38579861111</v>
      </c>
      <c r="C864" s="1" t="n">
        <v>45970</v>
      </c>
      <c r="D864" t="inlineStr">
        <is>
          <t>JÄMTLANDS LÄN</t>
        </is>
      </c>
      <c r="E864" t="inlineStr">
        <is>
          <t>BERG</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54825-2025</t>
        </is>
      </c>
      <c r="B865" s="1" t="n">
        <v>45966.66768518519</v>
      </c>
      <c r="C865" s="1" t="n">
        <v>45970</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32147-2024</t>
        </is>
      </c>
      <c r="B866" s="1" t="n">
        <v>45511.55600694445</v>
      </c>
      <c r="C866" s="1" t="n">
        <v>45970</v>
      </c>
      <c r="D866" t="inlineStr">
        <is>
          <t>JÄMTLANDS LÄN</t>
        </is>
      </c>
      <c r="E866" t="inlineStr">
        <is>
          <t>BERG</t>
        </is>
      </c>
      <c r="G866" t="n">
        <v>2.3</v>
      </c>
      <c r="H866" t="n">
        <v>0</v>
      </c>
      <c r="I866" t="n">
        <v>0</v>
      </c>
      <c r="J866" t="n">
        <v>0</v>
      </c>
      <c r="K866" t="n">
        <v>0</v>
      </c>
      <c r="L866" t="n">
        <v>0</v>
      </c>
      <c r="M866" t="n">
        <v>0</v>
      </c>
      <c r="N866" t="n">
        <v>0</v>
      </c>
      <c r="O866" t="n">
        <v>0</v>
      </c>
      <c r="P866" t="n">
        <v>0</v>
      </c>
      <c r="Q866" t="n">
        <v>0</v>
      </c>
      <c r="R866" s="2" t="inlineStr"/>
    </row>
    <row r="867" ht="15" customHeight="1">
      <c r="A867" t="inlineStr">
        <is>
          <t>A 32156-2024</t>
        </is>
      </c>
      <c r="B867" s="1" t="n">
        <v>45511</v>
      </c>
      <c r="C867" s="1" t="n">
        <v>45970</v>
      </c>
      <c r="D867" t="inlineStr">
        <is>
          <t>JÄMTLANDS LÄN</t>
        </is>
      </c>
      <c r="E867" t="inlineStr">
        <is>
          <t>BERG</t>
        </is>
      </c>
      <c r="G867" t="n">
        <v>3.4</v>
      </c>
      <c r="H867" t="n">
        <v>0</v>
      </c>
      <c r="I867" t="n">
        <v>0</v>
      </c>
      <c r="J867" t="n">
        <v>0</v>
      </c>
      <c r="K867" t="n">
        <v>0</v>
      </c>
      <c r="L867" t="n">
        <v>0</v>
      </c>
      <c r="M867" t="n">
        <v>0</v>
      </c>
      <c r="N867" t="n">
        <v>0</v>
      </c>
      <c r="O867" t="n">
        <v>0</v>
      </c>
      <c r="P867" t="n">
        <v>0</v>
      </c>
      <c r="Q867" t="n">
        <v>0</v>
      </c>
      <c r="R867" s="2" t="inlineStr"/>
    </row>
    <row r="868" ht="15" customHeight="1">
      <c r="A868" t="inlineStr">
        <is>
          <t>A 36341-2025</t>
        </is>
      </c>
      <c r="B868" s="1" t="n">
        <v>45868</v>
      </c>
      <c r="C868" s="1" t="n">
        <v>45970</v>
      </c>
      <c r="D868" t="inlineStr">
        <is>
          <t>JÄMTLANDS LÄN</t>
        </is>
      </c>
      <c r="E868" t="inlineStr">
        <is>
          <t>BERG</t>
        </is>
      </c>
      <c r="G868" t="n">
        <v>3.1</v>
      </c>
      <c r="H868" t="n">
        <v>0</v>
      </c>
      <c r="I868" t="n">
        <v>0</v>
      </c>
      <c r="J868" t="n">
        <v>0</v>
      </c>
      <c r="K868" t="n">
        <v>0</v>
      </c>
      <c r="L868" t="n">
        <v>0</v>
      </c>
      <c r="M868" t="n">
        <v>0</v>
      </c>
      <c r="N868" t="n">
        <v>0</v>
      </c>
      <c r="O868" t="n">
        <v>0</v>
      </c>
      <c r="P868" t="n">
        <v>0</v>
      </c>
      <c r="Q868" t="n">
        <v>0</v>
      </c>
      <c r="R868" s="2" t="inlineStr"/>
    </row>
    <row r="869" ht="15" customHeight="1">
      <c r="A869" t="inlineStr">
        <is>
          <t>A 45912-2025</t>
        </is>
      </c>
      <c r="B869" s="1" t="n">
        <v>45923</v>
      </c>
      <c r="C869" s="1" t="n">
        <v>45970</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37455-2025</t>
        </is>
      </c>
      <c r="B870" s="1" t="n">
        <v>45877.56710648148</v>
      </c>
      <c r="C870" s="1" t="n">
        <v>45970</v>
      </c>
      <c r="D870" t="inlineStr">
        <is>
          <t>JÄMTLANDS LÄN</t>
        </is>
      </c>
      <c r="E870" t="inlineStr">
        <is>
          <t>BERG</t>
        </is>
      </c>
      <c r="G870" t="n">
        <v>5.6</v>
      </c>
      <c r="H870" t="n">
        <v>0</v>
      </c>
      <c r="I870" t="n">
        <v>0</v>
      </c>
      <c r="J870" t="n">
        <v>0</v>
      </c>
      <c r="K870" t="n">
        <v>0</v>
      </c>
      <c r="L870" t="n">
        <v>0</v>
      </c>
      <c r="M870" t="n">
        <v>0</v>
      </c>
      <c r="N870" t="n">
        <v>0</v>
      </c>
      <c r="O870" t="n">
        <v>0</v>
      </c>
      <c r="P870" t="n">
        <v>0</v>
      </c>
      <c r="Q870" t="n">
        <v>0</v>
      </c>
      <c r="R870" s="2" t="inlineStr"/>
    </row>
    <row r="871" ht="15" customHeight="1">
      <c r="A871" t="inlineStr">
        <is>
          <t>A 39103-2024</t>
        </is>
      </c>
      <c r="B871" s="1" t="n">
        <v>45548.57025462963</v>
      </c>
      <c r="C871" s="1" t="n">
        <v>45970</v>
      </c>
      <c r="D871" t="inlineStr">
        <is>
          <t>JÄMTLANDS LÄN</t>
        </is>
      </c>
      <c r="E871" t="inlineStr">
        <is>
          <t>BERG</t>
        </is>
      </c>
      <c r="G871" t="n">
        <v>38.4</v>
      </c>
      <c r="H871" t="n">
        <v>0</v>
      </c>
      <c r="I871" t="n">
        <v>0</v>
      </c>
      <c r="J871" t="n">
        <v>0</v>
      </c>
      <c r="K871" t="n">
        <v>0</v>
      </c>
      <c r="L871" t="n">
        <v>0</v>
      </c>
      <c r="M871" t="n">
        <v>0</v>
      </c>
      <c r="N871" t="n">
        <v>0</v>
      </c>
      <c r="O871" t="n">
        <v>0</v>
      </c>
      <c r="P871" t="n">
        <v>0</v>
      </c>
      <c r="Q871" t="n">
        <v>0</v>
      </c>
      <c r="R871" s="2" t="inlineStr"/>
    </row>
    <row r="872" ht="15" customHeight="1">
      <c r="A872" t="inlineStr">
        <is>
          <t>A 41782-2024</t>
        </is>
      </c>
      <c r="B872" s="1" t="n">
        <v>45561</v>
      </c>
      <c r="C872" s="1" t="n">
        <v>45970</v>
      </c>
      <c r="D872" t="inlineStr">
        <is>
          <t>JÄMTLANDS LÄN</t>
        </is>
      </c>
      <c r="E872" t="inlineStr">
        <is>
          <t>BERG</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37431-2025</t>
        </is>
      </c>
      <c r="B873" s="1" t="n">
        <v>45877.51092592593</v>
      </c>
      <c r="C873" s="1" t="n">
        <v>45970</v>
      </c>
      <c r="D873" t="inlineStr">
        <is>
          <t>JÄMTLANDS LÄN</t>
        </is>
      </c>
      <c r="E873" t="inlineStr">
        <is>
          <t>BERG</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14728-2025</t>
        </is>
      </c>
      <c r="B874" s="1" t="n">
        <v>45742.63574074074</v>
      </c>
      <c r="C874" s="1" t="n">
        <v>45970</v>
      </c>
      <c r="D874" t="inlineStr">
        <is>
          <t>JÄMTLANDS LÄN</t>
        </is>
      </c>
      <c r="E874" t="inlineStr">
        <is>
          <t>BERG</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37463-2025</t>
        </is>
      </c>
      <c r="B875" s="1" t="n">
        <v>45877.5738425926</v>
      </c>
      <c r="C875" s="1" t="n">
        <v>45970</v>
      </c>
      <c r="D875" t="inlineStr">
        <is>
          <t>JÄMTLANDS LÄN</t>
        </is>
      </c>
      <c r="E875" t="inlineStr">
        <is>
          <t>BERG</t>
        </is>
      </c>
      <c r="F875" t="inlineStr">
        <is>
          <t>SCA</t>
        </is>
      </c>
      <c r="G875" t="n">
        <v>13.3</v>
      </c>
      <c r="H875" t="n">
        <v>0</v>
      </c>
      <c r="I875" t="n">
        <v>0</v>
      </c>
      <c r="J875" t="n">
        <v>0</v>
      </c>
      <c r="K875" t="n">
        <v>0</v>
      </c>
      <c r="L875" t="n">
        <v>0</v>
      </c>
      <c r="M875" t="n">
        <v>0</v>
      </c>
      <c r="N875" t="n">
        <v>0</v>
      </c>
      <c r="O875" t="n">
        <v>0</v>
      </c>
      <c r="P875" t="n">
        <v>0</v>
      </c>
      <c r="Q875" t="n">
        <v>0</v>
      </c>
      <c r="R875" s="2" t="inlineStr"/>
    </row>
    <row r="876" ht="15" customHeight="1">
      <c r="A876" t="inlineStr">
        <is>
          <t>A 12499-2021</t>
        </is>
      </c>
      <c r="B876" s="1" t="n">
        <v>44267</v>
      </c>
      <c r="C876" s="1" t="n">
        <v>45970</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29087-2024</t>
        </is>
      </c>
      <c r="B877" s="1" t="n">
        <v>45481.92946759259</v>
      </c>
      <c r="C877" s="1" t="n">
        <v>45970</v>
      </c>
      <c r="D877" t="inlineStr">
        <is>
          <t>JÄMTLANDS LÄN</t>
        </is>
      </c>
      <c r="E877" t="inlineStr">
        <is>
          <t>BERG</t>
        </is>
      </c>
      <c r="G877" t="n">
        <v>10.7</v>
      </c>
      <c r="H877" t="n">
        <v>0</v>
      </c>
      <c r="I877" t="n">
        <v>0</v>
      </c>
      <c r="J877" t="n">
        <v>0</v>
      </c>
      <c r="K877" t="n">
        <v>0</v>
      </c>
      <c r="L877" t="n">
        <v>0</v>
      </c>
      <c r="M877" t="n">
        <v>0</v>
      </c>
      <c r="N877" t="n">
        <v>0</v>
      </c>
      <c r="O877" t="n">
        <v>0</v>
      </c>
      <c r="P877" t="n">
        <v>0</v>
      </c>
      <c r="Q877" t="n">
        <v>0</v>
      </c>
      <c r="R877" s="2" t="inlineStr"/>
    </row>
    <row r="878" ht="15" customHeight="1">
      <c r="A878" t="inlineStr">
        <is>
          <t>A 45657-2025</t>
        </is>
      </c>
      <c r="B878" s="1" t="n">
        <v>45923.34453703704</v>
      </c>
      <c r="C878" s="1" t="n">
        <v>45970</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37488-2025</t>
        </is>
      </c>
      <c r="B879" s="1" t="n">
        <v>45877.63582175926</v>
      </c>
      <c r="C879" s="1" t="n">
        <v>45970</v>
      </c>
      <c r="D879" t="inlineStr">
        <is>
          <t>JÄMTLANDS LÄN</t>
        </is>
      </c>
      <c r="E879" t="inlineStr">
        <is>
          <t>BERG</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38080-2025</t>
        </is>
      </c>
      <c r="B880" s="1" t="n">
        <v>45882</v>
      </c>
      <c r="C880" s="1" t="n">
        <v>45970</v>
      </c>
      <c r="D880" t="inlineStr">
        <is>
          <t>JÄMTLANDS LÄN</t>
        </is>
      </c>
      <c r="E880" t="inlineStr">
        <is>
          <t>BERG</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38082-2025</t>
        </is>
      </c>
      <c r="B881" s="1" t="n">
        <v>45882</v>
      </c>
      <c r="C881" s="1" t="n">
        <v>45970</v>
      </c>
      <c r="D881" t="inlineStr">
        <is>
          <t>JÄMTLANDS LÄN</t>
        </is>
      </c>
      <c r="E881" t="inlineStr">
        <is>
          <t>BERG</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54720-2025</t>
        </is>
      </c>
      <c r="B882" s="1" t="n">
        <v>45966.53177083333</v>
      </c>
      <c r="C882" s="1" t="n">
        <v>45970</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45970</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45970</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45970</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55223-2025</t>
        </is>
      </c>
      <c r="B886" s="1" t="n">
        <v>45968.59439814815</v>
      </c>
      <c r="C886" s="1" t="n">
        <v>45970</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55043-2025</t>
        </is>
      </c>
      <c r="B887" s="1" t="n">
        <v>45967.65983796296</v>
      </c>
      <c r="C887" s="1" t="n">
        <v>45970</v>
      </c>
      <c r="D887" t="inlineStr">
        <is>
          <t>JÄMTLANDS LÄN</t>
        </is>
      </c>
      <c r="E887" t="inlineStr">
        <is>
          <t>BERG</t>
        </is>
      </c>
      <c r="G887" t="n">
        <v>3</v>
      </c>
      <c r="H887" t="n">
        <v>0</v>
      </c>
      <c r="I887" t="n">
        <v>0</v>
      </c>
      <c r="J887" t="n">
        <v>0</v>
      </c>
      <c r="K887" t="n">
        <v>0</v>
      </c>
      <c r="L887" t="n">
        <v>0</v>
      </c>
      <c r="M887" t="n">
        <v>0</v>
      </c>
      <c r="N887" t="n">
        <v>0</v>
      </c>
      <c r="O887" t="n">
        <v>0</v>
      </c>
      <c r="P887" t="n">
        <v>0</v>
      </c>
      <c r="Q887" t="n">
        <v>0</v>
      </c>
      <c r="R887" s="2" t="inlineStr"/>
    </row>
    <row r="888" ht="15" customHeight="1">
      <c r="A888" t="inlineStr">
        <is>
          <t>A 14772-2021</t>
        </is>
      </c>
      <c r="B888" s="1" t="n">
        <v>44280.62068287037</v>
      </c>
      <c r="C888" s="1" t="n">
        <v>45970</v>
      </c>
      <c r="D888" t="inlineStr">
        <is>
          <t>JÄMTLANDS LÄN</t>
        </is>
      </c>
      <c r="E888" t="inlineStr">
        <is>
          <t>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62340-2020</t>
        </is>
      </c>
      <c r="B889" s="1" t="n">
        <v>44158</v>
      </c>
      <c r="C889" s="1" t="n">
        <v>45970</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22947-2022</t>
        </is>
      </c>
      <c r="B890" s="1" t="n">
        <v>44715.92443287037</v>
      </c>
      <c r="C890" s="1" t="n">
        <v>45970</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55267-2025</t>
        </is>
      </c>
      <c r="B891" s="1" t="n">
        <v>45968.66726851852</v>
      </c>
      <c r="C891" s="1" t="n">
        <v>45970</v>
      </c>
      <c r="D891" t="inlineStr">
        <is>
          <t>JÄMTLANDS LÄN</t>
        </is>
      </c>
      <c r="E891" t="inlineStr">
        <is>
          <t>BERG</t>
        </is>
      </c>
      <c r="G891" t="n">
        <v>1.4</v>
      </c>
      <c r="H891" t="n">
        <v>0</v>
      </c>
      <c r="I891" t="n">
        <v>0</v>
      </c>
      <c r="J891" t="n">
        <v>0</v>
      </c>
      <c r="K891" t="n">
        <v>0</v>
      </c>
      <c r="L891" t="n">
        <v>0</v>
      </c>
      <c r="M891" t="n">
        <v>0</v>
      </c>
      <c r="N891" t="n">
        <v>0</v>
      </c>
      <c r="O891" t="n">
        <v>0</v>
      </c>
      <c r="P891" t="n">
        <v>0</v>
      </c>
      <c r="Q891" t="n">
        <v>0</v>
      </c>
      <c r="R891" s="2" t="inlineStr"/>
    </row>
    <row r="892" ht="15" customHeight="1">
      <c r="A892" t="inlineStr">
        <is>
          <t>A 46811-2025</t>
        </is>
      </c>
      <c r="B892" s="1" t="n">
        <v>45926.69831018519</v>
      </c>
      <c r="C892" s="1" t="n">
        <v>45970</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55022-2025</t>
        </is>
      </c>
      <c r="B893" s="1" t="n">
        <v>45967.62862268519</v>
      </c>
      <c r="C893" s="1" t="n">
        <v>45970</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c r="A894" t="inlineStr">
        <is>
          <t>A 55224-2025</t>
        </is>
      </c>
      <c r="B894" s="1" t="n">
        <v>45968.59447916667</v>
      </c>
      <c r="C894" s="1" t="n">
        <v>45970</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2025-11-09T10:08:19Z</dcterms:created>
  <dcterms:modified xmlns:dcterms="http://purl.org/dc/terms/" xmlns:xsi="http://www.w3.org/2001/XMLSchema-instance" xsi:type="dcterms:W3CDTF">2025-11-09T10:08:20Z</dcterms:modified>
</cp:coreProperties>
</file>