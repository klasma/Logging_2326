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46048</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46048</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46048</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46048</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46048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46048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46048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46048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46048</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46048</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57244-2025</t>
        </is>
      </c>
      <c r="B21" s="1" t="n">
        <v>45979.63030092593</v>
      </c>
      <c r="C21" s="1" t="n">
        <v>46048</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46048</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46048</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46048</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46048</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46048</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46048</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46048</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17109-2024</t>
        </is>
      </c>
      <c r="B29" s="1" t="n">
        <v>45412</v>
      </c>
      <c r="C29" s="1" t="n">
        <v>46048</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46048</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3187-2025</t>
        </is>
      </c>
      <c r="B31" s="1" t="n">
        <v>45679.40699074074</v>
      </c>
      <c r="C31" s="1" t="n">
        <v>46048</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37754-2025</t>
        </is>
      </c>
      <c r="B32" s="1" t="n">
        <v>45880.67747685185</v>
      </c>
      <c r="C32" s="1" t="n">
        <v>46048</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46048</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46048</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46048</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7483-2023</t>
        </is>
      </c>
      <c r="B36" s="1" t="n">
        <v>44966</v>
      </c>
      <c r="C36" s="1" t="n">
        <v>46048</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39007-2025</t>
        </is>
      </c>
      <c r="B37" s="1" t="n">
        <v>45888.34524305556</v>
      </c>
      <c r="C37" s="1" t="n">
        <v>46048</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7473-2023</t>
        </is>
      </c>
      <c r="B38" s="1" t="n">
        <v>44966</v>
      </c>
      <c r="C38" s="1" t="n">
        <v>46048</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51911-2025</t>
        </is>
      </c>
      <c r="B39" s="1" t="n">
        <v>45952.46920138889</v>
      </c>
      <c r="C39" s="1" t="n">
        <v>46048</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20809-2025</t>
        </is>
      </c>
      <c r="B40" s="1" t="n">
        <v>45776</v>
      </c>
      <c r="C40" s="1" t="n">
        <v>46048</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16246-2024</t>
        </is>
      </c>
      <c r="B41" s="1" t="n">
        <v>45407.05788194444</v>
      </c>
      <c r="C41" s="1" t="n">
        <v>46048</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43991-2023</t>
        </is>
      </c>
      <c r="B42" s="1" t="n">
        <v>45187</v>
      </c>
      <c r="C42" s="1" t="n">
        <v>46048</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49797-2025</t>
        </is>
      </c>
      <c r="B43" s="1" t="n">
        <v>45940.40804398148</v>
      </c>
      <c r="C43" s="1" t="n">
        <v>46048</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39288-2025</t>
        </is>
      </c>
      <c r="B44" s="1" t="n">
        <v>45889</v>
      </c>
      <c r="C44" s="1" t="n">
        <v>46048</v>
      </c>
      <c r="D44" t="inlineStr">
        <is>
          <t>JÄMTLANDS LÄN</t>
        </is>
      </c>
      <c r="E44" t="inlineStr">
        <is>
          <t>BERG</t>
        </is>
      </c>
      <c r="G44" t="n">
        <v>10.3</v>
      </c>
      <c r="H44" t="n">
        <v>3</v>
      </c>
      <c r="I44" t="n">
        <v>0</v>
      </c>
      <c r="J44" t="n">
        <v>6</v>
      </c>
      <c r="K44" t="n">
        <v>1</v>
      </c>
      <c r="L44" t="n">
        <v>0</v>
      </c>
      <c r="M44" t="n">
        <v>0</v>
      </c>
      <c r="N44" t="n">
        <v>0</v>
      </c>
      <c r="O44" t="n">
        <v>7</v>
      </c>
      <c r="P44" t="n">
        <v>1</v>
      </c>
      <c r="Q44" t="n">
        <v>8</v>
      </c>
      <c r="R44" s="2" t="inlineStr">
        <is>
          <t>Smalskaftslav
Brunpudrad nållav
Granticka
Harticka
Spillkråka
Tretåig hackspett
Ullticka
Lavskrika</t>
        </is>
      </c>
      <c r="S44">
        <f>HYPERLINK("https://klasma.github.io/Logging_2326/artfynd/A 39288-2025 artfynd.xlsx", "A 39288-2025")</f>
        <v/>
      </c>
      <c r="T44">
        <f>HYPERLINK("https://klasma.github.io/Logging_2326/kartor/A 39288-2025 karta.png", "A 39288-2025")</f>
        <v/>
      </c>
      <c r="U44">
        <f>HYPERLINK("https://klasma.github.io/Logging_2326/knärot/A 39288-2025 karta knärot.png", "A 39288-2025")</f>
        <v/>
      </c>
      <c r="V44">
        <f>HYPERLINK("https://klasma.github.io/Logging_2326/klagomål/A 39288-2025 FSC-klagomål.docx", "A 39288-2025")</f>
        <v/>
      </c>
      <c r="W44">
        <f>HYPERLINK("https://klasma.github.io/Logging_2326/klagomålsmail/A 39288-2025 FSC-klagomål mail.docx", "A 39288-2025")</f>
        <v/>
      </c>
      <c r="X44">
        <f>HYPERLINK("https://klasma.github.io/Logging_2326/tillsyn/A 39288-2025 tillsynsbegäran.docx", "A 39288-2025")</f>
        <v/>
      </c>
      <c r="Y44">
        <f>HYPERLINK("https://klasma.github.io/Logging_2326/tillsynsmail/A 39288-2025 tillsynsbegäran mail.docx", "A 39288-2025")</f>
        <v/>
      </c>
      <c r="Z44">
        <f>HYPERLINK("https://klasma.github.io/Logging_2326/fåglar/A 39288-2025 prioriterade fågelarter.docx", "A 39288-2025")</f>
        <v/>
      </c>
    </row>
    <row r="45" ht="15" customHeight="1">
      <c r="A45" t="inlineStr">
        <is>
          <t>A 16811-2021</t>
        </is>
      </c>
      <c r="B45" s="1" t="n">
        <v>44293</v>
      </c>
      <c r="C45" s="1" t="n">
        <v>46048</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21519-2025</t>
        </is>
      </c>
      <c r="B46" s="1" t="n">
        <v>45782</v>
      </c>
      <c r="C46" s="1" t="n">
        <v>46048</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37406-2022</t>
        </is>
      </c>
      <c r="B47" s="1" t="n">
        <v>44806</v>
      </c>
      <c r="C47" s="1" t="n">
        <v>46048</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56364-2024</t>
        </is>
      </c>
      <c r="B48" s="1" t="n">
        <v>45625.32383101852</v>
      </c>
      <c r="C48" s="1" t="n">
        <v>46048</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46048</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40860-2025</t>
        </is>
      </c>
      <c r="B50" s="1" t="n">
        <v>45897.56300925926</v>
      </c>
      <c r="C50" s="1" t="n">
        <v>46048</v>
      </c>
      <c r="D50" t="inlineStr">
        <is>
          <t>JÄMTLANDS LÄN</t>
        </is>
      </c>
      <c r="E50" t="inlineStr">
        <is>
          <t>BERG</t>
        </is>
      </c>
      <c r="G50" t="n">
        <v>1.6</v>
      </c>
      <c r="H50" t="n">
        <v>1</v>
      </c>
      <c r="I50" t="n">
        <v>2</v>
      </c>
      <c r="J50" t="n">
        <v>4</v>
      </c>
      <c r="K50" t="n">
        <v>0</v>
      </c>
      <c r="L50" t="n">
        <v>0</v>
      </c>
      <c r="M50" t="n">
        <v>0</v>
      </c>
      <c r="N50" t="n">
        <v>0</v>
      </c>
      <c r="O50" t="n">
        <v>4</v>
      </c>
      <c r="P50" t="n">
        <v>0</v>
      </c>
      <c r="Q50" t="n">
        <v>7</v>
      </c>
      <c r="R50" s="2" t="inlineStr">
        <is>
          <t>Flattoppad klubbsvamp
Garnlav
Lunglav
Skrovellav
Luddlav
Stuplav
Lavskrika</t>
        </is>
      </c>
      <c r="S50">
        <f>HYPERLINK("https://klasma.github.io/Logging_2326/artfynd/A 40860-2025 artfynd.xlsx", "A 40860-2025")</f>
        <v/>
      </c>
      <c r="T50">
        <f>HYPERLINK("https://klasma.github.io/Logging_2326/kartor/A 40860-2025 karta.png", "A 40860-2025")</f>
        <v/>
      </c>
      <c r="V50">
        <f>HYPERLINK("https://klasma.github.io/Logging_2326/klagomål/A 40860-2025 FSC-klagomål.docx", "A 40860-2025")</f>
        <v/>
      </c>
      <c r="W50">
        <f>HYPERLINK("https://klasma.github.io/Logging_2326/klagomålsmail/A 40860-2025 FSC-klagomål mail.docx", "A 40860-2025")</f>
        <v/>
      </c>
      <c r="X50">
        <f>HYPERLINK("https://klasma.github.io/Logging_2326/tillsyn/A 40860-2025 tillsynsbegäran.docx", "A 40860-2025")</f>
        <v/>
      </c>
      <c r="Y50">
        <f>HYPERLINK("https://klasma.github.io/Logging_2326/tillsynsmail/A 40860-2025 tillsynsbegäran mail.docx", "A 40860-2025")</f>
        <v/>
      </c>
      <c r="Z50">
        <f>HYPERLINK("https://klasma.github.io/Logging_2326/fåglar/A 40860-2025 prioriterade fågelarter.docx", "A 40860-2025")</f>
        <v/>
      </c>
    </row>
    <row r="51" ht="15" customHeight="1">
      <c r="A51" t="inlineStr">
        <is>
          <t>A 33044-2024</t>
        </is>
      </c>
      <c r="B51" s="1" t="n">
        <v>45517</v>
      </c>
      <c r="C51" s="1" t="n">
        <v>46048</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39281-2025</t>
        </is>
      </c>
      <c r="B52" s="1" t="n">
        <v>45889</v>
      </c>
      <c r="C52" s="1" t="n">
        <v>46048</v>
      </c>
      <c r="D52" t="inlineStr">
        <is>
          <t>JÄMTLANDS LÄN</t>
        </is>
      </c>
      <c r="E52" t="inlineStr">
        <is>
          <t>BERG</t>
        </is>
      </c>
      <c r="G52" t="n">
        <v>4.1</v>
      </c>
      <c r="H52" t="n">
        <v>2</v>
      </c>
      <c r="I52" t="n">
        <v>1</v>
      </c>
      <c r="J52" t="n">
        <v>5</v>
      </c>
      <c r="K52" t="n">
        <v>0</v>
      </c>
      <c r="L52" t="n">
        <v>0</v>
      </c>
      <c r="M52" t="n">
        <v>0</v>
      </c>
      <c r="N52" t="n">
        <v>0</v>
      </c>
      <c r="O52" t="n">
        <v>5</v>
      </c>
      <c r="P52" t="n">
        <v>0</v>
      </c>
      <c r="Q52" t="n">
        <v>7</v>
      </c>
      <c r="R52" s="2" t="inlineStr">
        <is>
          <t>Garnlav
Gränsticka
Lunglav
Tretåig hackspett
Ullticka
Stuplav
Lavskrika</t>
        </is>
      </c>
      <c r="S52">
        <f>HYPERLINK("https://klasma.github.io/Logging_2326/artfynd/A 39281-2025 artfynd.xlsx", "A 39281-2025")</f>
        <v/>
      </c>
      <c r="T52">
        <f>HYPERLINK("https://klasma.github.io/Logging_2326/kartor/A 39281-2025 karta.png", "A 39281-2025")</f>
        <v/>
      </c>
      <c r="U52">
        <f>HYPERLINK("https://klasma.github.io/Logging_2326/knärot/A 39281-2025 karta knärot.png", "A 39281-2025")</f>
        <v/>
      </c>
      <c r="V52">
        <f>HYPERLINK("https://klasma.github.io/Logging_2326/klagomål/A 39281-2025 FSC-klagomål.docx", "A 39281-2025")</f>
        <v/>
      </c>
      <c r="W52">
        <f>HYPERLINK("https://klasma.github.io/Logging_2326/klagomålsmail/A 39281-2025 FSC-klagomål mail.docx", "A 39281-2025")</f>
        <v/>
      </c>
      <c r="X52">
        <f>HYPERLINK("https://klasma.github.io/Logging_2326/tillsyn/A 39281-2025 tillsynsbegäran.docx", "A 39281-2025")</f>
        <v/>
      </c>
      <c r="Y52">
        <f>HYPERLINK("https://klasma.github.io/Logging_2326/tillsynsmail/A 39281-2025 tillsynsbegäran mail.docx", "A 39281-2025")</f>
        <v/>
      </c>
      <c r="Z52">
        <f>HYPERLINK("https://klasma.github.io/Logging_2326/fåglar/A 39281-2025 prioriterade fågelarter.docx", "A 39281-2025")</f>
        <v/>
      </c>
    </row>
    <row r="53" ht="15" customHeight="1">
      <c r="A53" t="inlineStr">
        <is>
          <t>A 54406-2023</t>
        </is>
      </c>
      <c r="B53" s="1" t="n">
        <v>45233.38612268519</v>
      </c>
      <c r="C53" s="1" t="n">
        <v>46048</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31719-2022</t>
        </is>
      </c>
      <c r="B54" s="1" t="n">
        <v>44776</v>
      </c>
      <c r="C54" s="1" t="n">
        <v>46048</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17078-2024</t>
        </is>
      </c>
      <c r="B55" s="1" t="n">
        <v>45412</v>
      </c>
      <c r="C55" s="1" t="n">
        <v>46048</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46048</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49626-2024</t>
        </is>
      </c>
      <c r="B57" s="1" t="n">
        <v>45596.59109953704</v>
      </c>
      <c r="C57" s="1" t="n">
        <v>46048</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27957-2025</t>
        </is>
      </c>
      <c r="B58" s="1" t="n">
        <v>45817.53871527778</v>
      </c>
      <c r="C58" s="1" t="n">
        <v>46048</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16508-2021</t>
        </is>
      </c>
      <c r="B59" s="1" t="n">
        <v>44293</v>
      </c>
      <c r="C59" s="1" t="n">
        <v>46048</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46048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27571-2025</t>
        </is>
      </c>
      <c r="B61" s="1" t="n">
        <v>45813.49040509259</v>
      </c>
      <c r="C61" s="1" t="n">
        <v>46048</v>
      </c>
      <c r="D61" t="inlineStr">
        <is>
          <t>JÄMTLANDS LÄN</t>
        </is>
      </c>
      <c r="E61" t="inlineStr">
        <is>
          <t>BERG</t>
        </is>
      </c>
      <c r="F61" t="inlineStr">
        <is>
          <t>SCA</t>
        </is>
      </c>
      <c r="G61" t="n">
        <v>20.7</v>
      </c>
      <c r="H61" t="n">
        <v>1</v>
      </c>
      <c r="I61" t="n">
        <v>0</v>
      </c>
      <c r="J61" t="n">
        <v>5</v>
      </c>
      <c r="K61" t="n">
        <v>1</v>
      </c>
      <c r="L61" t="n">
        <v>0</v>
      </c>
      <c r="M61" t="n">
        <v>0</v>
      </c>
      <c r="N61" t="n">
        <v>0</v>
      </c>
      <c r="O61" t="n">
        <v>6</v>
      </c>
      <c r="P61" t="n">
        <v>1</v>
      </c>
      <c r="Q61" t="n">
        <v>6</v>
      </c>
      <c r="R61" s="2" t="inlineStr">
        <is>
          <t>Gräddporing
Dvärgbägarlav
Granticka
Harticka
Tretåig hackspett
Vedflamlav</t>
        </is>
      </c>
      <c r="S61">
        <f>HYPERLINK("https://klasma.github.io/Logging_2326/artfynd/A 27571-2025 artfynd.xlsx", "A 27571-2025")</f>
        <v/>
      </c>
      <c r="T61">
        <f>HYPERLINK("https://klasma.github.io/Logging_2326/kartor/A 27571-2025 karta.png", "A 27571-2025")</f>
        <v/>
      </c>
      <c r="V61">
        <f>HYPERLINK("https://klasma.github.io/Logging_2326/klagomål/A 27571-2025 FSC-klagomål.docx", "A 27571-2025")</f>
        <v/>
      </c>
      <c r="W61">
        <f>HYPERLINK("https://klasma.github.io/Logging_2326/klagomålsmail/A 27571-2025 FSC-klagomål mail.docx", "A 27571-2025")</f>
        <v/>
      </c>
      <c r="X61">
        <f>HYPERLINK("https://klasma.github.io/Logging_2326/tillsyn/A 27571-2025 tillsynsbegäran.docx", "A 27571-2025")</f>
        <v/>
      </c>
      <c r="Y61">
        <f>HYPERLINK("https://klasma.github.io/Logging_2326/tillsynsmail/A 27571-2025 tillsynsbegäran mail.docx", "A 27571-2025")</f>
        <v/>
      </c>
      <c r="Z61">
        <f>HYPERLINK("https://klasma.github.io/Logging_2326/fåglar/A 27571-2025 prioriterade fågelarter.docx", "A 27571-2025")</f>
        <v/>
      </c>
    </row>
    <row r="62" ht="15" customHeight="1">
      <c r="A62" t="inlineStr">
        <is>
          <t>A 24204-2024</t>
        </is>
      </c>
      <c r="B62" s="1" t="n">
        <v>45456</v>
      </c>
      <c r="C62" s="1" t="n">
        <v>46048</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46048</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12973-2024</t>
        </is>
      </c>
      <c r="B64" s="1" t="n">
        <v>45385.51104166666</v>
      </c>
      <c r="C64" s="1" t="n">
        <v>46048</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20337-2025</t>
        </is>
      </c>
      <c r="B65" s="1" t="n">
        <v>45775.36545138889</v>
      </c>
      <c r="C65" s="1" t="n">
        <v>46048</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56203-2021</t>
        </is>
      </c>
      <c r="B66" s="1" t="n">
        <v>44477</v>
      </c>
      <c r="C66" s="1" t="n">
        <v>46048</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19530-2025</t>
        </is>
      </c>
      <c r="B67" s="1" t="n">
        <v>45770.46903935185</v>
      </c>
      <c r="C67" s="1" t="n">
        <v>46048</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46048</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12966-2024</t>
        </is>
      </c>
      <c r="B69" s="1" t="n">
        <v>45385</v>
      </c>
      <c r="C69" s="1" t="n">
        <v>46048</v>
      </c>
      <c r="D69" t="inlineStr">
        <is>
          <t>JÄMTLANDS LÄN</t>
        </is>
      </c>
      <c r="E69" t="inlineStr">
        <is>
          <t>BERG</t>
        </is>
      </c>
      <c r="G69" t="n">
        <v>6.3</v>
      </c>
      <c r="H69" t="n">
        <v>1</v>
      </c>
      <c r="I69" t="n">
        <v>0</v>
      </c>
      <c r="J69" t="n">
        <v>5</v>
      </c>
      <c r="K69" t="n">
        <v>0</v>
      </c>
      <c r="L69" t="n">
        <v>0</v>
      </c>
      <c r="M69" t="n">
        <v>0</v>
      </c>
      <c r="N69" t="n">
        <v>0</v>
      </c>
      <c r="O69" t="n">
        <v>5</v>
      </c>
      <c r="P69" t="n">
        <v>0</v>
      </c>
      <c r="Q69" t="n">
        <v>5</v>
      </c>
      <c r="R69" s="2" t="inlineStr">
        <is>
          <t>Garnlav
Granticka
Lunglav
Skrovellav
Tretåig hackspett</t>
        </is>
      </c>
      <c r="S69">
        <f>HYPERLINK("https://klasma.github.io/Logging_2326/artfynd/A 12966-2024 artfynd.xlsx", "A 12966-2024")</f>
        <v/>
      </c>
      <c r="T69">
        <f>HYPERLINK("https://klasma.github.io/Logging_2326/kartor/A 12966-2024 karta.png", "A 12966-2024")</f>
        <v/>
      </c>
      <c r="V69">
        <f>HYPERLINK("https://klasma.github.io/Logging_2326/klagomål/A 12966-2024 FSC-klagomål.docx", "A 12966-2024")</f>
        <v/>
      </c>
      <c r="W69">
        <f>HYPERLINK("https://klasma.github.io/Logging_2326/klagomålsmail/A 12966-2024 FSC-klagomål mail.docx", "A 12966-2024")</f>
        <v/>
      </c>
      <c r="X69">
        <f>HYPERLINK("https://klasma.github.io/Logging_2326/tillsyn/A 12966-2024 tillsynsbegäran.docx", "A 12966-2024")</f>
        <v/>
      </c>
      <c r="Y69">
        <f>HYPERLINK("https://klasma.github.io/Logging_2326/tillsynsmail/A 12966-2024 tillsynsbegäran mail.docx", "A 12966-2024")</f>
        <v/>
      </c>
      <c r="Z69">
        <f>HYPERLINK("https://klasma.github.io/Logging_2326/fåglar/A 12966-2024 prioriterade fågelarter.docx", "A 12966-2024")</f>
        <v/>
      </c>
    </row>
    <row r="70" ht="15" customHeight="1">
      <c r="A70" t="inlineStr">
        <is>
          <t>A 4333-2026</t>
        </is>
      </c>
      <c r="B70" s="1" t="n">
        <v>46045.485625</v>
      </c>
      <c r="C70" s="1" t="n">
        <v>46048</v>
      </c>
      <c r="D70" t="inlineStr">
        <is>
          <t>JÄMTLANDS LÄN</t>
        </is>
      </c>
      <c r="E70" t="inlineStr">
        <is>
          <t>BERG</t>
        </is>
      </c>
      <c r="G70" t="n">
        <v>31.5</v>
      </c>
      <c r="H70" t="n">
        <v>2</v>
      </c>
      <c r="I70" t="n">
        <v>0</v>
      </c>
      <c r="J70" t="n">
        <v>5</v>
      </c>
      <c r="K70" t="n">
        <v>0</v>
      </c>
      <c r="L70" t="n">
        <v>0</v>
      </c>
      <c r="M70" t="n">
        <v>0</v>
      </c>
      <c r="N70" t="n">
        <v>0</v>
      </c>
      <c r="O70" t="n">
        <v>5</v>
      </c>
      <c r="P70" t="n">
        <v>0</v>
      </c>
      <c r="Q70" t="n">
        <v>5</v>
      </c>
      <c r="R70" s="2" t="inlineStr">
        <is>
          <t>Granticka
Tallticka
Talltita
Tretåig hackspett
Ullticka</t>
        </is>
      </c>
      <c r="S70">
        <f>HYPERLINK("https://klasma.github.io/Logging_2326/artfynd/A 4333-2026 artfynd.xlsx", "A 4333-2026")</f>
        <v/>
      </c>
      <c r="T70">
        <f>HYPERLINK("https://klasma.github.io/Logging_2326/kartor/A 4333-2026 karta.png", "A 4333-2026")</f>
        <v/>
      </c>
      <c r="V70">
        <f>HYPERLINK("https://klasma.github.io/Logging_2326/klagomål/A 4333-2026 FSC-klagomål.docx", "A 4333-2026")</f>
        <v/>
      </c>
      <c r="W70">
        <f>HYPERLINK("https://klasma.github.io/Logging_2326/klagomålsmail/A 4333-2026 FSC-klagomål mail.docx", "A 4333-2026")</f>
        <v/>
      </c>
      <c r="X70">
        <f>HYPERLINK("https://klasma.github.io/Logging_2326/tillsyn/A 4333-2026 tillsynsbegäran.docx", "A 4333-2026")</f>
        <v/>
      </c>
      <c r="Y70">
        <f>HYPERLINK("https://klasma.github.io/Logging_2326/tillsynsmail/A 4333-2026 tillsynsbegäran mail.docx", "A 4333-2026")</f>
        <v/>
      </c>
      <c r="Z70">
        <f>HYPERLINK("https://klasma.github.io/Logging_2326/fåglar/A 4333-2026 prioriterade fågelarter.docx", "A 4333-2026")</f>
        <v/>
      </c>
    </row>
    <row r="71" ht="15" customHeight="1">
      <c r="A71" t="inlineStr">
        <is>
          <t>A 54979-2021</t>
        </is>
      </c>
      <c r="B71" s="1" t="n">
        <v>44474.53888888889</v>
      </c>
      <c r="C71" s="1" t="n">
        <v>46048</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46048</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46048</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59823-2022</t>
        </is>
      </c>
      <c r="B74" s="1" t="n">
        <v>44900</v>
      </c>
      <c r="C74" s="1" t="n">
        <v>46048</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56224-2024</t>
        </is>
      </c>
      <c r="B75" s="1" t="n">
        <v>45624.61491898148</v>
      </c>
      <c r="C75" s="1" t="n">
        <v>46048</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45424-2024</t>
        </is>
      </c>
      <c r="B76" s="1" t="n">
        <v>45576.60398148148</v>
      </c>
      <c r="C76" s="1" t="n">
        <v>46048</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25871-2025</t>
        </is>
      </c>
      <c r="B77" s="1" t="n">
        <v>45804.4903125</v>
      </c>
      <c r="C77" s="1" t="n">
        <v>46048</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37381-2022</t>
        </is>
      </c>
      <c r="B78" s="1" t="n">
        <v>44806</v>
      </c>
      <c r="C78" s="1" t="n">
        <v>46048</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27574-2025</t>
        </is>
      </c>
      <c r="B79" s="1" t="n">
        <v>45813.49072916667</v>
      </c>
      <c r="C79" s="1" t="n">
        <v>46048</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7891-2022</t>
        </is>
      </c>
      <c r="B80" s="1" t="n">
        <v>44607</v>
      </c>
      <c r="C80" s="1" t="n">
        <v>46048</v>
      </c>
      <c r="D80" t="inlineStr">
        <is>
          <t>JÄMTLANDS LÄN</t>
        </is>
      </c>
      <c r="E80" t="inlineStr">
        <is>
          <t>BERG</t>
        </is>
      </c>
      <c r="G80" t="n">
        <v>2.5</v>
      </c>
      <c r="H80" t="n">
        <v>3</v>
      </c>
      <c r="I80" t="n">
        <v>0</v>
      </c>
      <c r="J80" t="n">
        <v>1</v>
      </c>
      <c r="K80" t="n">
        <v>1</v>
      </c>
      <c r="L80" t="n">
        <v>0</v>
      </c>
      <c r="M80" t="n">
        <v>0</v>
      </c>
      <c r="N80" t="n">
        <v>0</v>
      </c>
      <c r="O80" t="n">
        <v>2</v>
      </c>
      <c r="P80" t="n">
        <v>1</v>
      </c>
      <c r="Q80" t="n">
        <v>4</v>
      </c>
      <c r="R80" s="2" t="inlineStr">
        <is>
          <t>Knärot
Ullticka
Blåsippa
Revlummer</t>
        </is>
      </c>
      <c r="S80">
        <f>HYPERLINK("https://klasma.github.io/Logging_2326/artfynd/A 7891-2022 artfynd.xlsx", "A 7891-2022")</f>
        <v/>
      </c>
      <c r="T80">
        <f>HYPERLINK("https://klasma.github.io/Logging_2326/kartor/A 7891-2022 karta.png", "A 7891-2022")</f>
        <v/>
      </c>
      <c r="U80">
        <f>HYPERLINK("https://klasma.github.io/Logging_2326/knärot/A 7891-2022 karta knärot.png", "A 7891-2022")</f>
        <v/>
      </c>
      <c r="V80">
        <f>HYPERLINK("https://klasma.github.io/Logging_2326/klagomål/A 7891-2022 FSC-klagomål.docx", "A 7891-2022")</f>
        <v/>
      </c>
      <c r="W80">
        <f>HYPERLINK("https://klasma.github.io/Logging_2326/klagomålsmail/A 7891-2022 FSC-klagomål mail.docx", "A 7891-2022")</f>
        <v/>
      </c>
      <c r="X80">
        <f>HYPERLINK("https://klasma.github.io/Logging_2326/tillsyn/A 7891-2022 tillsynsbegäran.docx", "A 7891-2022")</f>
        <v/>
      </c>
      <c r="Y80">
        <f>HYPERLINK("https://klasma.github.io/Logging_2326/tillsynsmail/A 7891-2022 tillsynsbegäran mail.docx", "A 7891-2022")</f>
        <v/>
      </c>
    </row>
    <row r="81" ht="15" customHeight="1">
      <c r="A81" t="inlineStr">
        <is>
          <t>A 31715-2025</t>
        </is>
      </c>
      <c r="B81" s="1" t="n">
        <v>45834.45671296296</v>
      </c>
      <c r="C81" s="1" t="n">
        <v>46048</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46048</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12962-2024</t>
        </is>
      </c>
      <c r="B83" s="1" t="n">
        <v>45385.49314814815</v>
      </c>
      <c r="C83" s="1" t="n">
        <v>46048</v>
      </c>
      <c r="D83" t="inlineStr">
        <is>
          <t>JÄMTLANDS LÄN</t>
        </is>
      </c>
      <c r="E83" t="inlineStr">
        <is>
          <t>BERG</t>
        </is>
      </c>
      <c r="G83" t="n">
        <v>7.3</v>
      </c>
      <c r="H83" t="n">
        <v>1</v>
      </c>
      <c r="I83" t="n">
        <v>0</v>
      </c>
      <c r="J83" t="n">
        <v>4</v>
      </c>
      <c r="K83" t="n">
        <v>0</v>
      </c>
      <c r="L83" t="n">
        <v>0</v>
      </c>
      <c r="M83" t="n">
        <v>0</v>
      </c>
      <c r="N83" t="n">
        <v>0</v>
      </c>
      <c r="O83" t="n">
        <v>4</v>
      </c>
      <c r="P83" t="n">
        <v>0</v>
      </c>
      <c r="Q83" t="n">
        <v>4</v>
      </c>
      <c r="R83" s="2" t="inlineStr">
        <is>
          <t>Granticka
Lunglav
Skrovellav
Tretåig hackspett</t>
        </is>
      </c>
      <c r="S83">
        <f>HYPERLINK("https://klasma.github.io/Logging_2326/artfynd/A 12962-2024 artfynd.xlsx", "A 12962-2024")</f>
        <v/>
      </c>
      <c r="T83">
        <f>HYPERLINK("https://klasma.github.io/Logging_2326/kartor/A 12962-2024 karta.png", "A 12962-2024")</f>
        <v/>
      </c>
      <c r="V83">
        <f>HYPERLINK("https://klasma.github.io/Logging_2326/klagomål/A 12962-2024 FSC-klagomål.docx", "A 12962-2024")</f>
        <v/>
      </c>
      <c r="W83">
        <f>HYPERLINK("https://klasma.github.io/Logging_2326/klagomålsmail/A 12962-2024 FSC-klagomål mail.docx", "A 12962-2024")</f>
        <v/>
      </c>
      <c r="X83">
        <f>HYPERLINK("https://klasma.github.io/Logging_2326/tillsyn/A 12962-2024 tillsynsbegäran.docx", "A 12962-2024")</f>
        <v/>
      </c>
      <c r="Y83">
        <f>HYPERLINK("https://klasma.github.io/Logging_2326/tillsynsmail/A 12962-2024 tillsynsbegäran mail.docx", "A 12962-2024")</f>
        <v/>
      </c>
      <c r="Z83">
        <f>HYPERLINK("https://klasma.github.io/Logging_2326/fåglar/A 12962-2024 prioriterade fågelarter.docx", "A 12962-2024")</f>
        <v/>
      </c>
    </row>
    <row r="84" ht="15" customHeight="1">
      <c r="A84" t="inlineStr">
        <is>
          <t>A 40913-2025</t>
        </is>
      </c>
      <c r="B84" s="1" t="n">
        <v>45897.61719907408</v>
      </c>
      <c r="C84" s="1" t="n">
        <v>46048</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27100-2025</t>
        </is>
      </c>
      <c r="B85" s="1" t="n">
        <v>45811.67803240741</v>
      </c>
      <c r="C85" s="1" t="n">
        <v>46048</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46795-2025</t>
        </is>
      </c>
      <c r="B86" s="1" t="n">
        <v>45926.65668981482</v>
      </c>
      <c r="C86" s="1" t="n">
        <v>46048</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13487-2024</t>
        </is>
      </c>
      <c r="B87" s="1" t="n">
        <v>45387</v>
      </c>
      <c r="C87" s="1" t="n">
        <v>46048</v>
      </c>
      <c r="D87" t="inlineStr">
        <is>
          <t>JÄMTLANDS LÄN</t>
        </is>
      </c>
      <c r="E87" t="inlineStr">
        <is>
          <t>BERG</t>
        </is>
      </c>
      <c r="G87" t="n">
        <v>13.1</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HYPERLINK("https://klasma.github.io/Logging_2326/artfynd/A 13487-2024 artfynd.xlsx", "A 13487-2024")</f>
        <v/>
      </c>
      <c r="T87">
        <f>HYPERLINK("https://klasma.github.io/Logging_2326/kartor/A 13487-2024 karta.png", "A 13487-2024")</f>
        <v/>
      </c>
      <c r="V87">
        <f>HYPERLINK("https://klasma.github.io/Logging_2326/klagomål/A 13487-2024 FSC-klagomål.docx", "A 13487-2024")</f>
        <v/>
      </c>
      <c r="W87">
        <f>HYPERLINK("https://klasma.github.io/Logging_2326/klagomålsmail/A 13487-2024 FSC-klagomål mail.docx", "A 13487-2024")</f>
        <v/>
      </c>
      <c r="X87">
        <f>HYPERLINK("https://klasma.github.io/Logging_2326/tillsyn/A 13487-2024 tillsynsbegäran.docx", "A 13487-2024")</f>
        <v/>
      </c>
      <c r="Y87">
        <f>HYPERLINK("https://klasma.github.io/Logging_2326/tillsynsmail/A 13487-2024 tillsynsbegäran mail.docx", "A 13487-2024")</f>
        <v/>
      </c>
      <c r="Z87">
        <f>HYPERLINK("https://klasma.github.io/Logging_2326/fåglar/A 13487-2024 prioriterade fågelarter.docx", "A 13487-2024")</f>
        <v/>
      </c>
    </row>
    <row r="88" ht="15" customHeight="1">
      <c r="A88" t="inlineStr">
        <is>
          <t>A 53305-2025</t>
        </is>
      </c>
      <c r="B88" s="1" t="n">
        <v>45959.334375</v>
      </c>
      <c r="C88" s="1" t="n">
        <v>46048</v>
      </c>
      <c r="D88" t="inlineStr">
        <is>
          <t>JÄMTLANDS LÄN</t>
        </is>
      </c>
      <c r="E88" t="inlineStr">
        <is>
          <t>BERG</t>
        </is>
      </c>
      <c r="G88" t="n">
        <v>3.3</v>
      </c>
      <c r="H88" t="n">
        <v>2</v>
      </c>
      <c r="I88" t="n">
        <v>0</v>
      </c>
      <c r="J88" t="n">
        <v>4</v>
      </c>
      <c r="K88" t="n">
        <v>0</v>
      </c>
      <c r="L88" t="n">
        <v>0</v>
      </c>
      <c r="M88" t="n">
        <v>0</v>
      </c>
      <c r="N88" t="n">
        <v>0</v>
      </c>
      <c r="O88" t="n">
        <v>4</v>
      </c>
      <c r="P88" t="n">
        <v>0</v>
      </c>
      <c r="Q88" t="n">
        <v>4</v>
      </c>
      <c r="R88" s="2" t="inlineStr">
        <is>
          <t>Granticka
Harticka
Spillkråka
Tretåig hackspett</t>
        </is>
      </c>
      <c r="S88">
        <f>HYPERLINK("https://klasma.github.io/Logging_2326/artfynd/A 53305-2025 artfynd.xlsx", "A 53305-2025")</f>
        <v/>
      </c>
      <c r="T88">
        <f>HYPERLINK("https://klasma.github.io/Logging_2326/kartor/A 53305-2025 karta.png", "A 53305-2025")</f>
        <v/>
      </c>
      <c r="V88">
        <f>HYPERLINK("https://klasma.github.io/Logging_2326/klagomål/A 53305-2025 FSC-klagomål.docx", "A 53305-2025")</f>
        <v/>
      </c>
      <c r="W88">
        <f>HYPERLINK("https://klasma.github.io/Logging_2326/klagomålsmail/A 53305-2025 FSC-klagomål mail.docx", "A 53305-2025")</f>
        <v/>
      </c>
      <c r="X88">
        <f>HYPERLINK("https://klasma.github.io/Logging_2326/tillsyn/A 53305-2025 tillsynsbegäran.docx", "A 53305-2025")</f>
        <v/>
      </c>
      <c r="Y88">
        <f>HYPERLINK("https://klasma.github.io/Logging_2326/tillsynsmail/A 53305-2025 tillsynsbegäran mail.docx", "A 53305-2025")</f>
        <v/>
      </c>
      <c r="Z88">
        <f>HYPERLINK("https://klasma.github.io/Logging_2326/fåglar/A 53305-2025 prioriterade fågelarter.docx", "A 53305-2025")</f>
        <v/>
      </c>
    </row>
    <row r="89" ht="15" customHeight="1">
      <c r="A89" t="inlineStr">
        <is>
          <t>A 58238-2025</t>
        </is>
      </c>
      <c r="B89" s="1" t="n">
        <v>45985.38775462963</v>
      </c>
      <c r="C89" s="1" t="n">
        <v>46048</v>
      </c>
      <c r="D89" t="inlineStr">
        <is>
          <t>JÄMTLANDS LÄN</t>
        </is>
      </c>
      <c r="E89" t="inlineStr">
        <is>
          <t>BERG</t>
        </is>
      </c>
      <c r="F89" t="inlineStr">
        <is>
          <t>SCA</t>
        </is>
      </c>
      <c r="G89" t="n">
        <v>7.6</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57276-2025</t>
        </is>
      </c>
      <c r="B90" s="1" t="n">
        <v>45979.68783564815</v>
      </c>
      <c r="C90" s="1" t="n">
        <v>46048</v>
      </c>
      <c r="D90" t="inlineStr">
        <is>
          <t>JÄMTLANDS LÄN</t>
        </is>
      </c>
      <c r="E90" t="inlineStr">
        <is>
          <t>BERG</t>
        </is>
      </c>
      <c r="G90" t="n">
        <v>4.8</v>
      </c>
      <c r="H90" t="n">
        <v>0</v>
      </c>
      <c r="I90" t="n">
        <v>1</v>
      </c>
      <c r="J90" t="n">
        <v>3</v>
      </c>
      <c r="K90" t="n">
        <v>0</v>
      </c>
      <c r="L90" t="n">
        <v>0</v>
      </c>
      <c r="M90" t="n">
        <v>0</v>
      </c>
      <c r="N90" t="n">
        <v>0</v>
      </c>
      <c r="O90" t="n">
        <v>3</v>
      </c>
      <c r="P90" t="n">
        <v>0</v>
      </c>
      <c r="Q90" t="n">
        <v>4</v>
      </c>
      <c r="R90" s="2" t="inlineStr">
        <is>
          <t>Garnlav
Lunglav
Vitgrynig nållav
Trådticka</t>
        </is>
      </c>
      <c r="S90">
        <f>HYPERLINK("https://klasma.github.io/Logging_2326/artfynd/A 57276-2025 artfynd.xlsx", "A 57276-2025")</f>
        <v/>
      </c>
      <c r="T90">
        <f>HYPERLINK("https://klasma.github.io/Logging_2326/kartor/A 57276-2025 karta.png", "A 57276-2025")</f>
        <v/>
      </c>
      <c r="V90">
        <f>HYPERLINK("https://klasma.github.io/Logging_2326/klagomål/A 57276-2025 FSC-klagomål.docx", "A 57276-2025")</f>
        <v/>
      </c>
      <c r="W90">
        <f>HYPERLINK("https://klasma.github.io/Logging_2326/klagomålsmail/A 57276-2025 FSC-klagomål mail.docx", "A 57276-2025")</f>
        <v/>
      </c>
      <c r="X90">
        <f>HYPERLINK("https://klasma.github.io/Logging_2326/tillsyn/A 57276-2025 tillsynsbegäran.docx", "A 57276-2025")</f>
        <v/>
      </c>
      <c r="Y90">
        <f>HYPERLINK("https://klasma.github.io/Logging_2326/tillsynsmail/A 57276-2025 tillsynsbegäran mail.docx", "A 57276-2025")</f>
        <v/>
      </c>
    </row>
    <row r="91" ht="15" customHeight="1">
      <c r="A91" t="inlineStr">
        <is>
          <t>A 38156-2024</t>
        </is>
      </c>
      <c r="B91" s="1" t="n">
        <v>45545</v>
      </c>
      <c r="C91" s="1" t="n">
        <v>46048</v>
      </c>
      <c r="D91" t="inlineStr">
        <is>
          <t>JÄMTLANDS LÄN</t>
        </is>
      </c>
      <c r="E91" t="inlineStr">
        <is>
          <t>BERG</t>
        </is>
      </c>
      <c r="G91" t="n">
        <v>0.4</v>
      </c>
      <c r="H91" t="n">
        <v>1</v>
      </c>
      <c r="I91" t="n">
        <v>1</v>
      </c>
      <c r="J91" t="n">
        <v>2</v>
      </c>
      <c r="K91" t="n">
        <v>1</v>
      </c>
      <c r="L91" t="n">
        <v>0</v>
      </c>
      <c r="M91" t="n">
        <v>0</v>
      </c>
      <c r="N91" t="n">
        <v>0</v>
      </c>
      <c r="O91" t="n">
        <v>3</v>
      </c>
      <c r="P91" t="n">
        <v>1</v>
      </c>
      <c r="Q91" t="n">
        <v>4</v>
      </c>
      <c r="R91" s="2" t="inlineStr">
        <is>
          <t>Knärot
Garnlav
Tallticka
Vedticka</t>
        </is>
      </c>
      <c r="S91">
        <f>HYPERLINK("https://klasma.github.io/Logging_2326/artfynd/A 38156-2024 artfynd.xlsx", "A 38156-2024")</f>
        <v/>
      </c>
      <c r="T91">
        <f>HYPERLINK("https://klasma.github.io/Logging_2326/kartor/A 38156-2024 karta.png", "A 38156-2024")</f>
        <v/>
      </c>
      <c r="U91">
        <f>HYPERLINK("https://klasma.github.io/Logging_2326/knärot/A 38156-2024 karta knärot.png", "A 38156-2024")</f>
        <v/>
      </c>
      <c r="V91">
        <f>HYPERLINK("https://klasma.github.io/Logging_2326/klagomål/A 38156-2024 FSC-klagomål.docx", "A 38156-2024")</f>
        <v/>
      </c>
      <c r="W91">
        <f>HYPERLINK("https://klasma.github.io/Logging_2326/klagomålsmail/A 38156-2024 FSC-klagomål mail.docx", "A 38156-2024")</f>
        <v/>
      </c>
      <c r="X91">
        <f>HYPERLINK("https://klasma.github.io/Logging_2326/tillsyn/A 38156-2024 tillsynsbegäran.docx", "A 38156-2024")</f>
        <v/>
      </c>
      <c r="Y91">
        <f>HYPERLINK("https://klasma.github.io/Logging_2326/tillsynsmail/A 38156-2024 tillsynsbegäran mail.docx", "A 38156-2024")</f>
        <v/>
      </c>
    </row>
    <row r="92" ht="15" customHeight="1">
      <c r="A92" t="inlineStr">
        <is>
          <t>A 16830-2021</t>
        </is>
      </c>
      <c r="B92" s="1" t="n">
        <v>44293</v>
      </c>
      <c r="C92" s="1" t="n">
        <v>46048</v>
      </c>
      <c r="D92" t="inlineStr">
        <is>
          <t>JÄMTLANDS LÄN</t>
        </is>
      </c>
      <c r="E92" t="inlineStr">
        <is>
          <t>BERG</t>
        </is>
      </c>
      <c r="G92" t="n">
        <v>2</v>
      </c>
      <c r="H92" t="n">
        <v>0</v>
      </c>
      <c r="I92" t="n">
        <v>0</v>
      </c>
      <c r="J92" t="n">
        <v>3</v>
      </c>
      <c r="K92" t="n">
        <v>0</v>
      </c>
      <c r="L92" t="n">
        <v>0</v>
      </c>
      <c r="M92" t="n">
        <v>0</v>
      </c>
      <c r="N92" t="n">
        <v>0</v>
      </c>
      <c r="O92" t="n">
        <v>3</v>
      </c>
      <c r="P92" t="n">
        <v>0</v>
      </c>
      <c r="Q92" t="n">
        <v>3</v>
      </c>
      <c r="R92" s="2" t="inlineStr">
        <is>
          <t>Garnlav
Granticka
Vitgrynig nållav</t>
        </is>
      </c>
      <c r="S92">
        <f>HYPERLINK("https://klasma.github.io/Logging_2326/artfynd/A 16830-2021 artfynd.xlsx", "A 16830-2021")</f>
        <v/>
      </c>
      <c r="T92">
        <f>HYPERLINK("https://klasma.github.io/Logging_2326/kartor/A 16830-2021 karta.png", "A 16830-2021")</f>
        <v/>
      </c>
      <c r="V92">
        <f>HYPERLINK("https://klasma.github.io/Logging_2326/klagomål/A 16830-2021 FSC-klagomål.docx", "A 16830-2021")</f>
        <v/>
      </c>
      <c r="W92">
        <f>HYPERLINK("https://klasma.github.io/Logging_2326/klagomålsmail/A 16830-2021 FSC-klagomål mail.docx", "A 16830-2021")</f>
        <v/>
      </c>
      <c r="X92">
        <f>HYPERLINK("https://klasma.github.io/Logging_2326/tillsyn/A 16830-2021 tillsynsbegäran.docx", "A 16830-2021")</f>
        <v/>
      </c>
      <c r="Y92">
        <f>HYPERLINK("https://klasma.github.io/Logging_2326/tillsynsmail/A 16830-2021 tillsynsbegäran mail.docx", "A 16830-2021")</f>
        <v/>
      </c>
    </row>
    <row r="93" ht="15" customHeight="1">
      <c r="A93" t="inlineStr">
        <is>
          <t>A 62661-2021</t>
        </is>
      </c>
      <c r="B93" s="1" t="n">
        <v>44503</v>
      </c>
      <c r="C93" s="1" t="n">
        <v>46048</v>
      </c>
      <c r="D93" t="inlineStr">
        <is>
          <t>JÄMTLANDS LÄN</t>
        </is>
      </c>
      <c r="E93" t="inlineStr">
        <is>
          <t>BERG</t>
        </is>
      </c>
      <c r="F93" t="inlineStr">
        <is>
          <t>SCA</t>
        </is>
      </c>
      <c r="G93" t="n">
        <v>1.7</v>
      </c>
      <c r="H93" t="n">
        <v>0</v>
      </c>
      <c r="I93" t="n">
        <v>0</v>
      </c>
      <c r="J93" t="n">
        <v>3</v>
      </c>
      <c r="K93" t="n">
        <v>0</v>
      </c>
      <c r="L93" t="n">
        <v>0</v>
      </c>
      <c r="M93" t="n">
        <v>0</v>
      </c>
      <c r="N93" t="n">
        <v>0</v>
      </c>
      <c r="O93" t="n">
        <v>3</v>
      </c>
      <c r="P93" t="n">
        <v>0</v>
      </c>
      <c r="Q93" t="n">
        <v>3</v>
      </c>
      <c r="R93" s="2" t="inlineStr">
        <is>
          <t>Garnlav
Rosenticka
Ullticka</t>
        </is>
      </c>
      <c r="S93">
        <f>HYPERLINK("https://klasma.github.io/Logging_2326/artfynd/A 62661-2021 artfynd.xlsx", "A 62661-2021")</f>
        <v/>
      </c>
      <c r="T93">
        <f>HYPERLINK("https://klasma.github.io/Logging_2326/kartor/A 62661-2021 karta.png", "A 62661-2021")</f>
        <v/>
      </c>
      <c r="V93">
        <f>HYPERLINK("https://klasma.github.io/Logging_2326/klagomål/A 62661-2021 FSC-klagomål.docx", "A 62661-2021")</f>
        <v/>
      </c>
      <c r="W93">
        <f>HYPERLINK("https://klasma.github.io/Logging_2326/klagomålsmail/A 62661-2021 FSC-klagomål mail.docx", "A 62661-2021")</f>
        <v/>
      </c>
      <c r="X93">
        <f>HYPERLINK("https://klasma.github.io/Logging_2326/tillsyn/A 62661-2021 tillsynsbegäran.docx", "A 62661-2021")</f>
        <v/>
      </c>
      <c r="Y93">
        <f>HYPERLINK("https://klasma.github.io/Logging_2326/tillsynsmail/A 62661-2021 tillsynsbegäran mail.docx", "A 62661-2021")</f>
        <v/>
      </c>
    </row>
    <row r="94" ht="15" customHeight="1">
      <c r="A94" t="inlineStr">
        <is>
          <t>A 19848-2025</t>
        </is>
      </c>
      <c r="B94" s="1" t="n">
        <v>45771.49020833334</v>
      </c>
      <c r="C94" s="1" t="n">
        <v>46048</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46048</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46048</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35925-2024</t>
        </is>
      </c>
      <c r="B97" s="1" t="n">
        <v>45533.43868055556</v>
      </c>
      <c r="C97" s="1" t="n">
        <v>46048</v>
      </c>
      <c r="D97" t="inlineStr">
        <is>
          <t>JÄMTLANDS LÄN</t>
        </is>
      </c>
      <c r="E97" t="inlineStr">
        <is>
          <t>BERG</t>
        </is>
      </c>
      <c r="G97" t="n">
        <v>21.3</v>
      </c>
      <c r="H97" t="n">
        <v>0</v>
      </c>
      <c r="I97" t="n">
        <v>1</v>
      </c>
      <c r="J97" t="n">
        <v>2</v>
      </c>
      <c r="K97" t="n">
        <v>0</v>
      </c>
      <c r="L97" t="n">
        <v>0</v>
      </c>
      <c r="M97" t="n">
        <v>0</v>
      </c>
      <c r="N97" t="n">
        <v>0</v>
      </c>
      <c r="O97" t="n">
        <v>2</v>
      </c>
      <c r="P97" t="n">
        <v>0</v>
      </c>
      <c r="Q97" t="n">
        <v>3</v>
      </c>
      <c r="R97" s="2" t="inlineStr">
        <is>
          <t>Lunglav
Parknål
Bårdlav</t>
        </is>
      </c>
      <c r="S97">
        <f>HYPERLINK("https://klasma.github.io/Logging_2326/artfynd/A 35925-2024 artfynd.xlsx", "A 35925-2024")</f>
        <v/>
      </c>
      <c r="T97">
        <f>HYPERLINK("https://klasma.github.io/Logging_2326/kartor/A 35925-2024 karta.png", "A 35925-2024")</f>
        <v/>
      </c>
      <c r="V97">
        <f>HYPERLINK("https://klasma.github.io/Logging_2326/klagomål/A 35925-2024 FSC-klagomål.docx", "A 35925-2024")</f>
        <v/>
      </c>
      <c r="W97">
        <f>HYPERLINK("https://klasma.github.io/Logging_2326/klagomålsmail/A 35925-2024 FSC-klagomål mail.docx", "A 35925-2024")</f>
        <v/>
      </c>
      <c r="X97">
        <f>HYPERLINK("https://klasma.github.io/Logging_2326/tillsyn/A 35925-2024 tillsynsbegäran.docx", "A 35925-2024")</f>
        <v/>
      </c>
      <c r="Y97">
        <f>HYPERLINK("https://klasma.github.io/Logging_2326/tillsynsmail/A 35925-2024 tillsynsbegäran mail.docx", "A 35925-2024")</f>
        <v/>
      </c>
    </row>
    <row r="98" ht="15" customHeight="1">
      <c r="A98" t="inlineStr">
        <is>
          <t>A 47122-2024</t>
        </is>
      </c>
      <c r="B98" s="1" t="n">
        <v>45586.5674074074</v>
      </c>
      <c r="C98" s="1" t="n">
        <v>46048</v>
      </c>
      <c r="D98" t="inlineStr">
        <is>
          <t>JÄMTLANDS LÄN</t>
        </is>
      </c>
      <c r="E98" t="inlineStr">
        <is>
          <t>BERG</t>
        </is>
      </c>
      <c r="G98" t="n">
        <v>4.8</v>
      </c>
      <c r="H98" t="n">
        <v>1</v>
      </c>
      <c r="I98" t="n">
        <v>0</v>
      </c>
      <c r="J98" t="n">
        <v>3</v>
      </c>
      <c r="K98" t="n">
        <v>0</v>
      </c>
      <c r="L98" t="n">
        <v>0</v>
      </c>
      <c r="M98" t="n">
        <v>0</v>
      </c>
      <c r="N98" t="n">
        <v>0</v>
      </c>
      <c r="O98" t="n">
        <v>3</v>
      </c>
      <c r="P98" t="n">
        <v>0</v>
      </c>
      <c r="Q98" t="n">
        <v>3</v>
      </c>
      <c r="R98" s="2" t="inlineStr">
        <is>
          <t>Garnlav
Lunglav
Spillkråka</t>
        </is>
      </c>
      <c r="S98">
        <f>HYPERLINK("https://klasma.github.io/Logging_2326/artfynd/A 47122-2024 artfynd.xlsx", "A 47122-2024")</f>
        <v/>
      </c>
      <c r="T98">
        <f>HYPERLINK("https://klasma.github.io/Logging_2326/kartor/A 47122-2024 karta.png", "A 47122-2024")</f>
        <v/>
      </c>
      <c r="V98">
        <f>HYPERLINK("https://klasma.github.io/Logging_2326/klagomål/A 47122-2024 FSC-klagomål.docx", "A 47122-2024")</f>
        <v/>
      </c>
      <c r="W98">
        <f>HYPERLINK("https://klasma.github.io/Logging_2326/klagomålsmail/A 47122-2024 FSC-klagomål mail.docx", "A 47122-2024")</f>
        <v/>
      </c>
      <c r="X98">
        <f>HYPERLINK("https://klasma.github.io/Logging_2326/tillsyn/A 47122-2024 tillsynsbegäran.docx", "A 47122-2024")</f>
        <v/>
      </c>
      <c r="Y98">
        <f>HYPERLINK("https://klasma.github.io/Logging_2326/tillsynsmail/A 47122-2024 tillsynsbegäran mail.docx", "A 47122-2024")</f>
        <v/>
      </c>
      <c r="Z98">
        <f>HYPERLINK("https://klasma.github.io/Logging_2326/fåglar/A 47122-2024 prioriterade fågelarter.docx", "A 47122-2024")</f>
        <v/>
      </c>
    </row>
    <row r="99" ht="15" customHeight="1">
      <c r="A99" t="inlineStr">
        <is>
          <t>A 14218-2021</t>
        </is>
      </c>
      <c r="B99" s="1" t="n">
        <v>44277</v>
      </c>
      <c r="C99" s="1" t="n">
        <v>46048</v>
      </c>
      <c r="D99" t="inlineStr">
        <is>
          <t>JÄMTLANDS LÄN</t>
        </is>
      </c>
      <c r="E99" t="inlineStr">
        <is>
          <t>BERG</t>
        </is>
      </c>
      <c r="G99" t="n">
        <v>19.9</v>
      </c>
      <c r="H99" t="n">
        <v>1</v>
      </c>
      <c r="I99" t="n">
        <v>0</v>
      </c>
      <c r="J99" t="n">
        <v>2</v>
      </c>
      <c r="K99" t="n">
        <v>1</v>
      </c>
      <c r="L99" t="n">
        <v>0</v>
      </c>
      <c r="M99" t="n">
        <v>0</v>
      </c>
      <c r="N99" t="n">
        <v>0</v>
      </c>
      <c r="O99" t="n">
        <v>3</v>
      </c>
      <c r="P99" t="n">
        <v>1</v>
      </c>
      <c r="Q99" t="n">
        <v>3</v>
      </c>
      <c r="R99" s="2" t="inlineStr">
        <is>
          <t>Sprickporing
Tretåig hackspett
Ullticka</t>
        </is>
      </c>
      <c r="S99">
        <f>HYPERLINK("https://klasma.github.io/Logging_2326/artfynd/A 14218-2021 artfynd.xlsx", "A 14218-2021")</f>
        <v/>
      </c>
      <c r="T99">
        <f>HYPERLINK("https://klasma.github.io/Logging_2326/kartor/A 14218-2021 karta.png", "A 14218-2021")</f>
        <v/>
      </c>
      <c r="V99">
        <f>HYPERLINK("https://klasma.github.io/Logging_2326/klagomål/A 14218-2021 FSC-klagomål.docx", "A 14218-2021")</f>
        <v/>
      </c>
      <c r="W99">
        <f>HYPERLINK("https://klasma.github.io/Logging_2326/klagomålsmail/A 14218-2021 FSC-klagomål mail.docx", "A 14218-2021")</f>
        <v/>
      </c>
      <c r="X99">
        <f>HYPERLINK("https://klasma.github.io/Logging_2326/tillsyn/A 14218-2021 tillsynsbegäran.docx", "A 14218-2021")</f>
        <v/>
      </c>
      <c r="Y99">
        <f>HYPERLINK("https://klasma.github.io/Logging_2326/tillsynsmail/A 14218-2021 tillsynsbegäran mail.docx", "A 14218-2021")</f>
        <v/>
      </c>
      <c r="Z99">
        <f>HYPERLINK("https://klasma.github.io/Logging_2326/fåglar/A 14218-2021 prioriterade fågelarter.docx", "A 14218-2021")</f>
        <v/>
      </c>
    </row>
    <row r="100" ht="15" customHeight="1">
      <c r="A100" t="inlineStr">
        <is>
          <t>A 3062-2025</t>
        </is>
      </c>
      <c r="B100" s="1" t="n">
        <v>45678</v>
      </c>
      <c r="C100" s="1" t="n">
        <v>46048</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56368-2024</t>
        </is>
      </c>
      <c r="B101" s="1" t="n">
        <v>45625.32978009259</v>
      </c>
      <c r="C101" s="1" t="n">
        <v>46048</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68433-2021</t>
        </is>
      </c>
      <c r="B102" s="1" t="n">
        <v>44529</v>
      </c>
      <c r="C102" s="1" t="n">
        <v>46048</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6784-2022</t>
        </is>
      </c>
      <c r="B103" s="1" t="n">
        <v>44602</v>
      </c>
      <c r="C103" s="1" t="n">
        <v>46048</v>
      </c>
      <c r="D103" t="inlineStr">
        <is>
          <t>JÄMTLANDS LÄN</t>
        </is>
      </c>
      <c r="E103" t="inlineStr">
        <is>
          <t>BERG</t>
        </is>
      </c>
      <c r="G103" t="n">
        <v>4</v>
      </c>
      <c r="H103" t="n">
        <v>2</v>
      </c>
      <c r="I103" t="n">
        <v>0</v>
      </c>
      <c r="J103" t="n">
        <v>1</v>
      </c>
      <c r="K103" t="n">
        <v>0</v>
      </c>
      <c r="L103" t="n">
        <v>0</v>
      </c>
      <c r="M103" t="n">
        <v>0</v>
      </c>
      <c r="N103" t="n">
        <v>0</v>
      </c>
      <c r="O103" t="n">
        <v>1</v>
      </c>
      <c r="P103" t="n">
        <v>0</v>
      </c>
      <c r="Q103" t="n">
        <v>3</v>
      </c>
      <c r="R103" s="2" t="inlineStr">
        <is>
          <t>Brunklöver
Jorduggla
Brudsporre</t>
        </is>
      </c>
      <c r="S103">
        <f>HYPERLINK("https://klasma.github.io/Logging_2326/artfynd/A 6784-2022 artfynd.xlsx", "A 6784-2022")</f>
        <v/>
      </c>
      <c r="T103">
        <f>HYPERLINK("https://klasma.github.io/Logging_2326/kartor/A 6784-2022 karta.png", "A 6784-2022")</f>
        <v/>
      </c>
      <c r="V103">
        <f>HYPERLINK("https://klasma.github.io/Logging_2326/klagomål/A 6784-2022 FSC-klagomål.docx", "A 6784-2022")</f>
        <v/>
      </c>
      <c r="W103">
        <f>HYPERLINK("https://klasma.github.io/Logging_2326/klagomålsmail/A 6784-2022 FSC-klagomål mail.docx", "A 6784-2022")</f>
        <v/>
      </c>
      <c r="X103">
        <f>HYPERLINK("https://klasma.github.io/Logging_2326/tillsyn/A 6784-2022 tillsynsbegäran.docx", "A 6784-2022")</f>
        <v/>
      </c>
      <c r="Y103">
        <f>HYPERLINK("https://klasma.github.io/Logging_2326/tillsynsmail/A 6784-2022 tillsynsbegäran mail.docx", "A 6784-2022")</f>
        <v/>
      </c>
      <c r="Z103">
        <f>HYPERLINK("https://klasma.github.io/Logging_2326/fåglar/A 6784-2022 prioriterade fågelarter.docx", "A 6784-2022")</f>
        <v/>
      </c>
    </row>
    <row r="104" ht="15" customHeight="1">
      <c r="A104" t="inlineStr">
        <is>
          <t>A 14599-2021</t>
        </is>
      </c>
      <c r="B104" s="1" t="n">
        <v>44279</v>
      </c>
      <c r="C104" s="1" t="n">
        <v>46048</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37063-2025</t>
        </is>
      </c>
      <c r="B105" s="1" t="n">
        <v>45875.38596064815</v>
      </c>
      <c r="C105" s="1" t="n">
        <v>46048</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54999-2023</t>
        </is>
      </c>
      <c r="B106" s="1" t="n">
        <v>45236</v>
      </c>
      <c r="C106" s="1" t="n">
        <v>46048</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12995-2024</t>
        </is>
      </c>
      <c r="B107" s="1" t="n">
        <v>45385</v>
      </c>
      <c r="C107" s="1" t="n">
        <v>46048</v>
      </c>
      <c r="D107" t="inlineStr">
        <is>
          <t>JÄMTLANDS LÄN</t>
        </is>
      </c>
      <c r="E107" t="inlineStr">
        <is>
          <t>BERG</t>
        </is>
      </c>
      <c r="G107" t="n">
        <v>2.1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HYPERLINK("https://klasma.github.io/Logging_2326/artfynd/A 12995-2024 artfynd.xlsx", "A 12995-2024")</f>
        <v/>
      </c>
      <c r="T107">
        <f>HYPERLINK("https://klasma.github.io/Logging_2326/kartor/A 12995-2024 karta.png", "A 12995-2024")</f>
        <v/>
      </c>
      <c r="V107">
        <f>HYPERLINK("https://klasma.github.io/Logging_2326/klagomål/A 12995-2024 FSC-klagomål.docx", "A 12995-2024")</f>
        <v/>
      </c>
      <c r="W107">
        <f>HYPERLINK("https://klasma.github.io/Logging_2326/klagomålsmail/A 12995-2024 FSC-klagomål mail.docx", "A 12995-2024")</f>
        <v/>
      </c>
      <c r="X107">
        <f>HYPERLINK("https://klasma.github.io/Logging_2326/tillsyn/A 12995-2024 tillsynsbegäran.docx", "A 12995-2024")</f>
        <v/>
      </c>
      <c r="Y107">
        <f>HYPERLINK("https://klasma.github.io/Logging_2326/tillsynsmail/A 12995-2024 tillsynsbegäran mail.docx", "A 12995-2024")</f>
        <v/>
      </c>
      <c r="Z107">
        <f>HYPERLINK("https://klasma.github.io/Logging_2326/fåglar/A 12995-2024 prioriterade fågelarter.docx", "A 12995-2024")</f>
        <v/>
      </c>
    </row>
    <row r="108" ht="15" customHeight="1">
      <c r="A108" t="inlineStr">
        <is>
          <t>A 49611-2025</t>
        </is>
      </c>
      <c r="B108" s="1" t="n">
        <v>45939.5735300926</v>
      </c>
      <c r="C108" s="1" t="n">
        <v>46048</v>
      </c>
      <c r="D108" t="inlineStr">
        <is>
          <t>JÄMTLANDS LÄN</t>
        </is>
      </c>
      <c r="E108" t="inlineStr">
        <is>
          <t>BERG</t>
        </is>
      </c>
      <c r="F108" t="inlineStr">
        <is>
          <t>SCA</t>
        </is>
      </c>
      <c r="G108" t="n">
        <v>7.1</v>
      </c>
      <c r="H108" t="n">
        <v>1</v>
      </c>
      <c r="I108" t="n">
        <v>1</v>
      </c>
      <c r="J108" t="n">
        <v>2</v>
      </c>
      <c r="K108" t="n">
        <v>0</v>
      </c>
      <c r="L108" t="n">
        <v>0</v>
      </c>
      <c r="M108" t="n">
        <v>0</v>
      </c>
      <c r="N108" t="n">
        <v>0</v>
      </c>
      <c r="O108" t="n">
        <v>2</v>
      </c>
      <c r="P108" t="n">
        <v>0</v>
      </c>
      <c r="Q108" t="n">
        <v>3</v>
      </c>
      <c r="R108" s="2" t="inlineStr">
        <is>
          <t>Dvärgbägarlav
Nordtagging
Plattlummer</t>
        </is>
      </c>
      <c r="S108">
        <f>HYPERLINK("https://klasma.github.io/Logging_2326/artfynd/A 49611-2025 artfynd.xlsx", "A 49611-2025")</f>
        <v/>
      </c>
      <c r="T108">
        <f>HYPERLINK("https://klasma.github.io/Logging_2326/kartor/A 49611-2025 karta.png", "A 49611-2025")</f>
        <v/>
      </c>
      <c r="V108">
        <f>HYPERLINK("https://klasma.github.io/Logging_2326/klagomål/A 49611-2025 FSC-klagomål.docx", "A 49611-2025")</f>
        <v/>
      </c>
      <c r="W108">
        <f>HYPERLINK("https://klasma.github.io/Logging_2326/klagomålsmail/A 49611-2025 FSC-klagomål mail.docx", "A 49611-2025")</f>
        <v/>
      </c>
      <c r="X108">
        <f>HYPERLINK("https://klasma.github.io/Logging_2326/tillsyn/A 49611-2025 tillsynsbegäran.docx", "A 49611-2025")</f>
        <v/>
      </c>
      <c r="Y108">
        <f>HYPERLINK("https://klasma.github.io/Logging_2326/tillsynsmail/A 49611-2025 tillsynsbegäran mail.docx", "A 49611-2025")</f>
        <v/>
      </c>
    </row>
    <row r="109" ht="15" customHeight="1">
      <c r="A109" t="inlineStr">
        <is>
          <t>A 52007-2025</t>
        </is>
      </c>
      <c r="B109" s="1" t="n">
        <v>45952.59424768519</v>
      </c>
      <c r="C109" s="1" t="n">
        <v>46048</v>
      </c>
      <c r="D109" t="inlineStr">
        <is>
          <t>JÄMTLANDS LÄN</t>
        </is>
      </c>
      <c r="E109" t="inlineStr">
        <is>
          <t>BERG</t>
        </is>
      </c>
      <c r="F109" t="inlineStr">
        <is>
          <t>SCA</t>
        </is>
      </c>
      <c r="G109" t="n">
        <v>28.1</v>
      </c>
      <c r="H109" t="n">
        <v>0</v>
      </c>
      <c r="I109" t="n">
        <v>0</v>
      </c>
      <c r="J109" t="n">
        <v>2</v>
      </c>
      <c r="K109" t="n">
        <v>1</v>
      </c>
      <c r="L109" t="n">
        <v>0</v>
      </c>
      <c r="M109" t="n">
        <v>0</v>
      </c>
      <c r="N109" t="n">
        <v>0</v>
      </c>
      <c r="O109" t="n">
        <v>3</v>
      </c>
      <c r="P109" t="n">
        <v>1</v>
      </c>
      <c r="Q109" t="n">
        <v>3</v>
      </c>
      <c r="R109" s="2" t="inlineStr">
        <is>
          <t>Gräddporing
Dvärgbägarlav
Vedtrappmossa</t>
        </is>
      </c>
      <c r="S109">
        <f>HYPERLINK("https://klasma.github.io/Logging_2326/artfynd/A 52007-2025 artfynd.xlsx", "A 52007-2025")</f>
        <v/>
      </c>
      <c r="T109">
        <f>HYPERLINK("https://klasma.github.io/Logging_2326/kartor/A 52007-2025 karta.png", "A 52007-2025")</f>
        <v/>
      </c>
      <c r="V109">
        <f>HYPERLINK("https://klasma.github.io/Logging_2326/klagomål/A 52007-2025 FSC-klagomål.docx", "A 52007-2025")</f>
        <v/>
      </c>
      <c r="W109">
        <f>HYPERLINK("https://klasma.github.io/Logging_2326/klagomålsmail/A 52007-2025 FSC-klagomål mail.docx", "A 52007-2025")</f>
        <v/>
      </c>
      <c r="X109">
        <f>HYPERLINK("https://klasma.github.io/Logging_2326/tillsyn/A 52007-2025 tillsynsbegäran.docx", "A 52007-2025")</f>
        <v/>
      </c>
      <c r="Y109">
        <f>HYPERLINK("https://klasma.github.io/Logging_2326/tillsynsmail/A 52007-2025 tillsynsbegäran mail.docx", "A 52007-2025")</f>
        <v/>
      </c>
    </row>
    <row r="110" ht="15" customHeight="1">
      <c r="A110" t="inlineStr">
        <is>
          <t>A 20242-2025</t>
        </is>
      </c>
      <c r="B110" s="1" t="n">
        <v>45772.69864583333</v>
      </c>
      <c r="C110" s="1" t="n">
        <v>46048</v>
      </c>
      <c r="D110" t="inlineStr">
        <is>
          <t>JÄMTLANDS LÄN</t>
        </is>
      </c>
      <c r="E110" t="inlineStr">
        <is>
          <t>BERG</t>
        </is>
      </c>
      <c r="F110" t="inlineStr">
        <is>
          <t>SCA</t>
        </is>
      </c>
      <c r="G110" t="n">
        <v>4.3</v>
      </c>
      <c r="H110" t="n">
        <v>2</v>
      </c>
      <c r="I110" t="n">
        <v>0</v>
      </c>
      <c r="J110" t="n">
        <v>2</v>
      </c>
      <c r="K110" t="n">
        <v>0</v>
      </c>
      <c r="L110" t="n">
        <v>0</v>
      </c>
      <c r="M110" t="n">
        <v>0</v>
      </c>
      <c r="N110" t="n">
        <v>0</v>
      </c>
      <c r="O110" t="n">
        <v>2</v>
      </c>
      <c r="P110" t="n">
        <v>0</v>
      </c>
      <c r="Q110" t="n">
        <v>3</v>
      </c>
      <c r="R110" s="2" t="inlineStr">
        <is>
          <t>Kolflarnlav
Tretåig hackspett
Fläcknycklar</t>
        </is>
      </c>
      <c r="S110">
        <f>HYPERLINK("https://klasma.github.io/Logging_2326/artfynd/A 20242-2025 artfynd.xlsx", "A 20242-2025")</f>
        <v/>
      </c>
      <c r="T110">
        <f>HYPERLINK("https://klasma.github.io/Logging_2326/kartor/A 20242-2025 karta.png", "A 20242-2025")</f>
        <v/>
      </c>
      <c r="V110">
        <f>HYPERLINK("https://klasma.github.io/Logging_2326/klagomål/A 20242-2025 FSC-klagomål.docx", "A 20242-2025")</f>
        <v/>
      </c>
      <c r="W110">
        <f>HYPERLINK("https://klasma.github.io/Logging_2326/klagomålsmail/A 20242-2025 FSC-klagomål mail.docx", "A 20242-2025")</f>
        <v/>
      </c>
      <c r="X110">
        <f>HYPERLINK("https://klasma.github.io/Logging_2326/tillsyn/A 20242-2025 tillsynsbegäran.docx", "A 20242-2025")</f>
        <v/>
      </c>
      <c r="Y110">
        <f>HYPERLINK("https://klasma.github.io/Logging_2326/tillsynsmail/A 20242-2025 tillsynsbegäran mail.docx", "A 20242-2025")</f>
        <v/>
      </c>
      <c r="Z110">
        <f>HYPERLINK("https://klasma.github.io/Logging_2326/fåglar/A 20242-2025 prioriterade fågelarter.docx", "A 20242-2025")</f>
        <v/>
      </c>
    </row>
    <row r="111" ht="15" customHeight="1">
      <c r="A111" t="inlineStr">
        <is>
          <t>A 51950-2021</t>
        </is>
      </c>
      <c r="B111" s="1" t="n">
        <v>44462.9562037037</v>
      </c>
      <c r="C111" s="1" t="n">
        <v>46048</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34271-2022</t>
        </is>
      </c>
      <c r="B112" s="1" t="n">
        <v>44791.94581018519</v>
      </c>
      <c r="C112" s="1" t="n">
        <v>46048</v>
      </c>
      <c r="D112" t="inlineStr">
        <is>
          <t>JÄMTLANDS LÄN</t>
        </is>
      </c>
      <c r="E112" t="inlineStr">
        <is>
          <t>BERG</t>
        </is>
      </c>
      <c r="F112" t="inlineStr">
        <is>
          <t>SCA</t>
        </is>
      </c>
      <c r="G112" t="n">
        <v>17</v>
      </c>
      <c r="H112" t="n">
        <v>2</v>
      </c>
      <c r="I112" t="n">
        <v>0</v>
      </c>
      <c r="J112" t="n">
        <v>2</v>
      </c>
      <c r="K112" t="n">
        <v>0</v>
      </c>
      <c r="L112" t="n">
        <v>0</v>
      </c>
      <c r="M112" t="n">
        <v>0</v>
      </c>
      <c r="N112" t="n">
        <v>0</v>
      </c>
      <c r="O112" t="n">
        <v>2</v>
      </c>
      <c r="P112" t="n">
        <v>0</v>
      </c>
      <c r="Q112" t="n">
        <v>2</v>
      </c>
      <c r="R112" s="2" t="inlineStr">
        <is>
          <t>Mindre hackspett
Spillkråka</t>
        </is>
      </c>
      <c r="S112">
        <f>HYPERLINK("https://klasma.github.io/Logging_2326/artfynd/A 34271-2022 artfynd.xlsx", "A 34271-2022")</f>
        <v/>
      </c>
      <c r="T112">
        <f>HYPERLINK("https://klasma.github.io/Logging_2326/kartor/A 34271-2022 karta.png", "A 34271-2022")</f>
        <v/>
      </c>
      <c r="V112">
        <f>HYPERLINK("https://klasma.github.io/Logging_2326/klagomål/A 34271-2022 FSC-klagomål.docx", "A 34271-2022")</f>
        <v/>
      </c>
      <c r="W112">
        <f>HYPERLINK("https://klasma.github.io/Logging_2326/klagomålsmail/A 34271-2022 FSC-klagomål mail.docx", "A 34271-2022")</f>
        <v/>
      </c>
      <c r="X112">
        <f>HYPERLINK("https://klasma.github.io/Logging_2326/tillsyn/A 34271-2022 tillsynsbegäran.docx", "A 34271-2022")</f>
        <v/>
      </c>
      <c r="Y112">
        <f>HYPERLINK("https://klasma.github.io/Logging_2326/tillsynsmail/A 34271-2022 tillsynsbegäran mail.docx", "A 34271-2022")</f>
        <v/>
      </c>
      <c r="Z112">
        <f>HYPERLINK("https://klasma.github.io/Logging_2326/fåglar/A 34271-2022 prioriterade fågelarter.docx", "A 34271-2022")</f>
        <v/>
      </c>
    </row>
    <row r="113" ht="15" customHeight="1">
      <c r="A113" t="inlineStr">
        <is>
          <t>A 60333-2024</t>
        </is>
      </c>
      <c r="B113" s="1" t="n">
        <v>45643</v>
      </c>
      <c r="C113" s="1" t="n">
        <v>46048</v>
      </c>
      <c r="D113" t="inlineStr">
        <is>
          <t>JÄMTLANDS LÄN</t>
        </is>
      </c>
      <c r="E113" t="inlineStr">
        <is>
          <t>BERG</t>
        </is>
      </c>
      <c r="G113" t="n">
        <v>25.5</v>
      </c>
      <c r="H113" t="n">
        <v>0</v>
      </c>
      <c r="I113" t="n">
        <v>2</v>
      </c>
      <c r="J113" t="n">
        <v>0</v>
      </c>
      <c r="K113" t="n">
        <v>0</v>
      </c>
      <c r="L113" t="n">
        <v>0</v>
      </c>
      <c r="M113" t="n">
        <v>0</v>
      </c>
      <c r="N113" t="n">
        <v>0</v>
      </c>
      <c r="O113" t="n">
        <v>0</v>
      </c>
      <c r="P113" t="n">
        <v>0</v>
      </c>
      <c r="Q113" t="n">
        <v>2</v>
      </c>
      <c r="R113" s="2" t="inlineStr">
        <is>
          <t>Honungsvaxing
Ängsvaxskivling</t>
        </is>
      </c>
      <c r="S113">
        <f>HYPERLINK("https://klasma.github.io/Logging_2326/artfynd/A 60333-2024 artfynd.xlsx", "A 60333-2024")</f>
        <v/>
      </c>
      <c r="T113">
        <f>HYPERLINK("https://klasma.github.io/Logging_2326/kartor/A 60333-2024 karta.png", "A 60333-2024")</f>
        <v/>
      </c>
      <c r="V113">
        <f>HYPERLINK("https://klasma.github.io/Logging_2326/klagomål/A 60333-2024 FSC-klagomål.docx", "A 60333-2024")</f>
        <v/>
      </c>
      <c r="W113">
        <f>HYPERLINK("https://klasma.github.io/Logging_2326/klagomålsmail/A 60333-2024 FSC-klagomål mail.docx", "A 60333-2024")</f>
        <v/>
      </c>
      <c r="X113">
        <f>HYPERLINK("https://klasma.github.io/Logging_2326/tillsyn/A 60333-2024 tillsynsbegäran.docx", "A 60333-2024")</f>
        <v/>
      </c>
      <c r="Y113">
        <f>HYPERLINK("https://klasma.github.io/Logging_2326/tillsynsmail/A 60333-2024 tillsynsbegäran mail.docx", "A 60333-2024")</f>
        <v/>
      </c>
    </row>
    <row r="114" ht="15" customHeight="1">
      <c r="A114" t="inlineStr">
        <is>
          <t>A 21518-2025</t>
        </is>
      </c>
      <c r="B114" s="1" t="n">
        <v>45782</v>
      </c>
      <c r="C114" s="1" t="n">
        <v>46048</v>
      </c>
      <c r="D114" t="inlineStr">
        <is>
          <t>JÄMTLANDS LÄN</t>
        </is>
      </c>
      <c r="E114" t="inlineStr">
        <is>
          <t>BERG</t>
        </is>
      </c>
      <c r="F114" t="inlineStr">
        <is>
          <t>SCA</t>
        </is>
      </c>
      <c r="G114" t="n">
        <v>3.6</v>
      </c>
      <c r="H114" t="n">
        <v>0</v>
      </c>
      <c r="I114" t="n">
        <v>1</v>
      </c>
      <c r="J114" t="n">
        <v>1</v>
      </c>
      <c r="K114" t="n">
        <v>0</v>
      </c>
      <c r="L114" t="n">
        <v>0</v>
      </c>
      <c r="M114" t="n">
        <v>0</v>
      </c>
      <c r="N114" t="n">
        <v>0</v>
      </c>
      <c r="O114" t="n">
        <v>1</v>
      </c>
      <c r="P114" t="n">
        <v>0</v>
      </c>
      <c r="Q114" t="n">
        <v>2</v>
      </c>
      <c r="R114" s="2" t="inlineStr">
        <is>
          <t>Dvärgbägarlav
Skarp dropptaggsvamp</t>
        </is>
      </c>
      <c r="S114">
        <f>HYPERLINK("https://klasma.github.io/Logging_2326/artfynd/A 21518-2025 artfynd.xlsx", "A 21518-2025")</f>
        <v/>
      </c>
      <c r="T114">
        <f>HYPERLINK("https://klasma.github.io/Logging_2326/kartor/A 21518-2025 karta.png", "A 21518-2025")</f>
        <v/>
      </c>
      <c r="V114">
        <f>HYPERLINK("https://klasma.github.io/Logging_2326/klagomål/A 21518-2025 FSC-klagomål.docx", "A 21518-2025")</f>
        <v/>
      </c>
      <c r="W114">
        <f>HYPERLINK("https://klasma.github.io/Logging_2326/klagomålsmail/A 21518-2025 FSC-klagomål mail.docx", "A 21518-2025")</f>
        <v/>
      </c>
      <c r="X114">
        <f>HYPERLINK("https://klasma.github.io/Logging_2326/tillsyn/A 21518-2025 tillsynsbegäran.docx", "A 21518-2025")</f>
        <v/>
      </c>
      <c r="Y114">
        <f>HYPERLINK("https://klasma.github.io/Logging_2326/tillsynsmail/A 21518-2025 tillsynsbegäran mail.docx", "A 21518-2025")</f>
        <v/>
      </c>
    </row>
    <row r="115" ht="15" customHeight="1">
      <c r="A115" t="inlineStr">
        <is>
          <t>A 47-2023</t>
        </is>
      </c>
      <c r="B115" s="1" t="n">
        <v>44928</v>
      </c>
      <c r="C115" s="1" t="n">
        <v>46048</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14344-2025</t>
        </is>
      </c>
      <c r="B116" s="1" t="n">
        <v>45741</v>
      </c>
      <c r="C116" s="1" t="n">
        <v>46048</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26748-2025</t>
        </is>
      </c>
      <c r="B117" s="1" t="n">
        <v>45810.53988425926</v>
      </c>
      <c r="C117" s="1" t="n">
        <v>46048</v>
      </c>
      <c r="D117" t="inlineStr">
        <is>
          <t>JÄMTLANDS LÄN</t>
        </is>
      </c>
      <c r="E117" t="inlineStr">
        <is>
          <t>BERG</t>
        </is>
      </c>
      <c r="G117" t="n">
        <v>17.4</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26748-2025 artfynd.xlsx", "A 26748-2025")</f>
        <v/>
      </c>
      <c r="T117">
        <f>HYPERLINK("https://klasma.github.io/Logging_2326/kartor/A 26748-2025 karta.png", "A 26748-2025")</f>
        <v/>
      </c>
      <c r="V117">
        <f>HYPERLINK("https://klasma.github.io/Logging_2326/klagomål/A 26748-2025 FSC-klagomål.docx", "A 26748-2025")</f>
        <v/>
      </c>
      <c r="W117">
        <f>HYPERLINK("https://klasma.github.io/Logging_2326/klagomålsmail/A 26748-2025 FSC-klagomål mail.docx", "A 26748-2025")</f>
        <v/>
      </c>
      <c r="X117">
        <f>HYPERLINK("https://klasma.github.io/Logging_2326/tillsyn/A 26748-2025 tillsynsbegäran.docx", "A 26748-2025")</f>
        <v/>
      </c>
      <c r="Y117">
        <f>HYPERLINK("https://klasma.github.io/Logging_2326/tillsynsmail/A 26748-2025 tillsynsbegäran mail.docx", "A 26748-2025")</f>
        <v/>
      </c>
      <c r="Z117">
        <f>HYPERLINK("https://klasma.github.io/Logging_2326/fåglar/A 26748-2025 prioriterade fågelarter.docx", "A 26748-2025")</f>
        <v/>
      </c>
    </row>
    <row r="118" ht="15" customHeight="1">
      <c r="A118" t="inlineStr">
        <is>
          <t>A 27647-2025</t>
        </is>
      </c>
      <c r="B118" s="1" t="n">
        <v>45813.59454861111</v>
      </c>
      <c r="C118" s="1" t="n">
        <v>46048</v>
      </c>
      <c r="D118" t="inlineStr">
        <is>
          <t>JÄMTLANDS LÄN</t>
        </is>
      </c>
      <c r="E118" t="inlineStr">
        <is>
          <t>BERG</t>
        </is>
      </c>
      <c r="F118" t="inlineStr">
        <is>
          <t>SCA</t>
        </is>
      </c>
      <c r="G118" t="n">
        <v>3.1</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27647-2025 artfynd.xlsx", "A 27647-2025")</f>
        <v/>
      </c>
      <c r="T118">
        <f>HYPERLINK("https://klasma.github.io/Logging_2326/kartor/A 27647-2025 karta.png", "A 27647-2025")</f>
        <v/>
      </c>
      <c r="V118">
        <f>HYPERLINK("https://klasma.github.io/Logging_2326/klagomål/A 27647-2025 FSC-klagomål.docx", "A 27647-2025")</f>
        <v/>
      </c>
      <c r="W118">
        <f>HYPERLINK("https://klasma.github.io/Logging_2326/klagomålsmail/A 27647-2025 FSC-klagomål mail.docx", "A 27647-2025")</f>
        <v/>
      </c>
      <c r="X118">
        <f>HYPERLINK("https://klasma.github.io/Logging_2326/tillsyn/A 27647-2025 tillsynsbegäran.docx", "A 27647-2025")</f>
        <v/>
      </c>
      <c r="Y118">
        <f>HYPERLINK("https://klasma.github.io/Logging_2326/tillsynsmail/A 27647-2025 tillsynsbegäran mail.docx", "A 27647-2025")</f>
        <v/>
      </c>
    </row>
    <row r="119" ht="15" customHeight="1">
      <c r="A119" t="inlineStr">
        <is>
          <t>A 27919-2024</t>
        </is>
      </c>
      <c r="B119" s="1" t="n">
        <v>45475.94865740741</v>
      </c>
      <c r="C119" s="1" t="n">
        <v>46048</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37387-2022</t>
        </is>
      </c>
      <c r="B120" s="1" t="n">
        <v>44806</v>
      </c>
      <c r="C120" s="1" t="n">
        <v>46048</v>
      </c>
      <c r="D120" t="inlineStr">
        <is>
          <t>JÄMTLANDS LÄN</t>
        </is>
      </c>
      <c r="E120" t="inlineStr">
        <is>
          <t>BERG</t>
        </is>
      </c>
      <c r="G120" t="n">
        <v>20.2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HYPERLINK("https://klasma.github.io/Logging_2326/artfynd/A 37387-2022 artfynd.xlsx", "A 37387-2022")</f>
        <v/>
      </c>
      <c r="T120">
        <f>HYPERLINK("https://klasma.github.io/Logging_2326/kartor/A 37387-2022 karta.png", "A 37387-2022")</f>
        <v/>
      </c>
      <c r="V120">
        <f>HYPERLINK("https://klasma.github.io/Logging_2326/klagomål/A 37387-2022 FSC-klagomål.docx", "A 37387-2022")</f>
        <v/>
      </c>
      <c r="W120">
        <f>HYPERLINK("https://klasma.github.io/Logging_2326/klagomålsmail/A 37387-2022 FSC-klagomål mail.docx", "A 37387-2022")</f>
        <v/>
      </c>
      <c r="X120">
        <f>HYPERLINK("https://klasma.github.io/Logging_2326/tillsyn/A 37387-2022 tillsynsbegäran.docx", "A 37387-2022")</f>
        <v/>
      </c>
      <c r="Y120">
        <f>HYPERLINK("https://klasma.github.io/Logging_2326/tillsynsmail/A 37387-2022 tillsynsbegäran mail.docx", "A 37387-2022")</f>
        <v/>
      </c>
      <c r="Z120">
        <f>HYPERLINK("https://klasma.github.io/Logging_2326/fåglar/A 37387-2022 prioriterade fågelarter.docx", "A 37387-2022")</f>
        <v/>
      </c>
    </row>
    <row r="121" ht="15" customHeight="1">
      <c r="A121" t="inlineStr">
        <is>
          <t>A 14588-2021</t>
        </is>
      </c>
      <c r="B121" s="1" t="n">
        <v>44279</v>
      </c>
      <c r="C121" s="1" t="n">
        <v>46048</v>
      </c>
      <c r="D121" t="inlineStr">
        <is>
          <t>JÄMTLANDS LÄN</t>
        </is>
      </c>
      <c r="E121" t="inlineStr">
        <is>
          <t>BERG</t>
        </is>
      </c>
      <c r="G121" t="n">
        <v>6.3</v>
      </c>
      <c r="H121" t="n">
        <v>0</v>
      </c>
      <c r="I121" t="n">
        <v>0</v>
      </c>
      <c r="J121" t="n">
        <v>2</v>
      </c>
      <c r="K121" t="n">
        <v>0</v>
      </c>
      <c r="L121" t="n">
        <v>0</v>
      </c>
      <c r="M121" t="n">
        <v>0</v>
      </c>
      <c r="N121" t="n">
        <v>0</v>
      </c>
      <c r="O121" t="n">
        <v>2</v>
      </c>
      <c r="P121" t="n">
        <v>0</v>
      </c>
      <c r="Q121" t="n">
        <v>2</v>
      </c>
      <c r="R121" s="2" t="inlineStr">
        <is>
          <t>Garnlav
Harticka</t>
        </is>
      </c>
      <c r="S121">
        <f>HYPERLINK("https://klasma.github.io/Logging_2326/artfynd/A 14588-2021 artfynd.xlsx", "A 14588-2021")</f>
        <v/>
      </c>
      <c r="T121">
        <f>HYPERLINK("https://klasma.github.io/Logging_2326/kartor/A 14588-2021 karta.png", "A 14588-2021")</f>
        <v/>
      </c>
      <c r="V121">
        <f>HYPERLINK("https://klasma.github.io/Logging_2326/klagomål/A 14588-2021 FSC-klagomål.docx", "A 14588-2021")</f>
        <v/>
      </c>
      <c r="W121">
        <f>HYPERLINK("https://klasma.github.io/Logging_2326/klagomålsmail/A 14588-2021 FSC-klagomål mail.docx", "A 14588-2021")</f>
        <v/>
      </c>
      <c r="X121">
        <f>HYPERLINK("https://klasma.github.io/Logging_2326/tillsyn/A 14588-2021 tillsynsbegäran.docx", "A 14588-2021")</f>
        <v/>
      </c>
      <c r="Y121">
        <f>HYPERLINK("https://klasma.github.io/Logging_2326/tillsynsmail/A 14588-2021 tillsynsbegäran mail.docx", "A 14588-2021")</f>
        <v/>
      </c>
    </row>
    <row r="122" ht="15" customHeight="1">
      <c r="A122" t="inlineStr">
        <is>
          <t>A 31709-2025</t>
        </is>
      </c>
      <c r="B122" s="1" t="n">
        <v>45834.42543981481</v>
      </c>
      <c r="C122" s="1" t="n">
        <v>46048</v>
      </c>
      <c r="D122" t="inlineStr">
        <is>
          <t>JÄMTLANDS LÄN</t>
        </is>
      </c>
      <c r="E122" t="inlineStr">
        <is>
          <t>BERG</t>
        </is>
      </c>
      <c r="G122" t="n">
        <v>22.2</v>
      </c>
      <c r="H122" t="n">
        <v>1</v>
      </c>
      <c r="I122" t="n">
        <v>0</v>
      </c>
      <c r="J122" t="n">
        <v>1</v>
      </c>
      <c r="K122" t="n">
        <v>0</v>
      </c>
      <c r="L122" t="n">
        <v>1</v>
      </c>
      <c r="M122" t="n">
        <v>0</v>
      </c>
      <c r="N122" t="n">
        <v>0</v>
      </c>
      <c r="O122" t="n">
        <v>2</v>
      </c>
      <c r="P122" t="n">
        <v>1</v>
      </c>
      <c r="Q122" t="n">
        <v>2</v>
      </c>
      <c r="R122" s="2" t="inlineStr">
        <is>
          <t>Mikroskapania
Platt spretmossa</t>
        </is>
      </c>
      <c r="S122">
        <f>HYPERLINK("https://klasma.github.io/Logging_2326/artfynd/A 31709-2025 artfynd.xlsx", "A 31709-2025")</f>
        <v/>
      </c>
      <c r="T122">
        <f>HYPERLINK("https://klasma.github.io/Logging_2326/kartor/A 31709-2025 karta.png", "A 31709-2025")</f>
        <v/>
      </c>
      <c r="V122">
        <f>HYPERLINK("https://klasma.github.io/Logging_2326/klagomål/A 31709-2025 FSC-klagomål.docx", "A 31709-2025")</f>
        <v/>
      </c>
      <c r="W122">
        <f>HYPERLINK("https://klasma.github.io/Logging_2326/klagomålsmail/A 31709-2025 FSC-klagomål mail.docx", "A 31709-2025")</f>
        <v/>
      </c>
      <c r="X122">
        <f>HYPERLINK("https://klasma.github.io/Logging_2326/tillsyn/A 31709-2025 tillsynsbegäran.docx", "A 31709-2025")</f>
        <v/>
      </c>
      <c r="Y122">
        <f>HYPERLINK("https://klasma.github.io/Logging_2326/tillsynsmail/A 31709-2025 tillsynsbegäran mail.docx", "A 31709-2025")</f>
        <v/>
      </c>
    </row>
    <row r="123" ht="15" customHeight="1">
      <c r="A123" t="inlineStr">
        <is>
          <t>A 8734-2025</t>
        </is>
      </c>
      <c r="B123" s="1" t="n">
        <v>45712.53209490741</v>
      </c>
      <c r="C123" s="1" t="n">
        <v>46048</v>
      </c>
      <c r="D123" t="inlineStr">
        <is>
          <t>JÄMTLANDS LÄN</t>
        </is>
      </c>
      <c r="E123" t="inlineStr">
        <is>
          <t>BERG</t>
        </is>
      </c>
      <c r="F123" t="inlineStr">
        <is>
          <t>SCA</t>
        </is>
      </c>
      <c r="G123" t="n">
        <v>4.2</v>
      </c>
      <c r="H123" t="n">
        <v>1</v>
      </c>
      <c r="I123" t="n">
        <v>0</v>
      </c>
      <c r="J123" t="n">
        <v>1</v>
      </c>
      <c r="K123" t="n">
        <v>0</v>
      </c>
      <c r="L123" t="n">
        <v>0</v>
      </c>
      <c r="M123" t="n">
        <v>0</v>
      </c>
      <c r="N123" t="n">
        <v>0</v>
      </c>
      <c r="O123" t="n">
        <v>1</v>
      </c>
      <c r="P123" t="n">
        <v>0</v>
      </c>
      <c r="Q123" t="n">
        <v>2</v>
      </c>
      <c r="R123" s="2" t="inlineStr">
        <is>
          <t>Brunklöver
Gullviva</t>
        </is>
      </c>
      <c r="S123">
        <f>HYPERLINK("https://klasma.github.io/Logging_2326/artfynd/A 8734-2025 artfynd.xlsx", "A 8734-2025")</f>
        <v/>
      </c>
      <c r="T123">
        <f>HYPERLINK("https://klasma.github.io/Logging_2326/kartor/A 8734-2025 karta.png", "A 8734-2025")</f>
        <v/>
      </c>
      <c r="V123">
        <f>HYPERLINK("https://klasma.github.io/Logging_2326/klagomål/A 8734-2025 FSC-klagomål.docx", "A 8734-2025")</f>
        <v/>
      </c>
      <c r="W123">
        <f>HYPERLINK("https://klasma.github.io/Logging_2326/klagomålsmail/A 8734-2025 FSC-klagomål mail.docx", "A 8734-2025")</f>
        <v/>
      </c>
      <c r="X123">
        <f>HYPERLINK("https://klasma.github.io/Logging_2326/tillsyn/A 8734-2025 tillsynsbegäran.docx", "A 8734-2025")</f>
        <v/>
      </c>
      <c r="Y123">
        <f>HYPERLINK("https://klasma.github.io/Logging_2326/tillsynsmail/A 8734-2025 tillsynsbegäran mail.docx", "A 8734-2025")</f>
        <v/>
      </c>
    </row>
    <row r="124" ht="15" customHeight="1">
      <c r="A124" t="inlineStr">
        <is>
          <t>A 48880-2023</t>
        </is>
      </c>
      <c r="B124" s="1" t="n">
        <v>45209</v>
      </c>
      <c r="C124" s="1" t="n">
        <v>46048</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26944-2024</t>
        </is>
      </c>
      <c r="B125" s="1" t="n">
        <v>45470.96880787037</v>
      </c>
      <c r="C125" s="1" t="n">
        <v>46048</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42120-2025</t>
        </is>
      </c>
      <c r="B126" s="1" t="n">
        <v>45904.34236111111</v>
      </c>
      <c r="C126" s="1" t="n">
        <v>46048</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33009-2024</t>
        </is>
      </c>
      <c r="B127" s="1" t="n">
        <v>45517.50332175926</v>
      </c>
      <c r="C127" s="1" t="n">
        <v>46048</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12734-2024</t>
        </is>
      </c>
      <c r="B128" s="1" t="n">
        <v>45384</v>
      </c>
      <c r="C128" s="1" t="n">
        <v>46048</v>
      </c>
      <c r="D128" t="inlineStr">
        <is>
          <t>JÄMTLANDS LÄN</t>
        </is>
      </c>
      <c r="E128" t="inlineStr">
        <is>
          <t>BERG</t>
        </is>
      </c>
      <c r="G128" t="n">
        <v>7.2</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12734-2024 artfynd.xlsx", "A 12734-2024")</f>
        <v/>
      </c>
      <c r="T128">
        <f>HYPERLINK("https://klasma.github.io/Logging_2326/kartor/A 12734-2024 karta.png", "A 12734-2024")</f>
        <v/>
      </c>
      <c r="V128">
        <f>HYPERLINK("https://klasma.github.io/Logging_2326/klagomål/A 12734-2024 FSC-klagomål.docx", "A 12734-2024")</f>
        <v/>
      </c>
      <c r="W128">
        <f>HYPERLINK("https://klasma.github.io/Logging_2326/klagomålsmail/A 12734-2024 FSC-klagomål mail.docx", "A 12734-2024")</f>
        <v/>
      </c>
      <c r="X128">
        <f>HYPERLINK("https://klasma.github.io/Logging_2326/tillsyn/A 12734-2024 tillsynsbegäran.docx", "A 12734-2024")</f>
        <v/>
      </c>
      <c r="Y128">
        <f>HYPERLINK("https://klasma.github.io/Logging_2326/tillsynsmail/A 12734-2024 tillsynsbegäran mail.docx", "A 12734-2024")</f>
        <v/>
      </c>
      <c r="Z128">
        <f>HYPERLINK("https://klasma.github.io/Logging_2326/fåglar/A 12734-2024 prioriterade fågelarter.docx", "A 12734-2024")</f>
        <v/>
      </c>
    </row>
    <row r="129" ht="15" customHeight="1">
      <c r="A129" t="inlineStr">
        <is>
          <t>A 55331-2023</t>
        </is>
      </c>
      <c r="B129" s="1" t="n">
        <v>45237</v>
      </c>
      <c r="C129" s="1" t="n">
        <v>46048</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46048</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47858-2025</t>
        </is>
      </c>
      <c r="B131" s="1" t="n">
        <v>45932.40699074074</v>
      </c>
      <c r="C131" s="1" t="n">
        <v>46048</v>
      </c>
      <c r="D131" t="inlineStr">
        <is>
          <t>JÄMTLANDS LÄN</t>
        </is>
      </c>
      <c r="E131" t="inlineStr">
        <is>
          <t>BERG</t>
        </is>
      </c>
      <c r="F131" t="inlineStr">
        <is>
          <t>SCA</t>
        </is>
      </c>
      <c r="G131" t="n">
        <v>1.5</v>
      </c>
      <c r="H131" t="n">
        <v>0</v>
      </c>
      <c r="I131" t="n">
        <v>1</v>
      </c>
      <c r="J131" t="n">
        <v>1</v>
      </c>
      <c r="K131" t="n">
        <v>0</v>
      </c>
      <c r="L131" t="n">
        <v>0</v>
      </c>
      <c r="M131" t="n">
        <v>0</v>
      </c>
      <c r="N131" t="n">
        <v>0</v>
      </c>
      <c r="O131" t="n">
        <v>1</v>
      </c>
      <c r="P131" t="n">
        <v>0</v>
      </c>
      <c r="Q131" t="n">
        <v>2</v>
      </c>
      <c r="R131" s="2" t="inlineStr">
        <is>
          <t>Blanksvart spiklav
Stuplav</t>
        </is>
      </c>
      <c r="S131">
        <f>HYPERLINK("https://klasma.github.io/Logging_2326/artfynd/A 47858-2025 artfynd.xlsx", "A 47858-2025")</f>
        <v/>
      </c>
      <c r="T131">
        <f>HYPERLINK("https://klasma.github.io/Logging_2326/kartor/A 47858-2025 karta.png", "A 47858-2025")</f>
        <v/>
      </c>
      <c r="V131">
        <f>HYPERLINK("https://klasma.github.io/Logging_2326/klagomål/A 47858-2025 FSC-klagomål.docx", "A 47858-2025")</f>
        <v/>
      </c>
      <c r="W131">
        <f>HYPERLINK("https://klasma.github.io/Logging_2326/klagomålsmail/A 47858-2025 FSC-klagomål mail.docx", "A 47858-2025")</f>
        <v/>
      </c>
      <c r="X131">
        <f>HYPERLINK("https://klasma.github.io/Logging_2326/tillsyn/A 47858-2025 tillsynsbegäran.docx", "A 47858-2025")</f>
        <v/>
      </c>
      <c r="Y131">
        <f>HYPERLINK("https://klasma.github.io/Logging_2326/tillsynsmail/A 47858-2025 tillsynsbegäran mail.docx", "A 47858-2025")</f>
        <v/>
      </c>
    </row>
    <row r="132" ht="15" customHeight="1">
      <c r="A132" t="inlineStr">
        <is>
          <t>A 28769-2024</t>
        </is>
      </c>
      <c r="B132" s="1" t="n">
        <v>45478</v>
      </c>
      <c r="C132" s="1" t="n">
        <v>46048</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50389-2025</t>
        </is>
      </c>
      <c r="B133" s="1" t="n">
        <v>45944.61539351852</v>
      </c>
      <c r="C133" s="1" t="n">
        <v>46048</v>
      </c>
      <c r="D133" t="inlineStr">
        <is>
          <t>JÄMTLANDS LÄN</t>
        </is>
      </c>
      <c r="E133" t="inlineStr">
        <is>
          <t>BERG</t>
        </is>
      </c>
      <c r="F133" t="inlineStr">
        <is>
          <t>SCA</t>
        </is>
      </c>
      <c r="G133" t="n">
        <v>11.4</v>
      </c>
      <c r="H133" t="n">
        <v>1</v>
      </c>
      <c r="I133" t="n">
        <v>0</v>
      </c>
      <c r="J133" t="n">
        <v>0</v>
      </c>
      <c r="K133" t="n">
        <v>0</v>
      </c>
      <c r="L133" t="n">
        <v>0</v>
      </c>
      <c r="M133" t="n">
        <v>0</v>
      </c>
      <c r="N133" t="n">
        <v>0</v>
      </c>
      <c r="O133" t="n">
        <v>1</v>
      </c>
      <c r="P133" t="n">
        <v>0</v>
      </c>
      <c r="Q133" t="n">
        <v>2</v>
      </c>
      <c r="R133" s="2" t="inlineStr">
        <is>
          <t>Halsfibbla
Fläcknycklar</t>
        </is>
      </c>
      <c r="S133">
        <f>HYPERLINK("https://klasma.github.io/Logging_2326/artfynd/A 50389-2025 artfynd.xlsx", "A 50389-2025")</f>
        <v/>
      </c>
      <c r="T133">
        <f>HYPERLINK("https://klasma.github.io/Logging_2326/kartor/A 50389-2025 karta.png", "A 50389-2025")</f>
        <v/>
      </c>
      <c r="V133">
        <f>HYPERLINK("https://klasma.github.io/Logging_2326/klagomål/A 50389-2025 FSC-klagomål.docx", "A 50389-2025")</f>
        <v/>
      </c>
      <c r="W133">
        <f>HYPERLINK("https://klasma.github.io/Logging_2326/klagomålsmail/A 50389-2025 FSC-klagomål mail.docx", "A 50389-2025")</f>
        <v/>
      </c>
      <c r="X133">
        <f>HYPERLINK("https://klasma.github.io/Logging_2326/tillsyn/A 50389-2025 tillsynsbegäran.docx", "A 50389-2025")</f>
        <v/>
      </c>
      <c r="Y133">
        <f>HYPERLINK("https://klasma.github.io/Logging_2326/tillsynsmail/A 50389-2025 tillsynsbegäran mail.docx", "A 50389-2025")</f>
        <v/>
      </c>
    </row>
    <row r="134" ht="15" customHeight="1">
      <c r="A134" t="inlineStr">
        <is>
          <t>A 52611-2025</t>
        </is>
      </c>
      <c r="B134" s="1" t="n">
        <v>45954.66971064815</v>
      </c>
      <c r="C134" s="1" t="n">
        <v>46048</v>
      </c>
      <c r="D134" t="inlineStr">
        <is>
          <t>JÄMTLANDS LÄN</t>
        </is>
      </c>
      <c r="E134" t="inlineStr">
        <is>
          <t>BERG</t>
        </is>
      </c>
      <c r="F134" t="inlineStr">
        <is>
          <t>Kyrkan</t>
        </is>
      </c>
      <c r="G134" t="n">
        <v>6.3</v>
      </c>
      <c r="H134" t="n">
        <v>1</v>
      </c>
      <c r="I134" t="n">
        <v>0</v>
      </c>
      <c r="J134" t="n">
        <v>1</v>
      </c>
      <c r="K134" t="n">
        <v>0</v>
      </c>
      <c r="L134" t="n">
        <v>0</v>
      </c>
      <c r="M134" t="n">
        <v>0</v>
      </c>
      <c r="N134" t="n">
        <v>0</v>
      </c>
      <c r="O134" t="n">
        <v>1</v>
      </c>
      <c r="P134" t="n">
        <v>0</v>
      </c>
      <c r="Q134" t="n">
        <v>2</v>
      </c>
      <c r="R134" s="2" t="inlineStr">
        <is>
          <t>Garnlav
Revlummer</t>
        </is>
      </c>
      <c r="S134">
        <f>HYPERLINK("https://klasma.github.io/Logging_2326/artfynd/A 52611-2025 artfynd.xlsx", "A 52611-2025")</f>
        <v/>
      </c>
      <c r="T134">
        <f>HYPERLINK("https://klasma.github.io/Logging_2326/kartor/A 52611-2025 karta.png", "A 52611-2025")</f>
        <v/>
      </c>
      <c r="V134">
        <f>HYPERLINK("https://klasma.github.io/Logging_2326/klagomål/A 52611-2025 FSC-klagomål.docx", "A 52611-2025")</f>
        <v/>
      </c>
      <c r="W134">
        <f>HYPERLINK("https://klasma.github.io/Logging_2326/klagomålsmail/A 52611-2025 FSC-klagomål mail.docx", "A 52611-2025")</f>
        <v/>
      </c>
      <c r="X134">
        <f>HYPERLINK("https://klasma.github.io/Logging_2326/tillsyn/A 52611-2025 tillsynsbegäran.docx", "A 52611-2025")</f>
        <v/>
      </c>
      <c r="Y134">
        <f>HYPERLINK("https://klasma.github.io/Logging_2326/tillsynsmail/A 52611-2025 tillsynsbegäran mail.docx", "A 52611-2025")</f>
        <v/>
      </c>
    </row>
    <row r="135" ht="15" customHeight="1">
      <c r="A135" t="inlineStr">
        <is>
          <t>A 52600-2025</t>
        </is>
      </c>
      <c r="B135" s="1" t="n">
        <v>45954.65657407408</v>
      </c>
      <c r="C135" s="1" t="n">
        <v>46048</v>
      </c>
      <c r="D135" t="inlineStr">
        <is>
          <t>JÄMTLANDS LÄN</t>
        </is>
      </c>
      <c r="E135" t="inlineStr">
        <is>
          <t>BERG</t>
        </is>
      </c>
      <c r="F135" t="inlineStr">
        <is>
          <t>Kyrkan</t>
        </is>
      </c>
      <c r="G135" t="n">
        <v>5.8</v>
      </c>
      <c r="H135" t="n">
        <v>0</v>
      </c>
      <c r="I135" t="n">
        <v>0</v>
      </c>
      <c r="J135" t="n">
        <v>2</v>
      </c>
      <c r="K135" t="n">
        <v>0</v>
      </c>
      <c r="L135" t="n">
        <v>0</v>
      </c>
      <c r="M135" t="n">
        <v>0</v>
      </c>
      <c r="N135" t="n">
        <v>0</v>
      </c>
      <c r="O135" t="n">
        <v>2</v>
      </c>
      <c r="P135" t="n">
        <v>0</v>
      </c>
      <c r="Q135" t="n">
        <v>2</v>
      </c>
      <c r="R135" s="2" t="inlineStr">
        <is>
          <t>Garnlav
Lunglav</t>
        </is>
      </c>
      <c r="S135">
        <f>HYPERLINK("https://klasma.github.io/Logging_2326/artfynd/A 52600-2025 artfynd.xlsx", "A 52600-2025")</f>
        <v/>
      </c>
      <c r="T135">
        <f>HYPERLINK("https://klasma.github.io/Logging_2326/kartor/A 52600-2025 karta.png", "A 52600-2025")</f>
        <v/>
      </c>
      <c r="V135">
        <f>HYPERLINK("https://klasma.github.io/Logging_2326/klagomål/A 52600-2025 FSC-klagomål.docx", "A 52600-2025")</f>
        <v/>
      </c>
      <c r="W135">
        <f>HYPERLINK("https://klasma.github.io/Logging_2326/klagomålsmail/A 52600-2025 FSC-klagomål mail.docx", "A 52600-2025")</f>
        <v/>
      </c>
      <c r="X135">
        <f>HYPERLINK("https://klasma.github.io/Logging_2326/tillsyn/A 52600-2025 tillsynsbegäran.docx", "A 52600-2025")</f>
        <v/>
      </c>
      <c r="Y135">
        <f>HYPERLINK("https://klasma.github.io/Logging_2326/tillsynsmail/A 52600-2025 tillsynsbegäran mail.docx", "A 52600-2025")</f>
        <v/>
      </c>
    </row>
    <row r="136" ht="15" customHeight="1">
      <c r="A136" t="inlineStr">
        <is>
          <t>A 62159-2025</t>
        </is>
      </c>
      <c r="B136" s="1" t="n">
        <v>46006.49081018518</v>
      </c>
      <c r="C136" s="1" t="n">
        <v>46048</v>
      </c>
      <c r="D136" t="inlineStr">
        <is>
          <t>JÄMTLANDS LÄN</t>
        </is>
      </c>
      <c r="E136" t="inlineStr">
        <is>
          <t>BERG</t>
        </is>
      </c>
      <c r="F136" t="inlineStr">
        <is>
          <t>SCA</t>
        </is>
      </c>
      <c r="G136" t="n">
        <v>3.8</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62159-2025 artfynd.xlsx", "A 62159-2025")</f>
        <v/>
      </c>
      <c r="T136">
        <f>HYPERLINK("https://klasma.github.io/Logging_2326/kartor/A 62159-2025 karta.png", "A 62159-2025")</f>
        <v/>
      </c>
      <c r="V136">
        <f>HYPERLINK("https://klasma.github.io/Logging_2326/klagomål/A 62159-2025 FSC-klagomål.docx", "A 62159-2025")</f>
        <v/>
      </c>
      <c r="W136">
        <f>HYPERLINK("https://klasma.github.io/Logging_2326/klagomålsmail/A 62159-2025 FSC-klagomål mail.docx", "A 62159-2025")</f>
        <v/>
      </c>
      <c r="X136">
        <f>HYPERLINK("https://klasma.github.io/Logging_2326/tillsyn/A 62159-2025 tillsynsbegäran.docx", "A 62159-2025")</f>
        <v/>
      </c>
      <c r="Y136">
        <f>HYPERLINK("https://klasma.github.io/Logging_2326/tillsynsmail/A 62159-2025 tillsynsbegäran mail.docx", "A 62159-2025")</f>
        <v/>
      </c>
      <c r="Z136">
        <f>HYPERLINK("https://klasma.github.io/Logging_2326/fåglar/A 62159-2025 prioriterade fågelarter.docx", "A 62159-2025")</f>
        <v/>
      </c>
    </row>
    <row r="137" ht="15" customHeight="1">
      <c r="A137" t="inlineStr">
        <is>
          <t>A 62161-2025</t>
        </is>
      </c>
      <c r="B137" s="1" t="n">
        <v>46006.49113425926</v>
      </c>
      <c r="C137" s="1" t="n">
        <v>46048</v>
      </c>
      <c r="D137" t="inlineStr">
        <is>
          <t>JÄMTLANDS LÄN</t>
        </is>
      </c>
      <c r="E137" t="inlineStr">
        <is>
          <t>BERG</t>
        </is>
      </c>
      <c r="F137" t="inlineStr">
        <is>
          <t>SCA</t>
        </is>
      </c>
      <c r="G137" t="n">
        <v>2.6</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HYPERLINK("https://klasma.github.io/Logging_2326/artfynd/A 62161-2025 artfynd.xlsx", "A 62161-2025")</f>
        <v/>
      </c>
      <c r="T137">
        <f>HYPERLINK("https://klasma.github.io/Logging_2326/kartor/A 62161-2025 karta.png", "A 62161-2025")</f>
        <v/>
      </c>
      <c r="V137">
        <f>HYPERLINK("https://klasma.github.io/Logging_2326/klagomål/A 62161-2025 FSC-klagomål.docx", "A 62161-2025")</f>
        <v/>
      </c>
      <c r="W137">
        <f>HYPERLINK("https://klasma.github.io/Logging_2326/klagomålsmail/A 62161-2025 FSC-klagomål mail.docx", "A 62161-2025")</f>
        <v/>
      </c>
      <c r="X137">
        <f>HYPERLINK("https://klasma.github.io/Logging_2326/tillsyn/A 62161-2025 tillsynsbegäran.docx", "A 62161-2025")</f>
        <v/>
      </c>
      <c r="Y137">
        <f>HYPERLINK("https://klasma.github.io/Logging_2326/tillsynsmail/A 62161-2025 tillsynsbegäran mail.docx", "A 62161-2025")</f>
        <v/>
      </c>
      <c r="Z137">
        <f>HYPERLINK("https://klasma.github.io/Logging_2326/fåglar/A 62161-2025 prioriterade fågelarter.docx", "A 62161-2025")</f>
        <v/>
      </c>
    </row>
    <row r="138" ht="15" customHeight="1">
      <c r="A138" t="inlineStr">
        <is>
          <t>A 19948-2025</t>
        </is>
      </c>
      <c r="B138" s="1" t="n">
        <v>45771</v>
      </c>
      <c r="C138" s="1" t="n">
        <v>46048</v>
      </c>
      <c r="D138" t="inlineStr">
        <is>
          <t>JÄMTLANDS LÄN</t>
        </is>
      </c>
      <c r="E138" t="inlineStr">
        <is>
          <t>BERG</t>
        </is>
      </c>
      <c r="F138" t="inlineStr">
        <is>
          <t>SCA</t>
        </is>
      </c>
      <c r="G138" t="n">
        <v>23.3</v>
      </c>
      <c r="H138" t="n">
        <v>2</v>
      </c>
      <c r="I138" t="n">
        <v>1</v>
      </c>
      <c r="J138" t="n">
        <v>1</v>
      </c>
      <c r="K138" t="n">
        <v>0</v>
      </c>
      <c r="L138" t="n">
        <v>0</v>
      </c>
      <c r="M138" t="n">
        <v>0</v>
      </c>
      <c r="N138" t="n">
        <v>0</v>
      </c>
      <c r="O138" t="n">
        <v>1</v>
      </c>
      <c r="P138" t="n">
        <v>0</v>
      </c>
      <c r="Q138" t="n">
        <v>2</v>
      </c>
      <c r="R138" s="2" t="inlineStr">
        <is>
          <t>Tretåig hackspett
Plattlummer</t>
        </is>
      </c>
      <c r="S138">
        <f>HYPERLINK("https://klasma.github.io/Logging_2326/artfynd/A 19948-2025 artfynd.xlsx", "A 19948-2025")</f>
        <v/>
      </c>
      <c r="T138">
        <f>HYPERLINK("https://klasma.github.io/Logging_2326/kartor/A 19948-2025 karta.png", "A 19948-2025")</f>
        <v/>
      </c>
      <c r="V138">
        <f>HYPERLINK("https://klasma.github.io/Logging_2326/klagomål/A 19948-2025 FSC-klagomål.docx", "A 19948-2025")</f>
        <v/>
      </c>
      <c r="W138">
        <f>HYPERLINK("https://klasma.github.io/Logging_2326/klagomålsmail/A 19948-2025 FSC-klagomål mail.docx", "A 19948-2025")</f>
        <v/>
      </c>
      <c r="X138">
        <f>HYPERLINK("https://klasma.github.io/Logging_2326/tillsyn/A 19948-2025 tillsynsbegäran.docx", "A 19948-2025")</f>
        <v/>
      </c>
      <c r="Y138">
        <f>HYPERLINK("https://klasma.github.io/Logging_2326/tillsynsmail/A 19948-2025 tillsynsbegäran mail.docx", "A 19948-2025")</f>
        <v/>
      </c>
      <c r="Z138">
        <f>HYPERLINK("https://klasma.github.io/Logging_2326/fåglar/A 19948-2025 prioriterade fågelarter.docx", "A 19948-2025")</f>
        <v/>
      </c>
    </row>
    <row r="139" ht="15" customHeight="1">
      <c r="A139" t="inlineStr">
        <is>
          <t>A 30334-2024</t>
        </is>
      </c>
      <c r="B139" s="1" t="n">
        <v>45490.95396990741</v>
      </c>
      <c r="C139" s="1" t="n">
        <v>46048</v>
      </c>
      <c r="D139" t="inlineStr">
        <is>
          <t>JÄMTLANDS LÄN</t>
        </is>
      </c>
      <c r="E139" t="inlineStr">
        <is>
          <t>BERG</t>
        </is>
      </c>
      <c r="F139" t="inlineStr">
        <is>
          <t>SCA</t>
        </is>
      </c>
      <c r="G139" t="n">
        <v>1.8</v>
      </c>
      <c r="H139" t="n">
        <v>0</v>
      </c>
      <c r="I139" t="n">
        <v>0</v>
      </c>
      <c r="J139" t="n">
        <v>1</v>
      </c>
      <c r="K139" t="n">
        <v>1</v>
      </c>
      <c r="L139" t="n">
        <v>0</v>
      </c>
      <c r="M139" t="n">
        <v>0</v>
      </c>
      <c r="N139" t="n">
        <v>0</v>
      </c>
      <c r="O139" t="n">
        <v>2</v>
      </c>
      <c r="P139" t="n">
        <v>1</v>
      </c>
      <c r="Q139" t="n">
        <v>2</v>
      </c>
      <c r="R139" s="2" t="inlineStr">
        <is>
          <t>Gräddporing
Dvärgbägarlav</t>
        </is>
      </c>
      <c r="S139">
        <f>HYPERLINK("https://klasma.github.io/Logging_2326/artfynd/A 30334-2024 artfynd.xlsx", "A 30334-2024")</f>
        <v/>
      </c>
      <c r="T139">
        <f>HYPERLINK("https://klasma.github.io/Logging_2326/kartor/A 30334-2024 karta.png", "A 30334-2024")</f>
        <v/>
      </c>
      <c r="V139">
        <f>HYPERLINK("https://klasma.github.io/Logging_2326/klagomål/A 30334-2024 FSC-klagomål.docx", "A 30334-2024")</f>
        <v/>
      </c>
      <c r="W139">
        <f>HYPERLINK("https://klasma.github.io/Logging_2326/klagomålsmail/A 30334-2024 FSC-klagomål mail.docx", "A 30334-2024")</f>
        <v/>
      </c>
      <c r="X139">
        <f>HYPERLINK("https://klasma.github.io/Logging_2326/tillsyn/A 30334-2024 tillsynsbegäran.docx", "A 30334-2024")</f>
        <v/>
      </c>
      <c r="Y139">
        <f>HYPERLINK("https://klasma.github.io/Logging_2326/tillsynsmail/A 30334-2024 tillsynsbegäran mail.docx", "A 30334-2024")</f>
        <v/>
      </c>
    </row>
    <row r="140" ht="15" customHeight="1">
      <c r="A140" t="inlineStr">
        <is>
          <t>A 16834-2021</t>
        </is>
      </c>
      <c r="B140" s="1" t="n">
        <v>44293</v>
      </c>
      <c r="C140" s="1" t="n">
        <v>46048</v>
      </c>
      <c r="D140" t="inlineStr">
        <is>
          <t>JÄMTLANDS LÄN</t>
        </is>
      </c>
      <c r="E140" t="inlineStr">
        <is>
          <t>BERG</t>
        </is>
      </c>
      <c r="G140" t="n">
        <v>18.7</v>
      </c>
      <c r="H140" t="n">
        <v>0</v>
      </c>
      <c r="I140" t="n">
        <v>0</v>
      </c>
      <c r="J140" t="n">
        <v>1</v>
      </c>
      <c r="K140" t="n">
        <v>0</v>
      </c>
      <c r="L140" t="n">
        <v>0</v>
      </c>
      <c r="M140" t="n">
        <v>0</v>
      </c>
      <c r="N140" t="n">
        <v>0</v>
      </c>
      <c r="O140" t="n">
        <v>1</v>
      </c>
      <c r="P140" t="n">
        <v>0</v>
      </c>
      <c r="Q140" t="n">
        <v>1</v>
      </c>
      <c r="R140" s="2" t="inlineStr">
        <is>
          <t>Gränsticka</t>
        </is>
      </c>
      <c r="S140">
        <f>HYPERLINK("https://klasma.github.io/Logging_2326/artfynd/A 16834-2021 artfynd.xlsx", "A 16834-2021")</f>
        <v/>
      </c>
      <c r="T140">
        <f>HYPERLINK("https://klasma.github.io/Logging_2326/kartor/A 16834-2021 karta.png", "A 16834-2021")</f>
        <v/>
      </c>
      <c r="V140">
        <f>HYPERLINK("https://klasma.github.io/Logging_2326/klagomål/A 16834-2021 FSC-klagomål.docx", "A 16834-2021")</f>
        <v/>
      </c>
      <c r="W140">
        <f>HYPERLINK("https://klasma.github.io/Logging_2326/klagomålsmail/A 16834-2021 FSC-klagomål mail.docx", "A 16834-2021")</f>
        <v/>
      </c>
      <c r="X140">
        <f>HYPERLINK("https://klasma.github.io/Logging_2326/tillsyn/A 16834-2021 tillsynsbegäran.docx", "A 16834-2021")</f>
        <v/>
      </c>
      <c r="Y140">
        <f>HYPERLINK("https://klasma.github.io/Logging_2326/tillsynsmail/A 16834-2021 tillsynsbegäran mail.docx", "A 16834-2021")</f>
        <v/>
      </c>
    </row>
    <row r="141" ht="15" customHeight="1">
      <c r="A141" t="inlineStr">
        <is>
          <t>A 41317-2022</t>
        </is>
      </c>
      <c r="B141" s="1" t="n">
        <v>44826</v>
      </c>
      <c r="C141" s="1" t="n">
        <v>46048</v>
      </c>
      <c r="D141" t="inlineStr">
        <is>
          <t>JÄMTLANDS LÄN</t>
        </is>
      </c>
      <c r="E141" t="inlineStr">
        <is>
          <t>BERG</t>
        </is>
      </c>
      <c r="G141" t="n">
        <v>0.5</v>
      </c>
      <c r="H141" t="n">
        <v>1</v>
      </c>
      <c r="I141" t="n">
        <v>0</v>
      </c>
      <c r="J141" t="n">
        <v>0</v>
      </c>
      <c r="K141" t="n">
        <v>0</v>
      </c>
      <c r="L141" t="n">
        <v>0</v>
      </c>
      <c r="M141" t="n">
        <v>0</v>
      </c>
      <c r="N141" t="n">
        <v>0</v>
      </c>
      <c r="O141" t="n">
        <v>0</v>
      </c>
      <c r="P141" t="n">
        <v>0</v>
      </c>
      <c r="Q141" t="n">
        <v>1</v>
      </c>
      <c r="R141" s="2" t="inlineStr">
        <is>
          <t>Fläcknycklar</t>
        </is>
      </c>
      <c r="S141">
        <f>HYPERLINK("https://klasma.github.io/Logging_2326/artfynd/A 41317-2022 artfynd.xlsx", "A 41317-2022")</f>
        <v/>
      </c>
      <c r="T141">
        <f>HYPERLINK("https://klasma.github.io/Logging_2326/kartor/A 41317-2022 karta.png", "A 41317-2022")</f>
        <v/>
      </c>
      <c r="V141">
        <f>HYPERLINK("https://klasma.github.io/Logging_2326/klagomål/A 41317-2022 FSC-klagomål.docx", "A 41317-2022")</f>
        <v/>
      </c>
      <c r="W141">
        <f>HYPERLINK("https://klasma.github.io/Logging_2326/klagomålsmail/A 41317-2022 FSC-klagomål mail.docx", "A 41317-2022")</f>
        <v/>
      </c>
      <c r="X141">
        <f>HYPERLINK("https://klasma.github.io/Logging_2326/tillsyn/A 41317-2022 tillsynsbegäran.docx", "A 41317-2022")</f>
        <v/>
      </c>
      <c r="Y141">
        <f>HYPERLINK("https://klasma.github.io/Logging_2326/tillsynsmail/A 41317-2022 tillsynsbegäran mail.docx", "A 41317-2022")</f>
        <v/>
      </c>
    </row>
    <row r="142" ht="15" customHeight="1">
      <c r="A142" t="inlineStr">
        <is>
          <t>A 49276-2024</t>
        </is>
      </c>
      <c r="B142" s="1" t="n">
        <v>45595.50819444445</v>
      </c>
      <c r="C142" s="1" t="n">
        <v>46048</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21681-2025</t>
        </is>
      </c>
      <c r="B143" s="1" t="n">
        <v>45783.49015046296</v>
      </c>
      <c r="C143" s="1" t="n">
        <v>46048</v>
      </c>
      <c r="D143" t="inlineStr">
        <is>
          <t>JÄMTLANDS LÄN</t>
        </is>
      </c>
      <c r="E143" t="inlineStr">
        <is>
          <t>BERG</t>
        </is>
      </c>
      <c r="F143" t="inlineStr">
        <is>
          <t>SCA</t>
        </is>
      </c>
      <c r="G143" t="n">
        <v>10.2</v>
      </c>
      <c r="H143" t="n">
        <v>0</v>
      </c>
      <c r="I143" t="n">
        <v>0</v>
      </c>
      <c r="J143" t="n">
        <v>0</v>
      </c>
      <c r="K143" t="n">
        <v>1</v>
      </c>
      <c r="L143" t="n">
        <v>0</v>
      </c>
      <c r="M143" t="n">
        <v>0</v>
      </c>
      <c r="N143" t="n">
        <v>0</v>
      </c>
      <c r="O143" t="n">
        <v>1</v>
      </c>
      <c r="P143" t="n">
        <v>1</v>
      </c>
      <c r="Q143" t="n">
        <v>1</v>
      </c>
      <c r="R143" s="2" t="inlineStr">
        <is>
          <t>Gräddporing</t>
        </is>
      </c>
      <c r="S143">
        <f>HYPERLINK("https://klasma.github.io/Logging_2326/artfynd/A 21681-2025 artfynd.xlsx", "A 21681-2025")</f>
        <v/>
      </c>
      <c r="T143">
        <f>HYPERLINK("https://klasma.github.io/Logging_2326/kartor/A 21681-2025 karta.png", "A 21681-2025")</f>
        <v/>
      </c>
      <c r="V143">
        <f>HYPERLINK("https://klasma.github.io/Logging_2326/klagomål/A 21681-2025 FSC-klagomål.docx", "A 21681-2025")</f>
        <v/>
      </c>
      <c r="W143">
        <f>HYPERLINK("https://klasma.github.io/Logging_2326/klagomålsmail/A 21681-2025 FSC-klagomål mail.docx", "A 21681-2025")</f>
        <v/>
      </c>
      <c r="X143">
        <f>HYPERLINK("https://klasma.github.io/Logging_2326/tillsyn/A 21681-2025 tillsynsbegäran.docx", "A 21681-2025")</f>
        <v/>
      </c>
      <c r="Y143">
        <f>HYPERLINK("https://klasma.github.io/Logging_2326/tillsynsmail/A 21681-2025 tillsynsbegäran mail.docx", "A 21681-2025")</f>
        <v/>
      </c>
    </row>
    <row r="144" ht="15" customHeight="1">
      <c r="A144" t="inlineStr">
        <is>
          <t>A 53708-2024</t>
        </is>
      </c>
      <c r="B144" s="1" t="n">
        <v>45615.40983796296</v>
      </c>
      <c r="C144" s="1" t="n">
        <v>46048</v>
      </c>
      <c r="D144" t="inlineStr">
        <is>
          <t>JÄMTLANDS LÄN</t>
        </is>
      </c>
      <c r="E144" t="inlineStr">
        <is>
          <t>BERG</t>
        </is>
      </c>
      <c r="G144" t="n">
        <v>8.199999999999999</v>
      </c>
      <c r="H144" t="n">
        <v>0</v>
      </c>
      <c r="I144" t="n">
        <v>0</v>
      </c>
      <c r="J144" t="n">
        <v>1</v>
      </c>
      <c r="K144" t="n">
        <v>0</v>
      </c>
      <c r="L144" t="n">
        <v>0</v>
      </c>
      <c r="M144" t="n">
        <v>0</v>
      </c>
      <c r="N144" t="n">
        <v>0</v>
      </c>
      <c r="O144" t="n">
        <v>1</v>
      </c>
      <c r="P144" t="n">
        <v>0</v>
      </c>
      <c r="Q144" t="n">
        <v>1</v>
      </c>
      <c r="R144" s="2" t="inlineStr">
        <is>
          <t>Lunglav</t>
        </is>
      </c>
      <c r="S144">
        <f>HYPERLINK("https://klasma.github.io/Logging_2326/artfynd/A 53708-2024 artfynd.xlsx", "A 53708-2024")</f>
        <v/>
      </c>
      <c r="T144">
        <f>HYPERLINK("https://klasma.github.io/Logging_2326/kartor/A 53708-2024 karta.png", "A 53708-2024")</f>
        <v/>
      </c>
      <c r="V144">
        <f>HYPERLINK("https://klasma.github.io/Logging_2326/klagomål/A 53708-2024 FSC-klagomål.docx", "A 53708-2024")</f>
        <v/>
      </c>
      <c r="W144">
        <f>HYPERLINK("https://klasma.github.io/Logging_2326/klagomålsmail/A 53708-2024 FSC-klagomål mail.docx", "A 53708-2024")</f>
        <v/>
      </c>
      <c r="X144">
        <f>HYPERLINK("https://klasma.github.io/Logging_2326/tillsyn/A 53708-2024 tillsynsbegäran.docx", "A 53708-2024")</f>
        <v/>
      </c>
      <c r="Y144">
        <f>HYPERLINK("https://klasma.github.io/Logging_2326/tillsynsmail/A 53708-2024 tillsynsbegäran mail.docx", "A 53708-2024")</f>
        <v/>
      </c>
    </row>
    <row r="145" ht="15" customHeight="1">
      <c r="A145" t="inlineStr">
        <is>
          <t>A 9657-2023</t>
        </is>
      </c>
      <c r="B145" s="1" t="n">
        <v>44978</v>
      </c>
      <c r="C145" s="1" t="n">
        <v>46048</v>
      </c>
      <c r="D145" t="inlineStr">
        <is>
          <t>JÄMTLANDS LÄN</t>
        </is>
      </c>
      <c r="E145" t="inlineStr">
        <is>
          <t>BERG</t>
        </is>
      </c>
      <c r="G145" t="n">
        <v>2.7</v>
      </c>
      <c r="H145" t="n">
        <v>0</v>
      </c>
      <c r="I145" t="n">
        <v>0</v>
      </c>
      <c r="J145" t="n">
        <v>1</v>
      </c>
      <c r="K145" t="n">
        <v>0</v>
      </c>
      <c r="L145" t="n">
        <v>0</v>
      </c>
      <c r="M145" t="n">
        <v>0</v>
      </c>
      <c r="N145" t="n">
        <v>0</v>
      </c>
      <c r="O145" t="n">
        <v>1</v>
      </c>
      <c r="P145" t="n">
        <v>0</v>
      </c>
      <c r="Q145" t="n">
        <v>1</v>
      </c>
      <c r="R145" s="2" t="inlineStr">
        <is>
          <t>Garnlav</t>
        </is>
      </c>
      <c r="S145">
        <f>HYPERLINK("https://klasma.github.io/Logging_2326/artfynd/A 9657-2023 artfynd.xlsx", "A 9657-2023")</f>
        <v/>
      </c>
      <c r="T145">
        <f>HYPERLINK("https://klasma.github.io/Logging_2326/kartor/A 9657-2023 karta.png", "A 9657-2023")</f>
        <v/>
      </c>
      <c r="V145">
        <f>HYPERLINK("https://klasma.github.io/Logging_2326/klagomål/A 9657-2023 FSC-klagomål.docx", "A 9657-2023")</f>
        <v/>
      </c>
      <c r="W145">
        <f>HYPERLINK("https://klasma.github.io/Logging_2326/klagomålsmail/A 9657-2023 FSC-klagomål mail.docx", "A 9657-2023")</f>
        <v/>
      </c>
      <c r="X145">
        <f>HYPERLINK("https://klasma.github.io/Logging_2326/tillsyn/A 9657-2023 tillsynsbegäran.docx", "A 9657-2023")</f>
        <v/>
      </c>
      <c r="Y145">
        <f>HYPERLINK("https://klasma.github.io/Logging_2326/tillsynsmail/A 9657-2023 tillsynsbegäran mail.docx", "A 9657-2023")</f>
        <v/>
      </c>
    </row>
    <row r="146" ht="15" customHeight="1">
      <c r="A146" t="inlineStr">
        <is>
          <t>A 33126-2024</t>
        </is>
      </c>
      <c r="B146" s="1" t="n">
        <v>45517.9575462963</v>
      </c>
      <c r="C146" s="1" t="n">
        <v>46048</v>
      </c>
      <c r="D146" t="inlineStr">
        <is>
          <t>JÄMTLANDS LÄN</t>
        </is>
      </c>
      <c r="E146" t="inlineStr">
        <is>
          <t>BERG</t>
        </is>
      </c>
      <c r="F146" t="inlineStr">
        <is>
          <t>SCA</t>
        </is>
      </c>
      <c r="G146" t="n">
        <v>4.2</v>
      </c>
      <c r="H146" t="n">
        <v>0</v>
      </c>
      <c r="I146" t="n">
        <v>0</v>
      </c>
      <c r="J146" t="n">
        <v>0</v>
      </c>
      <c r="K146" t="n">
        <v>1</v>
      </c>
      <c r="L146" t="n">
        <v>0</v>
      </c>
      <c r="M146" t="n">
        <v>0</v>
      </c>
      <c r="N146" t="n">
        <v>0</v>
      </c>
      <c r="O146" t="n">
        <v>1</v>
      </c>
      <c r="P146" t="n">
        <v>1</v>
      </c>
      <c r="Q146" t="n">
        <v>1</v>
      </c>
      <c r="R146" s="2" t="inlineStr">
        <is>
          <t>Gräddporing</t>
        </is>
      </c>
      <c r="S146">
        <f>HYPERLINK("https://klasma.github.io/Logging_2326/artfynd/A 33126-2024 artfynd.xlsx", "A 33126-2024")</f>
        <v/>
      </c>
      <c r="T146">
        <f>HYPERLINK("https://klasma.github.io/Logging_2326/kartor/A 33126-2024 karta.png", "A 33126-2024")</f>
        <v/>
      </c>
      <c r="V146">
        <f>HYPERLINK("https://klasma.github.io/Logging_2326/klagomål/A 33126-2024 FSC-klagomål.docx", "A 33126-2024")</f>
        <v/>
      </c>
      <c r="W146">
        <f>HYPERLINK("https://klasma.github.io/Logging_2326/klagomålsmail/A 33126-2024 FSC-klagomål mail.docx", "A 33126-2024")</f>
        <v/>
      </c>
      <c r="X146">
        <f>HYPERLINK("https://klasma.github.io/Logging_2326/tillsyn/A 33126-2024 tillsynsbegäran.docx", "A 33126-2024")</f>
        <v/>
      </c>
      <c r="Y146">
        <f>HYPERLINK("https://klasma.github.io/Logging_2326/tillsynsmail/A 33126-2024 tillsynsbegäran mail.docx", "A 33126-2024")</f>
        <v/>
      </c>
    </row>
    <row r="147" ht="15" customHeight="1">
      <c r="A147" t="inlineStr">
        <is>
          <t>A 24331-2025</t>
        </is>
      </c>
      <c r="B147" s="1" t="n">
        <v>45797</v>
      </c>
      <c r="C147" s="1" t="n">
        <v>46048</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56202-2021</t>
        </is>
      </c>
      <c r="B148" s="1" t="n">
        <v>44477</v>
      </c>
      <c r="C148" s="1" t="n">
        <v>46048</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33083-2024</t>
        </is>
      </c>
      <c r="B149" s="1" t="n">
        <v>45517.675</v>
      </c>
      <c r="C149" s="1" t="n">
        <v>46048</v>
      </c>
      <c r="D149" t="inlineStr">
        <is>
          <t>JÄMTLANDS LÄN</t>
        </is>
      </c>
      <c r="E149" t="inlineStr">
        <is>
          <t>BERG</t>
        </is>
      </c>
      <c r="G149" t="n">
        <v>0.2</v>
      </c>
      <c r="H149" t="n">
        <v>0</v>
      </c>
      <c r="I149" t="n">
        <v>0</v>
      </c>
      <c r="J149" t="n">
        <v>1</v>
      </c>
      <c r="K149" t="n">
        <v>0</v>
      </c>
      <c r="L149" t="n">
        <v>0</v>
      </c>
      <c r="M149" t="n">
        <v>0</v>
      </c>
      <c r="N149" t="n">
        <v>0</v>
      </c>
      <c r="O149" t="n">
        <v>1</v>
      </c>
      <c r="P149" t="n">
        <v>0</v>
      </c>
      <c r="Q149" t="n">
        <v>1</v>
      </c>
      <c r="R149" s="2" t="inlineStr">
        <is>
          <t>Garnlav</t>
        </is>
      </c>
      <c r="S149">
        <f>HYPERLINK("https://klasma.github.io/Logging_2326/artfynd/A 33083-2024 artfynd.xlsx", "A 33083-2024")</f>
        <v/>
      </c>
      <c r="T149">
        <f>HYPERLINK("https://klasma.github.io/Logging_2326/kartor/A 33083-2024 karta.png", "A 33083-2024")</f>
        <v/>
      </c>
      <c r="V149">
        <f>HYPERLINK("https://klasma.github.io/Logging_2326/klagomål/A 33083-2024 FSC-klagomål.docx", "A 33083-2024")</f>
        <v/>
      </c>
      <c r="W149">
        <f>HYPERLINK("https://klasma.github.io/Logging_2326/klagomålsmail/A 33083-2024 FSC-klagomål mail.docx", "A 33083-2024")</f>
        <v/>
      </c>
      <c r="X149">
        <f>HYPERLINK("https://klasma.github.io/Logging_2326/tillsyn/A 33083-2024 tillsynsbegäran.docx", "A 33083-2024")</f>
        <v/>
      </c>
      <c r="Y149">
        <f>HYPERLINK("https://klasma.github.io/Logging_2326/tillsynsmail/A 33083-2024 tillsynsbegäran mail.docx", "A 33083-2024")</f>
        <v/>
      </c>
    </row>
    <row r="150" ht="15" customHeight="1">
      <c r="A150" t="inlineStr">
        <is>
          <t>A 49049-2024</t>
        </is>
      </c>
      <c r="B150" s="1" t="n">
        <v>45594.5742824074</v>
      </c>
      <c r="C150" s="1" t="n">
        <v>46048</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49049-2024 artfynd.xlsx", "A 49049-2024")</f>
        <v/>
      </c>
      <c r="T150">
        <f>HYPERLINK("https://klasma.github.io/Logging_2326/kartor/A 49049-2024 karta.png", "A 49049-2024")</f>
        <v/>
      </c>
      <c r="V150">
        <f>HYPERLINK("https://klasma.github.io/Logging_2326/klagomål/A 49049-2024 FSC-klagomål.docx", "A 49049-2024")</f>
        <v/>
      </c>
      <c r="W150">
        <f>HYPERLINK("https://klasma.github.io/Logging_2326/klagomålsmail/A 49049-2024 FSC-klagomål mail.docx", "A 49049-2024")</f>
        <v/>
      </c>
      <c r="X150">
        <f>HYPERLINK("https://klasma.github.io/Logging_2326/tillsyn/A 49049-2024 tillsynsbegäran.docx", "A 49049-2024")</f>
        <v/>
      </c>
      <c r="Y150">
        <f>HYPERLINK("https://klasma.github.io/Logging_2326/tillsynsmail/A 49049-2024 tillsynsbegäran mail.docx", "A 49049-2024")</f>
        <v/>
      </c>
    </row>
    <row r="151" ht="15" customHeight="1">
      <c r="A151" t="inlineStr">
        <is>
          <t>A 25556-2025</t>
        </is>
      </c>
      <c r="B151" s="1" t="n">
        <v>45803.45106481481</v>
      </c>
      <c r="C151" s="1" t="n">
        <v>46048</v>
      </c>
      <c r="D151" t="inlineStr">
        <is>
          <t>JÄMTLANDS LÄN</t>
        </is>
      </c>
      <c r="E151" t="inlineStr">
        <is>
          <t>BERG</t>
        </is>
      </c>
      <c r="G151" t="n">
        <v>6.2</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25556-2025 artfynd.xlsx", "A 25556-2025")</f>
        <v/>
      </c>
      <c r="T151">
        <f>HYPERLINK("https://klasma.github.io/Logging_2326/kartor/A 25556-2025 karta.png", "A 25556-2025")</f>
        <v/>
      </c>
      <c r="V151">
        <f>HYPERLINK("https://klasma.github.io/Logging_2326/klagomål/A 25556-2025 FSC-klagomål.docx", "A 25556-2025")</f>
        <v/>
      </c>
      <c r="W151">
        <f>HYPERLINK("https://klasma.github.io/Logging_2326/klagomålsmail/A 25556-2025 FSC-klagomål mail.docx", "A 25556-2025")</f>
        <v/>
      </c>
      <c r="X151">
        <f>HYPERLINK("https://klasma.github.io/Logging_2326/tillsyn/A 25556-2025 tillsynsbegäran.docx", "A 25556-2025")</f>
        <v/>
      </c>
      <c r="Y151">
        <f>HYPERLINK("https://klasma.github.io/Logging_2326/tillsynsmail/A 25556-2025 tillsynsbegäran mail.docx", "A 25556-2025")</f>
        <v/>
      </c>
      <c r="Z151">
        <f>HYPERLINK("https://klasma.github.io/Logging_2326/fåglar/A 25556-2025 prioriterade fågelarter.docx", "A 25556-2025")</f>
        <v/>
      </c>
    </row>
    <row r="152" ht="15" customHeight="1">
      <c r="A152" t="inlineStr">
        <is>
          <t>A 54595-2024</t>
        </is>
      </c>
      <c r="B152" s="1" t="n">
        <v>45617.67353009259</v>
      </c>
      <c r="C152" s="1" t="n">
        <v>46048</v>
      </c>
      <c r="D152" t="inlineStr">
        <is>
          <t>JÄMTLANDS LÄN</t>
        </is>
      </c>
      <c r="E152" t="inlineStr">
        <is>
          <t>BERG</t>
        </is>
      </c>
      <c r="G152" t="n">
        <v>4.4</v>
      </c>
      <c r="H152" t="n">
        <v>1</v>
      </c>
      <c r="I152" t="n">
        <v>0</v>
      </c>
      <c r="J152" t="n">
        <v>0</v>
      </c>
      <c r="K152" t="n">
        <v>0</v>
      </c>
      <c r="L152" t="n">
        <v>0</v>
      </c>
      <c r="M152" t="n">
        <v>0</v>
      </c>
      <c r="N152" t="n">
        <v>0</v>
      </c>
      <c r="O152" t="n">
        <v>0</v>
      </c>
      <c r="P152" t="n">
        <v>0</v>
      </c>
      <c r="Q152" t="n">
        <v>1</v>
      </c>
      <c r="R152" s="2" t="inlineStr">
        <is>
          <t>Tjäder</t>
        </is>
      </c>
      <c r="S152">
        <f>HYPERLINK("https://klasma.github.io/Logging_2326/artfynd/A 54595-2024 artfynd.xlsx", "A 54595-2024")</f>
        <v/>
      </c>
      <c r="T152">
        <f>HYPERLINK("https://klasma.github.io/Logging_2326/kartor/A 54595-2024 karta.png", "A 54595-2024")</f>
        <v/>
      </c>
      <c r="V152">
        <f>HYPERLINK("https://klasma.github.io/Logging_2326/klagomål/A 54595-2024 FSC-klagomål.docx", "A 54595-2024")</f>
        <v/>
      </c>
      <c r="W152">
        <f>HYPERLINK("https://klasma.github.io/Logging_2326/klagomålsmail/A 54595-2024 FSC-klagomål mail.docx", "A 54595-2024")</f>
        <v/>
      </c>
      <c r="X152">
        <f>HYPERLINK("https://klasma.github.io/Logging_2326/tillsyn/A 54595-2024 tillsynsbegäran.docx", "A 54595-2024")</f>
        <v/>
      </c>
      <c r="Y152">
        <f>HYPERLINK("https://klasma.github.io/Logging_2326/tillsynsmail/A 54595-2024 tillsynsbegäran mail.docx", "A 54595-2024")</f>
        <v/>
      </c>
      <c r="Z152">
        <f>HYPERLINK("https://klasma.github.io/Logging_2326/fåglar/A 54595-2024 prioriterade fågelarter.docx", "A 54595-2024")</f>
        <v/>
      </c>
    </row>
    <row r="153" ht="15" customHeight="1">
      <c r="A153" t="inlineStr">
        <is>
          <t>A 40440-2024</t>
        </is>
      </c>
      <c r="B153" s="1" t="n">
        <v>45555.48267361111</v>
      </c>
      <c r="C153" s="1" t="n">
        <v>46048</v>
      </c>
      <c r="D153" t="inlineStr">
        <is>
          <t>JÄMTLANDS LÄN</t>
        </is>
      </c>
      <c r="E153" t="inlineStr">
        <is>
          <t>BERG</t>
        </is>
      </c>
      <c r="G153" t="n">
        <v>3.6</v>
      </c>
      <c r="H153" t="n">
        <v>1</v>
      </c>
      <c r="I153" t="n">
        <v>0</v>
      </c>
      <c r="J153" t="n">
        <v>0</v>
      </c>
      <c r="K153" t="n">
        <v>0</v>
      </c>
      <c r="L153" t="n">
        <v>0</v>
      </c>
      <c r="M153" t="n">
        <v>0</v>
      </c>
      <c r="N153" t="n">
        <v>0</v>
      </c>
      <c r="O153" t="n">
        <v>0</v>
      </c>
      <c r="P153" t="n">
        <v>0</v>
      </c>
      <c r="Q153" t="n">
        <v>1</v>
      </c>
      <c r="R153" s="2" t="inlineStr">
        <is>
          <t>Fläcknycklar</t>
        </is>
      </c>
      <c r="S153">
        <f>HYPERLINK("https://klasma.github.io/Logging_2326/artfynd/A 40440-2024 artfynd.xlsx", "A 40440-2024")</f>
        <v/>
      </c>
      <c r="T153">
        <f>HYPERLINK("https://klasma.github.io/Logging_2326/kartor/A 40440-2024 karta.png", "A 40440-2024")</f>
        <v/>
      </c>
      <c r="V153">
        <f>HYPERLINK("https://klasma.github.io/Logging_2326/klagomål/A 40440-2024 FSC-klagomål.docx", "A 40440-2024")</f>
        <v/>
      </c>
      <c r="W153">
        <f>HYPERLINK("https://klasma.github.io/Logging_2326/klagomålsmail/A 40440-2024 FSC-klagomål mail.docx", "A 40440-2024")</f>
        <v/>
      </c>
      <c r="X153">
        <f>HYPERLINK("https://klasma.github.io/Logging_2326/tillsyn/A 40440-2024 tillsynsbegäran.docx", "A 40440-2024")</f>
        <v/>
      </c>
      <c r="Y153">
        <f>HYPERLINK("https://klasma.github.io/Logging_2326/tillsynsmail/A 40440-2024 tillsynsbegäran mail.docx", "A 40440-2024")</f>
        <v/>
      </c>
    </row>
    <row r="154" ht="15" customHeight="1">
      <c r="A154" t="inlineStr">
        <is>
          <t>A 12733-2024</t>
        </is>
      </c>
      <c r="B154" s="1" t="n">
        <v>45384</v>
      </c>
      <c r="C154" s="1" t="n">
        <v>46048</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31837-2025</t>
        </is>
      </c>
      <c r="B155" s="1" t="n">
        <v>45834.59467592592</v>
      </c>
      <c r="C155" s="1" t="n">
        <v>46048</v>
      </c>
      <c r="D155" t="inlineStr">
        <is>
          <t>JÄMTLANDS LÄN</t>
        </is>
      </c>
      <c r="E155" t="inlineStr">
        <is>
          <t>BERG</t>
        </is>
      </c>
      <c r="F155" t="inlineStr">
        <is>
          <t>SCA</t>
        </is>
      </c>
      <c r="G155" t="n">
        <v>12.2</v>
      </c>
      <c r="H155" t="n">
        <v>0</v>
      </c>
      <c r="I155" t="n">
        <v>0</v>
      </c>
      <c r="J155" t="n">
        <v>0</v>
      </c>
      <c r="K155" t="n">
        <v>1</v>
      </c>
      <c r="L155" t="n">
        <v>0</v>
      </c>
      <c r="M155" t="n">
        <v>0</v>
      </c>
      <c r="N155" t="n">
        <v>0</v>
      </c>
      <c r="O155" t="n">
        <v>1</v>
      </c>
      <c r="P155" t="n">
        <v>1</v>
      </c>
      <c r="Q155" t="n">
        <v>1</v>
      </c>
      <c r="R155" s="2" t="inlineStr">
        <is>
          <t>Gräddporing</t>
        </is>
      </c>
      <c r="S155">
        <f>HYPERLINK("https://klasma.github.io/Logging_2326/artfynd/A 31837-2025 artfynd.xlsx", "A 31837-2025")</f>
        <v/>
      </c>
      <c r="T155">
        <f>HYPERLINK("https://klasma.github.io/Logging_2326/kartor/A 31837-2025 karta.png", "A 31837-2025")</f>
        <v/>
      </c>
      <c r="V155">
        <f>HYPERLINK("https://klasma.github.io/Logging_2326/klagomål/A 31837-2025 FSC-klagomål.docx", "A 31837-2025")</f>
        <v/>
      </c>
      <c r="W155">
        <f>HYPERLINK("https://klasma.github.io/Logging_2326/klagomålsmail/A 31837-2025 FSC-klagomål mail.docx", "A 31837-2025")</f>
        <v/>
      </c>
      <c r="X155">
        <f>HYPERLINK("https://klasma.github.io/Logging_2326/tillsyn/A 31837-2025 tillsynsbegäran.docx", "A 31837-2025")</f>
        <v/>
      </c>
      <c r="Y155">
        <f>HYPERLINK("https://klasma.github.io/Logging_2326/tillsynsmail/A 31837-2025 tillsynsbegäran mail.docx", "A 31837-2025")</f>
        <v/>
      </c>
    </row>
    <row r="156" ht="15" customHeight="1">
      <c r="A156" t="inlineStr">
        <is>
          <t>A 23177-2024</t>
        </is>
      </c>
      <c r="B156" s="1" t="n">
        <v>45450</v>
      </c>
      <c r="C156" s="1" t="n">
        <v>46048</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33501-2025</t>
        </is>
      </c>
      <c r="B157" s="1" t="n">
        <v>45841</v>
      </c>
      <c r="C157" s="1" t="n">
        <v>46048</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20808-2024</t>
        </is>
      </c>
      <c r="B158" s="1" t="n">
        <v>45439</v>
      </c>
      <c r="C158" s="1" t="n">
        <v>46048</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35211-2025</t>
        </is>
      </c>
      <c r="B159" s="1" t="n">
        <v>45853.45060185185</v>
      </c>
      <c r="C159" s="1" t="n">
        <v>46048</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53014-2022</t>
        </is>
      </c>
      <c r="B160" s="1" t="n">
        <v>44875</v>
      </c>
      <c r="C160" s="1" t="n">
        <v>46048</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35535-2025</t>
        </is>
      </c>
      <c r="B161" s="1" t="n">
        <v>45856.45047453704</v>
      </c>
      <c r="C161" s="1" t="n">
        <v>46048</v>
      </c>
      <c r="D161" t="inlineStr">
        <is>
          <t>JÄMTLANDS LÄN</t>
        </is>
      </c>
      <c r="E161" t="inlineStr">
        <is>
          <t>BERG</t>
        </is>
      </c>
      <c r="F161" t="inlineStr">
        <is>
          <t>Sveaskog</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HYPERLINK("https://klasma.github.io/Logging_2326/artfynd/A 35535-2025 artfynd.xlsx", "A 35535-2025")</f>
        <v/>
      </c>
      <c r="T161">
        <f>HYPERLINK("https://klasma.github.io/Logging_2326/kartor/A 35535-2025 karta.png", "A 35535-2025")</f>
        <v/>
      </c>
      <c r="V161">
        <f>HYPERLINK("https://klasma.github.io/Logging_2326/klagomål/A 35535-2025 FSC-klagomål.docx", "A 35535-2025")</f>
        <v/>
      </c>
      <c r="W161">
        <f>HYPERLINK("https://klasma.github.io/Logging_2326/klagomålsmail/A 35535-2025 FSC-klagomål mail.docx", "A 35535-2025")</f>
        <v/>
      </c>
      <c r="X161">
        <f>HYPERLINK("https://klasma.github.io/Logging_2326/tillsyn/A 35535-2025 tillsynsbegäran.docx", "A 35535-2025")</f>
        <v/>
      </c>
      <c r="Y161">
        <f>HYPERLINK("https://klasma.github.io/Logging_2326/tillsynsmail/A 35535-2025 tillsynsbegäran mail.docx", "A 35535-2025")</f>
        <v/>
      </c>
    </row>
    <row r="162" ht="15" customHeight="1">
      <c r="A162" t="inlineStr">
        <is>
          <t>A 53086-2024</t>
        </is>
      </c>
      <c r="B162" s="1" t="n">
        <v>45611.51084490741</v>
      </c>
      <c r="C162" s="1" t="n">
        <v>46048</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24309-2023</t>
        </is>
      </c>
      <c r="B163" s="1" t="n">
        <v>45079</v>
      </c>
      <c r="C163" s="1" t="n">
        <v>46048</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32686-2022</t>
        </is>
      </c>
      <c r="B164" s="1" t="n">
        <v>44776</v>
      </c>
      <c r="C164" s="1" t="n">
        <v>46048</v>
      </c>
      <c r="D164" t="inlineStr">
        <is>
          <t>JÄMTLANDS LÄN</t>
        </is>
      </c>
      <c r="E164" t="inlineStr">
        <is>
          <t>BERG</t>
        </is>
      </c>
      <c r="G164" t="n">
        <v>4.8</v>
      </c>
      <c r="H164" t="n">
        <v>1</v>
      </c>
      <c r="I164" t="n">
        <v>0</v>
      </c>
      <c r="J164" t="n">
        <v>0</v>
      </c>
      <c r="K164" t="n">
        <v>1</v>
      </c>
      <c r="L164" t="n">
        <v>0</v>
      </c>
      <c r="M164" t="n">
        <v>0</v>
      </c>
      <c r="N164" t="n">
        <v>0</v>
      </c>
      <c r="O164" t="n">
        <v>1</v>
      </c>
      <c r="P164" t="n">
        <v>1</v>
      </c>
      <c r="Q164" t="n">
        <v>1</v>
      </c>
      <c r="R164" s="2" t="inlineStr">
        <is>
          <t>Knärot</t>
        </is>
      </c>
      <c r="S164">
        <f>HYPERLINK("https://klasma.github.io/Logging_2326/artfynd/A 32686-2022 artfynd.xlsx", "A 32686-2022")</f>
        <v/>
      </c>
      <c r="T164">
        <f>HYPERLINK("https://klasma.github.io/Logging_2326/kartor/A 32686-2022 karta.png", "A 32686-2022")</f>
        <v/>
      </c>
      <c r="U164">
        <f>HYPERLINK("https://klasma.github.io/Logging_2326/knärot/A 32686-2022 karta knärot.png", "A 32686-2022")</f>
        <v/>
      </c>
      <c r="V164">
        <f>HYPERLINK("https://klasma.github.io/Logging_2326/klagomål/A 32686-2022 FSC-klagomål.docx", "A 32686-2022")</f>
        <v/>
      </c>
      <c r="W164">
        <f>HYPERLINK("https://klasma.github.io/Logging_2326/klagomålsmail/A 32686-2022 FSC-klagomål mail.docx", "A 32686-2022")</f>
        <v/>
      </c>
      <c r="X164">
        <f>HYPERLINK("https://klasma.github.io/Logging_2326/tillsyn/A 32686-2022 tillsynsbegäran.docx", "A 32686-2022")</f>
        <v/>
      </c>
      <c r="Y164">
        <f>HYPERLINK("https://klasma.github.io/Logging_2326/tillsynsmail/A 32686-2022 tillsynsbegäran mail.docx", "A 32686-2022")</f>
        <v/>
      </c>
    </row>
    <row r="165" ht="15" customHeight="1">
      <c r="A165" t="inlineStr">
        <is>
          <t>A 34891-2024</t>
        </is>
      </c>
      <c r="B165" s="1" t="n">
        <v>45527.36498842593</v>
      </c>
      <c r="C165" s="1" t="n">
        <v>46048</v>
      </c>
      <c r="D165" t="inlineStr">
        <is>
          <t>JÄMTLANDS LÄN</t>
        </is>
      </c>
      <c r="E165" t="inlineStr">
        <is>
          <t>BERG</t>
        </is>
      </c>
      <c r="F165" t="inlineStr">
        <is>
          <t>SCA</t>
        </is>
      </c>
      <c r="G165" t="n">
        <v>1.5</v>
      </c>
      <c r="H165" t="n">
        <v>1</v>
      </c>
      <c r="I165" t="n">
        <v>0</v>
      </c>
      <c r="J165" t="n">
        <v>0</v>
      </c>
      <c r="K165" t="n">
        <v>1</v>
      </c>
      <c r="L165" t="n">
        <v>0</v>
      </c>
      <c r="M165" t="n">
        <v>0</v>
      </c>
      <c r="N165" t="n">
        <v>0</v>
      </c>
      <c r="O165" t="n">
        <v>1</v>
      </c>
      <c r="P165" t="n">
        <v>1</v>
      </c>
      <c r="Q165" t="n">
        <v>1</v>
      </c>
      <c r="R165" s="2" t="inlineStr">
        <is>
          <t>Knärot</t>
        </is>
      </c>
      <c r="S165">
        <f>HYPERLINK("https://klasma.github.io/Logging_2326/artfynd/A 34891-2024 artfynd.xlsx", "A 34891-2024")</f>
        <v/>
      </c>
      <c r="T165">
        <f>HYPERLINK("https://klasma.github.io/Logging_2326/kartor/A 34891-2024 karta.png", "A 34891-2024")</f>
        <v/>
      </c>
      <c r="U165">
        <f>HYPERLINK("https://klasma.github.io/Logging_2326/knärot/A 34891-2024 karta knärot.png", "A 34891-2024")</f>
        <v/>
      </c>
      <c r="V165">
        <f>HYPERLINK("https://klasma.github.io/Logging_2326/klagomål/A 34891-2024 FSC-klagomål.docx", "A 34891-2024")</f>
        <v/>
      </c>
      <c r="W165">
        <f>HYPERLINK("https://klasma.github.io/Logging_2326/klagomålsmail/A 34891-2024 FSC-klagomål mail.docx", "A 34891-2024")</f>
        <v/>
      </c>
      <c r="X165">
        <f>HYPERLINK("https://klasma.github.io/Logging_2326/tillsyn/A 34891-2024 tillsynsbegäran.docx", "A 34891-2024")</f>
        <v/>
      </c>
      <c r="Y165">
        <f>HYPERLINK("https://klasma.github.io/Logging_2326/tillsynsmail/A 34891-2024 tillsynsbegäran mail.docx", "A 34891-2024")</f>
        <v/>
      </c>
    </row>
    <row r="166" ht="15" customHeight="1">
      <c r="A166" t="inlineStr">
        <is>
          <t>A 68434-2021</t>
        </is>
      </c>
      <c r="B166" s="1" t="n">
        <v>44529</v>
      </c>
      <c r="C166" s="1" t="n">
        <v>46048</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37513-2025</t>
        </is>
      </c>
      <c r="B167" s="1" t="n">
        <v>45877.69828703703</v>
      </c>
      <c r="C167" s="1" t="n">
        <v>46048</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46048</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50556-2024</t>
        </is>
      </c>
      <c r="B169" s="1" t="n">
        <v>45601.59604166666</v>
      </c>
      <c r="C169" s="1" t="n">
        <v>46048</v>
      </c>
      <c r="D169" t="inlineStr">
        <is>
          <t>JÄMTLANDS LÄN</t>
        </is>
      </c>
      <c r="E169" t="inlineStr">
        <is>
          <t>BERG</t>
        </is>
      </c>
      <c r="G169" t="n">
        <v>5.7</v>
      </c>
      <c r="H169" t="n">
        <v>0</v>
      </c>
      <c r="I169" t="n">
        <v>0</v>
      </c>
      <c r="J169" t="n">
        <v>1</v>
      </c>
      <c r="K169" t="n">
        <v>0</v>
      </c>
      <c r="L169" t="n">
        <v>0</v>
      </c>
      <c r="M169" t="n">
        <v>0</v>
      </c>
      <c r="N169" t="n">
        <v>0</v>
      </c>
      <c r="O169" t="n">
        <v>1</v>
      </c>
      <c r="P169" t="n">
        <v>0</v>
      </c>
      <c r="Q169" t="n">
        <v>1</v>
      </c>
      <c r="R169" s="2" t="inlineStr">
        <is>
          <t>Kalkbräken</t>
        </is>
      </c>
      <c r="S169">
        <f>HYPERLINK("https://klasma.github.io/Logging_2326/artfynd/A 50556-2024 artfynd.xlsx", "A 50556-2024")</f>
        <v/>
      </c>
      <c r="T169">
        <f>HYPERLINK("https://klasma.github.io/Logging_2326/kartor/A 50556-2024 karta.png", "A 50556-2024")</f>
        <v/>
      </c>
      <c r="V169">
        <f>HYPERLINK("https://klasma.github.io/Logging_2326/klagomål/A 50556-2024 FSC-klagomål.docx", "A 50556-2024")</f>
        <v/>
      </c>
      <c r="W169">
        <f>HYPERLINK("https://klasma.github.io/Logging_2326/klagomålsmail/A 50556-2024 FSC-klagomål mail.docx", "A 50556-2024")</f>
        <v/>
      </c>
      <c r="X169">
        <f>HYPERLINK("https://klasma.github.io/Logging_2326/tillsyn/A 50556-2024 tillsynsbegäran.docx", "A 50556-2024")</f>
        <v/>
      </c>
      <c r="Y169">
        <f>HYPERLINK("https://klasma.github.io/Logging_2326/tillsynsmail/A 50556-2024 tillsynsbegäran mail.docx", "A 50556-2024")</f>
        <v/>
      </c>
    </row>
    <row r="170" ht="15" customHeight="1">
      <c r="A170" t="inlineStr">
        <is>
          <t>A 39001-2025</t>
        </is>
      </c>
      <c r="B170" s="1" t="n">
        <v>45888.344375</v>
      </c>
      <c r="C170" s="1" t="n">
        <v>46048</v>
      </c>
      <c r="D170" t="inlineStr">
        <is>
          <t>JÄMTLANDS LÄN</t>
        </is>
      </c>
      <c r="E170" t="inlineStr">
        <is>
          <t>BERG</t>
        </is>
      </c>
      <c r="F170" t="inlineStr">
        <is>
          <t>SCA</t>
        </is>
      </c>
      <c r="G170" t="n">
        <v>4.4</v>
      </c>
      <c r="H170" t="n">
        <v>0</v>
      </c>
      <c r="I170" t="n">
        <v>0</v>
      </c>
      <c r="J170" t="n">
        <v>1</v>
      </c>
      <c r="K170" t="n">
        <v>0</v>
      </c>
      <c r="L170" t="n">
        <v>0</v>
      </c>
      <c r="M170" t="n">
        <v>0</v>
      </c>
      <c r="N170" t="n">
        <v>0</v>
      </c>
      <c r="O170" t="n">
        <v>1</v>
      </c>
      <c r="P170" t="n">
        <v>0</v>
      </c>
      <c r="Q170" t="n">
        <v>1</v>
      </c>
      <c r="R170" s="2" t="inlineStr">
        <is>
          <t>Vedflamlav</t>
        </is>
      </c>
      <c r="S170">
        <f>HYPERLINK("https://klasma.github.io/Logging_2326/artfynd/A 39001-2025 artfynd.xlsx", "A 39001-2025")</f>
        <v/>
      </c>
      <c r="T170">
        <f>HYPERLINK("https://klasma.github.io/Logging_2326/kartor/A 39001-2025 karta.png", "A 39001-2025")</f>
        <v/>
      </c>
      <c r="V170">
        <f>HYPERLINK("https://klasma.github.io/Logging_2326/klagomål/A 39001-2025 FSC-klagomål.docx", "A 39001-2025")</f>
        <v/>
      </c>
      <c r="W170">
        <f>HYPERLINK("https://klasma.github.io/Logging_2326/klagomålsmail/A 39001-2025 FSC-klagomål mail.docx", "A 39001-2025")</f>
        <v/>
      </c>
      <c r="X170">
        <f>HYPERLINK("https://klasma.github.io/Logging_2326/tillsyn/A 39001-2025 tillsynsbegäran.docx", "A 39001-2025")</f>
        <v/>
      </c>
      <c r="Y170">
        <f>HYPERLINK("https://klasma.github.io/Logging_2326/tillsynsmail/A 39001-2025 tillsynsbegäran mail.docx", "A 39001-2025")</f>
        <v/>
      </c>
    </row>
    <row r="171" ht="15" customHeight="1">
      <c r="A171" t="inlineStr">
        <is>
          <t>A 41635-2024</t>
        </is>
      </c>
      <c r="B171" s="1" t="n">
        <v>45560.61601851852</v>
      </c>
      <c r="C171" s="1" t="n">
        <v>46048</v>
      </c>
      <c r="D171" t="inlineStr">
        <is>
          <t>JÄMTLANDS LÄN</t>
        </is>
      </c>
      <c r="E171" t="inlineStr">
        <is>
          <t>BERG</t>
        </is>
      </c>
      <c r="F171" t="inlineStr">
        <is>
          <t>SCA</t>
        </is>
      </c>
      <c r="G171" t="n">
        <v>4.2</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41635-2024 artfynd.xlsx", "A 41635-2024")</f>
        <v/>
      </c>
      <c r="T171">
        <f>HYPERLINK("https://klasma.github.io/Logging_2326/kartor/A 41635-2024 karta.png", "A 41635-2024")</f>
        <v/>
      </c>
      <c r="V171">
        <f>HYPERLINK("https://klasma.github.io/Logging_2326/klagomål/A 41635-2024 FSC-klagomål.docx", "A 41635-2024")</f>
        <v/>
      </c>
      <c r="W171">
        <f>HYPERLINK("https://klasma.github.io/Logging_2326/klagomålsmail/A 41635-2024 FSC-klagomål mail.docx", "A 41635-2024")</f>
        <v/>
      </c>
      <c r="X171">
        <f>HYPERLINK("https://klasma.github.io/Logging_2326/tillsyn/A 41635-2024 tillsynsbegäran.docx", "A 41635-2024")</f>
        <v/>
      </c>
      <c r="Y171">
        <f>HYPERLINK("https://klasma.github.io/Logging_2326/tillsynsmail/A 41635-2024 tillsynsbegäran mail.docx", "A 41635-2024")</f>
        <v/>
      </c>
    </row>
    <row r="172" ht="15" customHeight="1">
      <c r="A172" t="inlineStr">
        <is>
          <t>A 40382-2024</t>
        </is>
      </c>
      <c r="B172" s="1" t="n">
        <v>45555.42225694445</v>
      </c>
      <c r="C172" s="1" t="n">
        <v>46048</v>
      </c>
      <c r="D172" t="inlineStr">
        <is>
          <t>JÄMTLANDS LÄN</t>
        </is>
      </c>
      <c r="E172" t="inlineStr">
        <is>
          <t>BERG</t>
        </is>
      </c>
      <c r="G172" t="n">
        <v>1.5</v>
      </c>
      <c r="H172" t="n">
        <v>0</v>
      </c>
      <c r="I172" t="n">
        <v>0</v>
      </c>
      <c r="J172" t="n">
        <v>1</v>
      </c>
      <c r="K172" t="n">
        <v>0</v>
      </c>
      <c r="L172" t="n">
        <v>0</v>
      </c>
      <c r="M172" t="n">
        <v>0</v>
      </c>
      <c r="N172" t="n">
        <v>0</v>
      </c>
      <c r="O172" t="n">
        <v>1</v>
      </c>
      <c r="P172" t="n">
        <v>0</v>
      </c>
      <c r="Q172" t="n">
        <v>1</v>
      </c>
      <c r="R172" s="2" t="inlineStr">
        <is>
          <t>Backruta</t>
        </is>
      </c>
      <c r="S172">
        <f>HYPERLINK("https://klasma.github.io/Logging_2326/artfynd/A 40382-2024 artfynd.xlsx", "A 40382-2024")</f>
        <v/>
      </c>
      <c r="T172">
        <f>HYPERLINK("https://klasma.github.io/Logging_2326/kartor/A 40382-2024 karta.png", "A 40382-2024")</f>
        <v/>
      </c>
      <c r="V172">
        <f>HYPERLINK("https://klasma.github.io/Logging_2326/klagomål/A 40382-2024 FSC-klagomål.docx", "A 40382-2024")</f>
        <v/>
      </c>
      <c r="W172">
        <f>HYPERLINK("https://klasma.github.io/Logging_2326/klagomålsmail/A 40382-2024 FSC-klagomål mail.docx", "A 40382-2024")</f>
        <v/>
      </c>
      <c r="X172">
        <f>HYPERLINK("https://klasma.github.io/Logging_2326/tillsyn/A 40382-2024 tillsynsbegäran.docx", "A 40382-2024")</f>
        <v/>
      </c>
      <c r="Y172">
        <f>HYPERLINK("https://klasma.github.io/Logging_2326/tillsynsmail/A 40382-2024 tillsynsbegäran mail.docx", "A 40382-2024")</f>
        <v/>
      </c>
    </row>
    <row r="173" ht="15" customHeight="1">
      <c r="A173" t="inlineStr">
        <is>
          <t>A 25853-2025</t>
        </is>
      </c>
      <c r="B173" s="1" t="n">
        <v>45804.46908564815</v>
      </c>
      <c r="C173" s="1" t="n">
        <v>46048</v>
      </c>
      <c r="D173" t="inlineStr">
        <is>
          <t>JÄMTLANDS LÄN</t>
        </is>
      </c>
      <c r="E173" t="inlineStr">
        <is>
          <t>BERG</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25853-2025 artfynd.xlsx", "A 25853-2025")</f>
        <v/>
      </c>
      <c r="T173">
        <f>HYPERLINK("https://klasma.github.io/Logging_2326/kartor/A 25853-2025 karta.png", "A 25853-2025")</f>
        <v/>
      </c>
      <c r="V173">
        <f>HYPERLINK("https://klasma.github.io/Logging_2326/klagomål/A 25853-2025 FSC-klagomål.docx", "A 25853-2025")</f>
        <v/>
      </c>
      <c r="W173">
        <f>HYPERLINK("https://klasma.github.io/Logging_2326/klagomålsmail/A 25853-2025 FSC-klagomål mail.docx", "A 25853-2025")</f>
        <v/>
      </c>
      <c r="X173">
        <f>HYPERLINK("https://klasma.github.io/Logging_2326/tillsyn/A 25853-2025 tillsynsbegäran.docx", "A 25853-2025")</f>
        <v/>
      </c>
      <c r="Y173">
        <f>HYPERLINK("https://klasma.github.io/Logging_2326/tillsynsmail/A 25853-2025 tillsynsbegäran mail.docx", "A 25853-2025")</f>
        <v/>
      </c>
      <c r="Z173">
        <f>HYPERLINK("https://klasma.github.io/Logging_2326/fåglar/A 25853-2025 prioriterade fågelarter.docx", "A 25853-2025")</f>
        <v/>
      </c>
    </row>
    <row r="174" ht="15" customHeight="1">
      <c r="A174" t="inlineStr">
        <is>
          <t>A 20444-2025</t>
        </is>
      </c>
      <c r="B174" s="1" t="n">
        <v>45775.48989583334</v>
      </c>
      <c r="C174" s="1" t="n">
        <v>46048</v>
      </c>
      <c r="D174" t="inlineStr">
        <is>
          <t>JÄMTLANDS LÄN</t>
        </is>
      </c>
      <c r="E174" t="inlineStr">
        <is>
          <t>BERG</t>
        </is>
      </c>
      <c r="F174" t="inlineStr">
        <is>
          <t>SCA</t>
        </is>
      </c>
      <c r="G174" t="n">
        <v>2.3</v>
      </c>
      <c r="H174" t="n">
        <v>0</v>
      </c>
      <c r="I174" t="n">
        <v>0</v>
      </c>
      <c r="J174" t="n">
        <v>0</v>
      </c>
      <c r="K174" t="n">
        <v>1</v>
      </c>
      <c r="L174" t="n">
        <v>0</v>
      </c>
      <c r="M174" t="n">
        <v>0</v>
      </c>
      <c r="N174" t="n">
        <v>0</v>
      </c>
      <c r="O174" t="n">
        <v>1</v>
      </c>
      <c r="P174" t="n">
        <v>1</v>
      </c>
      <c r="Q174" t="n">
        <v>1</v>
      </c>
      <c r="R174" s="2" t="inlineStr">
        <is>
          <t>Gräddporing</t>
        </is>
      </c>
      <c r="S174">
        <f>HYPERLINK("https://klasma.github.io/Logging_2326/artfynd/A 20444-2025 artfynd.xlsx", "A 20444-2025")</f>
        <v/>
      </c>
      <c r="T174">
        <f>HYPERLINK("https://klasma.github.io/Logging_2326/kartor/A 20444-2025 karta.png", "A 20444-2025")</f>
        <v/>
      </c>
      <c r="V174">
        <f>HYPERLINK("https://klasma.github.io/Logging_2326/klagomål/A 20444-2025 FSC-klagomål.docx", "A 20444-2025")</f>
        <v/>
      </c>
      <c r="W174">
        <f>HYPERLINK("https://klasma.github.io/Logging_2326/klagomålsmail/A 20444-2025 FSC-klagomål mail.docx", "A 20444-2025")</f>
        <v/>
      </c>
      <c r="X174">
        <f>HYPERLINK("https://klasma.github.io/Logging_2326/tillsyn/A 20444-2025 tillsynsbegäran.docx", "A 20444-2025")</f>
        <v/>
      </c>
      <c r="Y174">
        <f>HYPERLINK("https://klasma.github.io/Logging_2326/tillsynsmail/A 20444-2025 tillsynsbegäran mail.docx", "A 20444-2025")</f>
        <v/>
      </c>
    </row>
    <row r="175" ht="15" customHeight="1">
      <c r="A175" t="inlineStr">
        <is>
          <t>A 47656-2025</t>
        </is>
      </c>
      <c r="B175" s="1" t="n">
        <v>45931.55247685185</v>
      </c>
      <c r="C175" s="1" t="n">
        <v>46048</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Vedflamlav</t>
        </is>
      </c>
      <c r="S175">
        <f>HYPERLINK("https://klasma.github.io/Logging_2326/artfynd/A 47656-2025 artfynd.xlsx", "A 47656-2025")</f>
        <v/>
      </c>
      <c r="T175">
        <f>HYPERLINK("https://klasma.github.io/Logging_2326/kartor/A 47656-2025 karta.png", "A 47656-2025")</f>
        <v/>
      </c>
      <c r="V175">
        <f>HYPERLINK("https://klasma.github.io/Logging_2326/klagomål/A 47656-2025 FSC-klagomål.docx", "A 47656-2025")</f>
        <v/>
      </c>
      <c r="W175">
        <f>HYPERLINK("https://klasma.github.io/Logging_2326/klagomålsmail/A 47656-2025 FSC-klagomål mail.docx", "A 47656-2025")</f>
        <v/>
      </c>
      <c r="X175">
        <f>HYPERLINK("https://klasma.github.io/Logging_2326/tillsyn/A 47656-2025 tillsynsbegäran.docx", "A 47656-2025")</f>
        <v/>
      </c>
      <c r="Y175">
        <f>HYPERLINK("https://klasma.github.io/Logging_2326/tillsynsmail/A 47656-2025 tillsynsbegäran mail.docx", "A 47656-2025")</f>
        <v/>
      </c>
    </row>
    <row r="176" ht="15" customHeight="1">
      <c r="A176" t="inlineStr">
        <is>
          <t>A 47658-2025</t>
        </is>
      </c>
      <c r="B176" s="1" t="n">
        <v>45931.55266203704</v>
      </c>
      <c r="C176" s="1" t="n">
        <v>46048</v>
      </c>
      <c r="D176" t="inlineStr">
        <is>
          <t>JÄMTLANDS LÄN</t>
        </is>
      </c>
      <c r="E176" t="inlineStr">
        <is>
          <t>BERG</t>
        </is>
      </c>
      <c r="F176" t="inlineStr">
        <is>
          <t>SCA</t>
        </is>
      </c>
      <c r="G176" t="n">
        <v>3.2</v>
      </c>
      <c r="H176" t="n">
        <v>0</v>
      </c>
      <c r="I176" t="n">
        <v>0</v>
      </c>
      <c r="J176" t="n">
        <v>1</v>
      </c>
      <c r="K176" t="n">
        <v>0</v>
      </c>
      <c r="L176" t="n">
        <v>0</v>
      </c>
      <c r="M176" t="n">
        <v>0</v>
      </c>
      <c r="N176" t="n">
        <v>0</v>
      </c>
      <c r="O176" t="n">
        <v>1</v>
      </c>
      <c r="P176" t="n">
        <v>0</v>
      </c>
      <c r="Q176" t="n">
        <v>1</v>
      </c>
      <c r="R176" s="2" t="inlineStr">
        <is>
          <t>Blågrå svartspik</t>
        </is>
      </c>
      <c r="S176">
        <f>HYPERLINK("https://klasma.github.io/Logging_2326/artfynd/A 47658-2025 artfynd.xlsx", "A 47658-2025")</f>
        <v/>
      </c>
      <c r="T176">
        <f>HYPERLINK("https://klasma.github.io/Logging_2326/kartor/A 47658-2025 karta.png", "A 47658-2025")</f>
        <v/>
      </c>
      <c r="V176">
        <f>HYPERLINK("https://klasma.github.io/Logging_2326/klagomål/A 47658-2025 FSC-klagomål.docx", "A 47658-2025")</f>
        <v/>
      </c>
      <c r="W176">
        <f>HYPERLINK("https://klasma.github.io/Logging_2326/klagomålsmail/A 47658-2025 FSC-klagomål mail.docx", "A 47658-2025")</f>
        <v/>
      </c>
      <c r="X176">
        <f>HYPERLINK("https://klasma.github.io/Logging_2326/tillsyn/A 47658-2025 tillsynsbegäran.docx", "A 47658-2025")</f>
        <v/>
      </c>
      <c r="Y176">
        <f>HYPERLINK("https://klasma.github.io/Logging_2326/tillsynsmail/A 47658-2025 tillsynsbegäran mail.docx", "A 47658-2025")</f>
        <v/>
      </c>
    </row>
    <row r="177" ht="15" customHeight="1">
      <c r="A177" t="inlineStr">
        <is>
          <t>A 47946-2025</t>
        </is>
      </c>
      <c r="B177" s="1" t="n">
        <v>45932.57346064815</v>
      </c>
      <c r="C177" s="1" t="n">
        <v>46048</v>
      </c>
      <c r="D177" t="inlineStr">
        <is>
          <t>JÄMTLANDS LÄN</t>
        </is>
      </c>
      <c r="E177" t="inlineStr">
        <is>
          <t>BERG</t>
        </is>
      </c>
      <c r="F177" t="inlineStr">
        <is>
          <t>SCA</t>
        </is>
      </c>
      <c r="G177" t="n">
        <v>7.7</v>
      </c>
      <c r="H177" t="n">
        <v>0</v>
      </c>
      <c r="I177" t="n">
        <v>0</v>
      </c>
      <c r="J177" t="n">
        <v>0</v>
      </c>
      <c r="K177" t="n">
        <v>1</v>
      </c>
      <c r="L177" t="n">
        <v>0</v>
      </c>
      <c r="M177" t="n">
        <v>0</v>
      </c>
      <c r="N177" t="n">
        <v>0</v>
      </c>
      <c r="O177" t="n">
        <v>1</v>
      </c>
      <c r="P177" t="n">
        <v>1</v>
      </c>
      <c r="Q177" t="n">
        <v>1</v>
      </c>
      <c r="R177" s="2" t="inlineStr">
        <is>
          <t>Gräddporing</t>
        </is>
      </c>
      <c r="S177">
        <f>HYPERLINK("https://klasma.github.io/Logging_2326/artfynd/A 47946-2025 artfynd.xlsx", "A 47946-2025")</f>
        <v/>
      </c>
      <c r="T177">
        <f>HYPERLINK("https://klasma.github.io/Logging_2326/kartor/A 47946-2025 karta.png", "A 47946-2025")</f>
        <v/>
      </c>
      <c r="V177">
        <f>HYPERLINK("https://klasma.github.io/Logging_2326/klagomål/A 47946-2025 FSC-klagomål.docx", "A 47946-2025")</f>
        <v/>
      </c>
      <c r="W177">
        <f>HYPERLINK("https://klasma.github.io/Logging_2326/klagomålsmail/A 47946-2025 FSC-klagomål mail.docx", "A 47946-2025")</f>
        <v/>
      </c>
      <c r="X177">
        <f>HYPERLINK("https://klasma.github.io/Logging_2326/tillsyn/A 47946-2025 tillsynsbegäran.docx", "A 47946-2025")</f>
        <v/>
      </c>
      <c r="Y177">
        <f>HYPERLINK("https://klasma.github.io/Logging_2326/tillsynsmail/A 47946-2025 tillsynsbegäran mail.docx", "A 47946-2025")</f>
        <v/>
      </c>
    </row>
    <row r="178" ht="15" customHeight="1">
      <c r="A178" t="inlineStr">
        <is>
          <t>A 50182-2025</t>
        </is>
      </c>
      <c r="B178" s="1" t="n">
        <v>45943.61550925926</v>
      </c>
      <c r="C178" s="1" t="n">
        <v>46048</v>
      </c>
      <c r="D178" t="inlineStr">
        <is>
          <t>JÄMTLANDS LÄN</t>
        </is>
      </c>
      <c r="E178" t="inlineStr">
        <is>
          <t>BERG</t>
        </is>
      </c>
      <c r="F178" t="inlineStr">
        <is>
          <t>SCA</t>
        </is>
      </c>
      <c r="G178" t="n">
        <v>12.8</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50182-2025 artfynd.xlsx", "A 50182-2025")</f>
        <v/>
      </c>
      <c r="T178">
        <f>HYPERLINK("https://klasma.github.io/Logging_2326/kartor/A 50182-2025 karta.png", "A 50182-2025")</f>
        <v/>
      </c>
      <c r="V178">
        <f>HYPERLINK("https://klasma.github.io/Logging_2326/klagomål/A 50182-2025 FSC-klagomål.docx", "A 50182-2025")</f>
        <v/>
      </c>
      <c r="W178">
        <f>HYPERLINK("https://klasma.github.io/Logging_2326/klagomålsmail/A 50182-2025 FSC-klagomål mail.docx", "A 50182-2025")</f>
        <v/>
      </c>
      <c r="X178">
        <f>HYPERLINK("https://klasma.github.io/Logging_2326/tillsyn/A 50182-2025 tillsynsbegäran.docx", "A 50182-2025")</f>
        <v/>
      </c>
      <c r="Y178">
        <f>HYPERLINK("https://klasma.github.io/Logging_2326/tillsynsmail/A 50182-2025 tillsynsbegäran mail.docx", "A 50182-2025")</f>
        <v/>
      </c>
      <c r="Z178">
        <f>HYPERLINK("https://klasma.github.io/Logging_2326/fåglar/A 50182-2025 prioriterade fågelarter.docx", "A 50182-2025")</f>
        <v/>
      </c>
    </row>
    <row r="179" ht="15" customHeight="1">
      <c r="A179" t="inlineStr">
        <is>
          <t>A 32171-2024</t>
        </is>
      </c>
      <c r="B179" s="1" t="n">
        <v>45511</v>
      </c>
      <c r="C179" s="1" t="n">
        <v>46048</v>
      </c>
      <c r="D179" t="inlineStr">
        <is>
          <t>JÄMTLANDS LÄN</t>
        </is>
      </c>
      <c r="E179" t="inlineStr">
        <is>
          <t>BERG</t>
        </is>
      </c>
      <c r="G179" t="n">
        <v>9.699999999999999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44259-2024</t>
        </is>
      </c>
      <c r="B180" s="1" t="n">
        <v>45573</v>
      </c>
      <c r="C180" s="1" t="n">
        <v>46048</v>
      </c>
      <c r="D180" t="inlineStr">
        <is>
          <t>JÄMTLANDS LÄN</t>
        </is>
      </c>
      <c r="E180" t="inlineStr">
        <is>
          <t>BERG</t>
        </is>
      </c>
      <c r="G180" t="n">
        <v>1.4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44259-2024 artfynd.xlsx", "A 44259-2024")</f>
        <v/>
      </c>
      <c r="T180">
        <f>HYPERLINK("https://klasma.github.io/Logging_2326/kartor/A 44259-2024 karta.png", "A 44259-2024")</f>
        <v/>
      </c>
      <c r="V180">
        <f>HYPERLINK("https://klasma.github.io/Logging_2326/klagomål/A 44259-2024 FSC-klagomål.docx", "A 44259-2024")</f>
        <v/>
      </c>
      <c r="W180">
        <f>HYPERLINK("https://klasma.github.io/Logging_2326/klagomålsmail/A 44259-2024 FSC-klagomål mail.docx", "A 44259-2024")</f>
        <v/>
      </c>
      <c r="X180">
        <f>HYPERLINK("https://klasma.github.io/Logging_2326/tillsyn/A 44259-2024 tillsynsbegäran.docx", "A 44259-2024")</f>
        <v/>
      </c>
      <c r="Y180">
        <f>HYPERLINK("https://klasma.github.io/Logging_2326/tillsynsmail/A 44259-2024 tillsynsbegäran mail.docx", "A 44259-2024")</f>
        <v/>
      </c>
      <c r="Z180">
        <f>HYPERLINK("https://klasma.github.io/Logging_2326/fåglar/A 44259-2024 prioriterade fågelarter.docx", "A 44259-2024")</f>
        <v/>
      </c>
    </row>
    <row r="181" ht="15" customHeight="1">
      <c r="A181" t="inlineStr">
        <is>
          <t>A 52193-2024</t>
        </is>
      </c>
      <c r="B181" s="1" t="n">
        <v>45608</v>
      </c>
      <c r="C181" s="1" t="n">
        <v>46048</v>
      </c>
      <c r="D181" t="inlineStr">
        <is>
          <t>JÄMTLANDS LÄN</t>
        </is>
      </c>
      <c r="E181" t="inlineStr">
        <is>
          <t>BERG</t>
        </is>
      </c>
      <c r="G181" t="n">
        <v>7.4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52193-2024 artfynd.xlsx", "A 52193-2024")</f>
        <v/>
      </c>
      <c r="T181">
        <f>HYPERLINK("https://klasma.github.io/Logging_2326/kartor/A 52193-2024 karta.png", "A 52193-2024")</f>
        <v/>
      </c>
      <c r="V181">
        <f>HYPERLINK("https://klasma.github.io/Logging_2326/klagomål/A 52193-2024 FSC-klagomål.docx", "A 52193-2024")</f>
        <v/>
      </c>
      <c r="W181">
        <f>HYPERLINK("https://klasma.github.io/Logging_2326/klagomålsmail/A 52193-2024 FSC-klagomål mail.docx", "A 52193-2024")</f>
        <v/>
      </c>
      <c r="X181">
        <f>HYPERLINK("https://klasma.github.io/Logging_2326/tillsyn/A 52193-2024 tillsynsbegäran.docx", "A 52193-2024")</f>
        <v/>
      </c>
      <c r="Y181">
        <f>HYPERLINK("https://klasma.github.io/Logging_2326/tillsynsmail/A 52193-2024 tillsynsbegäran mail.docx", "A 52193-2024")</f>
        <v/>
      </c>
      <c r="Z181">
        <f>HYPERLINK("https://klasma.github.io/Logging_2326/fåglar/A 52193-2024 prioriterade fågelarter.docx", "A 52193-2024")</f>
        <v/>
      </c>
    </row>
    <row r="182" ht="15" customHeight="1">
      <c r="A182" t="inlineStr">
        <is>
          <t>A 56198-2025</t>
        </is>
      </c>
      <c r="B182" s="1" t="n">
        <v>45974.45760416667</v>
      </c>
      <c r="C182" s="1" t="n">
        <v>46048</v>
      </c>
      <c r="D182" t="inlineStr">
        <is>
          <t>JÄMTLANDS LÄN</t>
        </is>
      </c>
      <c r="E182" t="inlineStr">
        <is>
          <t>BERG</t>
        </is>
      </c>
      <c r="G182" t="n">
        <v>8.6</v>
      </c>
      <c r="H182" t="n">
        <v>0</v>
      </c>
      <c r="I182" t="n">
        <v>0</v>
      </c>
      <c r="J182" t="n">
        <v>1</v>
      </c>
      <c r="K182" t="n">
        <v>0</v>
      </c>
      <c r="L182" t="n">
        <v>0</v>
      </c>
      <c r="M182" t="n">
        <v>0</v>
      </c>
      <c r="N182" t="n">
        <v>0</v>
      </c>
      <c r="O182" t="n">
        <v>1</v>
      </c>
      <c r="P182" t="n">
        <v>0</v>
      </c>
      <c r="Q182" t="n">
        <v>1</v>
      </c>
      <c r="R182" s="2" t="inlineStr">
        <is>
          <t>Knottrig blåslav</t>
        </is>
      </c>
      <c r="S182">
        <f>HYPERLINK("https://klasma.github.io/Logging_2326/artfynd/A 56198-2025 artfynd.xlsx", "A 56198-2025")</f>
        <v/>
      </c>
      <c r="T182">
        <f>HYPERLINK("https://klasma.github.io/Logging_2326/kartor/A 56198-2025 karta.png", "A 56198-2025")</f>
        <v/>
      </c>
      <c r="V182">
        <f>HYPERLINK("https://klasma.github.io/Logging_2326/klagomål/A 56198-2025 FSC-klagomål.docx", "A 56198-2025")</f>
        <v/>
      </c>
      <c r="W182">
        <f>HYPERLINK("https://klasma.github.io/Logging_2326/klagomålsmail/A 56198-2025 FSC-klagomål mail.docx", "A 56198-2025")</f>
        <v/>
      </c>
      <c r="X182">
        <f>HYPERLINK("https://klasma.github.io/Logging_2326/tillsyn/A 56198-2025 tillsynsbegäran.docx", "A 56198-2025")</f>
        <v/>
      </c>
      <c r="Y182">
        <f>HYPERLINK("https://klasma.github.io/Logging_2326/tillsynsmail/A 56198-2025 tillsynsbegäran mail.docx", "A 56198-2025")</f>
        <v/>
      </c>
    </row>
    <row r="183" ht="15" customHeight="1">
      <c r="A183" t="inlineStr">
        <is>
          <t>A 21370-2025</t>
        </is>
      </c>
      <c r="B183" s="1" t="n">
        <v>45782</v>
      </c>
      <c r="C183" s="1" t="n">
        <v>46048</v>
      </c>
      <c r="D183" t="inlineStr">
        <is>
          <t>JÄMTLANDS LÄN</t>
        </is>
      </c>
      <c r="E183" t="inlineStr">
        <is>
          <t>BERG</t>
        </is>
      </c>
      <c r="F183" t="inlineStr">
        <is>
          <t>SCA</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21370-2025 artfynd.xlsx", "A 21370-2025")</f>
        <v/>
      </c>
      <c r="T183">
        <f>HYPERLINK("https://klasma.github.io/Logging_2326/kartor/A 21370-2025 karta.png", "A 21370-2025")</f>
        <v/>
      </c>
      <c r="V183">
        <f>HYPERLINK("https://klasma.github.io/Logging_2326/klagomål/A 21370-2025 FSC-klagomål.docx", "A 21370-2025")</f>
        <v/>
      </c>
      <c r="W183">
        <f>HYPERLINK("https://klasma.github.io/Logging_2326/klagomålsmail/A 21370-2025 FSC-klagomål mail.docx", "A 21370-2025")</f>
        <v/>
      </c>
      <c r="X183">
        <f>HYPERLINK("https://klasma.github.io/Logging_2326/tillsyn/A 21370-2025 tillsynsbegäran.docx", "A 21370-2025")</f>
        <v/>
      </c>
      <c r="Y183">
        <f>HYPERLINK("https://klasma.github.io/Logging_2326/tillsynsmail/A 21370-2025 tillsynsbegäran mail.docx", "A 21370-2025")</f>
        <v/>
      </c>
      <c r="Z183">
        <f>HYPERLINK("https://klasma.github.io/Logging_2326/fåglar/A 21370-2025 prioriterade fågelarter.docx", "A 21370-2025")</f>
        <v/>
      </c>
    </row>
    <row r="184" ht="15" customHeight="1">
      <c r="A184" t="inlineStr">
        <is>
          <t>A 21632-2025</t>
        </is>
      </c>
      <c r="B184" s="1" t="n">
        <v>45783.42753472222</v>
      </c>
      <c r="C184" s="1" t="n">
        <v>46048</v>
      </c>
      <c r="D184" t="inlineStr">
        <is>
          <t>JÄMTLANDS LÄN</t>
        </is>
      </c>
      <c r="E184" t="inlineStr">
        <is>
          <t>BERG</t>
        </is>
      </c>
      <c r="F184" t="inlineStr">
        <is>
          <t>SCA</t>
        </is>
      </c>
      <c r="G184" t="n">
        <v>2.9</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21632-2025 artfynd.xlsx", "A 21632-2025")</f>
        <v/>
      </c>
      <c r="T184">
        <f>HYPERLINK("https://klasma.github.io/Logging_2326/kartor/A 21632-2025 karta.png", "A 21632-2025")</f>
        <v/>
      </c>
      <c r="V184">
        <f>HYPERLINK("https://klasma.github.io/Logging_2326/klagomål/A 21632-2025 FSC-klagomål.docx", "A 21632-2025")</f>
        <v/>
      </c>
      <c r="W184">
        <f>HYPERLINK("https://klasma.github.io/Logging_2326/klagomålsmail/A 21632-2025 FSC-klagomål mail.docx", "A 21632-2025")</f>
        <v/>
      </c>
      <c r="X184">
        <f>HYPERLINK("https://klasma.github.io/Logging_2326/tillsyn/A 21632-2025 tillsynsbegäran.docx", "A 21632-2025")</f>
        <v/>
      </c>
      <c r="Y184">
        <f>HYPERLINK("https://klasma.github.io/Logging_2326/tillsynsmail/A 21632-2025 tillsynsbegäran mail.docx", "A 21632-2025")</f>
        <v/>
      </c>
      <c r="Z184">
        <f>HYPERLINK("https://klasma.github.io/Logging_2326/fåglar/A 21632-2025 prioriterade fågelarter.docx", "A 21632-2025")</f>
        <v/>
      </c>
    </row>
    <row r="185" ht="15" customHeight="1">
      <c r="A185" t="inlineStr">
        <is>
          <t>A 971-2026</t>
        </is>
      </c>
      <c r="B185" s="1" t="n">
        <v>46029</v>
      </c>
      <c r="C185" s="1" t="n">
        <v>46048</v>
      </c>
      <c r="D185" t="inlineStr">
        <is>
          <t>JÄMTLANDS LÄN</t>
        </is>
      </c>
      <c r="E185" t="inlineStr">
        <is>
          <t>BERG</t>
        </is>
      </c>
      <c r="F185" t="inlineStr">
        <is>
          <t>SCA</t>
        </is>
      </c>
      <c r="G185" t="n">
        <v>9.699999999999999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HYPERLINK("https://klasma.github.io/Logging_2326/artfynd/A 971-2026 artfynd.xlsx", "A 971-2026")</f>
        <v/>
      </c>
      <c r="T185">
        <f>HYPERLINK("https://klasma.github.io/Logging_2326/kartor/A 971-2026 karta.png", "A 971-2026")</f>
        <v/>
      </c>
      <c r="V185">
        <f>HYPERLINK("https://klasma.github.io/Logging_2326/klagomål/A 971-2026 FSC-klagomål.docx", "A 971-2026")</f>
        <v/>
      </c>
      <c r="W185">
        <f>HYPERLINK("https://klasma.github.io/Logging_2326/klagomålsmail/A 971-2026 FSC-klagomål mail.docx", "A 971-2026")</f>
        <v/>
      </c>
      <c r="X185">
        <f>HYPERLINK("https://klasma.github.io/Logging_2326/tillsyn/A 971-2026 tillsynsbegäran.docx", "A 971-2026")</f>
        <v/>
      </c>
      <c r="Y185">
        <f>HYPERLINK("https://klasma.github.io/Logging_2326/tillsynsmail/A 971-2026 tillsynsbegäran mail.docx", "A 971-2026")</f>
        <v/>
      </c>
      <c r="Z185">
        <f>HYPERLINK("https://klasma.github.io/Logging_2326/fåglar/A 971-2026 prioriterade fågelarter.docx", "A 971-2026")</f>
        <v/>
      </c>
    </row>
    <row r="186" ht="15" customHeight="1">
      <c r="A186" t="inlineStr">
        <is>
          <t>A 60150-2025</t>
        </is>
      </c>
      <c r="B186" s="1" t="n">
        <v>45994.38944444444</v>
      </c>
      <c r="C186" s="1" t="n">
        <v>46048</v>
      </c>
      <c r="D186" t="inlineStr">
        <is>
          <t>JÄMTLANDS LÄN</t>
        </is>
      </c>
      <c r="E186" t="inlineStr">
        <is>
          <t>BERG</t>
        </is>
      </c>
      <c r="G186" t="n">
        <v>17.6</v>
      </c>
      <c r="H186" t="n">
        <v>0</v>
      </c>
      <c r="I186" t="n">
        <v>0</v>
      </c>
      <c r="J186" t="n">
        <v>1</v>
      </c>
      <c r="K186" t="n">
        <v>0</v>
      </c>
      <c r="L186" t="n">
        <v>0</v>
      </c>
      <c r="M186" t="n">
        <v>0</v>
      </c>
      <c r="N186" t="n">
        <v>0</v>
      </c>
      <c r="O186" t="n">
        <v>1</v>
      </c>
      <c r="P186" t="n">
        <v>0</v>
      </c>
      <c r="Q186" t="n">
        <v>1</v>
      </c>
      <c r="R186" s="2" t="inlineStr">
        <is>
          <t>Kolflarnlav</t>
        </is>
      </c>
      <c r="S186">
        <f>HYPERLINK("https://klasma.github.io/Logging_2326/artfynd/A 60150-2025 artfynd.xlsx", "A 60150-2025")</f>
        <v/>
      </c>
      <c r="T186">
        <f>HYPERLINK("https://klasma.github.io/Logging_2326/kartor/A 60150-2025 karta.png", "A 60150-2025")</f>
        <v/>
      </c>
      <c r="V186">
        <f>HYPERLINK("https://klasma.github.io/Logging_2326/klagomål/A 60150-2025 FSC-klagomål.docx", "A 60150-2025")</f>
        <v/>
      </c>
      <c r="W186">
        <f>HYPERLINK("https://klasma.github.io/Logging_2326/klagomålsmail/A 60150-2025 FSC-klagomål mail.docx", "A 60150-2025")</f>
        <v/>
      </c>
      <c r="X186">
        <f>HYPERLINK("https://klasma.github.io/Logging_2326/tillsyn/A 60150-2025 tillsynsbegäran.docx", "A 60150-2025")</f>
        <v/>
      </c>
      <c r="Y186">
        <f>HYPERLINK("https://klasma.github.io/Logging_2326/tillsynsmail/A 60150-2025 tillsynsbegäran mail.docx", "A 60150-2025")</f>
        <v/>
      </c>
    </row>
    <row r="187" ht="15" customHeight="1">
      <c r="A187" t="inlineStr">
        <is>
          <t>A 60633-2025</t>
        </is>
      </c>
      <c r="B187" s="1" t="n">
        <v>45996.42788194444</v>
      </c>
      <c r="C187" s="1" t="n">
        <v>46048</v>
      </c>
      <c r="D187" t="inlineStr">
        <is>
          <t>JÄMTLANDS LÄN</t>
        </is>
      </c>
      <c r="E187" t="inlineStr">
        <is>
          <t>BERG</t>
        </is>
      </c>
      <c r="F187" t="inlineStr">
        <is>
          <t>SCA</t>
        </is>
      </c>
      <c r="G187" t="n">
        <v>18.3</v>
      </c>
      <c r="H187" t="n">
        <v>1</v>
      </c>
      <c r="I187" t="n">
        <v>1</v>
      </c>
      <c r="J187" t="n">
        <v>0</v>
      </c>
      <c r="K187" t="n">
        <v>0</v>
      </c>
      <c r="L187" t="n">
        <v>0</v>
      </c>
      <c r="M187" t="n">
        <v>0</v>
      </c>
      <c r="N187" t="n">
        <v>0</v>
      </c>
      <c r="O187" t="n">
        <v>0</v>
      </c>
      <c r="P187" t="n">
        <v>0</v>
      </c>
      <c r="Q187" t="n">
        <v>1</v>
      </c>
      <c r="R187" s="2" t="inlineStr">
        <is>
          <t>Plattlummer</t>
        </is>
      </c>
      <c r="S187">
        <f>HYPERLINK("https://klasma.github.io/Logging_2326/artfynd/A 60633-2025 artfynd.xlsx", "A 60633-2025")</f>
        <v/>
      </c>
      <c r="T187">
        <f>HYPERLINK("https://klasma.github.io/Logging_2326/kartor/A 60633-2025 karta.png", "A 60633-2025")</f>
        <v/>
      </c>
      <c r="V187">
        <f>HYPERLINK("https://klasma.github.io/Logging_2326/klagomål/A 60633-2025 FSC-klagomål.docx", "A 60633-2025")</f>
        <v/>
      </c>
      <c r="W187">
        <f>HYPERLINK("https://klasma.github.io/Logging_2326/klagomålsmail/A 60633-2025 FSC-klagomål mail.docx", "A 60633-2025")</f>
        <v/>
      </c>
      <c r="X187">
        <f>HYPERLINK("https://klasma.github.io/Logging_2326/tillsyn/A 60633-2025 tillsynsbegäran.docx", "A 60633-2025")</f>
        <v/>
      </c>
      <c r="Y187">
        <f>HYPERLINK("https://klasma.github.io/Logging_2326/tillsynsmail/A 60633-2025 tillsynsbegäran mail.docx", "A 60633-2025")</f>
        <v/>
      </c>
    </row>
    <row r="188" ht="15" customHeight="1">
      <c r="A188" t="inlineStr">
        <is>
          <t>A 60833-2025</t>
        </is>
      </c>
      <c r="B188" s="1" t="n">
        <v>45999.46969907408</v>
      </c>
      <c r="C188" s="1" t="n">
        <v>46048</v>
      </c>
      <c r="D188" t="inlineStr">
        <is>
          <t>JÄMTLANDS LÄN</t>
        </is>
      </c>
      <c r="E188" t="inlineStr">
        <is>
          <t>BERG</t>
        </is>
      </c>
      <c r="F188" t="inlineStr">
        <is>
          <t>SCA</t>
        </is>
      </c>
      <c r="G188" t="n">
        <v>18.1</v>
      </c>
      <c r="H188" t="n">
        <v>1</v>
      </c>
      <c r="I188" t="n">
        <v>0</v>
      </c>
      <c r="J188" t="n">
        <v>1</v>
      </c>
      <c r="K188" t="n">
        <v>0</v>
      </c>
      <c r="L188" t="n">
        <v>0</v>
      </c>
      <c r="M188" t="n">
        <v>0</v>
      </c>
      <c r="N188" t="n">
        <v>0</v>
      </c>
      <c r="O188" t="n">
        <v>1</v>
      </c>
      <c r="P188" t="n">
        <v>0</v>
      </c>
      <c r="Q188" t="n">
        <v>1</v>
      </c>
      <c r="R188" s="2" t="inlineStr">
        <is>
          <t>Spillkråka</t>
        </is>
      </c>
      <c r="S188">
        <f>HYPERLINK("https://klasma.github.io/Logging_2326/artfynd/A 60833-2025 artfynd.xlsx", "A 60833-2025")</f>
        <v/>
      </c>
      <c r="T188">
        <f>HYPERLINK("https://klasma.github.io/Logging_2326/kartor/A 60833-2025 karta.png", "A 60833-2025")</f>
        <v/>
      </c>
      <c r="V188">
        <f>HYPERLINK("https://klasma.github.io/Logging_2326/klagomål/A 60833-2025 FSC-klagomål.docx", "A 60833-2025")</f>
        <v/>
      </c>
      <c r="W188">
        <f>HYPERLINK("https://klasma.github.io/Logging_2326/klagomålsmail/A 60833-2025 FSC-klagomål mail.docx", "A 60833-2025")</f>
        <v/>
      </c>
      <c r="X188">
        <f>HYPERLINK("https://klasma.github.io/Logging_2326/tillsyn/A 60833-2025 tillsynsbegäran.docx", "A 60833-2025")</f>
        <v/>
      </c>
      <c r="Y188">
        <f>HYPERLINK("https://klasma.github.io/Logging_2326/tillsynsmail/A 60833-2025 tillsynsbegäran mail.docx", "A 60833-2025")</f>
        <v/>
      </c>
      <c r="Z188">
        <f>HYPERLINK("https://klasma.github.io/Logging_2326/fåglar/A 60833-2025 prioriterade fågelarter.docx", "A 60833-2025")</f>
        <v/>
      </c>
    </row>
    <row r="189" ht="15" customHeight="1">
      <c r="A189" t="inlineStr">
        <is>
          <t>A 49196-2022</t>
        </is>
      </c>
      <c r="B189" s="1" t="n">
        <v>44860.95508101852</v>
      </c>
      <c r="C189" s="1" t="n">
        <v>46048</v>
      </c>
      <c r="D189" t="inlineStr">
        <is>
          <t>JÄMTLANDS LÄN</t>
        </is>
      </c>
      <c r="E189" t="inlineStr">
        <is>
          <t>BERG</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46048</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72926-2021</t>
        </is>
      </c>
      <c r="B191" s="1" t="n">
        <v>44546</v>
      </c>
      <c r="C191" s="1" t="n">
        <v>46048</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35867-2021</t>
        </is>
      </c>
      <c r="B192" s="1" t="n">
        <v>44386.93510416667</v>
      </c>
      <c r="C192" s="1" t="n">
        <v>46048</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15277-2021</t>
        </is>
      </c>
      <c r="B193" s="1" t="n">
        <v>44284.57520833334</v>
      </c>
      <c r="C193" s="1" t="n">
        <v>46048</v>
      </c>
      <c r="D193" t="inlineStr">
        <is>
          <t>JÄMTLANDS LÄN</t>
        </is>
      </c>
      <c r="E193" t="inlineStr">
        <is>
          <t>BERG</t>
        </is>
      </c>
      <c r="G193" t="n">
        <v>1</v>
      </c>
      <c r="H193" t="n">
        <v>0</v>
      </c>
      <c r="I193" t="n">
        <v>0</v>
      </c>
      <c r="J193" t="n">
        <v>0</v>
      </c>
      <c r="K193" t="n">
        <v>0</v>
      </c>
      <c r="L193" t="n">
        <v>0</v>
      </c>
      <c r="M193" t="n">
        <v>0</v>
      </c>
      <c r="N193" t="n">
        <v>0</v>
      </c>
      <c r="O193" t="n">
        <v>0</v>
      </c>
      <c r="P193" t="n">
        <v>0</v>
      </c>
      <c r="Q193" t="n">
        <v>0</v>
      </c>
      <c r="R193" s="2" t="inlineStr"/>
    </row>
    <row r="194" ht="15" customHeight="1">
      <c r="A194" t="inlineStr">
        <is>
          <t>A 2010-2022</t>
        </is>
      </c>
      <c r="B194" s="1" t="n">
        <v>44575.5847337963</v>
      </c>
      <c r="C194" s="1" t="n">
        <v>46048</v>
      </c>
      <c r="D194" t="inlineStr">
        <is>
          <t>JÄMTLANDS LÄN</t>
        </is>
      </c>
      <c r="E194" t="inlineStr">
        <is>
          <t>BERG</t>
        </is>
      </c>
      <c r="G194" t="n">
        <v>1.6</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46048</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44536.65293981481</v>
      </c>
      <c r="C196" s="1" t="n">
        <v>46048</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28883-2021</t>
        </is>
      </c>
      <c r="B197" s="1" t="n">
        <v>44357</v>
      </c>
      <c r="C197" s="1" t="n">
        <v>46048</v>
      </c>
      <c r="D197" t="inlineStr">
        <is>
          <t>JÄMTLANDS LÄN</t>
        </is>
      </c>
      <c r="E197" t="inlineStr">
        <is>
          <t>BERG</t>
        </is>
      </c>
      <c r="F197" t="inlineStr">
        <is>
          <t>Kyrkan</t>
        </is>
      </c>
      <c r="G197" t="n">
        <v>7.3</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46048</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44579.9719212963</v>
      </c>
      <c r="C199" s="1" t="n">
        <v>46048</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46048</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16828-2021</t>
        </is>
      </c>
      <c r="B201" s="1" t="n">
        <v>44293</v>
      </c>
      <c r="C201" s="1" t="n">
        <v>46048</v>
      </c>
      <c r="D201" t="inlineStr">
        <is>
          <t>JÄMTLANDS LÄN</t>
        </is>
      </c>
      <c r="E201" t="inlineStr">
        <is>
          <t>BERG</t>
        </is>
      </c>
      <c r="G201" t="n">
        <v>2.2</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46048</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3870-2022</t>
        </is>
      </c>
      <c r="B203" s="1" t="n">
        <v>44587</v>
      </c>
      <c r="C203" s="1" t="n">
        <v>46048</v>
      </c>
      <c r="D203" t="inlineStr">
        <is>
          <t>JÄMTLANDS LÄN</t>
        </is>
      </c>
      <c r="E203" t="inlineStr">
        <is>
          <t>BERG</t>
        </is>
      </c>
      <c r="G203" t="n">
        <v>2</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46048</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46048</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46048</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46048</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46048</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46048</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46048</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68854-2021</t>
        </is>
      </c>
      <c r="B211" s="1" t="n">
        <v>44530</v>
      </c>
      <c r="C211" s="1" t="n">
        <v>46048</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46048</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14224-2021</t>
        </is>
      </c>
      <c r="B213" s="1" t="n">
        <v>44277</v>
      </c>
      <c r="C213" s="1" t="n">
        <v>46048</v>
      </c>
      <c r="D213" t="inlineStr">
        <is>
          <t>JÄMTLANDS LÄN</t>
        </is>
      </c>
      <c r="E213" t="inlineStr">
        <is>
          <t>BERG</t>
        </is>
      </c>
      <c r="G213" t="n">
        <v>24.9</v>
      </c>
      <c r="H213" t="n">
        <v>0</v>
      </c>
      <c r="I213" t="n">
        <v>0</v>
      </c>
      <c r="J213" t="n">
        <v>0</v>
      </c>
      <c r="K213" t="n">
        <v>0</v>
      </c>
      <c r="L213" t="n">
        <v>0</v>
      </c>
      <c r="M213" t="n">
        <v>0</v>
      </c>
      <c r="N213" t="n">
        <v>0</v>
      </c>
      <c r="O213" t="n">
        <v>0</v>
      </c>
      <c r="P213" t="n">
        <v>0</v>
      </c>
      <c r="Q213" t="n">
        <v>0</v>
      </c>
      <c r="R213" s="2" t="inlineStr"/>
    </row>
    <row r="214" ht="15" customHeight="1">
      <c r="A214" t="inlineStr">
        <is>
          <t>A 24136-2021</t>
        </is>
      </c>
      <c r="B214" s="1" t="n">
        <v>44336.540625</v>
      </c>
      <c r="C214" s="1" t="n">
        <v>46048</v>
      </c>
      <c r="D214" t="inlineStr">
        <is>
          <t>JÄMTLANDS LÄN</t>
        </is>
      </c>
      <c r="E214" t="inlineStr">
        <is>
          <t>BERG</t>
        </is>
      </c>
      <c r="G214" t="n">
        <v>12.6</v>
      </c>
      <c r="H214" t="n">
        <v>0</v>
      </c>
      <c r="I214" t="n">
        <v>0</v>
      </c>
      <c r="J214" t="n">
        <v>0</v>
      </c>
      <c r="K214" t="n">
        <v>0</v>
      </c>
      <c r="L214" t="n">
        <v>0</v>
      </c>
      <c r="M214" t="n">
        <v>0</v>
      </c>
      <c r="N214" t="n">
        <v>0</v>
      </c>
      <c r="O214" t="n">
        <v>0</v>
      </c>
      <c r="P214" t="n">
        <v>0</v>
      </c>
      <c r="Q214" t="n">
        <v>0</v>
      </c>
      <c r="R214" s="2" t="inlineStr"/>
    </row>
    <row r="215" ht="15" customHeight="1">
      <c r="A215" t="inlineStr">
        <is>
          <t>A 52927-2022</t>
        </is>
      </c>
      <c r="B215" s="1" t="n">
        <v>44872</v>
      </c>
      <c r="C215" s="1" t="n">
        <v>46048</v>
      </c>
      <c r="D215" t="inlineStr">
        <is>
          <t>JÄMTLANDS LÄN</t>
        </is>
      </c>
      <c r="E215" t="inlineStr">
        <is>
          <t>BERG</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58088-2021</t>
        </is>
      </c>
      <c r="B216" s="1" t="n">
        <v>44487.50133101852</v>
      </c>
      <c r="C216" s="1" t="n">
        <v>46048</v>
      </c>
      <c r="D216" t="inlineStr">
        <is>
          <t>JÄMTLANDS LÄN</t>
        </is>
      </c>
      <c r="E216" t="inlineStr">
        <is>
          <t>BERG</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27144-2021</t>
        </is>
      </c>
      <c r="B217" s="1" t="n">
        <v>44350</v>
      </c>
      <c r="C217" s="1" t="n">
        <v>46048</v>
      </c>
      <c r="D217" t="inlineStr">
        <is>
          <t>JÄMTLANDS LÄN</t>
        </is>
      </c>
      <c r="E217" t="inlineStr">
        <is>
          <t>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46048</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46048</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41819-2021</t>
        </is>
      </c>
      <c r="B220" s="1" t="n">
        <v>44425.85641203704</v>
      </c>
      <c r="C220" s="1" t="n">
        <v>46048</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164-2022</t>
        </is>
      </c>
      <c r="B221" s="1" t="n">
        <v>44564</v>
      </c>
      <c r="C221" s="1" t="n">
        <v>46048</v>
      </c>
      <c r="D221" t="inlineStr">
        <is>
          <t>JÄMTLANDS LÄN</t>
        </is>
      </c>
      <c r="E221" t="inlineStr">
        <is>
          <t>BERG</t>
        </is>
      </c>
      <c r="G221" t="n">
        <v>12.4</v>
      </c>
      <c r="H221" t="n">
        <v>0</v>
      </c>
      <c r="I221" t="n">
        <v>0</v>
      </c>
      <c r="J221" t="n">
        <v>0</v>
      </c>
      <c r="K221" t="n">
        <v>0</v>
      </c>
      <c r="L221" t="n">
        <v>0</v>
      </c>
      <c r="M221" t="n">
        <v>0</v>
      </c>
      <c r="N221" t="n">
        <v>0</v>
      </c>
      <c r="O221" t="n">
        <v>0</v>
      </c>
      <c r="P221" t="n">
        <v>0</v>
      </c>
      <c r="Q221" t="n">
        <v>0</v>
      </c>
      <c r="R221" s="2" t="inlineStr"/>
    </row>
    <row r="222" ht="15" customHeight="1">
      <c r="A222" t="inlineStr">
        <is>
          <t>A 33558-2021</t>
        </is>
      </c>
      <c r="B222" s="1" t="n">
        <v>44377</v>
      </c>
      <c r="C222" s="1" t="n">
        <v>46048</v>
      </c>
      <c r="D222" t="inlineStr">
        <is>
          <t>JÄMTLANDS LÄN</t>
        </is>
      </c>
      <c r="E222" t="inlineStr">
        <is>
          <t>BERG</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46048</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46048</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46048</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46048</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46048</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70468-2021</t>
        </is>
      </c>
      <c r="B228" s="1" t="n">
        <v>44536.66070601852</v>
      </c>
      <c r="C228" s="1" t="n">
        <v>46048</v>
      </c>
      <c r="D228" t="inlineStr">
        <is>
          <t>JÄMTLANDS LÄN</t>
        </is>
      </c>
      <c r="E228" t="inlineStr">
        <is>
          <t>BERG</t>
        </is>
      </c>
      <c r="G228" t="n">
        <v>3.9</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46048</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29019-2021</t>
        </is>
      </c>
      <c r="B230" s="1" t="n">
        <v>44358</v>
      </c>
      <c r="C230" s="1" t="n">
        <v>46048</v>
      </c>
      <c r="D230" t="inlineStr">
        <is>
          <t>JÄMTLANDS LÄN</t>
        </is>
      </c>
      <c r="E230" t="inlineStr">
        <is>
          <t>BERG</t>
        </is>
      </c>
      <c r="F230" t="inlineStr">
        <is>
          <t>Sveaskog</t>
        </is>
      </c>
      <c r="G230" t="n">
        <v>27.1</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46048</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21629-2021</t>
        </is>
      </c>
      <c r="B232" s="1" t="n">
        <v>44321</v>
      </c>
      <c r="C232" s="1" t="n">
        <v>46048</v>
      </c>
      <c r="D232" t="inlineStr">
        <is>
          <t>JÄMTLANDS LÄN</t>
        </is>
      </c>
      <c r="E232" t="inlineStr">
        <is>
          <t>BERG</t>
        </is>
      </c>
      <c r="G232" t="n">
        <v>15.9</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46048</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46048</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46048</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46048</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46048</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46048</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44442-2022</t>
        </is>
      </c>
      <c r="B239" s="1" t="n">
        <v>44839</v>
      </c>
      <c r="C239" s="1" t="n">
        <v>46048</v>
      </c>
      <c r="D239" t="inlineStr">
        <is>
          <t>JÄMTLANDS LÄN</t>
        </is>
      </c>
      <c r="E239" t="inlineStr">
        <is>
          <t>BERG</t>
        </is>
      </c>
      <c r="F239" t="inlineStr">
        <is>
          <t>SCA</t>
        </is>
      </c>
      <c r="G239" t="n">
        <v>3.5</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46048</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46048</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46048</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9920-2021</t>
        </is>
      </c>
      <c r="B243" s="1" t="n">
        <v>44253</v>
      </c>
      <c r="C243" s="1" t="n">
        <v>46048</v>
      </c>
      <c r="D243" t="inlineStr">
        <is>
          <t>JÄMTLANDS LÄN</t>
        </is>
      </c>
      <c r="E243" t="inlineStr">
        <is>
          <t>BERG</t>
        </is>
      </c>
      <c r="G243" t="n">
        <v>3.5</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46048</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5221-2022</t>
        </is>
      </c>
      <c r="B245" s="1" t="n">
        <v>44594.48864583333</v>
      </c>
      <c r="C245" s="1" t="n">
        <v>46048</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44594.4892824074</v>
      </c>
      <c r="C246" s="1" t="n">
        <v>46048</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10230-2024</t>
        </is>
      </c>
      <c r="B247" s="1" t="n">
        <v>45365.31883101852</v>
      </c>
      <c r="C247" s="1" t="n">
        <v>46048</v>
      </c>
      <c r="D247" t="inlineStr">
        <is>
          <t>JÄMTLANDS LÄN</t>
        </is>
      </c>
      <c r="E247" t="inlineStr">
        <is>
          <t>BERG</t>
        </is>
      </c>
      <c r="G247" t="n">
        <v>6.3</v>
      </c>
      <c r="H247" t="n">
        <v>0</v>
      </c>
      <c r="I247" t="n">
        <v>0</v>
      </c>
      <c r="J247" t="n">
        <v>0</v>
      </c>
      <c r="K247" t="n">
        <v>0</v>
      </c>
      <c r="L247" t="n">
        <v>0</v>
      </c>
      <c r="M247" t="n">
        <v>0</v>
      </c>
      <c r="N247" t="n">
        <v>0</v>
      </c>
      <c r="O247" t="n">
        <v>0</v>
      </c>
      <c r="P247" t="n">
        <v>0</v>
      </c>
      <c r="Q247" t="n">
        <v>0</v>
      </c>
      <c r="R247" s="2" t="inlineStr"/>
    </row>
    <row r="248" ht="15" customHeight="1">
      <c r="A248" t="inlineStr">
        <is>
          <t>A 36079-2024</t>
        </is>
      </c>
      <c r="B248" s="1" t="n">
        <v>45533.66685185185</v>
      </c>
      <c r="C248" s="1" t="n">
        <v>46048</v>
      </c>
      <c r="D248" t="inlineStr">
        <is>
          <t>JÄMTLANDS LÄN</t>
        </is>
      </c>
      <c r="E248" t="inlineStr">
        <is>
          <t>BERG</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36287-2024</t>
        </is>
      </c>
      <c r="B249" s="1" t="n">
        <v>45534</v>
      </c>
      <c r="C249" s="1" t="n">
        <v>46048</v>
      </c>
      <c r="D249" t="inlineStr">
        <is>
          <t>JÄMTLANDS LÄN</t>
        </is>
      </c>
      <c r="E249" t="inlineStr">
        <is>
          <t>BERG</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46048</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34803-2022</t>
        </is>
      </c>
      <c r="B251" s="1" t="n">
        <v>44795.94754629629</v>
      </c>
      <c r="C251" s="1" t="n">
        <v>46048</v>
      </c>
      <c r="D251" t="inlineStr">
        <is>
          <t>JÄMTLANDS LÄN</t>
        </is>
      </c>
      <c r="E251" t="inlineStr">
        <is>
          <t>BERG</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37726-2022</t>
        </is>
      </c>
      <c r="B252" s="1" t="n">
        <v>44810.56636574074</v>
      </c>
      <c r="C252" s="1" t="n">
        <v>46048</v>
      </c>
      <c r="D252" t="inlineStr">
        <is>
          <t>JÄMTLANDS LÄN</t>
        </is>
      </c>
      <c r="E252" t="inlineStr">
        <is>
          <t>BERG</t>
        </is>
      </c>
      <c r="G252" t="n">
        <v>1.4</v>
      </c>
      <c r="H252" t="n">
        <v>0</v>
      </c>
      <c r="I252" t="n">
        <v>0</v>
      </c>
      <c r="J252" t="n">
        <v>0</v>
      </c>
      <c r="K252" t="n">
        <v>0</v>
      </c>
      <c r="L252" t="n">
        <v>0</v>
      </c>
      <c r="M252" t="n">
        <v>0</v>
      </c>
      <c r="N252" t="n">
        <v>0</v>
      </c>
      <c r="O252" t="n">
        <v>0</v>
      </c>
      <c r="P252" t="n">
        <v>0</v>
      </c>
      <c r="Q252" t="n">
        <v>0</v>
      </c>
      <c r="R252" s="2" t="inlineStr"/>
    </row>
    <row r="253" ht="15" customHeight="1">
      <c r="A253" t="inlineStr">
        <is>
          <t>A 21717-2023</t>
        </is>
      </c>
      <c r="B253" s="1" t="n">
        <v>45063</v>
      </c>
      <c r="C253" s="1" t="n">
        <v>46048</v>
      </c>
      <c r="D253" t="inlineStr">
        <is>
          <t>JÄMTLANDS LÄN</t>
        </is>
      </c>
      <c r="E253" t="inlineStr">
        <is>
          <t>BERG</t>
        </is>
      </c>
      <c r="G253" t="n">
        <v>6</v>
      </c>
      <c r="H253" t="n">
        <v>0</v>
      </c>
      <c r="I253" t="n">
        <v>0</v>
      </c>
      <c r="J253" t="n">
        <v>0</v>
      </c>
      <c r="K253" t="n">
        <v>0</v>
      </c>
      <c r="L253" t="n">
        <v>0</v>
      </c>
      <c r="M253" t="n">
        <v>0</v>
      </c>
      <c r="N253" t="n">
        <v>0</v>
      </c>
      <c r="O253" t="n">
        <v>0</v>
      </c>
      <c r="P253" t="n">
        <v>0</v>
      </c>
      <c r="Q253" t="n">
        <v>0</v>
      </c>
      <c r="R253" s="2" t="inlineStr"/>
    </row>
    <row r="254" ht="15" customHeight="1">
      <c r="A254" t="inlineStr">
        <is>
          <t>A 9114-2022</t>
        </is>
      </c>
      <c r="B254" s="1" t="n">
        <v>44615</v>
      </c>
      <c r="C254" s="1" t="n">
        <v>46048</v>
      </c>
      <c r="D254" t="inlineStr">
        <is>
          <t>JÄMTLANDS LÄN</t>
        </is>
      </c>
      <c r="E254" t="inlineStr">
        <is>
          <t>BERG</t>
        </is>
      </c>
      <c r="G254" t="n">
        <v>2.9</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46048</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56490-2024</t>
        </is>
      </c>
      <c r="B256" s="1" t="n">
        <v>45625.48765046296</v>
      </c>
      <c r="C256" s="1" t="n">
        <v>46048</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23877-2024</t>
        </is>
      </c>
      <c r="B257" s="1" t="n">
        <v>45455.63024305556</v>
      </c>
      <c r="C257" s="1" t="n">
        <v>46048</v>
      </c>
      <c r="D257" t="inlineStr">
        <is>
          <t>JÄMTLANDS LÄN</t>
        </is>
      </c>
      <c r="E257" t="inlineStr">
        <is>
          <t>BERG</t>
        </is>
      </c>
      <c r="G257" t="n">
        <v>2</v>
      </c>
      <c r="H257" t="n">
        <v>0</v>
      </c>
      <c r="I257" t="n">
        <v>0</v>
      </c>
      <c r="J257" t="n">
        <v>0</v>
      </c>
      <c r="K257" t="n">
        <v>0</v>
      </c>
      <c r="L257" t="n">
        <v>0</v>
      </c>
      <c r="M257" t="n">
        <v>0</v>
      </c>
      <c r="N257" t="n">
        <v>0</v>
      </c>
      <c r="O257" t="n">
        <v>0</v>
      </c>
      <c r="P257" t="n">
        <v>0</v>
      </c>
      <c r="Q257" t="n">
        <v>0</v>
      </c>
      <c r="R257" s="2" t="inlineStr"/>
    </row>
    <row r="258" ht="15" customHeight="1">
      <c r="A258" t="inlineStr">
        <is>
          <t>A 23880-2024</t>
        </is>
      </c>
      <c r="B258" s="1" t="n">
        <v>45455.63731481481</v>
      </c>
      <c r="C258" s="1" t="n">
        <v>46048</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18567-2021</t>
        </is>
      </c>
      <c r="B259" s="1" t="n">
        <v>44306.55199074074</v>
      </c>
      <c r="C259" s="1" t="n">
        <v>46048</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18569-2021</t>
        </is>
      </c>
      <c r="B260" s="1" t="n">
        <v>44306.55394675926</v>
      </c>
      <c r="C260" s="1" t="n">
        <v>46048</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46048</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46048</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46048</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46048</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46115-2021</t>
        </is>
      </c>
      <c r="B265" s="1" t="n">
        <v>44441</v>
      </c>
      <c r="C265" s="1" t="n">
        <v>46048</v>
      </c>
      <c r="D265" t="inlineStr">
        <is>
          <t>JÄMTLANDS LÄN</t>
        </is>
      </c>
      <c r="E265" t="inlineStr">
        <is>
          <t>BERG</t>
        </is>
      </c>
      <c r="G265" t="n">
        <v>15.1</v>
      </c>
      <c r="H265" t="n">
        <v>0</v>
      </c>
      <c r="I265" t="n">
        <v>0</v>
      </c>
      <c r="J265" t="n">
        <v>0</v>
      </c>
      <c r="K265" t="n">
        <v>0</v>
      </c>
      <c r="L265" t="n">
        <v>0</v>
      </c>
      <c r="M265" t="n">
        <v>0</v>
      </c>
      <c r="N265" t="n">
        <v>0</v>
      </c>
      <c r="O265" t="n">
        <v>0</v>
      </c>
      <c r="P265" t="n">
        <v>0</v>
      </c>
      <c r="Q265" t="n">
        <v>0</v>
      </c>
      <c r="R265" s="2" t="inlineStr"/>
    </row>
    <row r="266" ht="15" customHeight="1">
      <c r="A266" t="inlineStr">
        <is>
          <t>A 19809-2022</t>
        </is>
      </c>
      <c r="B266" s="1" t="n">
        <v>44694</v>
      </c>
      <c r="C266" s="1" t="n">
        <v>46048</v>
      </c>
      <c r="D266" t="inlineStr">
        <is>
          <t>JÄMTLANDS LÄN</t>
        </is>
      </c>
      <c r="E266" t="inlineStr">
        <is>
          <t>BERG</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51951-2021</t>
        </is>
      </c>
      <c r="B267" s="1" t="n">
        <v>44462</v>
      </c>
      <c r="C267" s="1" t="n">
        <v>46048</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62360-2023</t>
        </is>
      </c>
      <c r="B268" s="1" t="n">
        <v>45267</v>
      </c>
      <c r="C268" s="1" t="n">
        <v>46048</v>
      </c>
      <c r="D268" t="inlineStr">
        <is>
          <t>JÄMTLANDS LÄN</t>
        </is>
      </c>
      <c r="E268" t="inlineStr">
        <is>
          <t>BERG</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9482-2024</t>
        </is>
      </c>
      <c r="B269" s="1" t="n">
        <v>45359.57847222222</v>
      </c>
      <c r="C269" s="1" t="n">
        <v>46048</v>
      </c>
      <c r="D269" t="inlineStr">
        <is>
          <t>JÄMTLANDS LÄN</t>
        </is>
      </c>
      <c r="E269" t="inlineStr">
        <is>
          <t>BERG</t>
        </is>
      </c>
      <c r="G269" t="n">
        <v>3</v>
      </c>
      <c r="H269" t="n">
        <v>0</v>
      </c>
      <c r="I269" t="n">
        <v>0</v>
      </c>
      <c r="J269" t="n">
        <v>0</v>
      </c>
      <c r="K269" t="n">
        <v>0</v>
      </c>
      <c r="L269" t="n">
        <v>0</v>
      </c>
      <c r="M269" t="n">
        <v>0</v>
      </c>
      <c r="N269" t="n">
        <v>0</v>
      </c>
      <c r="O269" t="n">
        <v>0</v>
      </c>
      <c r="P269" t="n">
        <v>0</v>
      </c>
      <c r="Q269" t="n">
        <v>0</v>
      </c>
      <c r="R269" s="2" t="inlineStr"/>
    </row>
    <row r="270" ht="15" customHeight="1">
      <c r="A270" t="inlineStr">
        <is>
          <t>A 1499-2025</t>
        </is>
      </c>
      <c r="B270" s="1" t="n">
        <v>45670.41112268518</v>
      </c>
      <c r="C270" s="1" t="n">
        <v>46048</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48069-2023</t>
        </is>
      </c>
      <c r="B271" s="1" t="n">
        <v>45204</v>
      </c>
      <c r="C271" s="1" t="n">
        <v>46048</v>
      </c>
      <c r="D271" t="inlineStr">
        <is>
          <t>JÄMTLANDS LÄN</t>
        </is>
      </c>
      <c r="E271" t="inlineStr">
        <is>
          <t>BERG</t>
        </is>
      </c>
      <c r="F271" t="inlineStr">
        <is>
          <t>SCA</t>
        </is>
      </c>
      <c r="G271" t="n">
        <v>11.2</v>
      </c>
      <c r="H271" t="n">
        <v>0</v>
      </c>
      <c r="I271" t="n">
        <v>0</v>
      </c>
      <c r="J271" t="n">
        <v>0</v>
      </c>
      <c r="K271" t="n">
        <v>0</v>
      </c>
      <c r="L271" t="n">
        <v>0</v>
      </c>
      <c r="M271" t="n">
        <v>0</v>
      </c>
      <c r="N271" t="n">
        <v>0</v>
      </c>
      <c r="O271" t="n">
        <v>0</v>
      </c>
      <c r="P271" t="n">
        <v>0</v>
      </c>
      <c r="Q271" t="n">
        <v>0</v>
      </c>
      <c r="R271" s="2" t="inlineStr"/>
    </row>
    <row r="272" ht="15" customHeight="1">
      <c r="A272" t="inlineStr">
        <is>
          <t>A 65209-2023</t>
        </is>
      </c>
      <c r="B272" s="1" t="n">
        <v>45289</v>
      </c>
      <c r="C272" s="1" t="n">
        <v>46048</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18685-2024</t>
        </is>
      </c>
      <c r="B273" s="1" t="n">
        <v>45426.38322916667</v>
      </c>
      <c r="C273" s="1" t="n">
        <v>46048</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38682-2023</t>
        </is>
      </c>
      <c r="B274" s="1" t="n">
        <v>45162</v>
      </c>
      <c r="C274" s="1" t="n">
        <v>46048</v>
      </c>
      <c r="D274" t="inlineStr">
        <is>
          <t>JÄMTLANDS LÄN</t>
        </is>
      </c>
      <c r="E274" t="inlineStr">
        <is>
          <t>BERG</t>
        </is>
      </c>
      <c r="F274" t="inlineStr">
        <is>
          <t>SCA</t>
        </is>
      </c>
      <c r="G274" t="n">
        <v>21.3</v>
      </c>
      <c r="H274" t="n">
        <v>0</v>
      </c>
      <c r="I274" t="n">
        <v>0</v>
      </c>
      <c r="J274" t="n">
        <v>0</v>
      </c>
      <c r="K274" t="n">
        <v>0</v>
      </c>
      <c r="L274" t="n">
        <v>0</v>
      </c>
      <c r="M274" t="n">
        <v>0</v>
      </c>
      <c r="N274" t="n">
        <v>0</v>
      </c>
      <c r="O274" t="n">
        <v>0</v>
      </c>
      <c r="P274" t="n">
        <v>0</v>
      </c>
      <c r="Q274" t="n">
        <v>0</v>
      </c>
      <c r="R274" s="2" t="inlineStr"/>
    </row>
    <row r="275" ht="15" customHeight="1">
      <c r="A275" t="inlineStr">
        <is>
          <t>A 45346-2023</t>
        </is>
      </c>
      <c r="B275" s="1" t="n">
        <v>45191</v>
      </c>
      <c r="C275" s="1" t="n">
        <v>46048</v>
      </c>
      <c r="D275" t="inlineStr">
        <is>
          <t>JÄMTLANDS LÄN</t>
        </is>
      </c>
      <c r="E275" t="inlineStr">
        <is>
          <t>BERG</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5644-2025</t>
        </is>
      </c>
      <c r="B276" s="1" t="n">
        <v>45693.6833449074</v>
      </c>
      <c r="C276" s="1" t="n">
        <v>46048</v>
      </c>
      <c r="D276" t="inlineStr">
        <is>
          <t>JÄMTLANDS LÄN</t>
        </is>
      </c>
      <c r="E276" t="inlineStr">
        <is>
          <t>BERG</t>
        </is>
      </c>
      <c r="G276" t="n">
        <v>2.1</v>
      </c>
      <c r="H276" t="n">
        <v>0</v>
      </c>
      <c r="I276" t="n">
        <v>0</v>
      </c>
      <c r="J276" t="n">
        <v>0</v>
      </c>
      <c r="K276" t="n">
        <v>0</v>
      </c>
      <c r="L276" t="n">
        <v>0</v>
      </c>
      <c r="M276" t="n">
        <v>0</v>
      </c>
      <c r="N276" t="n">
        <v>0</v>
      </c>
      <c r="O276" t="n">
        <v>0</v>
      </c>
      <c r="P276" t="n">
        <v>0</v>
      </c>
      <c r="Q276" t="n">
        <v>0</v>
      </c>
      <c r="R276" s="2" t="inlineStr"/>
    </row>
    <row r="277" ht="15" customHeight="1">
      <c r="A277" t="inlineStr">
        <is>
          <t>A 29424-2024</t>
        </is>
      </c>
      <c r="B277" s="1" t="n">
        <v>45483.71451388889</v>
      </c>
      <c r="C277" s="1" t="n">
        <v>46048</v>
      </c>
      <c r="D277" t="inlineStr">
        <is>
          <t>JÄMTLANDS LÄN</t>
        </is>
      </c>
      <c r="E277" t="inlineStr">
        <is>
          <t>BERG</t>
        </is>
      </c>
      <c r="G277" t="n">
        <v>4</v>
      </c>
      <c r="H277" t="n">
        <v>0</v>
      </c>
      <c r="I277" t="n">
        <v>0</v>
      </c>
      <c r="J277" t="n">
        <v>0</v>
      </c>
      <c r="K277" t="n">
        <v>0</v>
      </c>
      <c r="L277" t="n">
        <v>0</v>
      </c>
      <c r="M277" t="n">
        <v>0</v>
      </c>
      <c r="N277" t="n">
        <v>0</v>
      </c>
      <c r="O277" t="n">
        <v>0</v>
      </c>
      <c r="P277" t="n">
        <v>0</v>
      </c>
      <c r="Q277" t="n">
        <v>0</v>
      </c>
      <c r="R277" s="2" t="inlineStr"/>
    </row>
    <row r="278" ht="15" customHeight="1">
      <c r="A278" t="inlineStr">
        <is>
          <t>A 49555-2023</t>
        </is>
      </c>
      <c r="B278" s="1" t="n">
        <v>45205</v>
      </c>
      <c r="C278" s="1" t="n">
        <v>46048</v>
      </c>
      <c r="D278" t="inlineStr">
        <is>
          <t>JÄMTLANDS LÄN</t>
        </is>
      </c>
      <c r="E278" t="inlineStr">
        <is>
          <t>BERG</t>
        </is>
      </c>
      <c r="G278" t="n">
        <v>0.6</v>
      </c>
      <c r="H278" t="n">
        <v>0</v>
      </c>
      <c r="I278" t="n">
        <v>0</v>
      </c>
      <c r="J278" t="n">
        <v>0</v>
      </c>
      <c r="K278" t="n">
        <v>0</v>
      </c>
      <c r="L278" t="n">
        <v>0</v>
      </c>
      <c r="M278" t="n">
        <v>0</v>
      </c>
      <c r="N278" t="n">
        <v>0</v>
      </c>
      <c r="O278" t="n">
        <v>0</v>
      </c>
      <c r="P278" t="n">
        <v>0</v>
      </c>
      <c r="Q278" t="n">
        <v>0</v>
      </c>
      <c r="R278" s="2" t="inlineStr"/>
    </row>
    <row r="279" ht="15" customHeight="1">
      <c r="A279" t="inlineStr">
        <is>
          <t>A 53894-2023</t>
        </is>
      </c>
      <c r="B279" s="1" t="n">
        <v>45231.53321759259</v>
      </c>
      <c r="C279" s="1" t="n">
        <v>46048</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60249-2022</t>
        </is>
      </c>
      <c r="B280" s="1" t="n">
        <v>44903</v>
      </c>
      <c r="C280" s="1" t="n">
        <v>46048</v>
      </c>
      <c r="D280" t="inlineStr">
        <is>
          <t>JÄMTLANDS LÄN</t>
        </is>
      </c>
      <c r="E280" t="inlineStr">
        <is>
          <t>BERG</t>
        </is>
      </c>
      <c r="G280" t="n">
        <v>6</v>
      </c>
      <c r="H280" t="n">
        <v>0</v>
      </c>
      <c r="I280" t="n">
        <v>0</v>
      </c>
      <c r="J280" t="n">
        <v>0</v>
      </c>
      <c r="K280" t="n">
        <v>0</v>
      </c>
      <c r="L280" t="n">
        <v>0</v>
      </c>
      <c r="M280" t="n">
        <v>0</v>
      </c>
      <c r="N280" t="n">
        <v>0</v>
      </c>
      <c r="O280" t="n">
        <v>0</v>
      </c>
      <c r="P280" t="n">
        <v>0</v>
      </c>
      <c r="Q280" t="n">
        <v>0</v>
      </c>
      <c r="R280" s="2" t="inlineStr"/>
    </row>
    <row r="281" ht="15" customHeight="1">
      <c r="A281" t="inlineStr">
        <is>
          <t>A 59521-2024</t>
        </is>
      </c>
      <c r="B281" s="1" t="n">
        <v>45638.57283564815</v>
      </c>
      <c r="C281" s="1" t="n">
        <v>46048</v>
      </c>
      <c r="D281" t="inlineStr">
        <is>
          <t>JÄMTLANDS LÄN</t>
        </is>
      </c>
      <c r="E281" t="inlineStr">
        <is>
          <t>BERG</t>
        </is>
      </c>
      <c r="G281" t="n">
        <v>2.1</v>
      </c>
      <c r="H281" t="n">
        <v>0</v>
      </c>
      <c r="I281" t="n">
        <v>0</v>
      </c>
      <c r="J281" t="n">
        <v>0</v>
      </c>
      <c r="K281" t="n">
        <v>0</v>
      </c>
      <c r="L281" t="n">
        <v>0</v>
      </c>
      <c r="M281" t="n">
        <v>0</v>
      </c>
      <c r="N281" t="n">
        <v>0</v>
      </c>
      <c r="O281" t="n">
        <v>0</v>
      </c>
      <c r="P281" t="n">
        <v>0</v>
      </c>
      <c r="Q281" t="n">
        <v>0</v>
      </c>
      <c r="R281" s="2" t="inlineStr"/>
    </row>
    <row r="282" ht="15" customHeight="1">
      <c r="A282" t="inlineStr">
        <is>
          <t>A 8065-2024</t>
        </is>
      </c>
      <c r="B282" s="1" t="n">
        <v>45351.40697916667</v>
      </c>
      <c r="C282" s="1" t="n">
        <v>46048</v>
      </c>
      <c r="D282" t="inlineStr">
        <is>
          <t>JÄMTLANDS LÄN</t>
        </is>
      </c>
      <c r="E282" t="inlineStr">
        <is>
          <t>BERG</t>
        </is>
      </c>
      <c r="G282" t="n">
        <v>6.9</v>
      </c>
      <c r="H282" t="n">
        <v>0</v>
      </c>
      <c r="I282" t="n">
        <v>0</v>
      </c>
      <c r="J282" t="n">
        <v>0</v>
      </c>
      <c r="K282" t="n">
        <v>0</v>
      </c>
      <c r="L282" t="n">
        <v>0</v>
      </c>
      <c r="M282" t="n">
        <v>0</v>
      </c>
      <c r="N282" t="n">
        <v>0</v>
      </c>
      <c r="O282" t="n">
        <v>0</v>
      </c>
      <c r="P282" t="n">
        <v>0</v>
      </c>
      <c r="Q282" t="n">
        <v>0</v>
      </c>
      <c r="R282" s="2" t="inlineStr"/>
    </row>
    <row r="283" ht="15" customHeight="1">
      <c r="A283" t="inlineStr">
        <is>
          <t>A 19513-2025</t>
        </is>
      </c>
      <c r="B283" s="1" t="n">
        <v>45770.42762731481</v>
      </c>
      <c r="C283" s="1" t="n">
        <v>46048</v>
      </c>
      <c r="D283" t="inlineStr">
        <is>
          <t>JÄMTLANDS LÄN</t>
        </is>
      </c>
      <c r="E283" t="inlineStr">
        <is>
          <t>BERG</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8238-2024</t>
        </is>
      </c>
      <c r="B284" s="1" t="n">
        <v>45351.98450231482</v>
      </c>
      <c r="C284" s="1" t="n">
        <v>46048</v>
      </c>
      <c r="D284" t="inlineStr">
        <is>
          <t>JÄMTLANDS LÄN</t>
        </is>
      </c>
      <c r="E284" t="inlineStr">
        <is>
          <t>BERG</t>
        </is>
      </c>
      <c r="F284" t="inlineStr">
        <is>
          <t>SCA</t>
        </is>
      </c>
      <c r="G284" t="n">
        <v>5.6</v>
      </c>
      <c r="H284" t="n">
        <v>0</v>
      </c>
      <c r="I284" t="n">
        <v>0</v>
      </c>
      <c r="J284" t="n">
        <v>0</v>
      </c>
      <c r="K284" t="n">
        <v>0</v>
      </c>
      <c r="L284" t="n">
        <v>0</v>
      </c>
      <c r="M284" t="n">
        <v>0</v>
      </c>
      <c r="N284" t="n">
        <v>0</v>
      </c>
      <c r="O284" t="n">
        <v>0</v>
      </c>
      <c r="P284" t="n">
        <v>0</v>
      </c>
      <c r="Q284" t="n">
        <v>0</v>
      </c>
      <c r="R284" s="2" t="inlineStr"/>
    </row>
    <row r="285" ht="15" customHeight="1">
      <c r="A285" t="inlineStr">
        <is>
          <t>A 29581-2024</t>
        </is>
      </c>
      <c r="B285" s="1" t="n">
        <v>45484.5740162037</v>
      </c>
      <c r="C285" s="1" t="n">
        <v>46048</v>
      </c>
      <c r="D285" t="inlineStr">
        <is>
          <t>JÄMTLANDS LÄN</t>
        </is>
      </c>
      <c r="E285" t="inlineStr">
        <is>
          <t>BERG</t>
        </is>
      </c>
      <c r="G285" t="n">
        <v>16.7</v>
      </c>
      <c r="H285" t="n">
        <v>0</v>
      </c>
      <c r="I285" t="n">
        <v>0</v>
      </c>
      <c r="J285" t="n">
        <v>0</v>
      </c>
      <c r="K285" t="n">
        <v>0</v>
      </c>
      <c r="L285" t="n">
        <v>0</v>
      </c>
      <c r="M285" t="n">
        <v>0</v>
      </c>
      <c r="N285" t="n">
        <v>0</v>
      </c>
      <c r="O285" t="n">
        <v>0</v>
      </c>
      <c r="P285" t="n">
        <v>0</v>
      </c>
      <c r="Q285" t="n">
        <v>0</v>
      </c>
      <c r="R285" s="2" t="inlineStr"/>
    </row>
    <row r="286" ht="15" customHeight="1">
      <c r="A286" t="inlineStr">
        <is>
          <t>A 35911-2024</t>
        </is>
      </c>
      <c r="B286" s="1" t="n">
        <v>45533.41498842592</v>
      </c>
      <c r="C286" s="1" t="n">
        <v>46048</v>
      </c>
      <c r="D286" t="inlineStr">
        <is>
          <t>JÄMTLANDS LÄN</t>
        </is>
      </c>
      <c r="E286" t="inlineStr">
        <is>
          <t>BERG</t>
        </is>
      </c>
      <c r="G286" t="n">
        <v>4.1</v>
      </c>
      <c r="H286" t="n">
        <v>0</v>
      </c>
      <c r="I286" t="n">
        <v>0</v>
      </c>
      <c r="J286" t="n">
        <v>0</v>
      </c>
      <c r="K286" t="n">
        <v>0</v>
      </c>
      <c r="L286" t="n">
        <v>0</v>
      </c>
      <c r="M286" t="n">
        <v>0</v>
      </c>
      <c r="N286" t="n">
        <v>0</v>
      </c>
      <c r="O286" t="n">
        <v>0</v>
      </c>
      <c r="P286" t="n">
        <v>0</v>
      </c>
      <c r="Q286" t="n">
        <v>0</v>
      </c>
      <c r="R286" s="2" t="inlineStr"/>
    </row>
    <row r="287" ht="15" customHeight="1">
      <c r="A287" t="inlineStr">
        <is>
          <t>A 43403-2023</t>
        </is>
      </c>
      <c r="B287" s="1" t="n">
        <v>45183</v>
      </c>
      <c r="C287" s="1" t="n">
        <v>46048</v>
      </c>
      <c r="D287" t="inlineStr">
        <is>
          <t>JÄMTLANDS LÄN</t>
        </is>
      </c>
      <c r="E287" t="inlineStr">
        <is>
          <t>BERG</t>
        </is>
      </c>
      <c r="F287" t="inlineStr">
        <is>
          <t>SCA</t>
        </is>
      </c>
      <c r="G287" t="n">
        <v>0.1</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46048</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46048</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61837-2023</t>
        </is>
      </c>
      <c r="B290" s="1" t="n">
        <v>45264</v>
      </c>
      <c r="C290" s="1" t="n">
        <v>46048</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1983-2022</t>
        </is>
      </c>
      <c r="B291" s="1" t="n">
        <v>44575</v>
      </c>
      <c r="C291" s="1" t="n">
        <v>46048</v>
      </c>
      <c r="D291" t="inlineStr">
        <is>
          <t>JÄMTLANDS LÄN</t>
        </is>
      </c>
      <c r="E291" t="inlineStr">
        <is>
          <t>BERG</t>
        </is>
      </c>
      <c r="G291" t="n">
        <v>1.8</v>
      </c>
      <c r="H291" t="n">
        <v>0</v>
      </c>
      <c r="I291" t="n">
        <v>0</v>
      </c>
      <c r="J291" t="n">
        <v>0</v>
      </c>
      <c r="K291" t="n">
        <v>0</v>
      </c>
      <c r="L291" t="n">
        <v>0</v>
      </c>
      <c r="M291" t="n">
        <v>0</v>
      </c>
      <c r="N291" t="n">
        <v>0</v>
      </c>
      <c r="O291" t="n">
        <v>0</v>
      </c>
      <c r="P291" t="n">
        <v>0</v>
      </c>
      <c r="Q291" t="n">
        <v>0</v>
      </c>
      <c r="R291" s="2" t="inlineStr"/>
    </row>
    <row r="292" ht="15" customHeight="1">
      <c r="A292" t="inlineStr">
        <is>
          <t>A 62104-2023</t>
        </is>
      </c>
      <c r="B292" s="1" t="n">
        <v>45266.95052083334</v>
      </c>
      <c r="C292" s="1" t="n">
        <v>46048</v>
      </c>
      <c r="D292" t="inlineStr">
        <is>
          <t>JÄMTLANDS LÄN</t>
        </is>
      </c>
      <c r="E292" t="inlineStr">
        <is>
          <t>BERG</t>
        </is>
      </c>
      <c r="G292" t="n">
        <v>1.5</v>
      </c>
      <c r="H292" t="n">
        <v>0</v>
      </c>
      <c r="I292" t="n">
        <v>0</v>
      </c>
      <c r="J292" t="n">
        <v>0</v>
      </c>
      <c r="K292" t="n">
        <v>0</v>
      </c>
      <c r="L292" t="n">
        <v>0</v>
      </c>
      <c r="M292" t="n">
        <v>0</v>
      </c>
      <c r="N292" t="n">
        <v>0</v>
      </c>
      <c r="O292" t="n">
        <v>0</v>
      </c>
      <c r="P292" t="n">
        <v>0</v>
      </c>
      <c r="Q292" t="n">
        <v>0</v>
      </c>
      <c r="R292" s="2" t="inlineStr"/>
    </row>
    <row r="293" ht="15" customHeight="1">
      <c r="A293" t="inlineStr">
        <is>
          <t>A 62105-2023</t>
        </is>
      </c>
      <c r="B293" s="1" t="n">
        <v>45266.95074074074</v>
      </c>
      <c r="C293" s="1" t="n">
        <v>46048</v>
      </c>
      <c r="D293" t="inlineStr">
        <is>
          <t>JÄMTLANDS LÄN</t>
        </is>
      </c>
      <c r="E293" t="inlineStr">
        <is>
          <t>BERG</t>
        </is>
      </c>
      <c r="F293" t="inlineStr">
        <is>
          <t>SCA</t>
        </is>
      </c>
      <c r="G293" t="n">
        <v>13.1</v>
      </c>
      <c r="H293" t="n">
        <v>0</v>
      </c>
      <c r="I293" t="n">
        <v>0</v>
      </c>
      <c r="J293" t="n">
        <v>0</v>
      </c>
      <c r="K293" t="n">
        <v>0</v>
      </c>
      <c r="L293" t="n">
        <v>0</v>
      </c>
      <c r="M293" t="n">
        <v>0</v>
      </c>
      <c r="N293" t="n">
        <v>0</v>
      </c>
      <c r="O293" t="n">
        <v>0</v>
      </c>
      <c r="P293" t="n">
        <v>0</v>
      </c>
      <c r="Q293" t="n">
        <v>0</v>
      </c>
      <c r="R293" s="2" t="inlineStr"/>
    </row>
    <row r="294" ht="15" customHeight="1">
      <c r="A294" t="inlineStr">
        <is>
          <t>A 46902-2024</t>
        </is>
      </c>
      <c r="B294" s="1" t="n">
        <v>45583.69847222222</v>
      </c>
      <c r="C294" s="1" t="n">
        <v>46048</v>
      </c>
      <c r="D294" t="inlineStr">
        <is>
          <t>JÄMTLANDS LÄN</t>
        </is>
      </c>
      <c r="E294" t="inlineStr">
        <is>
          <t>BERG</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14834-2025</t>
        </is>
      </c>
      <c r="B295" s="1" t="n">
        <v>45743.38224537037</v>
      </c>
      <c r="C295" s="1" t="n">
        <v>46048</v>
      </c>
      <c r="D295" t="inlineStr">
        <is>
          <t>JÄMTLANDS LÄN</t>
        </is>
      </c>
      <c r="E295" t="inlineStr">
        <is>
          <t>BERG</t>
        </is>
      </c>
      <c r="G295" t="n">
        <v>3.8</v>
      </c>
      <c r="H295" t="n">
        <v>0</v>
      </c>
      <c r="I295" t="n">
        <v>0</v>
      </c>
      <c r="J295" t="n">
        <v>0</v>
      </c>
      <c r="K295" t="n">
        <v>0</v>
      </c>
      <c r="L295" t="n">
        <v>0</v>
      </c>
      <c r="M295" t="n">
        <v>0</v>
      </c>
      <c r="N295" t="n">
        <v>0</v>
      </c>
      <c r="O295" t="n">
        <v>0</v>
      </c>
      <c r="P295" t="n">
        <v>0</v>
      </c>
      <c r="Q295" t="n">
        <v>0</v>
      </c>
      <c r="R295" s="2" t="inlineStr"/>
    </row>
    <row r="296" ht="15" customHeight="1">
      <c r="A296" t="inlineStr">
        <is>
          <t>A 60028-2022</t>
        </is>
      </c>
      <c r="B296" s="1" t="n">
        <v>44902</v>
      </c>
      <c r="C296" s="1" t="n">
        <v>46048</v>
      </c>
      <c r="D296" t="inlineStr">
        <is>
          <t>JÄMTLANDS LÄN</t>
        </is>
      </c>
      <c r="E296" t="inlineStr">
        <is>
          <t>BERG</t>
        </is>
      </c>
      <c r="G296" t="n">
        <v>20</v>
      </c>
      <c r="H296" t="n">
        <v>0</v>
      </c>
      <c r="I296" t="n">
        <v>0</v>
      </c>
      <c r="J296" t="n">
        <v>0</v>
      </c>
      <c r="K296" t="n">
        <v>0</v>
      </c>
      <c r="L296" t="n">
        <v>0</v>
      </c>
      <c r="M296" t="n">
        <v>0</v>
      </c>
      <c r="N296" t="n">
        <v>0</v>
      </c>
      <c r="O296" t="n">
        <v>0</v>
      </c>
      <c r="P296" t="n">
        <v>0</v>
      </c>
      <c r="Q296" t="n">
        <v>0</v>
      </c>
      <c r="R296" s="2" t="inlineStr"/>
    </row>
    <row r="297" ht="15" customHeight="1">
      <c r="A297" t="inlineStr">
        <is>
          <t>A 44911-2021</t>
        </is>
      </c>
      <c r="B297" s="1" t="n">
        <v>44435</v>
      </c>
      <c r="C297" s="1" t="n">
        <v>46048</v>
      </c>
      <c r="D297" t="inlineStr">
        <is>
          <t>JÄMTLANDS LÄN</t>
        </is>
      </c>
      <c r="E297" t="inlineStr">
        <is>
          <t>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4476-2025</t>
        </is>
      </c>
      <c r="B298" s="1" t="n">
        <v>45686.62828703703</v>
      </c>
      <c r="C298" s="1" t="n">
        <v>46048</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9478-2024</t>
        </is>
      </c>
      <c r="B299" s="1" t="n">
        <v>45359.5732175926</v>
      </c>
      <c r="C299" s="1" t="n">
        <v>46048</v>
      </c>
      <c r="D299" t="inlineStr">
        <is>
          <t>JÄMTLANDS LÄN</t>
        </is>
      </c>
      <c r="E299" t="inlineStr">
        <is>
          <t>BERG</t>
        </is>
      </c>
      <c r="G299" t="n">
        <v>6.2</v>
      </c>
      <c r="H299" t="n">
        <v>0</v>
      </c>
      <c r="I299" t="n">
        <v>0</v>
      </c>
      <c r="J299" t="n">
        <v>0</v>
      </c>
      <c r="K299" t="n">
        <v>0</v>
      </c>
      <c r="L299" t="n">
        <v>0</v>
      </c>
      <c r="M299" t="n">
        <v>0</v>
      </c>
      <c r="N299" t="n">
        <v>0</v>
      </c>
      <c r="O299" t="n">
        <v>0</v>
      </c>
      <c r="P299" t="n">
        <v>0</v>
      </c>
      <c r="Q299" t="n">
        <v>0</v>
      </c>
      <c r="R299" s="2" t="inlineStr"/>
    </row>
    <row r="300" ht="15" customHeight="1">
      <c r="A300" t="inlineStr">
        <is>
          <t>A 21156-2025</t>
        </is>
      </c>
      <c r="B300" s="1" t="n">
        <v>45779.37599537037</v>
      </c>
      <c r="C300" s="1" t="n">
        <v>46048</v>
      </c>
      <c r="D300" t="inlineStr">
        <is>
          <t>JÄMTLANDS LÄN</t>
        </is>
      </c>
      <c r="E300" t="inlineStr">
        <is>
          <t>BERG</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18217-2023</t>
        </is>
      </c>
      <c r="B301" s="1" t="n">
        <v>45040</v>
      </c>
      <c r="C301" s="1" t="n">
        <v>46048</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46048</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21472-2025</t>
        </is>
      </c>
      <c r="B303" s="1" t="n">
        <v>45782.59024305556</v>
      </c>
      <c r="C303" s="1" t="n">
        <v>46048</v>
      </c>
      <c r="D303" t="inlineStr">
        <is>
          <t>JÄMTLANDS LÄN</t>
        </is>
      </c>
      <c r="E303" t="inlineStr">
        <is>
          <t>BERG</t>
        </is>
      </c>
      <c r="G303" t="n">
        <v>21.9</v>
      </c>
      <c r="H303" t="n">
        <v>0</v>
      </c>
      <c r="I303" t="n">
        <v>0</v>
      </c>
      <c r="J303" t="n">
        <v>0</v>
      </c>
      <c r="K303" t="n">
        <v>0</v>
      </c>
      <c r="L303" t="n">
        <v>0</v>
      </c>
      <c r="M303" t="n">
        <v>0</v>
      </c>
      <c r="N303" t="n">
        <v>0</v>
      </c>
      <c r="O303" t="n">
        <v>0</v>
      </c>
      <c r="P303" t="n">
        <v>0</v>
      </c>
      <c r="Q303" t="n">
        <v>0</v>
      </c>
      <c r="R303" s="2" t="inlineStr"/>
    </row>
    <row r="304" ht="15" customHeight="1">
      <c r="A304" t="inlineStr">
        <is>
          <t>A 21292-2025</t>
        </is>
      </c>
      <c r="B304" s="1" t="n">
        <v>45780.39354166666</v>
      </c>
      <c r="C304" s="1" t="n">
        <v>46048</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32465-2024</t>
        </is>
      </c>
      <c r="B305" s="1" t="n">
        <v>45512.96096064815</v>
      </c>
      <c r="C305" s="1" t="n">
        <v>46048</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63819-2023</t>
        </is>
      </c>
      <c r="B306" s="1" t="n">
        <v>45278.44128472222</v>
      </c>
      <c r="C306" s="1" t="n">
        <v>46048</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64490-2023</t>
        </is>
      </c>
      <c r="B307" s="1" t="n">
        <v>45280</v>
      </c>
      <c r="C307" s="1" t="n">
        <v>46048</v>
      </c>
      <c r="D307" t="inlineStr">
        <is>
          <t>JÄMTLANDS LÄN</t>
        </is>
      </c>
      <c r="E307" t="inlineStr">
        <is>
          <t>BERG</t>
        </is>
      </c>
      <c r="F307" t="inlineStr">
        <is>
          <t>Övriga Aktiebolag</t>
        </is>
      </c>
      <c r="G307" t="n">
        <v>7.7</v>
      </c>
      <c r="H307" t="n">
        <v>0</v>
      </c>
      <c r="I307" t="n">
        <v>0</v>
      </c>
      <c r="J307" t="n">
        <v>0</v>
      </c>
      <c r="K307" t="n">
        <v>0</v>
      </c>
      <c r="L307" t="n">
        <v>0</v>
      </c>
      <c r="M307" t="n">
        <v>0</v>
      </c>
      <c r="N307" t="n">
        <v>0</v>
      </c>
      <c r="O307" t="n">
        <v>0</v>
      </c>
      <c r="P307" t="n">
        <v>0</v>
      </c>
      <c r="Q307" t="n">
        <v>0</v>
      </c>
      <c r="R307" s="2" t="inlineStr"/>
    </row>
    <row r="308" ht="15" customHeight="1">
      <c r="A308" t="inlineStr">
        <is>
          <t>A 32020-2023</t>
        </is>
      </c>
      <c r="B308" s="1" t="n">
        <v>45119.49261574074</v>
      </c>
      <c r="C308" s="1" t="n">
        <v>46048</v>
      </c>
      <c r="D308" t="inlineStr">
        <is>
          <t>JÄMTLANDS LÄN</t>
        </is>
      </c>
      <c r="E308" t="inlineStr">
        <is>
          <t>BERG</t>
        </is>
      </c>
      <c r="G308" t="n">
        <v>10.3</v>
      </c>
      <c r="H308" t="n">
        <v>0</v>
      </c>
      <c r="I308" t="n">
        <v>0</v>
      </c>
      <c r="J308" t="n">
        <v>0</v>
      </c>
      <c r="K308" t="n">
        <v>0</v>
      </c>
      <c r="L308" t="n">
        <v>0</v>
      </c>
      <c r="M308" t="n">
        <v>0</v>
      </c>
      <c r="N308" t="n">
        <v>0</v>
      </c>
      <c r="O308" t="n">
        <v>0</v>
      </c>
      <c r="P308" t="n">
        <v>0</v>
      </c>
      <c r="Q308" t="n">
        <v>0</v>
      </c>
      <c r="R308" s="2" t="inlineStr"/>
    </row>
    <row r="309" ht="15" customHeight="1">
      <c r="A309" t="inlineStr">
        <is>
          <t>A 51548-2023</t>
        </is>
      </c>
      <c r="B309" s="1" t="n">
        <v>45215</v>
      </c>
      <c r="C309" s="1" t="n">
        <v>46048</v>
      </c>
      <c r="D309" t="inlineStr">
        <is>
          <t>JÄMTLANDS LÄN</t>
        </is>
      </c>
      <c r="E309" t="inlineStr">
        <is>
          <t>BERG</t>
        </is>
      </c>
      <c r="G309" t="n">
        <v>4.8</v>
      </c>
      <c r="H309" t="n">
        <v>0</v>
      </c>
      <c r="I309" t="n">
        <v>0</v>
      </c>
      <c r="J309" t="n">
        <v>0</v>
      </c>
      <c r="K309" t="n">
        <v>0</v>
      </c>
      <c r="L309" t="n">
        <v>0</v>
      </c>
      <c r="M309" t="n">
        <v>0</v>
      </c>
      <c r="N309" t="n">
        <v>0</v>
      </c>
      <c r="O309" t="n">
        <v>0</v>
      </c>
      <c r="P309" t="n">
        <v>0</v>
      </c>
      <c r="Q309" t="n">
        <v>0</v>
      </c>
      <c r="R309" s="2" t="inlineStr"/>
    </row>
    <row r="310" ht="15" customHeight="1">
      <c r="A310" t="inlineStr">
        <is>
          <t>A 60068-2022</t>
        </is>
      </c>
      <c r="B310" s="1" t="n">
        <v>44902</v>
      </c>
      <c r="C310" s="1" t="n">
        <v>46048</v>
      </c>
      <c r="D310" t="inlineStr">
        <is>
          <t>JÄMTLANDS LÄN</t>
        </is>
      </c>
      <c r="E310" t="inlineStr">
        <is>
          <t>BERG</t>
        </is>
      </c>
      <c r="G310" t="n">
        <v>5.2</v>
      </c>
      <c r="H310" t="n">
        <v>0</v>
      </c>
      <c r="I310" t="n">
        <v>0</v>
      </c>
      <c r="J310" t="n">
        <v>0</v>
      </c>
      <c r="K310" t="n">
        <v>0</v>
      </c>
      <c r="L310" t="n">
        <v>0</v>
      </c>
      <c r="M310" t="n">
        <v>0</v>
      </c>
      <c r="N310" t="n">
        <v>0</v>
      </c>
      <c r="O310" t="n">
        <v>0</v>
      </c>
      <c r="P310" t="n">
        <v>0</v>
      </c>
      <c r="Q310" t="n">
        <v>0</v>
      </c>
      <c r="R310" s="2" t="inlineStr"/>
    </row>
    <row r="311" ht="15" customHeight="1">
      <c r="A311" t="inlineStr">
        <is>
          <t>A 7482-2022</t>
        </is>
      </c>
      <c r="B311" s="1" t="n">
        <v>44606</v>
      </c>
      <c r="C311" s="1" t="n">
        <v>46048</v>
      </c>
      <c r="D311" t="inlineStr">
        <is>
          <t>JÄMTLANDS LÄN</t>
        </is>
      </c>
      <c r="E311" t="inlineStr">
        <is>
          <t>BERG</t>
        </is>
      </c>
      <c r="G311" t="n">
        <v>1.8</v>
      </c>
      <c r="H311" t="n">
        <v>0</v>
      </c>
      <c r="I311" t="n">
        <v>0</v>
      </c>
      <c r="J311" t="n">
        <v>0</v>
      </c>
      <c r="K311" t="n">
        <v>0</v>
      </c>
      <c r="L311" t="n">
        <v>0</v>
      </c>
      <c r="M311" t="n">
        <v>0</v>
      </c>
      <c r="N311" t="n">
        <v>0</v>
      </c>
      <c r="O311" t="n">
        <v>0</v>
      </c>
      <c r="P311" t="n">
        <v>0</v>
      </c>
      <c r="Q311" t="n">
        <v>0</v>
      </c>
      <c r="R311" s="2" t="inlineStr"/>
    </row>
    <row r="312" ht="15" customHeight="1">
      <c r="A312" t="inlineStr">
        <is>
          <t>A 3419-2025</t>
        </is>
      </c>
      <c r="B312" s="1" t="n">
        <v>45680.4165625</v>
      </c>
      <c r="C312" s="1" t="n">
        <v>46048</v>
      </c>
      <c r="D312" t="inlineStr">
        <is>
          <t>JÄMTLANDS LÄN</t>
        </is>
      </c>
      <c r="E312" t="inlineStr">
        <is>
          <t>BERG</t>
        </is>
      </c>
      <c r="G312" t="n">
        <v>0.8</v>
      </c>
      <c r="H312" t="n">
        <v>0</v>
      </c>
      <c r="I312" t="n">
        <v>0</v>
      </c>
      <c r="J312" t="n">
        <v>0</v>
      </c>
      <c r="K312" t="n">
        <v>0</v>
      </c>
      <c r="L312" t="n">
        <v>0</v>
      </c>
      <c r="M312" t="n">
        <v>0</v>
      </c>
      <c r="N312" t="n">
        <v>0</v>
      </c>
      <c r="O312" t="n">
        <v>0</v>
      </c>
      <c r="P312" t="n">
        <v>0</v>
      </c>
      <c r="Q312" t="n">
        <v>0</v>
      </c>
      <c r="R312" s="2" t="inlineStr"/>
    </row>
    <row r="313" ht="15" customHeight="1">
      <c r="A313" t="inlineStr">
        <is>
          <t>A 22180-2025</t>
        </is>
      </c>
      <c r="B313" s="1" t="n">
        <v>45785</v>
      </c>
      <c r="C313" s="1" t="n">
        <v>46048</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60847-2023</t>
        </is>
      </c>
      <c r="B314" s="1" t="n">
        <v>45260</v>
      </c>
      <c r="C314" s="1" t="n">
        <v>46048</v>
      </c>
      <c r="D314" t="inlineStr">
        <is>
          <t>JÄMTLANDS LÄN</t>
        </is>
      </c>
      <c r="E314" t="inlineStr">
        <is>
          <t>BERG</t>
        </is>
      </c>
      <c r="G314" t="n">
        <v>2.5</v>
      </c>
      <c r="H314" t="n">
        <v>0</v>
      </c>
      <c r="I314" t="n">
        <v>0</v>
      </c>
      <c r="J314" t="n">
        <v>0</v>
      </c>
      <c r="K314" t="n">
        <v>0</v>
      </c>
      <c r="L314" t="n">
        <v>0</v>
      </c>
      <c r="M314" t="n">
        <v>0</v>
      </c>
      <c r="N314" t="n">
        <v>0</v>
      </c>
      <c r="O314" t="n">
        <v>0</v>
      </c>
      <c r="P314" t="n">
        <v>0</v>
      </c>
      <c r="Q314" t="n">
        <v>0</v>
      </c>
      <c r="R314" s="2" t="inlineStr"/>
    </row>
    <row r="315" ht="15" customHeight="1">
      <c r="A315" t="inlineStr">
        <is>
          <t>A 21851-2025</t>
        </is>
      </c>
      <c r="B315" s="1" t="n">
        <v>45784.34417824074</v>
      </c>
      <c r="C315" s="1" t="n">
        <v>46048</v>
      </c>
      <c r="D315" t="inlineStr">
        <is>
          <t>JÄMTLANDS LÄN</t>
        </is>
      </c>
      <c r="E315" t="inlineStr">
        <is>
          <t>BERG</t>
        </is>
      </c>
      <c r="F315" t="inlineStr">
        <is>
          <t>SCA</t>
        </is>
      </c>
      <c r="G315" t="n">
        <v>10</v>
      </c>
      <c r="H315" t="n">
        <v>0</v>
      </c>
      <c r="I315" t="n">
        <v>0</v>
      </c>
      <c r="J315" t="n">
        <v>0</v>
      </c>
      <c r="K315" t="n">
        <v>0</v>
      </c>
      <c r="L315" t="n">
        <v>0</v>
      </c>
      <c r="M315" t="n">
        <v>0</v>
      </c>
      <c r="N315" t="n">
        <v>0</v>
      </c>
      <c r="O315" t="n">
        <v>0</v>
      </c>
      <c r="P315" t="n">
        <v>0</v>
      </c>
      <c r="Q315" t="n">
        <v>0</v>
      </c>
      <c r="R315" s="2" t="inlineStr"/>
    </row>
    <row r="316" ht="15" customHeight="1">
      <c r="A316" t="inlineStr">
        <is>
          <t>A 29540-2024</t>
        </is>
      </c>
      <c r="B316" s="1" t="n">
        <v>45484</v>
      </c>
      <c r="C316" s="1" t="n">
        <v>46048</v>
      </c>
      <c r="D316" t="inlineStr">
        <is>
          <t>JÄMTLANDS LÄN</t>
        </is>
      </c>
      <c r="E316" t="inlineStr">
        <is>
          <t>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54799-2021</t>
        </is>
      </c>
      <c r="B317" s="1" t="n">
        <v>44473</v>
      </c>
      <c r="C317" s="1" t="n">
        <v>46048</v>
      </c>
      <c r="D317" t="inlineStr">
        <is>
          <t>JÄMTLANDS LÄN</t>
        </is>
      </c>
      <c r="E317" t="inlineStr">
        <is>
          <t>BERG</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37098-2024</t>
        </is>
      </c>
      <c r="B318" s="1" t="n">
        <v>45539.50243055556</v>
      </c>
      <c r="C318" s="1" t="n">
        <v>46048</v>
      </c>
      <c r="D318" t="inlineStr">
        <is>
          <t>JÄMTLANDS LÄN</t>
        </is>
      </c>
      <c r="E318" t="inlineStr">
        <is>
          <t>BERG</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44088-2021</t>
        </is>
      </c>
      <c r="B319" s="1" t="n">
        <v>44434</v>
      </c>
      <c r="C319" s="1" t="n">
        <v>46048</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31641-2022</t>
        </is>
      </c>
      <c r="B320" s="1" t="n">
        <v>44775.94119212963</v>
      </c>
      <c r="C320" s="1" t="n">
        <v>46048</v>
      </c>
      <c r="D320" t="inlineStr">
        <is>
          <t>JÄMTLANDS LÄN</t>
        </is>
      </c>
      <c r="E320" t="inlineStr">
        <is>
          <t>BERG</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46366-2024</t>
        </is>
      </c>
      <c r="B321" s="1" t="n">
        <v>45582.36490740741</v>
      </c>
      <c r="C321" s="1" t="n">
        <v>46048</v>
      </c>
      <c r="D321" t="inlineStr">
        <is>
          <t>JÄMTLANDS LÄN</t>
        </is>
      </c>
      <c r="E321" t="inlineStr">
        <is>
          <t>BERG</t>
        </is>
      </c>
      <c r="G321" t="n">
        <v>5</v>
      </c>
      <c r="H321" t="n">
        <v>0</v>
      </c>
      <c r="I321" t="n">
        <v>0</v>
      </c>
      <c r="J321" t="n">
        <v>0</v>
      </c>
      <c r="K321" t="n">
        <v>0</v>
      </c>
      <c r="L321" t="n">
        <v>0</v>
      </c>
      <c r="M321" t="n">
        <v>0</v>
      </c>
      <c r="N321" t="n">
        <v>0</v>
      </c>
      <c r="O321" t="n">
        <v>0</v>
      </c>
      <c r="P321" t="n">
        <v>0</v>
      </c>
      <c r="Q321" t="n">
        <v>0</v>
      </c>
      <c r="R321" s="2" t="inlineStr"/>
    </row>
    <row r="322" ht="15" customHeight="1">
      <c r="A322" t="inlineStr">
        <is>
          <t>A 5014-2024</t>
        </is>
      </c>
      <c r="B322" s="1" t="n">
        <v>45329</v>
      </c>
      <c r="C322" s="1" t="n">
        <v>46048</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16247-2024</t>
        </is>
      </c>
      <c r="B323" s="1" t="n">
        <v>45407.05797453703</v>
      </c>
      <c r="C323" s="1" t="n">
        <v>46048</v>
      </c>
      <c r="D323" t="inlineStr">
        <is>
          <t>JÄMTLANDS LÄN</t>
        </is>
      </c>
      <c r="E323" t="inlineStr">
        <is>
          <t>BERG</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22724-2025</t>
        </is>
      </c>
      <c r="B324" s="1" t="n">
        <v>45789.57361111111</v>
      </c>
      <c r="C324" s="1" t="n">
        <v>46048</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46268-2023</t>
        </is>
      </c>
      <c r="B325" s="1" t="n">
        <v>45196</v>
      </c>
      <c r="C325" s="1" t="n">
        <v>46048</v>
      </c>
      <c r="D325" t="inlineStr">
        <is>
          <t>JÄMTLANDS LÄN</t>
        </is>
      </c>
      <c r="E325" t="inlineStr">
        <is>
          <t>BERG</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61085-2024</t>
        </is>
      </c>
      <c r="B326" s="1" t="n">
        <v>45645.53202546296</v>
      </c>
      <c r="C326" s="1" t="n">
        <v>46048</v>
      </c>
      <c r="D326" t="inlineStr">
        <is>
          <t>JÄMTLANDS LÄN</t>
        </is>
      </c>
      <c r="E326" t="inlineStr">
        <is>
          <t>BERG</t>
        </is>
      </c>
      <c r="F326" t="inlineStr">
        <is>
          <t>SCA</t>
        </is>
      </c>
      <c r="G326" t="n">
        <v>12.2</v>
      </c>
      <c r="H326" t="n">
        <v>0</v>
      </c>
      <c r="I326" t="n">
        <v>0</v>
      </c>
      <c r="J326" t="n">
        <v>0</v>
      </c>
      <c r="K326" t="n">
        <v>0</v>
      </c>
      <c r="L326" t="n">
        <v>0</v>
      </c>
      <c r="M326" t="n">
        <v>0</v>
      </c>
      <c r="N326" t="n">
        <v>0</v>
      </c>
      <c r="O326" t="n">
        <v>0</v>
      </c>
      <c r="P326" t="n">
        <v>0</v>
      </c>
      <c r="Q326" t="n">
        <v>0</v>
      </c>
      <c r="R326" s="2" t="inlineStr"/>
    </row>
    <row r="327" ht="15" customHeight="1">
      <c r="A327" t="inlineStr">
        <is>
          <t>A 22672-2025</t>
        </is>
      </c>
      <c r="B327" s="1" t="n">
        <v>45789.4903587963</v>
      </c>
      <c r="C327" s="1" t="n">
        <v>46048</v>
      </c>
      <c r="D327" t="inlineStr">
        <is>
          <t>JÄMTLANDS LÄN</t>
        </is>
      </c>
      <c r="E327" t="inlineStr">
        <is>
          <t>BERG</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8069-2024</t>
        </is>
      </c>
      <c r="B328" s="1" t="n">
        <v>45351.41600694445</v>
      </c>
      <c r="C328" s="1" t="n">
        <v>46048</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61788-2023</t>
        </is>
      </c>
      <c r="B329" s="1" t="n">
        <v>45265.9577199074</v>
      </c>
      <c r="C329" s="1" t="n">
        <v>46048</v>
      </c>
      <c r="D329" t="inlineStr">
        <is>
          <t>JÄMTLANDS LÄN</t>
        </is>
      </c>
      <c r="E329" t="inlineStr">
        <is>
          <t>BERG</t>
        </is>
      </c>
      <c r="G329" t="n">
        <v>2.6</v>
      </c>
      <c r="H329" t="n">
        <v>0</v>
      </c>
      <c r="I329" t="n">
        <v>0</v>
      </c>
      <c r="J329" t="n">
        <v>0</v>
      </c>
      <c r="K329" t="n">
        <v>0</v>
      </c>
      <c r="L329" t="n">
        <v>0</v>
      </c>
      <c r="M329" t="n">
        <v>0</v>
      </c>
      <c r="N329" t="n">
        <v>0</v>
      </c>
      <c r="O329" t="n">
        <v>0</v>
      </c>
      <c r="P329" t="n">
        <v>0</v>
      </c>
      <c r="Q329" t="n">
        <v>0</v>
      </c>
      <c r="R329" s="2" t="inlineStr"/>
    </row>
    <row r="330" ht="15" customHeight="1">
      <c r="A330" t="inlineStr">
        <is>
          <t>A 39785-2024</t>
        </is>
      </c>
      <c r="B330" s="1" t="n">
        <v>45553.29927083333</v>
      </c>
      <c r="C330" s="1" t="n">
        <v>46048</v>
      </c>
      <c r="D330" t="inlineStr">
        <is>
          <t>JÄMTLANDS LÄN</t>
        </is>
      </c>
      <c r="E330" t="inlineStr">
        <is>
          <t>BERG</t>
        </is>
      </c>
      <c r="G330" t="n">
        <v>16.1</v>
      </c>
      <c r="H330" t="n">
        <v>0</v>
      </c>
      <c r="I330" t="n">
        <v>0</v>
      </c>
      <c r="J330" t="n">
        <v>0</v>
      </c>
      <c r="K330" t="n">
        <v>0</v>
      </c>
      <c r="L330" t="n">
        <v>0</v>
      </c>
      <c r="M330" t="n">
        <v>0</v>
      </c>
      <c r="N330" t="n">
        <v>0</v>
      </c>
      <c r="O330" t="n">
        <v>0</v>
      </c>
      <c r="P330" t="n">
        <v>0</v>
      </c>
      <c r="Q330" t="n">
        <v>0</v>
      </c>
      <c r="R330" s="2" t="inlineStr"/>
    </row>
    <row r="331" ht="15" customHeight="1">
      <c r="A331" t="inlineStr">
        <is>
          <t>A 41927-2023</t>
        </is>
      </c>
      <c r="B331" s="1" t="n">
        <v>45176</v>
      </c>
      <c r="C331" s="1" t="n">
        <v>46048</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51201-2023</t>
        </is>
      </c>
      <c r="B332" s="1" t="n">
        <v>45219.42320601852</v>
      </c>
      <c r="C332" s="1" t="n">
        <v>46048</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5187-2025</t>
        </is>
      </c>
      <c r="B333" s="1" t="n">
        <v>45691.64266203704</v>
      </c>
      <c r="C333" s="1" t="n">
        <v>46048</v>
      </c>
      <c r="D333" t="inlineStr">
        <is>
          <t>JÄMTLANDS LÄN</t>
        </is>
      </c>
      <c r="E333" t="inlineStr">
        <is>
          <t>BERG</t>
        </is>
      </c>
      <c r="G333" t="n">
        <v>2.5</v>
      </c>
      <c r="H333" t="n">
        <v>0</v>
      </c>
      <c r="I333" t="n">
        <v>0</v>
      </c>
      <c r="J333" t="n">
        <v>0</v>
      </c>
      <c r="K333" t="n">
        <v>0</v>
      </c>
      <c r="L333" t="n">
        <v>0</v>
      </c>
      <c r="M333" t="n">
        <v>0</v>
      </c>
      <c r="N333" t="n">
        <v>0</v>
      </c>
      <c r="O333" t="n">
        <v>0</v>
      </c>
      <c r="P333" t="n">
        <v>0</v>
      </c>
      <c r="Q333" t="n">
        <v>0</v>
      </c>
      <c r="R333" s="2" t="inlineStr"/>
    </row>
    <row r="334" ht="15" customHeight="1">
      <c r="A334" t="inlineStr">
        <is>
          <t>A 26959-2022</t>
        </is>
      </c>
      <c r="B334" s="1" t="n">
        <v>44740.66048611111</v>
      </c>
      <c r="C334" s="1" t="n">
        <v>46048</v>
      </c>
      <c r="D334" t="inlineStr">
        <is>
          <t>JÄMTLANDS LÄN</t>
        </is>
      </c>
      <c r="E334" t="inlineStr">
        <is>
          <t>BERG</t>
        </is>
      </c>
      <c r="G334" t="n">
        <v>2.8</v>
      </c>
      <c r="H334" t="n">
        <v>0</v>
      </c>
      <c r="I334" t="n">
        <v>0</v>
      </c>
      <c r="J334" t="n">
        <v>0</v>
      </c>
      <c r="K334" t="n">
        <v>0</v>
      </c>
      <c r="L334" t="n">
        <v>0</v>
      </c>
      <c r="M334" t="n">
        <v>0</v>
      </c>
      <c r="N334" t="n">
        <v>0</v>
      </c>
      <c r="O334" t="n">
        <v>0</v>
      </c>
      <c r="P334" t="n">
        <v>0</v>
      </c>
      <c r="Q334" t="n">
        <v>0</v>
      </c>
      <c r="R334" s="2" t="inlineStr"/>
    </row>
    <row r="335" ht="15" customHeight="1">
      <c r="A335" t="inlineStr">
        <is>
          <t>A 2855-2025</t>
        </is>
      </c>
      <c r="B335" s="1" t="n">
        <v>45678</v>
      </c>
      <c r="C335" s="1" t="n">
        <v>46048</v>
      </c>
      <c r="D335" t="inlineStr">
        <is>
          <t>JÄMTLANDS LÄN</t>
        </is>
      </c>
      <c r="E335" t="inlineStr">
        <is>
          <t>BERG</t>
        </is>
      </c>
      <c r="G335" t="n">
        <v>1</v>
      </c>
      <c r="H335" t="n">
        <v>0</v>
      </c>
      <c r="I335" t="n">
        <v>0</v>
      </c>
      <c r="J335" t="n">
        <v>0</v>
      </c>
      <c r="K335" t="n">
        <v>0</v>
      </c>
      <c r="L335" t="n">
        <v>0</v>
      </c>
      <c r="M335" t="n">
        <v>0</v>
      </c>
      <c r="N335" t="n">
        <v>0</v>
      </c>
      <c r="O335" t="n">
        <v>0</v>
      </c>
      <c r="P335" t="n">
        <v>0</v>
      </c>
      <c r="Q335" t="n">
        <v>0</v>
      </c>
      <c r="R335" s="2" t="inlineStr"/>
    </row>
    <row r="336" ht="15" customHeight="1">
      <c r="A336" t="inlineStr">
        <is>
          <t>A 22653-2025</t>
        </is>
      </c>
      <c r="B336" s="1" t="n">
        <v>45789.46931712963</v>
      </c>
      <c r="C336" s="1" t="n">
        <v>46048</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22478-2025</t>
        </is>
      </c>
      <c r="B337" s="1" t="n">
        <v>45786.6349537037</v>
      </c>
      <c r="C337" s="1" t="n">
        <v>46048</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56226-2024</t>
        </is>
      </c>
      <c r="B338" s="1" t="n">
        <v>45624.61572916667</v>
      </c>
      <c r="C338" s="1" t="n">
        <v>46048</v>
      </c>
      <c r="D338" t="inlineStr">
        <is>
          <t>JÄMTLANDS LÄN</t>
        </is>
      </c>
      <c r="E338" t="inlineStr">
        <is>
          <t>BERG</t>
        </is>
      </c>
      <c r="F338" t="inlineStr">
        <is>
          <t>SCA</t>
        </is>
      </c>
      <c r="G338" t="n">
        <v>7.2</v>
      </c>
      <c r="H338" t="n">
        <v>0</v>
      </c>
      <c r="I338" t="n">
        <v>0</v>
      </c>
      <c r="J338" t="n">
        <v>0</v>
      </c>
      <c r="K338" t="n">
        <v>0</v>
      </c>
      <c r="L338" t="n">
        <v>0</v>
      </c>
      <c r="M338" t="n">
        <v>0</v>
      </c>
      <c r="N338" t="n">
        <v>0</v>
      </c>
      <c r="O338" t="n">
        <v>0</v>
      </c>
      <c r="P338" t="n">
        <v>0</v>
      </c>
      <c r="Q338" t="n">
        <v>0</v>
      </c>
      <c r="R338" s="2" t="inlineStr"/>
    </row>
    <row r="339" ht="15" customHeight="1">
      <c r="A339" t="inlineStr">
        <is>
          <t>A 18007-2024</t>
        </is>
      </c>
      <c r="B339" s="1" t="n">
        <v>45419.94912037037</v>
      </c>
      <c r="C339" s="1" t="n">
        <v>46048</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34650-2024</t>
        </is>
      </c>
      <c r="B340" s="1" t="n">
        <v>45526.48329861111</v>
      </c>
      <c r="C340" s="1" t="n">
        <v>46048</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41868-2024</t>
        </is>
      </c>
      <c r="B341" s="1" t="n">
        <v>45561.46900462963</v>
      </c>
      <c r="C341" s="1" t="n">
        <v>46048</v>
      </c>
      <c r="D341" t="inlineStr">
        <is>
          <t>JÄMTLANDS LÄN</t>
        </is>
      </c>
      <c r="E341" t="inlineStr">
        <is>
          <t>BERG</t>
        </is>
      </c>
      <c r="G341" t="n">
        <v>2.3</v>
      </c>
      <c r="H341" t="n">
        <v>0</v>
      </c>
      <c r="I341" t="n">
        <v>0</v>
      </c>
      <c r="J341" t="n">
        <v>0</v>
      </c>
      <c r="K341" t="n">
        <v>0</v>
      </c>
      <c r="L341" t="n">
        <v>0</v>
      </c>
      <c r="M341" t="n">
        <v>0</v>
      </c>
      <c r="N341" t="n">
        <v>0</v>
      </c>
      <c r="O341" t="n">
        <v>0</v>
      </c>
      <c r="P341" t="n">
        <v>0</v>
      </c>
      <c r="Q341" t="n">
        <v>0</v>
      </c>
      <c r="R341" s="2" t="inlineStr"/>
    </row>
    <row r="342" ht="15" customHeight="1">
      <c r="A342" t="inlineStr">
        <is>
          <t>A 3842-2023</t>
        </is>
      </c>
      <c r="B342" s="1" t="n">
        <v>44951</v>
      </c>
      <c r="C342" s="1" t="n">
        <v>46048</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18261-2022</t>
        </is>
      </c>
      <c r="B343" s="1" t="n">
        <v>44685.45633101852</v>
      </c>
      <c r="C343" s="1" t="n">
        <v>46048</v>
      </c>
      <c r="D343" t="inlineStr">
        <is>
          <t>JÄMTLANDS LÄN</t>
        </is>
      </c>
      <c r="E343" t="inlineStr">
        <is>
          <t>BERG</t>
        </is>
      </c>
      <c r="G343" t="n">
        <v>3</v>
      </c>
      <c r="H343" t="n">
        <v>0</v>
      </c>
      <c r="I343" t="n">
        <v>0</v>
      </c>
      <c r="J343" t="n">
        <v>0</v>
      </c>
      <c r="K343" t="n">
        <v>0</v>
      </c>
      <c r="L343" t="n">
        <v>0</v>
      </c>
      <c r="M343" t="n">
        <v>0</v>
      </c>
      <c r="N343" t="n">
        <v>0</v>
      </c>
      <c r="O343" t="n">
        <v>0</v>
      </c>
      <c r="P343" t="n">
        <v>0</v>
      </c>
      <c r="Q343" t="n">
        <v>0</v>
      </c>
      <c r="R343" s="2" t="inlineStr"/>
    </row>
    <row r="344" ht="15" customHeight="1">
      <c r="A344" t="inlineStr">
        <is>
          <t>A 22991-2025</t>
        </is>
      </c>
      <c r="B344" s="1" t="n">
        <v>45790.57836805555</v>
      </c>
      <c r="C344" s="1" t="n">
        <v>46048</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57905-2024</t>
        </is>
      </c>
      <c r="B345" s="1" t="n">
        <v>45631.48989583334</v>
      </c>
      <c r="C345" s="1" t="n">
        <v>46048</v>
      </c>
      <c r="D345" t="inlineStr">
        <is>
          <t>JÄMTLANDS LÄN</t>
        </is>
      </c>
      <c r="E345" t="inlineStr">
        <is>
          <t>BERG</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23026-2025</t>
        </is>
      </c>
      <c r="B346" s="1" t="n">
        <v>45790.65690972222</v>
      </c>
      <c r="C346" s="1" t="n">
        <v>46048</v>
      </c>
      <c r="D346" t="inlineStr">
        <is>
          <t>JÄMTLANDS LÄN</t>
        </is>
      </c>
      <c r="E346" t="inlineStr">
        <is>
          <t>BERG</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22995-2025</t>
        </is>
      </c>
      <c r="B347" s="1" t="n">
        <v>45790.58265046297</v>
      </c>
      <c r="C347" s="1" t="n">
        <v>46048</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59526-2024</t>
        </is>
      </c>
      <c r="B348" s="1" t="n">
        <v>45638.58019675926</v>
      </c>
      <c r="C348" s="1" t="n">
        <v>46048</v>
      </c>
      <c r="D348" t="inlineStr">
        <is>
          <t>JÄMTLANDS LÄN</t>
        </is>
      </c>
      <c r="E348" t="inlineStr">
        <is>
          <t>BERG</t>
        </is>
      </c>
      <c r="G348" t="n">
        <v>1</v>
      </c>
      <c r="H348" t="n">
        <v>0</v>
      </c>
      <c r="I348" t="n">
        <v>0</v>
      </c>
      <c r="J348" t="n">
        <v>0</v>
      </c>
      <c r="K348" t="n">
        <v>0</v>
      </c>
      <c r="L348" t="n">
        <v>0</v>
      </c>
      <c r="M348" t="n">
        <v>0</v>
      </c>
      <c r="N348" t="n">
        <v>0</v>
      </c>
      <c r="O348" t="n">
        <v>0</v>
      </c>
      <c r="P348" t="n">
        <v>0</v>
      </c>
      <c r="Q348" t="n">
        <v>0</v>
      </c>
      <c r="R348" s="2" t="inlineStr"/>
    </row>
    <row r="349" ht="15" customHeight="1">
      <c r="A349" t="inlineStr">
        <is>
          <t>A 29511-2021</t>
        </is>
      </c>
      <c r="B349" s="1" t="n">
        <v>44361</v>
      </c>
      <c r="C349" s="1" t="n">
        <v>46048</v>
      </c>
      <c r="D349" t="inlineStr">
        <is>
          <t>JÄMTLANDS LÄN</t>
        </is>
      </c>
      <c r="E349" t="inlineStr">
        <is>
          <t>BERG</t>
        </is>
      </c>
      <c r="G349" t="n">
        <v>5.6</v>
      </c>
      <c r="H349" t="n">
        <v>0</v>
      </c>
      <c r="I349" t="n">
        <v>0</v>
      </c>
      <c r="J349" t="n">
        <v>0</v>
      </c>
      <c r="K349" t="n">
        <v>0</v>
      </c>
      <c r="L349" t="n">
        <v>0</v>
      </c>
      <c r="M349" t="n">
        <v>0</v>
      </c>
      <c r="N349" t="n">
        <v>0</v>
      </c>
      <c r="O349" t="n">
        <v>0</v>
      </c>
      <c r="P349" t="n">
        <v>0</v>
      </c>
      <c r="Q349" t="n">
        <v>0</v>
      </c>
      <c r="R349" s="2" t="inlineStr"/>
    </row>
    <row r="350" ht="15" customHeight="1">
      <c r="A350" t="inlineStr">
        <is>
          <t>A 44997-2021</t>
        </is>
      </c>
      <c r="B350" s="1" t="n">
        <v>44438</v>
      </c>
      <c r="C350" s="1" t="n">
        <v>46048</v>
      </c>
      <c r="D350" t="inlineStr">
        <is>
          <t>JÄMTLANDS LÄN</t>
        </is>
      </c>
      <c r="E350" t="inlineStr">
        <is>
          <t>BERG</t>
        </is>
      </c>
      <c r="G350" t="n">
        <v>3.8</v>
      </c>
      <c r="H350" t="n">
        <v>0</v>
      </c>
      <c r="I350" t="n">
        <v>0</v>
      </c>
      <c r="J350" t="n">
        <v>0</v>
      </c>
      <c r="K350" t="n">
        <v>0</v>
      </c>
      <c r="L350" t="n">
        <v>0</v>
      </c>
      <c r="M350" t="n">
        <v>0</v>
      </c>
      <c r="N350" t="n">
        <v>0</v>
      </c>
      <c r="O350" t="n">
        <v>0</v>
      </c>
      <c r="P350" t="n">
        <v>0</v>
      </c>
      <c r="Q350" t="n">
        <v>0</v>
      </c>
      <c r="R350" s="2" t="inlineStr"/>
    </row>
    <row r="351" ht="15" customHeight="1">
      <c r="A351" t="inlineStr">
        <is>
          <t>A 13473-2025</t>
        </is>
      </c>
      <c r="B351" s="1" t="n">
        <v>45736.40671296296</v>
      </c>
      <c r="C351" s="1" t="n">
        <v>46048</v>
      </c>
      <c r="D351" t="inlineStr">
        <is>
          <t>JÄMTLANDS LÄN</t>
        </is>
      </c>
      <c r="E351" t="inlineStr">
        <is>
          <t>BERG</t>
        </is>
      </c>
      <c r="F351" t="inlineStr">
        <is>
          <t>SCA</t>
        </is>
      </c>
      <c r="G351" t="n">
        <v>13.7</v>
      </c>
      <c r="H351" t="n">
        <v>0</v>
      </c>
      <c r="I351" t="n">
        <v>0</v>
      </c>
      <c r="J351" t="n">
        <v>0</v>
      </c>
      <c r="K351" t="n">
        <v>0</v>
      </c>
      <c r="L351" t="n">
        <v>0</v>
      </c>
      <c r="M351" t="n">
        <v>0</v>
      </c>
      <c r="N351" t="n">
        <v>0</v>
      </c>
      <c r="O351" t="n">
        <v>0</v>
      </c>
      <c r="P351" t="n">
        <v>0</v>
      </c>
      <c r="Q351" t="n">
        <v>0</v>
      </c>
      <c r="R351" s="2" t="inlineStr"/>
    </row>
    <row r="352" ht="15" customHeight="1">
      <c r="A352" t="inlineStr">
        <is>
          <t>A 23766-2025</t>
        </is>
      </c>
      <c r="B352" s="1" t="n">
        <v>45793.46954861111</v>
      </c>
      <c r="C352" s="1" t="n">
        <v>46048</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59498-2024</t>
        </is>
      </c>
      <c r="B353" s="1" t="n">
        <v>45638.54635416667</v>
      </c>
      <c r="C353" s="1" t="n">
        <v>46048</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23913-2025</t>
        </is>
      </c>
      <c r="B354" s="1" t="n">
        <v>45795.34442129629</v>
      </c>
      <c r="C354" s="1" t="n">
        <v>46048</v>
      </c>
      <c r="D354" t="inlineStr">
        <is>
          <t>JÄMTLANDS LÄN</t>
        </is>
      </c>
      <c r="E354" t="inlineStr">
        <is>
          <t>BERG</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23919-2025</t>
        </is>
      </c>
      <c r="B355" s="1" t="n">
        <v>45795.34497685185</v>
      </c>
      <c r="C355" s="1" t="n">
        <v>46048</v>
      </c>
      <c r="D355" t="inlineStr">
        <is>
          <t>JÄMTLANDS LÄN</t>
        </is>
      </c>
      <c r="E355" t="inlineStr">
        <is>
          <t>BERG</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24324-2025</t>
        </is>
      </c>
      <c r="B356" s="1" t="n">
        <v>45797.56049768518</v>
      </c>
      <c r="C356" s="1" t="n">
        <v>46048</v>
      </c>
      <c r="D356" t="inlineStr">
        <is>
          <t>JÄMTLANDS LÄN</t>
        </is>
      </c>
      <c r="E356" t="inlineStr">
        <is>
          <t>BERG</t>
        </is>
      </c>
      <c r="G356" t="n">
        <v>1.6</v>
      </c>
      <c r="H356" t="n">
        <v>0</v>
      </c>
      <c r="I356" t="n">
        <v>0</v>
      </c>
      <c r="J356" t="n">
        <v>0</v>
      </c>
      <c r="K356" t="n">
        <v>0</v>
      </c>
      <c r="L356" t="n">
        <v>0</v>
      </c>
      <c r="M356" t="n">
        <v>0</v>
      </c>
      <c r="N356" t="n">
        <v>0</v>
      </c>
      <c r="O356" t="n">
        <v>0</v>
      </c>
      <c r="P356" t="n">
        <v>0</v>
      </c>
      <c r="Q356" t="n">
        <v>0</v>
      </c>
      <c r="R356" s="2" t="inlineStr"/>
    </row>
    <row r="357" ht="15" customHeight="1">
      <c r="A357" t="inlineStr">
        <is>
          <t>A 47119-2024</t>
        </is>
      </c>
      <c r="B357" s="1" t="n">
        <v>45586.56431712963</v>
      </c>
      <c r="C357" s="1" t="n">
        <v>46048</v>
      </c>
      <c r="D357" t="inlineStr">
        <is>
          <t>JÄMTLANDS LÄN</t>
        </is>
      </c>
      <c r="E357" t="inlineStr">
        <is>
          <t>BERG</t>
        </is>
      </c>
      <c r="G357" t="n">
        <v>5</v>
      </c>
      <c r="H357" t="n">
        <v>0</v>
      </c>
      <c r="I357" t="n">
        <v>0</v>
      </c>
      <c r="J357" t="n">
        <v>0</v>
      </c>
      <c r="K357" t="n">
        <v>0</v>
      </c>
      <c r="L357" t="n">
        <v>0</v>
      </c>
      <c r="M357" t="n">
        <v>0</v>
      </c>
      <c r="N357" t="n">
        <v>0</v>
      </c>
      <c r="O357" t="n">
        <v>0</v>
      </c>
      <c r="P357" t="n">
        <v>0</v>
      </c>
      <c r="Q357" t="n">
        <v>0</v>
      </c>
      <c r="R357" s="2" t="inlineStr"/>
    </row>
    <row r="358" ht="15" customHeight="1">
      <c r="A358" t="inlineStr">
        <is>
          <t>A 23900-2025</t>
        </is>
      </c>
      <c r="B358" s="1" t="n">
        <v>45794.34425925926</v>
      </c>
      <c r="C358" s="1" t="n">
        <v>46048</v>
      </c>
      <c r="D358" t="inlineStr">
        <is>
          <t>JÄMTLANDS LÄN</t>
        </is>
      </c>
      <c r="E358" t="inlineStr">
        <is>
          <t>BERG</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23915-2025</t>
        </is>
      </c>
      <c r="B359" s="1" t="n">
        <v>45795.3446412037</v>
      </c>
      <c r="C359" s="1" t="n">
        <v>46048</v>
      </c>
      <c r="D359" t="inlineStr">
        <is>
          <t>JÄMTLANDS LÄN</t>
        </is>
      </c>
      <c r="E359" t="inlineStr">
        <is>
          <t>BERG</t>
        </is>
      </c>
      <c r="F359" t="inlineStr">
        <is>
          <t>SCA</t>
        </is>
      </c>
      <c r="G359" t="n">
        <v>16.7</v>
      </c>
      <c r="H359" t="n">
        <v>0</v>
      </c>
      <c r="I359" t="n">
        <v>0</v>
      </c>
      <c r="J359" t="n">
        <v>0</v>
      </c>
      <c r="K359" t="n">
        <v>0</v>
      </c>
      <c r="L359" t="n">
        <v>0</v>
      </c>
      <c r="M359" t="n">
        <v>0</v>
      </c>
      <c r="N359" t="n">
        <v>0</v>
      </c>
      <c r="O359" t="n">
        <v>0</v>
      </c>
      <c r="P359" t="n">
        <v>0</v>
      </c>
      <c r="Q359" t="n">
        <v>0</v>
      </c>
      <c r="R359" s="2" t="inlineStr"/>
    </row>
    <row r="360" ht="15" customHeight="1">
      <c r="A360" t="inlineStr">
        <is>
          <t>A 23916-2025</t>
        </is>
      </c>
      <c r="B360" s="1" t="n">
        <v>45795.34472222222</v>
      </c>
      <c r="C360" s="1" t="n">
        <v>46048</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24360-2025</t>
        </is>
      </c>
      <c r="B361" s="1" t="n">
        <v>45797.59502314815</v>
      </c>
      <c r="C361" s="1" t="n">
        <v>46048</v>
      </c>
      <c r="D361" t="inlineStr">
        <is>
          <t>JÄMTLANDS LÄN</t>
        </is>
      </c>
      <c r="E361" t="inlineStr">
        <is>
          <t>BERG</t>
        </is>
      </c>
      <c r="F361" t="inlineStr">
        <is>
          <t>SCA</t>
        </is>
      </c>
      <c r="G361" t="n">
        <v>10.5</v>
      </c>
      <c r="H361" t="n">
        <v>0</v>
      </c>
      <c r="I361" t="n">
        <v>0</v>
      </c>
      <c r="J361" t="n">
        <v>0</v>
      </c>
      <c r="K361" t="n">
        <v>0</v>
      </c>
      <c r="L361" t="n">
        <v>0</v>
      </c>
      <c r="M361" t="n">
        <v>0</v>
      </c>
      <c r="N361" t="n">
        <v>0</v>
      </c>
      <c r="O361" t="n">
        <v>0</v>
      </c>
      <c r="P361" t="n">
        <v>0</v>
      </c>
      <c r="Q361" t="n">
        <v>0</v>
      </c>
      <c r="R361" s="2" t="inlineStr"/>
    </row>
    <row r="362" ht="15" customHeight="1">
      <c r="A362" t="inlineStr">
        <is>
          <t>A 24060-2025</t>
        </is>
      </c>
      <c r="B362" s="1" t="n">
        <v>45796.5216087963</v>
      </c>
      <c r="C362" s="1" t="n">
        <v>46048</v>
      </c>
      <c r="D362" t="inlineStr">
        <is>
          <t>JÄMTLANDS LÄN</t>
        </is>
      </c>
      <c r="E362" t="inlineStr">
        <is>
          <t>BERG</t>
        </is>
      </c>
      <c r="G362" t="n">
        <v>4.7</v>
      </c>
      <c r="H362" t="n">
        <v>0</v>
      </c>
      <c r="I362" t="n">
        <v>0</v>
      </c>
      <c r="J362" t="n">
        <v>0</v>
      </c>
      <c r="K362" t="n">
        <v>0</v>
      </c>
      <c r="L362" t="n">
        <v>0</v>
      </c>
      <c r="M362" t="n">
        <v>0</v>
      </c>
      <c r="N362" t="n">
        <v>0</v>
      </c>
      <c r="O362" t="n">
        <v>0</v>
      </c>
      <c r="P362" t="n">
        <v>0</v>
      </c>
      <c r="Q362" t="n">
        <v>0</v>
      </c>
      <c r="R362" s="2" t="inlineStr"/>
    </row>
    <row r="363" ht="15" customHeight="1">
      <c r="A363" t="inlineStr">
        <is>
          <t>A 50169-2023</t>
        </is>
      </c>
      <c r="B363" s="1" t="n">
        <v>45208</v>
      </c>
      <c r="C363" s="1" t="n">
        <v>46048</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50172-2023</t>
        </is>
      </c>
      <c r="B364" s="1" t="n">
        <v>45208</v>
      </c>
      <c r="C364" s="1" t="n">
        <v>46048</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41098-2023</t>
        </is>
      </c>
      <c r="B365" s="1" t="n">
        <v>45170</v>
      </c>
      <c r="C365" s="1" t="n">
        <v>46048</v>
      </c>
      <c r="D365" t="inlineStr">
        <is>
          <t>JÄMTLANDS LÄN</t>
        </is>
      </c>
      <c r="E365" t="inlineStr">
        <is>
          <t>BERG</t>
        </is>
      </c>
      <c r="G365" t="n">
        <v>3.1</v>
      </c>
      <c r="H365" t="n">
        <v>0</v>
      </c>
      <c r="I365" t="n">
        <v>0</v>
      </c>
      <c r="J365" t="n">
        <v>0</v>
      </c>
      <c r="K365" t="n">
        <v>0</v>
      </c>
      <c r="L365" t="n">
        <v>0</v>
      </c>
      <c r="M365" t="n">
        <v>0</v>
      </c>
      <c r="N365" t="n">
        <v>0</v>
      </c>
      <c r="O365" t="n">
        <v>0</v>
      </c>
      <c r="P365" t="n">
        <v>0</v>
      </c>
      <c r="Q365" t="n">
        <v>0</v>
      </c>
      <c r="R365" s="2" t="inlineStr"/>
    </row>
    <row r="366" ht="15" customHeight="1">
      <c r="A366" t="inlineStr">
        <is>
          <t>A 41782-2024</t>
        </is>
      </c>
      <c r="B366" s="1" t="n">
        <v>45561</v>
      </c>
      <c r="C366" s="1" t="n">
        <v>46048</v>
      </c>
      <c r="D366" t="inlineStr">
        <is>
          <t>JÄMTLANDS LÄN</t>
        </is>
      </c>
      <c r="E366" t="inlineStr">
        <is>
          <t>BERG</t>
        </is>
      </c>
      <c r="F366" t="inlineStr">
        <is>
          <t>SCA</t>
        </is>
      </c>
      <c r="G366" t="n">
        <v>0.1</v>
      </c>
      <c r="H366" t="n">
        <v>0</v>
      </c>
      <c r="I366" t="n">
        <v>0</v>
      </c>
      <c r="J366" t="n">
        <v>0</v>
      </c>
      <c r="K366" t="n">
        <v>0</v>
      </c>
      <c r="L366" t="n">
        <v>0</v>
      </c>
      <c r="M366" t="n">
        <v>0</v>
      </c>
      <c r="N366" t="n">
        <v>0</v>
      </c>
      <c r="O366" t="n">
        <v>0</v>
      </c>
      <c r="P366" t="n">
        <v>0</v>
      </c>
      <c r="Q366" t="n">
        <v>0</v>
      </c>
      <c r="R366" s="2" t="inlineStr"/>
    </row>
    <row r="367" ht="15" customHeight="1">
      <c r="A367" t="inlineStr">
        <is>
          <t>A 2474-2025</t>
        </is>
      </c>
      <c r="B367" s="1" t="n">
        <v>45674.47496527778</v>
      </c>
      <c r="C367" s="1" t="n">
        <v>46048</v>
      </c>
      <c r="D367" t="inlineStr">
        <is>
          <t>JÄMTLANDS LÄN</t>
        </is>
      </c>
      <c r="E367" t="inlineStr">
        <is>
          <t>BERG</t>
        </is>
      </c>
      <c r="G367" t="n">
        <v>1.2</v>
      </c>
      <c r="H367" t="n">
        <v>0</v>
      </c>
      <c r="I367" t="n">
        <v>0</v>
      </c>
      <c r="J367" t="n">
        <v>0</v>
      </c>
      <c r="K367" t="n">
        <v>0</v>
      </c>
      <c r="L367" t="n">
        <v>0</v>
      </c>
      <c r="M367" t="n">
        <v>0</v>
      </c>
      <c r="N367" t="n">
        <v>0</v>
      </c>
      <c r="O367" t="n">
        <v>0</v>
      </c>
      <c r="P367" t="n">
        <v>0</v>
      </c>
      <c r="Q367" t="n">
        <v>0</v>
      </c>
      <c r="R367" s="2" t="inlineStr"/>
    </row>
    <row r="368" ht="15" customHeight="1">
      <c r="A368" t="inlineStr">
        <is>
          <t>A 433-2023</t>
        </is>
      </c>
      <c r="B368" s="1" t="n">
        <v>44923</v>
      </c>
      <c r="C368" s="1" t="n">
        <v>46048</v>
      </c>
      <c r="D368" t="inlineStr">
        <is>
          <t>JÄMTLANDS LÄN</t>
        </is>
      </c>
      <c r="E368" t="inlineStr">
        <is>
          <t>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24390-2025</t>
        </is>
      </c>
      <c r="B369" s="1" t="n">
        <v>45797.63576388889</v>
      </c>
      <c r="C369" s="1" t="n">
        <v>46048</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23901-2025</t>
        </is>
      </c>
      <c r="B370" s="1" t="n">
        <v>45794.34436342592</v>
      </c>
      <c r="C370" s="1" t="n">
        <v>46048</v>
      </c>
      <c r="D370" t="inlineStr">
        <is>
          <t>JÄMTLANDS LÄN</t>
        </is>
      </c>
      <c r="E370" t="inlineStr">
        <is>
          <t>BERG</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32147-2024</t>
        </is>
      </c>
      <c r="B371" s="1" t="n">
        <v>45511.55600694445</v>
      </c>
      <c r="C371" s="1" t="n">
        <v>46048</v>
      </c>
      <c r="D371" t="inlineStr">
        <is>
          <t>JÄMTLANDS LÄN</t>
        </is>
      </c>
      <c r="E371" t="inlineStr">
        <is>
          <t>BERG</t>
        </is>
      </c>
      <c r="G371" t="n">
        <v>2.3</v>
      </c>
      <c r="H371" t="n">
        <v>0</v>
      </c>
      <c r="I371" t="n">
        <v>0</v>
      </c>
      <c r="J371" t="n">
        <v>0</v>
      </c>
      <c r="K371" t="n">
        <v>0</v>
      </c>
      <c r="L371" t="n">
        <v>0</v>
      </c>
      <c r="M371" t="n">
        <v>0</v>
      </c>
      <c r="N371" t="n">
        <v>0</v>
      </c>
      <c r="O371" t="n">
        <v>0</v>
      </c>
      <c r="P371" t="n">
        <v>0</v>
      </c>
      <c r="Q371" t="n">
        <v>0</v>
      </c>
      <c r="R371" s="2" t="inlineStr"/>
    </row>
    <row r="372" ht="15" customHeight="1">
      <c r="A372" t="inlineStr">
        <is>
          <t>A 46872-2023</t>
        </is>
      </c>
      <c r="B372" s="1" t="n">
        <v>45200</v>
      </c>
      <c r="C372" s="1" t="n">
        <v>46048</v>
      </c>
      <c r="D372" t="inlineStr">
        <is>
          <t>JÄMTLANDS LÄN</t>
        </is>
      </c>
      <c r="E372" t="inlineStr">
        <is>
          <t>BERG</t>
        </is>
      </c>
      <c r="F372" t="inlineStr">
        <is>
          <t>Naturvårdsverket</t>
        </is>
      </c>
      <c r="G372" t="n">
        <v>1.2</v>
      </c>
      <c r="H372" t="n">
        <v>0</v>
      </c>
      <c r="I372" t="n">
        <v>0</v>
      </c>
      <c r="J372" t="n">
        <v>0</v>
      </c>
      <c r="K372" t="n">
        <v>0</v>
      </c>
      <c r="L372" t="n">
        <v>0</v>
      </c>
      <c r="M372" t="n">
        <v>0</v>
      </c>
      <c r="N372" t="n">
        <v>0</v>
      </c>
      <c r="O372" t="n">
        <v>0</v>
      </c>
      <c r="P372" t="n">
        <v>0</v>
      </c>
      <c r="Q372" t="n">
        <v>0</v>
      </c>
      <c r="R372" s="2" t="inlineStr"/>
      <c r="U372">
        <f>HYPERLINK("https://klasma.github.io/Logging_2326/knärot/A 46872-2023 karta knärot.png", "A 46872-2023")</f>
        <v/>
      </c>
      <c r="V372">
        <f>HYPERLINK("https://klasma.github.io/Logging_2326/klagomål/A 46872-2023 FSC-klagomål.docx", "A 46872-2023")</f>
        <v/>
      </c>
      <c r="W372">
        <f>HYPERLINK("https://klasma.github.io/Logging_2326/klagomålsmail/A 46872-2023 FSC-klagomål mail.docx", "A 46872-2023")</f>
        <v/>
      </c>
      <c r="X372">
        <f>HYPERLINK("https://klasma.github.io/Logging_2326/tillsyn/A 46872-2023 tillsynsbegäran.docx", "A 46872-2023")</f>
        <v/>
      </c>
      <c r="Y372">
        <f>HYPERLINK("https://klasma.github.io/Logging_2326/tillsynsmail/A 46872-2023 tillsynsbegäran mail.docx", "A 46872-2023")</f>
        <v/>
      </c>
    </row>
    <row r="373" ht="15" customHeight="1">
      <c r="A373" t="inlineStr">
        <is>
          <t>A 41886-2024</t>
        </is>
      </c>
      <c r="B373" s="1" t="n">
        <v>45561.48825231481</v>
      </c>
      <c r="C373" s="1" t="n">
        <v>46048</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49277-2024</t>
        </is>
      </c>
      <c r="B374" s="1" t="n">
        <v>45595.50820601852</v>
      </c>
      <c r="C374" s="1" t="n">
        <v>46048</v>
      </c>
      <c r="D374" t="inlineStr">
        <is>
          <t>JÄMTLANDS LÄN</t>
        </is>
      </c>
      <c r="E374" t="inlineStr">
        <is>
          <t>BERG</t>
        </is>
      </c>
      <c r="G374" t="n">
        <v>1.3</v>
      </c>
      <c r="H374" t="n">
        <v>0</v>
      </c>
      <c r="I374" t="n">
        <v>0</v>
      </c>
      <c r="J374" t="n">
        <v>0</v>
      </c>
      <c r="K374" t="n">
        <v>0</v>
      </c>
      <c r="L374" t="n">
        <v>0</v>
      </c>
      <c r="M374" t="n">
        <v>0</v>
      </c>
      <c r="N374" t="n">
        <v>0</v>
      </c>
      <c r="O374" t="n">
        <v>0</v>
      </c>
      <c r="P374" t="n">
        <v>0</v>
      </c>
      <c r="Q374" t="n">
        <v>0</v>
      </c>
      <c r="R374" s="2" t="inlineStr"/>
    </row>
    <row r="375" ht="15" customHeight="1">
      <c r="A375" t="inlineStr">
        <is>
          <t>A 34225-2024</t>
        </is>
      </c>
      <c r="B375" s="1" t="n">
        <v>45524.55398148148</v>
      </c>
      <c r="C375" s="1" t="n">
        <v>46048</v>
      </c>
      <c r="D375" t="inlineStr">
        <is>
          <t>JÄMTLANDS LÄN</t>
        </is>
      </c>
      <c r="E375" t="inlineStr">
        <is>
          <t>BERG</t>
        </is>
      </c>
      <c r="G375" t="n">
        <v>1.3</v>
      </c>
      <c r="H375" t="n">
        <v>0</v>
      </c>
      <c r="I375" t="n">
        <v>0</v>
      </c>
      <c r="J375" t="n">
        <v>0</v>
      </c>
      <c r="K375" t="n">
        <v>0</v>
      </c>
      <c r="L375" t="n">
        <v>0</v>
      </c>
      <c r="M375" t="n">
        <v>0</v>
      </c>
      <c r="N375" t="n">
        <v>0</v>
      </c>
      <c r="O375" t="n">
        <v>0</v>
      </c>
      <c r="P375" t="n">
        <v>0</v>
      </c>
      <c r="Q375" t="n">
        <v>0</v>
      </c>
      <c r="R375" s="2" t="inlineStr"/>
    </row>
    <row r="376" ht="15" customHeight="1">
      <c r="A376" t="inlineStr">
        <is>
          <t>A 19538-2023</t>
        </is>
      </c>
      <c r="B376" s="1" t="n">
        <v>45050</v>
      </c>
      <c r="C376" s="1" t="n">
        <v>46048</v>
      </c>
      <c r="D376" t="inlineStr">
        <is>
          <t>JÄMTLANDS LÄN</t>
        </is>
      </c>
      <c r="E376" t="inlineStr">
        <is>
          <t>BERG</t>
        </is>
      </c>
      <c r="G376" t="n">
        <v>1.4</v>
      </c>
      <c r="H376" t="n">
        <v>0</v>
      </c>
      <c r="I376" t="n">
        <v>0</v>
      </c>
      <c r="J376" t="n">
        <v>0</v>
      </c>
      <c r="K376" t="n">
        <v>0</v>
      </c>
      <c r="L376" t="n">
        <v>0</v>
      </c>
      <c r="M376" t="n">
        <v>0</v>
      </c>
      <c r="N376" t="n">
        <v>0</v>
      </c>
      <c r="O376" t="n">
        <v>0</v>
      </c>
      <c r="P376" t="n">
        <v>0</v>
      </c>
      <c r="Q376" t="n">
        <v>0</v>
      </c>
      <c r="R376" s="2" t="inlineStr"/>
    </row>
    <row r="377" ht="15" customHeight="1">
      <c r="A377" t="inlineStr">
        <is>
          <t>A 23920-2025</t>
        </is>
      </c>
      <c r="B377" s="1" t="n">
        <v>45795.34505787037</v>
      </c>
      <c r="C377" s="1" t="n">
        <v>46048</v>
      </c>
      <c r="D377" t="inlineStr">
        <is>
          <t>JÄMTLANDS LÄN</t>
        </is>
      </c>
      <c r="E377" t="inlineStr">
        <is>
          <t>BERG</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10465-2023</t>
        </is>
      </c>
      <c r="B378" s="1" t="n">
        <v>44987.60319444445</v>
      </c>
      <c r="C378" s="1" t="n">
        <v>46048</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9077-2023</t>
        </is>
      </c>
      <c r="B379" s="1" t="n">
        <v>44979</v>
      </c>
      <c r="C379" s="1" t="n">
        <v>46048</v>
      </c>
      <c r="D379" t="inlineStr">
        <is>
          <t>JÄMTLANDS LÄN</t>
        </is>
      </c>
      <c r="E379" t="inlineStr">
        <is>
          <t>BERG</t>
        </is>
      </c>
      <c r="G379" t="n">
        <v>3.6</v>
      </c>
      <c r="H379" t="n">
        <v>0</v>
      </c>
      <c r="I379" t="n">
        <v>0</v>
      </c>
      <c r="J379" t="n">
        <v>0</v>
      </c>
      <c r="K379" t="n">
        <v>0</v>
      </c>
      <c r="L379" t="n">
        <v>0</v>
      </c>
      <c r="M379" t="n">
        <v>0</v>
      </c>
      <c r="N379" t="n">
        <v>0</v>
      </c>
      <c r="O379" t="n">
        <v>0</v>
      </c>
      <c r="P379" t="n">
        <v>0</v>
      </c>
      <c r="Q379" t="n">
        <v>0</v>
      </c>
      <c r="R379" s="2" t="inlineStr"/>
    </row>
    <row r="380" ht="15" customHeight="1">
      <c r="A380" t="inlineStr">
        <is>
          <t>A 23902-2025</t>
        </is>
      </c>
      <c r="B380" s="1" t="n">
        <v>45794.34447916667</v>
      </c>
      <c r="C380" s="1" t="n">
        <v>46048</v>
      </c>
      <c r="D380" t="inlineStr">
        <is>
          <t>JÄMTLANDS LÄN</t>
        </is>
      </c>
      <c r="E380" t="inlineStr">
        <is>
          <t>BERG</t>
        </is>
      </c>
      <c r="F380" t="inlineStr">
        <is>
          <t>SCA</t>
        </is>
      </c>
      <c r="G380" t="n">
        <v>14.3</v>
      </c>
      <c r="H380" t="n">
        <v>0</v>
      </c>
      <c r="I380" t="n">
        <v>0</v>
      </c>
      <c r="J380" t="n">
        <v>0</v>
      </c>
      <c r="K380" t="n">
        <v>0</v>
      </c>
      <c r="L380" t="n">
        <v>0</v>
      </c>
      <c r="M380" t="n">
        <v>0</v>
      </c>
      <c r="N380" t="n">
        <v>0</v>
      </c>
      <c r="O380" t="n">
        <v>0</v>
      </c>
      <c r="P380" t="n">
        <v>0</v>
      </c>
      <c r="Q380" t="n">
        <v>0</v>
      </c>
      <c r="R380" s="2" t="inlineStr"/>
    </row>
    <row r="381" ht="15" customHeight="1">
      <c r="A381" t="inlineStr">
        <is>
          <t>A 18551-2025</t>
        </is>
      </c>
      <c r="B381" s="1" t="n">
        <v>45763.43650462963</v>
      </c>
      <c r="C381" s="1" t="n">
        <v>46048</v>
      </c>
      <c r="D381" t="inlineStr">
        <is>
          <t>JÄMTLANDS LÄN</t>
        </is>
      </c>
      <c r="E381" t="inlineStr">
        <is>
          <t>BERG</t>
        </is>
      </c>
      <c r="G381" t="n">
        <v>3.5</v>
      </c>
      <c r="H381" t="n">
        <v>0</v>
      </c>
      <c r="I381" t="n">
        <v>0</v>
      </c>
      <c r="J381" t="n">
        <v>0</v>
      </c>
      <c r="K381" t="n">
        <v>0</v>
      </c>
      <c r="L381" t="n">
        <v>0</v>
      </c>
      <c r="M381" t="n">
        <v>0</v>
      </c>
      <c r="N381" t="n">
        <v>0</v>
      </c>
      <c r="O381" t="n">
        <v>0</v>
      </c>
      <c r="P381" t="n">
        <v>0</v>
      </c>
      <c r="Q381" t="n">
        <v>0</v>
      </c>
      <c r="R381" s="2" t="inlineStr"/>
    </row>
    <row r="382" ht="15" customHeight="1">
      <c r="A382" t="inlineStr">
        <is>
          <t>A 18752-2024</t>
        </is>
      </c>
      <c r="B382" s="1" t="n">
        <v>45426.54224537037</v>
      </c>
      <c r="C382" s="1" t="n">
        <v>46048</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31131-2024</t>
        </is>
      </c>
      <c r="B383" s="1" t="n">
        <v>45502</v>
      </c>
      <c r="C383" s="1" t="n">
        <v>46048</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31154-2024</t>
        </is>
      </c>
      <c r="B384" s="1" t="n">
        <v>45503.32976851852</v>
      </c>
      <c r="C384" s="1" t="n">
        <v>46048</v>
      </c>
      <c r="D384" t="inlineStr">
        <is>
          <t>JÄMTLANDS LÄN</t>
        </is>
      </c>
      <c r="E384" t="inlineStr">
        <is>
          <t>BERG</t>
        </is>
      </c>
      <c r="G384" t="n">
        <v>2.3</v>
      </c>
      <c r="H384" t="n">
        <v>0</v>
      </c>
      <c r="I384" t="n">
        <v>0</v>
      </c>
      <c r="J384" t="n">
        <v>0</v>
      </c>
      <c r="K384" t="n">
        <v>0</v>
      </c>
      <c r="L384" t="n">
        <v>0</v>
      </c>
      <c r="M384" t="n">
        <v>0</v>
      </c>
      <c r="N384" t="n">
        <v>0</v>
      </c>
      <c r="O384" t="n">
        <v>0</v>
      </c>
      <c r="P384" t="n">
        <v>0</v>
      </c>
      <c r="Q384" t="n">
        <v>0</v>
      </c>
      <c r="R384" s="2" t="inlineStr"/>
    </row>
    <row r="385" ht="15" customHeight="1">
      <c r="A385" t="inlineStr">
        <is>
          <t>A 17929-2024</t>
        </is>
      </c>
      <c r="B385" s="1" t="n">
        <v>45419.60266203704</v>
      </c>
      <c r="C385" s="1" t="n">
        <v>46048</v>
      </c>
      <c r="D385" t="inlineStr">
        <is>
          <t>JÄMTLANDS LÄN</t>
        </is>
      </c>
      <c r="E385" t="inlineStr">
        <is>
          <t>BERG</t>
        </is>
      </c>
      <c r="F385" t="inlineStr">
        <is>
          <t>Holmen skog AB</t>
        </is>
      </c>
      <c r="G385" t="n">
        <v>3</v>
      </c>
      <c r="H385" t="n">
        <v>0</v>
      </c>
      <c r="I385" t="n">
        <v>0</v>
      </c>
      <c r="J385" t="n">
        <v>0</v>
      </c>
      <c r="K385" t="n">
        <v>0</v>
      </c>
      <c r="L385" t="n">
        <v>0</v>
      </c>
      <c r="M385" t="n">
        <v>0</v>
      </c>
      <c r="N385" t="n">
        <v>0</v>
      </c>
      <c r="O385" t="n">
        <v>0</v>
      </c>
      <c r="P385" t="n">
        <v>0</v>
      </c>
      <c r="Q385" t="n">
        <v>0</v>
      </c>
      <c r="R385" s="2" t="inlineStr"/>
    </row>
    <row r="386" ht="15" customHeight="1">
      <c r="A386" t="inlineStr">
        <is>
          <t>A 24954-2025</t>
        </is>
      </c>
      <c r="B386" s="1" t="n">
        <v>45799.57385416667</v>
      </c>
      <c r="C386" s="1" t="n">
        <v>46048</v>
      </c>
      <c r="D386" t="inlineStr">
        <is>
          <t>JÄMTLANDS LÄN</t>
        </is>
      </c>
      <c r="E386" t="inlineStr">
        <is>
          <t>BERG</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64486-2023</t>
        </is>
      </c>
      <c r="B387" s="1" t="n">
        <v>45280</v>
      </c>
      <c r="C387" s="1" t="n">
        <v>46048</v>
      </c>
      <c r="D387" t="inlineStr">
        <is>
          <t>JÄMTLANDS LÄN</t>
        </is>
      </c>
      <c r="E387" t="inlineStr">
        <is>
          <t>BERG</t>
        </is>
      </c>
      <c r="G387" t="n">
        <v>2</v>
      </c>
      <c r="H387" t="n">
        <v>0</v>
      </c>
      <c r="I387" t="n">
        <v>0</v>
      </c>
      <c r="J387" t="n">
        <v>0</v>
      </c>
      <c r="K387" t="n">
        <v>0</v>
      </c>
      <c r="L387" t="n">
        <v>0</v>
      </c>
      <c r="M387" t="n">
        <v>0</v>
      </c>
      <c r="N387" t="n">
        <v>0</v>
      </c>
      <c r="O387" t="n">
        <v>0</v>
      </c>
      <c r="P387" t="n">
        <v>0</v>
      </c>
      <c r="Q387" t="n">
        <v>0</v>
      </c>
      <c r="R387" s="2" t="inlineStr"/>
    </row>
    <row r="388" ht="15" customHeight="1">
      <c r="A388" t="inlineStr">
        <is>
          <t>A 64488-2023</t>
        </is>
      </c>
      <c r="B388" s="1" t="n">
        <v>45280.92618055556</v>
      </c>
      <c r="C388" s="1" t="n">
        <v>46048</v>
      </c>
      <c r="D388" t="inlineStr">
        <is>
          <t>JÄMTLANDS LÄN</t>
        </is>
      </c>
      <c r="E388" t="inlineStr">
        <is>
          <t>BERG</t>
        </is>
      </c>
      <c r="F388" t="inlineStr">
        <is>
          <t>Övriga Aktiebolag</t>
        </is>
      </c>
      <c r="G388" t="n">
        <v>7.1</v>
      </c>
      <c r="H388" t="n">
        <v>0</v>
      </c>
      <c r="I388" t="n">
        <v>0</v>
      </c>
      <c r="J388" t="n">
        <v>0</v>
      </c>
      <c r="K388" t="n">
        <v>0</v>
      </c>
      <c r="L388" t="n">
        <v>0</v>
      </c>
      <c r="M388" t="n">
        <v>0</v>
      </c>
      <c r="N388" t="n">
        <v>0</v>
      </c>
      <c r="O388" t="n">
        <v>0</v>
      </c>
      <c r="P388" t="n">
        <v>0</v>
      </c>
      <c r="Q388" t="n">
        <v>0</v>
      </c>
      <c r="R388" s="2" t="inlineStr"/>
    </row>
    <row r="389" ht="15" customHeight="1">
      <c r="A389" t="inlineStr">
        <is>
          <t>A 58817-2024</t>
        </is>
      </c>
      <c r="B389" s="1" t="n">
        <v>45636.35909722222</v>
      </c>
      <c r="C389" s="1" t="n">
        <v>46048</v>
      </c>
      <c r="D389" t="inlineStr">
        <is>
          <t>JÄMTLANDS LÄN</t>
        </is>
      </c>
      <c r="E389" t="inlineStr">
        <is>
          <t>BERG</t>
        </is>
      </c>
      <c r="G389" t="n">
        <v>1.5</v>
      </c>
      <c r="H389" t="n">
        <v>0</v>
      </c>
      <c r="I389" t="n">
        <v>0</v>
      </c>
      <c r="J389" t="n">
        <v>0</v>
      </c>
      <c r="K389" t="n">
        <v>0</v>
      </c>
      <c r="L389" t="n">
        <v>0</v>
      </c>
      <c r="M389" t="n">
        <v>0</v>
      </c>
      <c r="N389" t="n">
        <v>0</v>
      </c>
      <c r="O389" t="n">
        <v>0</v>
      </c>
      <c r="P389" t="n">
        <v>0</v>
      </c>
      <c r="Q389" t="n">
        <v>0</v>
      </c>
      <c r="R389" s="2" t="inlineStr"/>
    </row>
    <row r="390" ht="15" customHeight="1">
      <c r="A390" t="inlineStr">
        <is>
          <t>A 22297-2022</t>
        </is>
      </c>
      <c r="B390" s="1" t="n">
        <v>44712</v>
      </c>
      <c r="C390" s="1" t="n">
        <v>46048</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24786-2025</t>
        </is>
      </c>
      <c r="B391" s="1" t="n">
        <v>45799.42777777778</v>
      </c>
      <c r="C391" s="1" t="n">
        <v>46048</v>
      </c>
      <c r="D391" t="inlineStr">
        <is>
          <t>JÄMTLANDS LÄN</t>
        </is>
      </c>
      <c r="E391" t="inlineStr">
        <is>
          <t>BERG</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24869-2025</t>
        </is>
      </c>
      <c r="B392" s="1" t="n">
        <v>45799.48994212963</v>
      </c>
      <c r="C392" s="1" t="n">
        <v>46048</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46048</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24442-2025</t>
        </is>
      </c>
      <c r="B394" s="1" t="n">
        <v>45797.96236111111</v>
      </c>
      <c r="C394" s="1" t="n">
        <v>46048</v>
      </c>
      <c r="D394" t="inlineStr">
        <is>
          <t>JÄMTLANDS LÄN</t>
        </is>
      </c>
      <c r="E394" t="inlineStr">
        <is>
          <t>BERG</t>
        </is>
      </c>
      <c r="G394" t="n">
        <v>9</v>
      </c>
      <c r="H394" t="n">
        <v>0</v>
      </c>
      <c r="I394" t="n">
        <v>0</v>
      </c>
      <c r="J394" t="n">
        <v>0</v>
      </c>
      <c r="K394" t="n">
        <v>0</v>
      </c>
      <c r="L394" t="n">
        <v>0</v>
      </c>
      <c r="M394" t="n">
        <v>0</v>
      </c>
      <c r="N394" t="n">
        <v>0</v>
      </c>
      <c r="O394" t="n">
        <v>0</v>
      </c>
      <c r="P394" t="n">
        <v>0</v>
      </c>
      <c r="Q394" t="n">
        <v>0</v>
      </c>
      <c r="R394" s="2" t="inlineStr"/>
    </row>
    <row r="395" ht="15" customHeight="1">
      <c r="A395" t="inlineStr">
        <is>
          <t>A 24849-2025</t>
        </is>
      </c>
      <c r="B395" s="1" t="n">
        <v>45799.46949074074</v>
      </c>
      <c r="C395" s="1" t="n">
        <v>46048</v>
      </c>
      <c r="D395" t="inlineStr">
        <is>
          <t>JÄMTLANDS LÄN</t>
        </is>
      </c>
      <c r="E395" t="inlineStr">
        <is>
          <t>BERG</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61251-2022</t>
        </is>
      </c>
      <c r="B396" s="1" t="n">
        <v>44909</v>
      </c>
      <c r="C396" s="1" t="n">
        <v>46048</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41105-2023</t>
        </is>
      </c>
      <c r="B397" s="1" t="n">
        <v>45170</v>
      </c>
      <c r="C397" s="1" t="n">
        <v>46048</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61255-2022</t>
        </is>
      </c>
      <c r="B398" s="1" t="n">
        <v>44909</v>
      </c>
      <c r="C398" s="1" t="n">
        <v>46048</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47626-2023</t>
        </is>
      </c>
      <c r="B399" s="1" t="n">
        <v>45203</v>
      </c>
      <c r="C399" s="1" t="n">
        <v>46048</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60331-2023</t>
        </is>
      </c>
      <c r="B400" s="1" t="n">
        <v>45258</v>
      </c>
      <c r="C400" s="1" t="n">
        <v>46048</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61980-2024</t>
        </is>
      </c>
      <c r="B401" s="1" t="n">
        <v>45653.66269675926</v>
      </c>
      <c r="C401" s="1" t="n">
        <v>46048</v>
      </c>
      <c r="D401" t="inlineStr">
        <is>
          <t>JÄMTLANDS LÄN</t>
        </is>
      </c>
      <c r="E401" t="inlineStr">
        <is>
          <t>BERG</t>
        </is>
      </c>
      <c r="G401" t="n">
        <v>1.3</v>
      </c>
      <c r="H401" t="n">
        <v>0</v>
      </c>
      <c r="I401" t="n">
        <v>0</v>
      </c>
      <c r="J401" t="n">
        <v>0</v>
      </c>
      <c r="K401" t="n">
        <v>0</v>
      </c>
      <c r="L401" t="n">
        <v>0</v>
      </c>
      <c r="M401" t="n">
        <v>0</v>
      </c>
      <c r="N401" t="n">
        <v>0</v>
      </c>
      <c r="O401" t="n">
        <v>0</v>
      </c>
      <c r="P401" t="n">
        <v>0</v>
      </c>
      <c r="Q401" t="n">
        <v>0</v>
      </c>
      <c r="R401" s="2" t="inlineStr"/>
    </row>
    <row r="402" ht="15" customHeight="1">
      <c r="A402" t="inlineStr">
        <is>
          <t>A 47083-2024</t>
        </is>
      </c>
      <c r="B402" s="1" t="n">
        <v>45586.50625</v>
      </c>
      <c r="C402" s="1" t="n">
        <v>46048</v>
      </c>
      <c r="D402" t="inlineStr">
        <is>
          <t>JÄMTLANDS LÄN</t>
        </is>
      </c>
      <c r="E402" t="inlineStr">
        <is>
          <t>BERG</t>
        </is>
      </c>
      <c r="G402" t="n">
        <v>1.9</v>
      </c>
      <c r="H402" t="n">
        <v>0</v>
      </c>
      <c r="I402" t="n">
        <v>0</v>
      </c>
      <c r="J402" t="n">
        <v>0</v>
      </c>
      <c r="K402" t="n">
        <v>0</v>
      </c>
      <c r="L402" t="n">
        <v>0</v>
      </c>
      <c r="M402" t="n">
        <v>0</v>
      </c>
      <c r="N402" t="n">
        <v>0</v>
      </c>
      <c r="O402" t="n">
        <v>0</v>
      </c>
      <c r="P402" t="n">
        <v>0</v>
      </c>
      <c r="Q402" t="n">
        <v>0</v>
      </c>
      <c r="R402" s="2" t="inlineStr"/>
    </row>
    <row r="403" ht="15" customHeight="1">
      <c r="A403" t="inlineStr">
        <is>
          <t>A 18112-2024</t>
        </is>
      </c>
      <c r="B403" s="1" t="n">
        <v>45420.49851851852</v>
      </c>
      <c r="C403" s="1" t="n">
        <v>46048</v>
      </c>
      <c r="D403" t="inlineStr">
        <is>
          <t>JÄMTLANDS LÄN</t>
        </is>
      </c>
      <c r="E403" t="inlineStr">
        <is>
          <t>BERG</t>
        </is>
      </c>
      <c r="F403" t="inlineStr">
        <is>
          <t>Holmen skog AB</t>
        </is>
      </c>
      <c r="G403" t="n">
        <v>16.6</v>
      </c>
      <c r="H403" t="n">
        <v>0</v>
      </c>
      <c r="I403" t="n">
        <v>0</v>
      </c>
      <c r="J403" t="n">
        <v>0</v>
      </c>
      <c r="K403" t="n">
        <v>0</v>
      </c>
      <c r="L403" t="n">
        <v>0</v>
      </c>
      <c r="M403" t="n">
        <v>0</v>
      </c>
      <c r="N403" t="n">
        <v>0</v>
      </c>
      <c r="O403" t="n">
        <v>0</v>
      </c>
      <c r="P403" t="n">
        <v>0</v>
      </c>
      <c r="Q403" t="n">
        <v>0</v>
      </c>
      <c r="R403" s="2" t="inlineStr"/>
    </row>
    <row r="404" ht="15" customHeight="1">
      <c r="A404" t="inlineStr">
        <is>
          <t>A 13436-2024</t>
        </is>
      </c>
      <c r="B404" s="1" t="n">
        <v>45387.4865625</v>
      </c>
      <c r="C404" s="1" t="n">
        <v>46048</v>
      </c>
      <c r="D404" t="inlineStr">
        <is>
          <t>JÄMTLANDS LÄN</t>
        </is>
      </c>
      <c r="E404" t="inlineStr">
        <is>
          <t>BERG</t>
        </is>
      </c>
      <c r="G404" t="n">
        <v>28.9</v>
      </c>
      <c r="H404" t="n">
        <v>0</v>
      </c>
      <c r="I404" t="n">
        <v>0</v>
      </c>
      <c r="J404" t="n">
        <v>0</v>
      </c>
      <c r="K404" t="n">
        <v>0</v>
      </c>
      <c r="L404" t="n">
        <v>0</v>
      </c>
      <c r="M404" t="n">
        <v>0</v>
      </c>
      <c r="N404" t="n">
        <v>0</v>
      </c>
      <c r="O404" t="n">
        <v>0</v>
      </c>
      <c r="P404" t="n">
        <v>0</v>
      </c>
      <c r="Q404" t="n">
        <v>0</v>
      </c>
      <c r="R404" s="2" t="inlineStr"/>
    </row>
    <row r="405" ht="15" customHeight="1">
      <c r="A405" t="inlineStr">
        <is>
          <t>A 25452-2025</t>
        </is>
      </c>
      <c r="B405" s="1" t="n">
        <v>45802.34440972222</v>
      </c>
      <c r="C405" s="1" t="n">
        <v>46048</v>
      </c>
      <c r="D405" t="inlineStr">
        <is>
          <t>JÄMTLANDS LÄN</t>
        </is>
      </c>
      <c r="E405" t="inlineStr">
        <is>
          <t>BERG</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13108-2025</t>
        </is>
      </c>
      <c r="B406" s="1" t="n">
        <v>45734</v>
      </c>
      <c r="C406" s="1" t="n">
        <v>46048</v>
      </c>
      <c r="D406" t="inlineStr">
        <is>
          <t>JÄMTLANDS LÄN</t>
        </is>
      </c>
      <c r="E406" t="inlineStr">
        <is>
          <t>BERG</t>
        </is>
      </c>
      <c r="F406" t="inlineStr">
        <is>
          <t>SCA</t>
        </is>
      </c>
      <c r="G406" t="n">
        <v>7.2</v>
      </c>
      <c r="H406" t="n">
        <v>0</v>
      </c>
      <c r="I406" t="n">
        <v>0</v>
      </c>
      <c r="J406" t="n">
        <v>0</v>
      </c>
      <c r="K406" t="n">
        <v>0</v>
      </c>
      <c r="L406" t="n">
        <v>0</v>
      </c>
      <c r="M406" t="n">
        <v>0</v>
      </c>
      <c r="N406" t="n">
        <v>0</v>
      </c>
      <c r="O406" t="n">
        <v>0</v>
      </c>
      <c r="P406" t="n">
        <v>0</v>
      </c>
      <c r="Q406" t="n">
        <v>0</v>
      </c>
      <c r="R406" s="2" t="inlineStr"/>
    </row>
    <row r="407" ht="15" customHeight="1">
      <c r="A407" t="inlineStr">
        <is>
          <t>A 60409-2023</t>
        </is>
      </c>
      <c r="B407" s="1" t="n">
        <v>45259.47972222222</v>
      </c>
      <c r="C407" s="1" t="n">
        <v>46048</v>
      </c>
      <c r="D407" t="inlineStr">
        <is>
          <t>JÄMTLANDS LÄN</t>
        </is>
      </c>
      <c r="E407" t="inlineStr">
        <is>
          <t>BERG</t>
        </is>
      </c>
      <c r="G407" t="n">
        <v>5.8</v>
      </c>
      <c r="H407" t="n">
        <v>0</v>
      </c>
      <c r="I407" t="n">
        <v>0</v>
      </c>
      <c r="J407" t="n">
        <v>0</v>
      </c>
      <c r="K407" t="n">
        <v>0</v>
      </c>
      <c r="L407" t="n">
        <v>0</v>
      </c>
      <c r="M407" t="n">
        <v>0</v>
      </c>
      <c r="N407" t="n">
        <v>0</v>
      </c>
      <c r="O407" t="n">
        <v>0</v>
      </c>
      <c r="P407" t="n">
        <v>0</v>
      </c>
      <c r="Q407" t="n">
        <v>0</v>
      </c>
      <c r="R407" s="2" t="inlineStr"/>
    </row>
    <row r="408" ht="15" customHeight="1">
      <c r="A408" t="inlineStr">
        <is>
          <t>A 29378-2024</t>
        </is>
      </c>
      <c r="B408" s="1" t="n">
        <v>45483.59328703704</v>
      </c>
      <c r="C408" s="1" t="n">
        <v>46048</v>
      </c>
      <c r="D408" t="inlineStr">
        <is>
          <t>JÄMTLANDS LÄN</t>
        </is>
      </c>
      <c r="E408" t="inlineStr">
        <is>
          <t>BERG</t>
        </is>
      </c>
      <c r="G408" t="n">
        <v>5.6</v>
      </c>
      <c r="H408" t="n">
        <v>0</v>
      </c>
      <c r="I408" t="n">
        <v>0</v>
      </c>
      <c r="J408" t="n">
        <v>0</v>
      </c>
      <c r="K408" t="n">
        <v>0</v>
      </c>
      <c r="L408" t="n">
        <v>0</v>
      </c>
      <c r="M408" t="n">
        <v>0</v>
      </c>
      <c r="N408" t="n">
        <v>0</v>
      </c>
      <c r="O408" t="n">
        <v>0</v>
      </c>
      <c r="P408" t="n">
        <v>0</v>
      </c>
      <c r="Q408" t="n">
        <v>0</v>
      </c>
      <c r="R408" s="2" t="inlineStr"/>
    </row>
    <row r="409" ht="15" customHeight="1">
      <c r="A409" t="inlineStr">
        <is>
          <t>A 21508-2024</t>
        </is>
      </c>
      <c r="B409" s="1" t="n">
        <v>45441.56905092593</v>
      </c>
      <c r="C409" s="1" t="n">
        <v>46048</v>
      </c>
      <c r="D409" t="inlineStr">
        <is>
          <t>JÄMTLANDS LÄN</t>
        </is>
      </c>
      <c r="E409" t="inlineStr">
        <is>
          <t>BERG</t>
        </is>
      </c>
      <c r="G409" t="n">
        <v>3.2</v>
      </c>
      <c r="H409" t="n">
        <v>0</v>
      </c>
      <c r="I409" t="n">
        <v>0</v>
      </c>
      <c r="J409" t="n">
        <v>0</v>
      </c>
      <c r="K409" t="n">
        <v>0</v>
      </c>
      <c r="L409" t="n">
        <v>0</v>
      </c>
      <c r="M409" t="n">
        <v>0</v>
      </c>
      <c r="N409" t="n">
        <v>0</v>
      </c>
      <c r="O409" t="n">
        <v>0</v>
      </c>
      <c r="P409" t="n">
        <v>0</v>
      </c>
      <c r="Q409" t="n">
        <v>0</v>
      </c>
      <c r="R409" s="2" t="inlineStr"/>
    </row>
    <row r="410" ht="15" customHeight="1">
      <c r="A410" t="inlineStr">
        <is>
          <t>A 25454-2025</t>
        </is>
      </c>
      <c r="B410" s="1" t="n">
        <v>45802.34460648148</v>
      </c>
      <c r="C410" s="1" t="n">
        <v>46048</v>
      </c>
      <c r="D410" t="inlineStr">
        <is>
          <t>JÄMTLANDS LÄN</t>
        </is>
      </c>
      <c r="E410" t="inlineStr">
        <is>
          <t>BERG</t>
        </is>
      </c>
      <c r="F410" t="inlineStr">
        <is>
          <t>SCA</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5215-2024</t>
        </is>
      </c>
      <c r="B411" s="1" t="n">
        <v>45330</v>
      </c>
      <c r="C411" s="1" t="n">
        <v>46048</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58157-2021</t>
        </is>
      </c>
      <c r="B412" s="1" t="n">
        <v>44487.60703703704</v>
      </c>
      <c r="C412" s="1" t="n">
        <v>46048</v>
      </c>
      <c r="D412" t="inlineStr">
        <is>
          <t>JÄMTLANDS LÄN</t>
        </is>
      </c>
      <c r="E412" t="inlineStr">
        <is>
          <t>BERG</t>
        </is>
      </c>
      <c r="G412" t="n">
        <v>4.5</v>
      </c>
      <c r="H412" t="n">
        <v>0</v>
      </c>
      <c r="I412" t="n">
        <v>0</v>
      </c>
      <c r="J412" t="n">
        <v>0</v>
      </c>
      <c r="K412" t="n">
        <v>0</v>
      </c>
      <c r="L412" t="n">
        <v>0</v>
      </c>
      <c r="M412" t="n">
        <v>0</v>
      </c>
      <c r="N412" t="n">
        <v>0</v>
      </c>
      <c r="O412" t="n">
        <v>0</v>
      </c>
      <c r="P412" t="n">
        <v>0</v>
      </c>
      <c r="Q412" t="n">
        <v>0</v>
      </c>
      <c r="R412" s="2" t="inlineStr"/>
    </row>
    <row r="413" ht="15" customHeight="1">
      <c r="A413" t="inlineStr">
        <is>
          <t>A 26944-2022</t>
        </is>
      </c>
      <c r="B413" s="1" t="n">
        <v>44740</v>
      </c>
      <c r="C413" s="1" t="n">
        <v>46048</v>
      </c>
      <c r="D413" t="inlineStr">
        <is>
          <t>JÄMTLANDS LÄN</t>
        </is>
      </c>
      <c r="E413" t="inlineStr">
        <is>
          <t>BERG</t>
        </is>
      </c>
      <c r="G413" t="n">
        <v>3.3</v>
      </c>
      <c r="H413" t="n">
        <v>0</v>
      </c>
      <c r="I413" t="n">
        <v>0</v>
      </c>
      <c r="J413" t="n">
        <v>0</v>
      </c>
      <c r="K413" t="n">
        <v>0</v>
      </c>
      <c r="L413" t="n">
        <v>0</v>
      </c>
      <c r="M413" t="n">
        <v>0</v>
      </c>
      <c r="N413" t="n">
        <v>0</v>
      </c>
      <c r="O413" t="n">
        <v>0</v>
      </c>
      <c r="P413" t="n">
        <v>0</v>
      </c>
      <c r="Q413" t="n">
        <v>0</v>
      </c>
      <c r="R413" s="2" t="inlineStr"/>
    </row>
    <row r="414" ht="15" customHeight="1">
      <c r="A414" t="inlineStr">
        <is>
          <t>A 16002-2025</t>
        </is>
      </c>
      <c r="B414" s="1" t="n">
        <v>45749.59398148148</v>
      </c>
      <c r="C414" s="1" t="n">
        <v>46048</v>
      </c>
      <c r="D414" t="inlineStr">
        <is>
          <t>JÄMTLANDS LÄN</t>
        </is>
      </c>
      <c r="E414" t="inlineStr">
        <is>
          <t>BERG</t>
        </is>
      </c>
      <c r="G414" t="n">
        <v>0.7</v>
      </c>
      <c r="H414" t="n">
        <v>0</v>
      </c>
      <c r="I414" t="n">
        <v>0</v>
      </c>
      <c r="J414" t="n">
        <v>0</v>
      </c>
      <c r="K414" t="n">
        <v>0</v>
      </c>
      <c r="L414" t="n">
        <v>0</v>
      </c>
      <c r="M414" t="n">
        <v>0</v>
      </c>
      <c r="N414" t="n">
        <v>0</v>
      </c>
      <c r="O414" t="n">
        <v>0</v>
      </c>
      <c r="P414" t="n">
        <v>0</v>
      </c>
      <c r="Q414" t="n">
        <v>0</v>
      </c>
      <c r="R414" s="2" t="inlineStr"/>
    </row>
    <row r="415" ht="15" customHeight="1">
      <c r="A415" t="inlineStr">
        <is>
          <t>A 62555-2023</t>
        </is>
      </c>
      <c r="B415" s="1" t="n">
        <v>45268.9262962963</v>
      </c>
      <c r="C415" s="1" t="n">
        <v>46048</v>
      </c>
      <c r="D415" t="inlineStr">
        <is>
          <t>JÄMTLANDS LÄN</t>
        </is>
      </c>
      <c r="E415" t="inlineStr">
        <is>
          <t>BERG</t>
        </is>
      </c>
      <c r="G415" t="n">
        <v>5</v>
      </c>
      <c r="H415" t="n">
        <v>0</v>
      </c>
      <c r="I415" t="n">
        <v>0</v>
      </c>
      <c r="J415" t="n">
        <v>0</v>
      </c>
      <c r="K415" t="n">
        <v>0</v>
      </c>
      <c r="L415" t="n">
        <v>0</v>
      </c>
      <c r="M415" t="n">
        <v>0</v>
      </c>
      <c r="N415" t="n">
        <v>0</v>
      </c>
      <c r="O415" t="n">
        <v>0</v>
      </c>
      <c r="P415" t="n">
        <v>0</v>
      </c>
      <c r="Q415" t="n">
        <v>0</v>
      </c>
      <c r="R415" s="2" t="inlineStr"/>
    </row>
    <row r="416" ht="15" customHeight="1">
      <c r="A416" t="inlineStr">
        <is>
          <t>A 47407-2024</t>
        </is>
      </c>
      <c r="B416" s="1" t="n">
        <v>45587.47828703704</v>
      </c>
      <c r="C416" s="1" t="n">
        <v>46048</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46048</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13524-2024</t>
        </is>
      </c>
      <c r="B418" s="1" t="n">
        <v>45387.78174768519</v>
      </c>
      <c r="C418" s="1" t="n">
        <v>46048</v>
      </c>
      <c r="D418" t="inlineStr">
        <is>
          <t>JÄMTLANDS LÄN</t>
        </is>
      </c>
      <c r="E418" t="inlineStr">
        <is>
          <t>BERG</t>
        </is>
      </c>
      <c r="G418" t="n">
        <v>0.6</v>
      </c>
      <c r="H418" t="n">
        <v>0</v>
      </c>
      <c r="I418" t="n">
        <v>0</v>
      </c>
      <c r="J418" t="n">
        <v>0</v>
      </c>
      <c r="K418" t="n">
        <v>0</v>
      </c>
      <c r="L418" t="n">
        <v>0</v>
      </c>
      <c r="M418" t="n">
        <v>0</v>
      </c>
      <c r="N418" t="n">
        <v>0</v>
      </c>
      <c r="O418" t="n">
        <v>0</v>
      </c>
      <c r="P418" t="n">
        <v>0</v>
      </c>
      <c r="Q418" t="n">
        <v>0</v>
      </c>
      <c r="R418" s="2" t="inlineStr"/>
    </row>
    <row r="419" ht="15" customHeight="1">
      <c r="A419" t="inlineStr">
        <is>
          <t>A 25441-2025</t>
        </is>
      </c>
      <c r="B419" s="1" t="n">
        <v>45801.34476851852</v>
      </c>
      <c r="C419" s="1" t="n">
        <v>46048</v>
      </c>
      <c r="D419" t="inlineStr">
        <is>
          <t>JÄMTLANDS LÄN</t>
        </is>
      </c>
      <c r="E419" t="inlineStr">
        <is>
          <t>BERG</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18032-2024</t>
        </is>
      </c>
      <c r="B420" s="1" t="n">
        <v>45420.34979166667</v>
      </c>
      <c r="C420" s="1" t="n">
        <v>46048</v>
      </c>
      <c r="D420" t="inlineStr">
        <is>
          <t>JÄMTLANDS LÄN</t>
        </is>
      </c>
      <c r="E420" t="inlineStr">
        <is>
          <t>BERG</t>
        </is>
      </c>
      <c r="F420" t="inlineStr">
        <is>
          <t>Holmen skog AB</t>
        </is>
      </c>
      <c r="G420" t="n">
        <v>0.6</v>
      </c>
      <c r="H420" t="n">
        <v>0</v>
      </c>
      <c r="I420" t="n">
        <v>0</v>
      </c>
      <c r="J420" t="n">
        <v>0</v>
      </c>
      <c r="K420" t="n">
        <v>0</v>
      </c>
      <c r="L420" t="n">
        <v>0</v>
      </c>
      <c r="M420" t="n">
        <v>0</v>
      </c>
      <c r="N420" t="n">
        <v>0</v>
      </c>
      <c r="O420" t="n">
        <v>0</v>
      </c>
      <c r="P420" t="n">
        <v>0</v>
      </c>
      <c r="Q420" t="n">
        <v>0</v>
      </c>
      <c r="R420" s="2" t="inlineStr"/>
    </row>
    <row r="421" ht="15" customHeight="1">
      <c r="A421" t="inlineStr">
        <is>
          <t>A 7040-2024</t>
        </is>
      </c>
      <c r="B421" s="1" t="n">
        <v>45343</v>
      </c>
      <c r="C421" s="1" t="n">
        <v>46048</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26013-2025</t>
        </is>
      </c>
      <c r="B422" s="1" t="n">
        <v>45804.67760416667</v>
      </c>
      <c r="C422" s="1" t="n">
        <v>46048</v>
      </c>
      <c r="D422" t="inlineStr">
        <is>
          <t>JÄMTLANDS LÄN</t>
        </is>
      </c>
      <c r="E422" t="inlineStr">
        <is>
          <t>BERG</t>
        </is>
      </c>
      <c r="F422" t="inlineStr">
        <is>
          <t>SCA</t>
        </is>
      </c>
      <c r="G422" t="n">
        <v>11.7</v>
      </c>
      <c r="H422" t="n">
        <v>0</v>
      </c>
      <c r="I422" t="n">
        <v>0</v>
      </c>
      <c r="J422" t="n">
        <v>0</v>
      </c>
      <c r="K422" t="n">
        <v>0</v>
      </c>
      <c r="L422" t="n">
        <v>0</v>
      </c>
      <c r="M422" t="n">
        <v>0</v>
      </c>
      <c r="N422" t="n">
        <v>0</v>
      </c>
      <c r="O422" t="n">
        <v>0</v>
      </c>
      <c r="P422" t="n">
        <v>0</v>
      </c>
      <c r="Q422" t="n">
        <v>0</v>
      </c>
      <c r="R422" s="2" t="inlineStr"/>
    </row>
    <row r="423" ht="15" customHeight="1">
      <c r="A423" t="inlineStr">
        <is>
          <t>A 25976-2025</t>
        </is>
      </c>
      <c r="B423" s="1" t="n">
        <v>45804.63596064815</v>
      </c>
      <c r="C423" s="1" t="n">
        <v>46048</v>
      </c>
      <c r="D423" t="inlineStr">
        <is>
          <t>JÄMTLANDS LÄN</t>
        </is>
      </c>
      <c r="E423" t="inlineStr">
        <is>
          <t>BERG</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25979-2025</t>
        </is>
      </c>
      <c r="B424" s="1" t="n">
        <v>45804.63642361111</v>
      </c>
      <c r="C424" s="1" t="n">
        <v>46048</v>
      </c>
      <c r="D424" t="inlineStr">
        <is>
          <t>JÄMTLANDS LÄN</t>
        </is>
      </c>
      <c r="E424" t="inlineStr">
        <is>
          <t>BERG</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34845-2023</t>
        </is>
      </c>
      <c r="B425" s="1" t="n">
        <v>45141.95964120371</v>
      </c>
      <c r="C425" s="1" t="n">
        <v>46048</v>
      </c>
      <c r="D425" t="inlineStr">
        <is>
          <t>JÄMTLANDS LÄN</t>
        </is>
      </c>
      <c r="E425" t="inlineStr">
        <is>
          <t>BERG</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26053-2025</t>
        </is>
      </c>
      <c r="B426" s="1" t="n">
        <v>45804.75445601852</v>
      </c>
      <c r="C426" s="1" t="n">
        <v>46048</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17266-2025</t>
        </is>
      </c>
      <c r="B427" s="1" t="n">
        <v>45756</v>
      </c>
      <c r="C427" s="1" t="n">
        <v>46048</v>
      </c>
      <c r="D427" t="inlineStr">
        <is>
          <t>JÄMTLANDS LÄN</t>
        </is>
      </c>
      <c r="E427" t="inlineStr">
        <is>
          <t>BERG</t>
        </is>
      </c>
      <c r="G427" t="n">
        <v>20.1</v>
      </c>
      <c r="H427" t="n">
        <v>0</v>
      </c>
      <c r="I427" t="n">
        <v>0</v>
      </c>
      <c r="J427" t="n">
        <v>0</v>
      </c>
      <c r="K427" t="n">
        <v>0</v>
      </c>
      <c r="L427" t="n">
        <v>0</v>
      </c>
      <c r="M427" t="n">
        <v>0</v>
      </c>
      <c r="N427" t="n">
        <v>0</v>
      </c>
      <c r="O427" t="n">
        <v>0</v>
      </c>
      <c r="P427" t="n">
        <v>0</v>
      </c>
      <c r="Q427" t="n">
        <v>0</v>
      </c>
      <c r="R427" s="2" t="inlineStr"/>
    </row>
    <row r="428" ht="15" customHeight="1">
      <c r="A428" t="inlineStr">
        <is>
          <t>A 25951-2025</t>
        </is>
      </c>
      <c r="B428" s="1" t="n">
        <v>45804.5984375</v>
      </c>
      <c r="C428" s="1" t="n">
        <v>46048</v>
      </c>
      <c r="D428" t="inlineStr">
        <is>
          <t>JÄMTLANDS LÄN</t>
        </is>
      </c>
      <c r="E428" t="inlineStr">
        <is>
          <t>BERG</t>
        </is>
      </c>
      <c r="G428" t="n">
        <v>0.9</v>
      </c>
      <c r="H428" t="n">
        <v>0</v>
      </c>
      <c r="I428" t="n">
        <v>0</v>
      </c>
      <c r="J428" t="n">
        <v>0</v>
      </c>
      <c r="K428" t="n">
        <v>0</v>
      </c>
      <c r="L428" t="n">
        <v>0</v>
      </c>
      <c r="M428" t="n">
        <v>0</v>
      </c>
      <c r="N428" t="n">
        <v>0</v>
      </c>
      <c r="O428" t="n">
        <v>0</v>
      </c>
      <c r="P428" t="n">
        <v>0</v>
      </c>
      <c r="Q428" t="n">
        <v>0</v>
      </c>
      <c r="R428" s="2" t="inlineStr"/>
    </row>
    <row r="429" ht="15" customHeight="1">
      <c r="A429" t="inlineStr">
        <is>
          <t>A 25885-2025</t>
        </is>
      </c>
      <c r="B429" s="1" t="n">
        <v>45804.51075231482</v>
      </c>
      <c r="C429" s="1" t="n">
        <v>46048</v>
      </c>
      <c r="D429" t="inlineStr">
        <is>
          <t>JÄMTLANDS LÄN</t>
        </is>
      </c>
      <c r="E429" t="inlineStr">
        <is>
          <t>BERG</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25887-2025</t>
        </is>
      </c>
      <c r="B430" s="1" t="n">
        <v>45804.51104166666</v>
      </c>
      <c r="C430" s="1" t="n">
        <v>46048</v>
      </c>
      <c r="D430" t="inlineStr">
        <is>
          <t>JÄMTLANDS LÄN</t>
        </is>
      </c>
      <c r="E430" t="inlineStr">
        <is>
          <t>BERG</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41069-2022</t>
        </is>
      </c>
      <c r="B431" s="1" t="n">
        <v>44825.60015046296</v>
      </c>
      <c r="C431" s="1" t="n">
        <v>46048</v>
      </c>
      <c r="D431" t="inlineStr">
        <is>
          <t>JÄMTLANDS LÄN</t>
        </is>
      </c>
      <c r="E431" t="inlineStr">
        <is>
          <t>BERG</t>
        </is>
      </c>
      <c r="G431" t="n">
        <v>1.5</v>
      </c>
      <c r="H431" t="n">
        <v>0</v>
      </c>
      <c r="I431" t="n">
        <v>0</v>
      </c>
      <c r="J431" t="n">
        <v>0</v>
      </c>
      <c r="K431" t="n">
        <v>0</v>
      </c>
      <c r="L431" t="n">
        <v>0</v>
      </c>
      <c r="M431" t="n">
        <v>0</v>
      </c>
      <c r="N431" t="n">
        <v>0</v>
      </c>
      <c r="O431" t="n">
        <v>0</v>
      </c>
      <c r="P431" t="n">
        <v>0</v>
      </c>
      <c r="Q431" t="n">
        <v>0</v>
      </c>
      <c r="R431" s="2" t="inlineStr"/>
    </row>
    <row r="432" ht="15" customHeight="1">
      <c r="A432" t="inlineStr">
        <is>
          <t>A 25960-2025</t>
        </is>
      </c>
      <c r="B432" s="1" t="n">
        <v>45804.60972222222</v>
      </c>
      <c r="C432" s="1" t="n">
        <v>46048</v>
      </c>
      <c r="D432" t="inlineStr">
        <is>
          <t>JÄMTLANDS LÄN</t>
        </is>
      </c>
      <c r="E432" t="inlineStr">
        <is>
          <t>BERG</t>
        </is>
      </c>
      <c r="G432" t="n">
        <v>7.3</v>
      </c>
      <c r="H432" t="n">
        <v>0</v>
      </c>
      <c r="I432" t="n">
        <v>0</v>
      </c>
      <c r="J432" t="n">
        <v>0</v>
      </c>
      <c r="K432" t="n">
        <v>0</v>
      </c>
      <c r="L432" t="n">
        <v>0</v>
      </c>
      <c r="M432" t="n">
        <v>0</v>
      </c>
      <c r="N432" t="n">
        <v>0</v>
      </c>
      <c r="O432" t="n">
        <v>0</v>
      </c>
      <c r="P432" t="n">
        <v>0</v>
      </c>
      <c r="Q432" t="n">
        <v>0</v>
      </c>
      <c r="R432" s="2" t="inlineStr"/>
    </row>
    <row r="433" ht="15" customHeight="1">
      <c r="A433" t="inlineStr">
        <is>
          <t>A 37248-2023</t>
        </is>
      </c>
      <c r="B433" s="1" t="n">
        <v>45155.954375</v>
      </c>
      <c r="C433" s="1" t="n">
        <v>46048</v>
      </c>
      <c r="D433" t="inlineStr">
        <is>
          <t>JÄMTLANDS LÄN</t>
        </is>
      </c>
      <c r="E433" t="inlineStr">
        <is>
          <t>BERG</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64709-2021</t>
        </is>
      </c>
      <c r="B434" s="1" t="n">
        <v>44512</v>
      </c>
      <c r="C434" s="1" t="n">
        <v>46048</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25938-2025</t>
        </is>
      </c>
      <c r="B435" s="1" t="n">
        <v>45804.59414351852</v>
      </c>
      <c r="C435" s="1" t="n">
        <v>46048</v>
      </c>
      <c r="D435" t="inlineStr">
        <is>
          <t>JÄMTLANDS LÄN</t>
        </is>
      </c>
      <c r="E435" t="inlineStr">
        <is>
          <t>BERG</t>
        </is>
      </c>
      <c r="F435" t="inlineStr">
        <is>
          <t>SCA</t>
        </is>
      </c>
      <c r="G435" t="n">
        <v>4.5</v>
      </c>
      <c r="H435" t="n">
        <v>0</v>
      </c>
      <c r="I435" t="n">
        <v>0</v>
      </c>
      <c r="J435" t="n">
        <v>0</v>
      </c>
      <c r="K435" t="n">
        <v>0</v>
      </c>
      <c r="L435" t="n">
        <v>0</v>
      </c>
      <c r="M435" t="n">
        <v>0</v>
      </c>
      <c r="N435" t="n">
        <v>0</v>
      </c>
      <c r="O435" t="n">
        <v>0</v>
      </c>
      <c r="P435" t="n">
        <v>0</v>
      </c>
      <c r="Q435" t="n">
        <v>0</v>
      </c>
      <c r="R435" s="2" t="inlineStr"/>
    </row>
    <row r="436" ht="15" customHeight="1">
      <c r="A436" t="inlineStr">
        <is>
          <t>A 25886-2025</t>
        </is>
      </c>
      <c r="B436" s="1" t="n">
        <v>45804.51092592593</v>
      </c>
      <c r="C436" s="1" t="n">
        <v>46048</v>
      </c>
      <c r="D436" t="inlineStr">
        <is>
          <t>JÄMTLANDS LÄN</t>
        </is>
      </c>
      <c r="E436" t="inlineStr">
        <is>
          <t>BERG</t>
        </is>
      </c>
      <c r="F436" t="inlineStr">
        <is>
          <t>SCA</t>
        </is>
      </c>
      <c r="G436" t="n">
        <v>18.3</v>
      </c>
      <c r="H436" t="n">
        <v>0</v>
      </c>
      <c r="I436" t="n">
        <v>0</v>
      </c>
      <c r="J436" t="n">
        <v>0</v>
      </c>
      <c r="K436" t="n">
        <v>0</v>
      </c>
      <c r="L436" t="n">
        <v>0</v>
      </c>
      <c r="M436" t="n">
        <v>0</v>
      </c>
      <c r="N436" t="n">
        <v>0</v>
      </c>
      <c r="O436" t="n">
        <v>0</v>
      </c>
      <c r="P436" t="n">
        <v>0</v>
      </c>
      <c r="Q436" t="n">
        <v>0</v>
      </c>
      <c r="R436" s="2" t="inlineStr"/>
    </row>
    <row r="437" ht="15" customHeight="1">
      <c r="A437" t="inlineStr">
        <is>
          <t>A 54863-2023</t>
        </is>
      </c>
      <c r="B437" s="1" t="n">
        <v>45236</v>
      </c>
      <c r="C437" s="1" t="n">
        <v>46048</v>
      </c>
      <c r="D437" t="inlineStr">
        <is>
          <t>JÄMTLANDS LÄN</t>
        </is>
      </c>
      <c r="E437" t="inlineStr">
        <is>
          <t>BERG</t>
        </is>
      </c>
      <c r="G437" t="n">
        <v>3.3</v>
      </c>
      <c r="H437" t="n">
        <v>0</v>
      </c>
      <c r="I437" t="n">
        <v>0</v>
      </c>
      <c r="J437" t="n">
        <v>0</v>
      </c>
      <c r="K437" t="n">
        <v>0</v>
      </c>
      <c r="L437" t="n">
        <v>0</v>
      </c>
      <c r="M437" t="n">
        <v>0</v>
      </c>
      <c r="N437" t="n">
        <v>0</v>
      </c>
      <c r="O437" t="n">
        <v>0</v>
      </c>
      <c r="P437" t="n">
        <v>0</v>
      </c>
      <c r="Q437" t="n">
        <v>0</v>
      </c>
      <c r="R437" s="2" t="inlineStr"/>
    </row>
    <row r="438" ht="15" customHeight="1">
      <c r="A438" t="inlineStr">
        <is>
          <t>A 26186-2025</t>
        </is>
      </c>
      <c r="B438" s="1" t="n">
        <v>45805.47840277778</v>
      </c>
      <c r="C438" s="1" t="n">
        <v>46048</v>
      </c>
      <c r="D438" t="inlineStr">
        <is>
          <t>JÄMTLANDS LÄN</t>
        </is>
      </c>
      <c r="E438" t="inlineStr">
        <is>
          <t>BERG</t>
        </is>
      </c>
      <c r="G438" t="n">
        <v>5.3</v>
      </c>
      <c r="H438" t="n">
        <v>0</v>
      </c>
      <c r="I438" t="n">
        <v>0</v>
      </c>
      <c r="J438" t="n">
        <v>0</v>
      </c>
      <c r="K438" t="n">
        <v>0</v>
      </c>
      <c r="L438" t="n">
        <v>0</v>
      </c>
      <c r="M438" t="n">
        <v>0</v>
      </c>
      <c r="N438" t="n">
        <v>0</v>
      </c>
      <c r="O438" t="n">
        <v>0</v>
      </c>
      <c r="P438" t="n">
        <v>0</v>
      </c>
      <c r="Q438" t="n">
        <v>0</v>
      </c>
      <c r="R438" s="2" t="inlineStr"/>
    </row>
    <row r="439" ht="15" customHeight="1">
      <c r="A439" t="inlineStr">
        <is>
          <t>A 26275-2025</t>
        </is>
      </c>
      <c r="B439" s="1" t="n">
        <v>45805.60230324074</v>
      </c>
      <c r="C439" s="1" t="n">
        <v>46048</v>
      </c>
      <c r="D439" t="inlineStr">
        <is>
          <t>JÄMTLANDS LÄN</t>
        </is>
      </c>
      <c r="E439" t="inlineStr">
        <is>
          <t>BERG</t>
        </is>
      </c>
      <c r="G439" t="n">
        <v>10.2</v>
      </c>
      <c r="H439" t="n">
        <v>0</v>
      </c>
      <c r="I439" t="n">
        <v>0</v>
      </c>
      <c r="J439" t="n">
        <v>0</v>
      </c>
      <c r="K439" t="n">
        <v>0</v>
      </c>
      <c r="L439" t="n">
        <v>0</v>
      </c>
      <c r="M439" t="n">
        <v>0</v>
      </c>
      <c r="N439" t="n">
        <v>0</v>
      </c>
      <c r="O439" t="n">
        <v>0</v>
      </c>
      <c r="P439" t="n">
        <v>0</v>
      </c>
      <c r="Q439" t="n">
        <v>0</v>
      </c>
      <c r="R439" s="2" t="inlineStr"/>
    </row>
    <row r="440" ht="15" customHeight="1">
      <c r="A440" t="inlineStr">
        <is>
          <t>A 25980-2025</t>
        </is>
      </c>
      <c r="B440" s="1" t="n">
        <v>45804.63658564815</v>
      </c>
      <c r="C440" s="1" t="n">
        <v>46048</v>
      </c>
      <c r="D440" t="inlineStr">
        <is>
          <t>JÄMTLANDS LÄN</t>
        </is>
      </c>
      <c r="E440" t="inlineStr">
        <is>
          <t>BERG</t>
        </is>
      </c>
      <c r="F440" t="inlineStr">
        <is>
          <t>SCA</t>
        </is>
      </c>
      <c r="G440" t="n">
        <v>8.9</v>
      </c>
      <c r="H440" t="n">
        <v>0</v>
      </c>
      <c r="I440" t="n">
        <v>0</v>
      </c>
      <c r="J440" t="n">
        <v>0</v>
      </c>
      <c r="K440" t="n">
        <v>0</v>
      </c>
      <c r="L440" t="n">
        <v>0</v>
      </c>
      <c r="M440" t="n">
        <v>0</v>
      </c>
      <c r="N440" t="n">
        <v>0</v>
      </c>
      <c r="O440" t="n">
        <v>0</v>
      </c>
      <c r="P440" t="n">
        <v>0</v>
      </c>
      <c r="Q440" t="n">
        <v>0</v>
      </c>
      <c r="R440" s="2" t="inlineStr"/>
    </row>
    <row r="441" ht="15" customHeight="1">
      <c r="A441" t="inlineStr">
        <is>
          <t>A 46167-2022</t>
        </is>
      </c>
      <c r="B441" s="1" t="n">
        <v>44845</v>
      </c>
      <c r="C441" s="1" t="n">
        <v>46048</v>
      </c>
      <c r="D441" t="inlineStr">
        <is>
          <t>JÄMTLANDS LÄN</t>
        </is>
      </c>
      <c r="E441" t="inlineStr">
        <is>
          <t>BERG</t>
        </is>
      </c>
      <c r="G441" t="n">
        <v>35.2</v>
      </c>
      <c r="H441" t="n">
        <v>0</v>
      </c>
      <c r="I441" t="n">
        <v>0</v>
      </c>
      <c r="J441" t="n">
        <v>0</v>
      </c>
      <c r="K441" t="n">
        <v>0</v>
      </c>
      <c r="L441" t="n">
        <v>0</v>
      </c>
      <c r="M441" t="n">
        <v>0</v>
      </c>
      <c r="N441" t="n">
        <v>0</v>
      </c>
      <c r="O441" t="n">
        <v>0</v>
      </c>
      <c r="P441" t="n">
        <v>0</v>
      </c>
      <c r="Q441" t="n">
        <v>0</v>
      </c>
      <c r="R441" s="2" t="inlineStr"/>
    </row>
    <row r="442" ht="15" customHeight="1">
      <c r="A442" t="inlineStr">
        <is>
          <t>A 26378-2025</t>
        </is>
      </c>
      <c r="B442" s="1" t="n">
        <v>45806.48989583334</v>
      </c>
      <c r="C442" s="1" t="n">
        <v>46048</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26374-2025</t>
        </is>
      </c>
      <c r="B443" s="1" t="n">
        <v>45806.42745370371</v>
      </c>
      <c r="C443" s="1" t="n">
        <v>46048</v>
      </c>
      <c r="D443" t="inlineStr">
        <is>
          <t>JÄMTLANDS LÄN</t>
        </is>
      </c>
      <c r="E443" t="inlineStr">
        <is>
          <t>BERG</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33962-2024</t>
        </is>
      </c>
      <c r="B444" s="1" t="n">
        <v>45523.48854166667</v>
      </c>
      <c r="C444" s="1" t="n">
        <v>46048</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14226-2021</t>
        </is>
      </c>
      <c r="B445" s="1" t="n">
        <v>44277</v>
      </c>
      <c r="C445" s="1" t="n">
        <v>46048</v>
      </c>
      <c r="D445" t="inlineStr">
        <is>
          <t>JÄMTLANDS LÄN</t>
        </is>
      </c>
      <c r="E445" t="inlineStr">
        <is>
          <t>BERG</t>
        </is>
      </c>
      <c r="G445" t="n">
        <v>23.7</v>
      </c>
      <c r="H445" t="n">
        <v>0</v>
      </c>
      <c r="I445" t="n">
        <v>0</v>
      </c>
      <c r="J445" t="n">
        <v>0</v>
      </c>
      <c r="K445" t="n">
        <v>0</v>
      </c>
      <c r="L445" t="n">
        <v>0</v>
      </c>
      <c r="M445" t="n">
        <v>0</v>
      </c>
      <c r="N445" t="n">
        <v>0</v>
      </c>
      <c r="O445" t="n">
        <v>0</v>
      </c>
      <c r="P445" t="n">
        <v>0</v>
      </c>
      <c r="Q445" t="n">
        <v>0</v>
      </c>
      <c r="R445" s="2" t="inlineStr"/>
    </row>
    <row r="446" ht="15" customHeight="1">
      <c r="A446" t="inlineStr">
        <is>
          <t>A 26743-2025</t>
        </is>
      </c>
      <c r="B446" s="1" t="n">
        <v>45810.53163194445</v>
      </c>
      <c r="C446" s="1" t="n">
        <v>46048</v>
      </c>
      <c r="D446" t="inlineStr">
        <is>
          <t>JÄMTLANDS LÄN</t>
        </is>
      </c>
      <c r="E446" t="inlineStr">
        <is>
          <t>BERG</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39269-2024</t>
        </is>
      </c>
      <c r="B447" s="1" t="n">
        <v>45551.34488425926</v>
      </c>
      <c r="C447" s="1" t="n">
        <v>46048</v>
      </c>
      <c r="D447" t="inlineStr">
        <is>
          <t>JÄMTLANDS LÄN</t>
        </is>
      </c>
      <c r="E447" t="inlineStr">
        <is>
          <t>BERG</t>
        </is>
      </c>
      <c r="G447" t="n">
        <v>3.1</v>
      </c>
      <c r="H447" t="n">
        <v>0</v>
      </c>
      <c r="I447" t="n">
        <v>0</v>
      </c>
      <c r="J447" t="n">
        <v>0</v>
      </c>
      <c r="K447" t="n">
        <v>0</v>
      </c>
      <c r="L447" t="n">
        <v>0</v>
      </c>
      <c r="M447" t="n">
        <v>0</v>
      </c>
      <c r="N447" t="n">
        <v>0</v>
      </c>
      <c r="O447" t="n">
        <v>0</v>
      </c>
      <c r="P447" t="n">
        <v>0</v>
      </c>
      <c r="Q447" t="n">
        <v>0</v>
      </c>
      <c r="R447" s="2" t="inlineStr"/>
    </row>
    <row r="448" ht="15" customHeight="1">
      <c r="A448" t="inlineStr">
        <is>
          <t>A 13805-2024</t>
        </is>
      </c>
      <c r="B448" s="1" t="n">
        <v>45390</v>
      </c>
      <c r="C448" s="1" t="n">
        <v>46048</v>
      </c>
      <c r="D448" t="inlineStr">
        <is>
          <t>JÄMTLANDS LÄN</t>
        </is>
      </c>
      <c r="E448" t="inlineStr">
        <is>
          <t>BERG</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38962-2024</t>
        </is>
      </c>
      <c r="B449" s="1" t="n">
        <v>45548.36175925926</v>
      </c>
      <c r="C449" s="1" t="n">
        <v>46048</v>
      </c>
      <c r="D449" t="inlineStr">
        <is>
          <t>JÄMTLANDS LÄN</t>
        </is>
      </c>
      <c r="E449" t="inlineStr">
        <is>
          <t>BERG</t>
        </is>
      </c>
      <c r="G449" t="n">
        <v>2.2</v>
      </c>
      <c r="H449" t="n">
        <v>0</v>
      </c>
      <c r="I449" t="n">
        <v>0</v>
      </c>
      <c r="J449" t="n">
        <v>0</v>
      </c>
      <c r="K449" t="n">
        <v>0</v>
      </c>
      <c r="L449" t="n">
        <v>0</v>
      </c>
      <c r="M449" t="n">
        <v>0</v>
      </c>
      <c r="N449" t="n">
        <v>0</v>
      </c>
      <c r="O449" t="n">
        <v>0</v>
      </c>
      <c r="P449" t="n">
        <v>0</v>
      </c>
      <c r="Q449" t="n">
        <v>0</v>
      </c>
      <c r="R449" s="2" t="inlineStr"/>
    </row>
    <row r="450" ht="15" customHeight="1">
      <c r="A450" t="inlineStr">
        <is>
          <t>A 32879-2024</t>
        </is>
      </c>
      <c r="B450" s="1" t="n">
        <v>45516.68450231481</v>
      </c>
      <c r="C450" s="1" t="n">
        <v>46048</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37589-2021</t>
        </is>
      </c>
      <c r="B451" s="1" t="n">
        <v>44399</v>
      </c>
      <c r="C451" s="1" t="n">
        <v>46048</v>
      </c>
      <c r="D451" t="inlineStr">
        <is>
          <t>JÄMTLANDS LÄN</t>
        </is>
      </c>
      <c r="E451" t="inlineStr">
        <is>
          <t>BERG</t>
        </is>
      </c>
      <c r="G451" t="n">
        <v>8.6</v>
      </c>
      <c r="H451" t="n">
        <v>0</v>
      </c>
      <c r="I451" t="n">
        <v>0</v>
      </c>
      <c r="J451" t="n">
        <v>0</v>
      </c>
      <c r="K451" t="n">
        <v>0</v>
      </c>
      <c r="L451" t="n">
        <v>0</v>
      </c>
      <c r="M451" t="n">
        <v>0</v>
      </c>
      <c r="N451" t="n">
        <v>0</v>
      </c>
      <c r="O451" t="n">
        <v>0</v>
      </c>
      <c r="P451" t="n">
        <v>0</v>
      </c>
      <c r="Q451" t="n">
        <v>0</v>
      </c>
      <c r="R451" s="2" t="inlineStr"/>
    </row>
    <row r="452" ht="15" customHeight="1">
      <c r="A452" t="inlineStr">
        <is>
          <t>A 27044-2025</t>
        </is>
      </c>
      <c r="B452" s="1" t="n">
        <v>45811.61496527777</v>
      </c>
      <c r="C452" s="1" t="n">
        <v>46048</v>
      </c>
      <c r="D452" t="inlineStr">
        <is>
          <t>JÄMTLANDS LÄN</t>
        </is>
      </c>
      <c r="E452" t="inlineStr">
        <is>
          <t>BERG</t>
        </is>
      </c>
      <c r="F452" t="inlineStr">
        <is>
          <t>SCA</t>
        </is>
      </c>
      <c r="G452" t="n">
        <v>26.1</v>
      </c>
      <c r="H452" t="n">
        <v>0</v>
      </c>
      <c r="I452" t="n">
        <v>0</v>
      </c>
      <c r="J452" t="n">
        <v>0</v>
      </c>
      <c r="K452" t="n">
        <v>0</v>
      </c>
      <c r="L452" t="n">
        <v>0</v>
      </c>
      <c r="M452" t="n">
        <v>0</v>
      </c>
      <c r="N452" t="n">
        <v>0</v>
      </c>
      <c r="O452" t="n">
        <v>0</v>
      </c>
      <c r="P452" t="n">
        <v>0</v>
      </c>
      <c r="Q452" t="n">
        <v>0</v>
      </c>
      <c r="R452" s="2" t="inlineStr"/>
    </row>
    <row r="453" ht="15" customHeight="1">
      <c r="A453" t="inlineStr">
        <is>
          <t>A 16491-2023</t>
        </is>
      </c>
      <c r="B453" s="1" t="n">
        <v>45027</v>
      </c>
      <c r="C453" s="1" t="n">
        <v>46048</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22020-2024</t>
        </is>
      </c>
      <c r="B454" s="1" t="n">
        <v>45443.5894675926</v>
      </c>
      <c r="C454" s="1" t="n">
        <v>46048</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17748-2024</t>
        </is>
      </c>
      <c r="B455" s="1" t="n">
        <v>45418</v>
      </c>
      <c r="C455" s="1" t="n">
        <v>46048</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57669-2024</t>
        </is>
      </c>
      <c r="B456" s="1" t="n">
        <v>45630.62520833333</v>
      </c>
      <c r="C456" s="1" t="n">
        <v>46048</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18833-2024</t>
        </is>
      </c>
      <c r="B457" s="1" t="n">
        <v>45426.65157407407</v>
      </c>
      <c r="C457" s="1" t="n">
        <v>46048</v>
      </c>
      <c r="D457" t="inlineStr">
        <is>
          <t>JÄMTLANDS LÄN</t>
        </is>
      </c>
      <c r="E457" t="inlineStr">
        <is>
          <t>BERG</t>
        </is>
      </c>
      <c r="G457" t="n">
        <v>1.3</v>
      </c>
      <c r="H457" t="n">
        <v>0</v>
      </c>
      <c r="I457" t="n">
        <v>0</v>
      </c>
      <c r="J457" t="n">
        <v>0</v>
      </c>
      <c r="K457" t="n">
        <v>0</v>
      </c>
      <c r="L457" t="n">
        <v>0</v>
      </c>
      <c r="M457" t="n">
        <v>0</v>
      </c>
      <c r="N457" t="n">
        <v>0</v>
      </c>
      <c r="O457" t="n">
        <v>0</v>
      </c>
      <c r="P457" t="n">
        <v>0</v>
      </c>
      <c r="Q457" t="n">
        <v>0</v>
      </c>
      <c r="R457" s="2" t="inlineStr"/>
    </row>
    <row r="458" ht="15" customHeight="1">
      <c r="A458" t="inlineStr">
        <is>
          <t>A 27063-2025</t>
        </is>
      </c>
      <c r="B458" s="1" t="n">
        <v>45811.63626157407</v>
      </c>
      <c r="C458" s="1" t="n">
        <v>46048</v>
      </c>
      <c r="D458" t="inlineStr">
        <is>
          <t>JÄMTLANDS LÄN</t>
        </is>
      </c>
      <c r="E458" t="inlineStr">
        <is>
          <t>BERG</t>
        </is>
      </c>
      <c r="F458" t="inlineStr">
        <is>
          <t>SCA</t>
        </is>
      </c>
      <c r="G458" t="n">
        <v>18.9</v>
      </c>
      <c r="H458" t="n">
        <v>0</v>
      </c>
      <c r="I458" t="n">
        <v>0</v>
      </c>
      <c r="J458" t="n">
        <v>0</v>
      </c>
      <c r="K458" t="n">
        <v>0</v>
      </c>
      <c r="L458" t="n">
        <v>0</v>
      </c>
      <c r="M458" t="n">
        <v>0</v>
      </c>
      <c r="N458" t="n">
        <v>0</v>
      </c>
      <c r="O458" t="n">
        <v>0</v>
      </c>
      <c r="P458" t="n">
        <v>0</v>
      </c>
      <c r="Q458" t="n">
        <v>0</v>
      </c>
      <c r="R458" s="2" t="inlineStr"/>
    </row>
    <row r="459" ht="15" customHeight="1">
      <c r="A459" t="inlineStr">
        <is>
          <t>A 35921-2024</t>
        </is>
      </c>
      <c r="B459" s="1" t="n">
        <v>45533.42659722222</v>
      </c>
      <c r="C459" s="1" t="n">
        <v>46048</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64752-2023</t>
        </is>
      </c>
      <c r="B460" s="1" t="n">
        <v>45281.92891203704</v>
      </c>
      <c r="C460" s="1" t="n">
        <v>46048</v>
      </c>
      <c r="D460" t="inlineStr">
        <is>
          <t>JÄMTLANDS LÄN</t>
        </is>
      </c>
      <c r="E460" t="inlineStr">
        <is>
          <t>BERG</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58176-2024</t>
        </is>
      </c>
      <c r="B461" s="1" t="n">
        <v>45632.46771990741</v>
      </c>
      <c r="C461" s="1" t="n">
        <v>46048</v>
      </c>
      <c r="D461" t="inlineStr">
        <is>
          <t>JÄMTLANDS LÄN</t>
        </is>
      </c>
      <c r="E461" t="inlineStr">
        <is>
          <t>BERG</t>
        </is>
      </c>
      <c r="G461" t="n">
        <v>14.4</v>
      </c>
      <c r="H461" t="n">
        <v>0</v>
      </c>
      <c r="I461" t="n">
        <v>0</v>
      </c>
      <c r="J461" t="n">
        <v>0</v>
      </c>
      <c r="K461" t="n">
        <v>0</v>
      </c>
      <c r="L461" t="n">
        <v>0</v>
      </c>
      <c r="M461" t="n">
        <v>0</v>
      </c>
      <c r="N461" t="n">
        <v>0</v>
      </c>
      <c r="O461" t="n">
        <v>0</v>
      </c>
      <c r="P461" t="n">
        <v>0</v>
      </c>
      <c r="Q461" t="n">
        <v>0</v>
      </c>
      <c r="R461" s="2" t="inlineStr"/>
    </row>
    <row r="462" ht="15" customHeight="1">
      <c r="A462" t="inlineStr">
        <is>
          <t>A 14728-2025</t>
        </is>
      </c>
      <c r="B462" s="1" t="n">
        <v>45742.63574074074</v>
      </c>
      <c r="C462" s="1" t="n">
        <v>46048</v>
      </c>
      <c r="D462" t="inlineStr">
        <is>
          <t>JÄMTLANDS LÄN</t>
        </is>
      </c>
      <c r="E462" t="inlineStr">
        <is>
          <t>BERG</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31129-2024</t>
        </is>
      </c>
      <c r="B463" s="1" t="n">
        <v>45502</v>
      </c>
      <c r="C463" s="1" t="n">
        <v>46048</v>
      </c>
      <c r="D463" t="inlineStr">
        <is>
          <t>JÄMTLANDS LÄN</t>
        </is>
      </c>
      <c r="E463" t="inlineStr">
        <is>
          <t>BERG</t>
        </is>
      </c>
      <c r="G463" t="n">
        <v>1.3</v>
      </c>
      <c r="H463" t="n">
        <v>0</v>
      </c>
      <c r="I463" t="n">
        <v>0</v>
      </c>
      <c r="J463" t="n">
        <v>0</v>
      </c>
      <c r="K463" t="n">
        <v>0</v>
      </c>
      <c r="L463" t="n">
        <v>0</v>
      </c>
      <c r="M463" t="n">
        <v>0</v>
      </c>
      <c r="N463" t="n">
        <v>0</v>
      </c>
      <c r="O463" t="n">
        <v>0</v>
      </c>
      <c r="P463" t="n">
        <v>0</v>
      </c>
      <c r="Q463" t="n">
        <v>0</v>
      </c>
      <c r="R463" s="2" t="inlineStr"/>
    </row>
    <row r="464" ht="15" customHeight="1">
      <c r="A464" t="inlineStr">
        <is>
          <t>A 53085-2024</t>
        </is>
      </c>
      <c r="B464" s="1" t="n">
        <v>45611.51072916666</v>
      </c>
      <c r="C464" s="1" t="n">
        <v>46048</v>
      </c>
      <c r="D464" t="inlineStr">
        <is>
          <t>JÄMTLANDS LÄN</t>
        </is>
      </c>
      <c r="E464" t="inlineStr">
        <is>
          <t>BERG</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3961-2025</t>
        </is>
      </c>
      <c r="B465" s="1" t="n">
        <v>45684.50217592593</v>
      </c>
      <c r="C465" s="1" t="n">
        <v>46048</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6982-2025</t>
        </is>
      </c>
      <c r="B466" s="1" t="n">
        <v>45701.55769675926</v>
      </c>
      <c r="C466" s="1" t="n">
        <v>46048</v>
      </c>
      <c r="D466" t="inlineStr">
        <is>
          <t>JÄMTLANDS LÄN</t>
        </is>
      </c>
      <c r="E466" t="inlineStr">
        <is>
          <t>BERG</t>
        </is>
      </c>
      <c r="G466" t="n">
        <v>6.8</v>
      </c>
      <c r="H466" t="n">
        <v>0</v>
      </c>
      <c r="I466" t="n">
        <v>0</v>
      </c>
      <c r="J466" t="n">
        <v>0</v>
      </c>
      <c r="K466" t="n">
        <v>0</v>
      </c>
      <c r="L466" t="n">
        <v>0</v>
      </c>
      <c r="M466" t="n">
        <v>0</v>
      </c>
      <c r="N466" t="n">
        <v>0</v>
      </c>
      <c r="O466" t="n">
        <v>0</v>
      </c>
      <c r="P466" t="n">
        <v>0</v>
      </c>
      <c r="Q466" t="n">
        <v>0</v>
      </c>
      <c r="R466" s="2" t="inlineStr"/>
    </row>
    <row r="467" ht="15" customHeight="1">
      <c r="A467" t="inlineStr">
        <is>
          <t>A 35636-2023</t>
        </is>
      </c>
      <c r="B467" s="1" t="n">
        <v>45147</v>
      </c>
      <c r="C467" s="1" t="n">
        <v>46048</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45347-2023</t>
        </is>
      </c>
      <c r="B468" s="1" t="n">
        <v>45191</v>
      </c>
      <c r="C468" s="1" t="n">
        <v>46048</v>
      </c>
      <c r="D468" t="inlineStr">
        <is>
          <t>JÄMTLANDS LÄN</t>
        </is>
      </c>
      <c r="E468" t="inlineStr">
        <is>
          <t>BERG</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27317-2025</t>
        </is>
      </c>
      <c r="B469" s="1" t="n">
        <v>45812.59011574074</v>
      </c>
      <c r="C469" s="1" t="n">
        <v>46048</v>
      </c>
      <c r="D469" t="inlineStr">
        <is>
          <t>JÄMTLANDS LÄN</t>
        </is>
      </c>
      <c r="E469" t="inlineStr">
        <is>
          <t>BERG</t>
        </is>
      </c>
      <c r="G469" t="n">
        <v>6.2</v>
      </c>
      <c r="H469" t="n">
        <v>0</v>
      </c>
      <c r="I469" t="n">
        <v>0</v>
      </c>
      <c r="J469" t="n">
        <v>0</v>
      </c>
      <c r="K469" t="n">
        <v>0</v>
      </c>
      <c r="L469" t="n">
        <v>0</v>
      </c>
      <c r="M469" t="n">
        <v>0</v>
      </c>
      <c r="N469" t="n">
        <v>0</v>
      </c>
      <c r="O469" t="n">
        <v>0</v>
      </c>
      <c r="P469" t="n">
        <v>0</v>
      </c>
      <c r="Q469" t="n">
        <v>0</v>
      </c>
      <c r="R469" s="2" t="inlineStr"/>
    </row>
    <row r="470" ht="15" customHeight="1">
      <c r="A470" t="inlineStr">
        <is>
          <t>A 27459-2025</t>
        </is>
      </c>
      <c r="B470" s="1" t="n">
        <v>45813.34561342592</v>
      </c>
      <c r="C470" s="1" t="n">
        <v>46048</v>
      </c>
      <c r="D470" t="inlineStr">
        <is>
          <t>JÄMTLANDS LÄN</t>
        </is>
      </c>
      <c r="E470" t="inlineStr">
        <is>
          <t>BERG</t>
        </is>
      </c>
      <c r="F470" t="inlineStr">
        <is>
          <t>SCA</t>
        </is>
      </c>
      <c r="G470" t="n">
        <v>19.2</v>
      </c>
      <c r="H470" t="n">
        <v>0</v>
      </c>
      <c r="I470" t="n">
        <v>0</v>
      </c>
      <c r="J470" t="n">
        <v>0</v>
      </c>
      <c r="K470" t="n">
        <v>0</v>
      </c>
      <c r="L470" t="n">
        <v>0</v>
      </c>
      <c r="M470" t="n">
        <v>0</v>
      </c>
      <c r="N470" t="n">
        <v>0</v>
      </c>
      <c r="O470" t="n">
        <v>0</v>
      </c>
      <c r="P470" t="n">
        <v>0</v>
      </c>
      <c r="Q470" t="n">
        <v>0</v>
      </c>
      <c r="R470" s="2" t="inlineStr"/>
    </row>
    <row r="471" ht="15" customHeight="1">
      <c r="A471" t="inlineStr">
        <is>
          <t>A 27575-2025</t>
        </is>
      </c>
      <c r="B471" s="1" t="n">
        <v>45813.49083333334</v>
      </c>
      <c r="C471" s="1" t="n">
        <v>46048</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46048</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27603-2025</t>
        </is>
      </c>
      <c r="B473" s="1" t="n">
        <v>45813.53174768519</v>
      </c>
      <c r="C473" s="1" t="n">
        <v>46048</v>
      </c>
      <c r="D473" t="inlineStr">
        <is>
          <t>JÄMTLANDS LÄN</t>
        </is>
      </c>
      <c r="E473" t="inlineStr">
        <is>
          <t>BERG</t>
        </is>
      </c>
      <c r="F473" t="inlineStr">
        <is>
          <t>SCA</t>
        </is>
      </c>
      <c r="G473" t="n">
        <v>11.3</v>
      </c>
      <c r="H473" t="n">
        <v>0</v>
      </c>
      <c r="I473" t="n">
        <v>0</v>
      </c>
      <c r="J473" t="n">
        <v>0</v>
      </c>
      <c r="K473" t="n">
        <v>0</v>
      </c>
      <c r="L473" t="n">
        <v>0</v>
      </c>
      <c r="M473" t="n">
        <v>0</v>
      </c>
      <c r="N473" t="n">
        <v>0</v>
      </c>
      <c r="O473" t="n">
        <v>0</v>
      </c>
      <c r="P473" t="n">
        <v>0</v>
      </c>
      <c r="Q473" t="n">
        <v>0</v>
      </c>
      <c r="R473" s="2" t="inlineStr"/>
    </row>
    <row r="474" ht="15" customHeight="1">
      <c r="A474" t="inlineStr">
        <is>
          <t>A 27569-2025</t>
        </is>
      </c>
      <c r="B474" s="1" t="n">
        <v>45813.49018518518</v>
      </c>
      <c r="C474" s="1" t="n">
        <v>46048</v>
      </c>
      <c r="D474" t="inlineStr">
        <is>
          <t>JÄMTLANDS LÄN</t>
        </is>
      </c>
      <c r="E474" t="inlineStr">
        <is>
          <t>BERG</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34819-2023</t>
        </is>
      </c>
      <c r="B475" s="1" t="n">
        <v>45140</v>
      </c>
      <c r="C475" s="1" t="n">
        <v>46048</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27312-2025</t>
        </is>
      </c>
      <c r="B476" s="1" t="n">
        <v>45812.58002314815</v>
      </c>
      <c r="C476" s="1" t="n">
        <v>46048</v>
      </c>
      <c r="D476" t="inlineStr">
        <is>
          <t>JÄMTLANDS LÄN</t>
        </is>
      </c>
      <c r="E476" t="inlineStr">
        <is>
          <t>BERG</t>
        </is>
      </c>
      <c r="G476" t="n">
        <v>6</v>
      </c>
      <c r="H476" t="n">
        <v>0</v>
      </c>
      <c r="I476" t="n">
        <v>0</v>
      </c>
      <c r="J476" t="n">
        <v>0</v>
      </c>
      <c r="K476" t="n">
        <v>0</v>
      </c>
      <c r="L476" t="n">
        <v>0</v>
      </c>
      <c r="M476" t="n">
        <v>0</v>
      </c>
      <c r="N476" t="n">
        <v>0</v>
      </c>
      <c r="O476" t="n">
        <v>0</v>
      </c>
      <c r="P476" t="n">
        <v>0</v>
      </c>
      <c r="Q476" t="n">
        <v>0</v>
      </c>
      <c r="R476" s="2" t="inlineStr"/>
    </row>
    <row r="477" ht="15" customHeight="1">
      <c r="A477" t="inlineStr">
        <is>
          <t>A 50780-2021</t>
        </is>
      </c>
      <c r="B477" s="1" t="n">
        <v>44459</v>
      </c>
      <c r="C477" s="1" t="n">
        <v>46048</v>
      </c>
      <c r="D477" t="inlineStr">
        <is>
          <t>JÄMTLANDS LÄN</t>
        </is>
      </c>
      <c r="E477" t="inlineStr">
        <is>
          <t>BERG</t>
        </is>
      </c>
      <c r="G477" t="n">
        <v>3.5</v>
      </c>
      <c r="H477" t="n">
        <v>0</v>
      </c>
      <c r="I477" t="n">
        <v>0</v>
      </c>
      <c r="J477" t="n">
        <v>0</v>
      </c>
      <c r="K477" t="n">
        <v>0</v>
      </c>
      <c r="L477" t="n">
        <v>0</v>
      </c>
      <c r="M477" t="n">
        <v>0</v>
      </c>
      <c r="N477" t="n">
        <v>0</v>
      </c>
      <c r="O477" t="n">
        <v>0</v>
      </c>
      <c r="P477" t="n">
        <v>0</v>
      </c>
      <c r="Q477" t="n">
        <v>0</v>
      </c>
      <c r="R477" s="2" t="inlineStr"/>
    </row>
    <row r="478" ht="15" customHeight="1">
      <c r="A478" t="inlineStr">
        <is>
          <t>A 27737-2025</t>
        </is>
      </c>
      <c r="B478" s="1" t="n">
        <v>45815.34414351852</v>
      </c>
      <c r="C478" s="1" t="n">
        <v>46048</v>
      </c>
      <c r="D478" t="inlineStr">
        <is>
          <t>JÄMTLANDS LÄN</t>
        </is>
      </c>
      <c r="E478" t="inlineStr">
        <is>
          <t>BERG</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28079-2025</t>
        </is>
      </c>
      <c r="B479" s="1" t="n">
        <v>45817.69681712963</v>
      </c>
      <c r="C479" s="1" t="n">
        <v>46048</v>
      </c>
      <c r="D479" t="inlineStr">
        <is>
          <t>JÄMTLANDS LÄN</t>
        </is>
      </c>
      <c r="E479" t="inlineStr">
        <is>
          <t>BERG</t>
        </is>
      </c>
      <c r="G479" t="n">
        <v>3.7</v>
      </c>
      <c r="H479" t="n">
        <v>0</v>
      </c>
      <c r="I479" t="n">
        <v>0</v>
      </c>
      <c r="J479" t="n">
        <v>0</v>
      </c>
      <c r="K479" t="n">
        <v>0</v>
      </c>
      <c r="L479" t="n">
        <v>0</v>
      </c>
      <c r="M479" t="n">
        <v>0</v>
      </c>
      <c r="N479" t="n">
        <v>0</v>
      </c>
      <c r="O479" t="n">
        <v>0</v>
      </c>
      <c r="P479" t="n">
        <v>0</v>
      </c>
      <c r="Q479" t="n">
        <v>0</v>
      </c>
      <c r="R479" s="2" t="inlineStr"/>
    </row>
    <row r="480" ht="15" customHeight="1">
      <c r="A480" t="inlineStr">
        <is>
          <t>A 28077-2025</t>
        </is>
      </c>
      <c r="B480" s="1" t="n">
        <v>45817.68596064814</v>
      </c>
      <c r="C480" s="1" t="n">
        <v>46048</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43279-2024</t>
        </is>
      </c>
      <c r="B481" s="1" t="n">
        <v>45568.3975462963</v>
      </c>
      <c r="C481" s="1" t="n">
        <v>46048</v>
      </c>
      <c r="D481" t="inlineStr">
        <is>
          <t>JÄMTLANDS LÄN</t>
        </is>
      </c>
      <c r="E481" t="inlineStr">
        <is>
          <t>BERG</t>
        </is>
      </c>
      <c r="G481" t="n">
        <v>7.6</v>
      </c>
      <c r="H481" t="n">
        <v>0</v>
      </c>
      <c r="I481" t="n">
        <v>0</v>
      </c>
      <c r="J481" t="n">
        <v>0</v>
      </c>
      <c r="K481" t="n">
        <v>0</v>
      </c>
      <c r="L481" t="n">
        <v>0</v>
      </c>
      <c r="M481" t="n">
        <v>0</v>
      </c>
      <c r="N481" t="n">
        <v>0</v>
      </c>
      <c r="O481" t="n">
        <v>0</v>
      </c>
      <c r="P481" t="n">
        <v>0</v>
      </c>
      <c r="Q481" t="n">
        <v>0</v>
      </c>
      <c r="R481" s="2" t="inlineStr"/>
    </row>
    <row r="482" ht="15" customHeight="1">
      <c r="A482" t="inlineStr">
        <is>
          <t>A 18153-2024</t>
        </is>
      </c>
      <c r="B482" s="1" t="n">
        <v>45420</v>
      </c>
      <c r="C482" s="1" t="n">
        <v>46048</v>
      </c>
      <c r="D482" t="inlineStr">
        <is>
          <t>JÄMTLANDS LÄN</t>
        </is>
      </c>
      <c r="E482" t="inlineStr">
        <is>
          <t>BERG</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27716-2025</t>
        </is>
      </c>
      <c r="B483" s="1" t="n">
        <v>45813.961875</v>
      </c>
      <c r="C483" s="1" t="n">
        <v>46048</v>
      </c>
      <c r="D483" t="inlineStr">
        <is>
          <t>JÄMTLANDS LÄN</t>
        </is>
      </c>
      <c r="E483" t="inlineStr">
        <is>
          <t>BERG</t>
        </is>
      </c>
      <c r="G483" t="n">
        <v>6.7</v>
      </c>
      <c r="H483" t="n">
        <v>0</v>
      </c>
      <c r="I483" t="n">
        <v>0</v>
      </c>
      <c r="J483" t="n">
        <v>0</v>
      </c>
      <c r="K483" t="n">
        <v>0</v>
      </c>
      <c r="L483" t="n">
        <v>0</v>
      </c>
      <c r="M483" t="n">
        <v>0</v>
      </c>
      <c r="N483" t="n">
        <v>0</v>
      </c>
      <c r="O483" t="n">
        <v>0</v>
      </c>
      <c r="P483" t="n">
        <v>0</v>
      </c>
      <c r="Q483" t="n">
        <v>0</v>
      </c>
      <c r="R483" s="2" t="inlineStr"/>
    </row>
    <row r="484" ht="15" customHeight="1">
      <c r="A484" t="inlineStr">
        <is>
          <t>A 27750-2025</t>
        </is>
      </c>
      <c r="B484" s="1" t="n">
        <v>45815.68543981481</v>
      </c>
      <c r="C484" s="1" t="n">
        <v>46048</v>
      </c>
      <c r="D484" t="inlineStr">
        <is>
          <t>JÄMTLANDS LÄN</t>
        </is>
      </c>
      <c r="E484" t="inlineStr">
        <is>
          <t>BERG</t>
        </is>
      </c>
      <c r="G484" t="n">
        <v>2.4</v>
      </c>
      <c r="H484" t="n">
        <v>0</v>
      </c>
      <c r="I484" t="n">
        <v>0</v>
      </c>
      <c r="J484" t="n">
        <v>0</v>
      </c>
      <c r="K484" t="n">
        <v>0</v>
      </c>
      <c r="L484" t="n">
        <v>0</v>
      </c>
      <c r="M484" t="n">
        <v>0</v>
      </c>
      <c r="N484" t="n">
        <v>0</v>
      </c>
      <c r="O484" t="n">
        <v>0</v>
      </c>
      <c r="P484" t="n">
        <v>0</v>
      </c>
      <c r="Q484" t="n">
        <v>0</v>
      </c>
      <c r="R484" s="2" t="inlineStr"/>
    </row>
    <row r="485" ht="15" customHeight="1">
      <c r="A485" t="inlineStr">
        <is>
          <t>A 28232-2025</t>
        </is>
      </c>
      <c r="B485" s="1" t="n">
        <v>45818.48989583334</v>
      </c>
      <c r="C485" s="1" t="n">
        <v>46048</v>
      </c>
      <c r="D485" t="inlineStr">
        <is>
          <t>JÄMTLANDS LÄN</t>
        </is>
      </c>
      <c r="E485" t="inlineStr">
        <is>
          <t>BERG</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28257-2025</t>
        </is>
      </c>
      <c r="B486" s="1" t="n">
        <v>45818.55263888889</v>
      </c>
      <c r="C486" s="1" t="n">
        <v>46048</v>
      </c>
      <c r="D486" t="inlineStr">
        <is>
          <t>JÄMTLANDS LÄN</t>
        </is>
      </c>
      <c r="E486" t="inlineStr">
        <is>
          <t>BERG</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28657-2025</t>
        </is>
      </c>
      <c r="B487" s="1" t="n">
        <v>45819.65709490741</v>
      </c>
      <c r="C487" s="1" t="n">
        <v>46048</v>
      </c>
      <c r="D487" t="inlineStr">
        <is>
          <t>JÄMTLANDS LÄN</t>
        </is>
      </c>
      <c r="E487" t="inlineStr">
        <is>
          <t>BERG</t>
        </is>
      </c>
      <c r="G487" t="n">
        <v>2.4</v>
      </c>
      <c r="H487" t="n">
        <v>0</v>
      </c>
      <c r="I487" t="n">
        <v>0</v>
      </c>
      <c r="J487" t="n">
        <v>0</v>
      </c>
      <c r="K487" t="n">
        <v>0</v>
      </c>
      <c r="L487" t="n">
        <v>0</v>
      </c>
      <c r="M487" t="n">
        <v>0</v>
      </c>
      <c r="N487" t="n">
        <v>0</v>
      </c>
      <c r="O487" t="n">
        <v>0</v>
      </c>
      <c r="P487" t="n">
        <v>0</v>
      </c>
      <c r="Q487" t="n">
        <v>0</v>
      </c>
      <c r="R487" s="2" t="inlineStr"/>
    </row>
    <row r="488" ht="15" customHeight="1">
      <c r="A488" t="inlineStr">
        <is>
          <t>A 28196-2025</t>
        </is>
      </c>
      <c r="B488" s="1" t="n">
        <v>45818.42753472222</v>
      </c>
      <c r="C488" s="1" t="n">
        <v>46048</v>
      </c>
      <c r="D488" t="inlineStr">
        <is>
          <t>JÄMTLANDS LÄN</t>
        </is>
      </c>
      <c r="E488" t="inlineStr">
        <is>
          <t>BERG</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49225-2024</t>
        </is>
      </c>
      <c r="B489" s="1" t="n">
        <v>45595.4177662037</v>
      </c>
      <c r="C489" s="1" t="n">
        <v>46048</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28401-2025</t>
        </is>
      </c>
      <c r="B490" s="1" t="n">
        <v>45819.34469907408</v>
      </c>
      <c r="C490" s="1" t="n">
        <v>46048</v>
      </c>
      <c r="D490" t="inlineStr">
        <is>
          <t>JÄMTLANDS LÄN</t>
        </is>
      </c>
      <c r="E490" t="inlineStr">
        <is>
          <t>BERG</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28453-2025</t>
        </is>
      </c>
      <c r="B491" s="1" t="n">
        <v>45819.40668981482</v>
      </c>
      <c r="C491" s="1" t="n">
        <v>46048</v>
      </c>
      <c r="D491" t="inlineStr">
        <is>
          <t>JÄMTLANDS LÄN</t>
        </is>
      </c>
      <c r="E491" t="inlineStr">
        <is>
          <t>BERG</t>
        </is>
      </c>
      <c r="G491" t="n">
        <v>4.1</v>
      </c>
      <c r="H491" t="n">
        <v>0</v>
      </c>
      <c r="I491" t="n">
        <v>0</v>
      </c>
      <c r="J491" t="n">
        <v>0</v>
      </c>
      <c r="K491" t="n">
        <v>0</v>
      </c>
      <c r="L491" t="n">
        <v>0</v>
      </c>
      <c r="M491" t="n">
        <v>0</v>
      </c>
      <c r="N491" t="n">
        <v>0</v>
      </c>
      <c r="O491" t="n">
        <v>0</v>
      </c>
      <c r="P491" t="n">
        <v>0</v>
      </c>
      <c r="Q491" t="n">
        <v>0</v>
      </c>
      <c r="R491" s="2" t="inlineStr"/>
    </row>
    <row r="492" ht="15" customHeight="1">
      <c r="A492" t="inlineStr">
        <is>
          <t>A 28157-2025</t>
        </is>
      </c>
      <c r="B492" s="1" t="n">
        <v>45818.36512731481</v>
      </c>
      <c r="C492" s="1" t="n">
        <v>46048</v>
      </c>
      <c r="D492" t="inlineStr">
        <is>
          <t>JÄMTLANDS LÄN</t>
        </is>
      </c>
      <c r="E492" t="inlineStr">
        <is>
          <t>BERG</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37093-2024</t>
        </is>
      </c>
      <c r="B493" s="1" t="n">
        <v>45539.50018518518</v>
      </c>
      <c r="C493" s="1" t="n">
        <v>46048</v>
      </c>
      <c r="D493" t="inlineStr">
        <is>
          <t>JÄMTLANDS LÄN</t>
        </is>
      </c>
      <c r="E493" t="inlineStr">
        <is>
          <t>BERG</t>
        </is>
      </c>
      <c r="F493" t="inlineStr">
        <is>
          <t>Övriga Aktiebolag</t>
        </is>
      </c>
      <c r="G493" t="n">
        <v>15.4</v>
      </c>
      <c r="H493" t="n">
        <v>0</v>
      </c>
      <c r="I493" t="n">
        <v>0</v>
      </c>
      <c r="J493" t="n">
        <v>0</v>
      </c>
      <c r="K493" t="n">
        <v>0</v>
      </c>
      <c r="L493" t="n">
        <v>0</v>
      </c>
      <c r="M493" t="n">
        <v>0</v>
      </c>
      <c r="N493" t="n">
        <v>0</v>
      </c>
      <c r="O493" t="n">
        <v>0</v>
      </c>
      <c r="P493" t="n">
        <v>0</v>
      </c>
      <c r="Q493" t="n">
        <v>0</v>
      </c>
      <c r="R493" s="2" t="inlineStr"/>
    </row>
    <row r="494" ht="15" customHeight="1">
      <c r="A494" t="inlineStr">
        <is>
          <t>A 28454-2025</t>
        </is>
      </c>
      <c r="B494" s="1" t="n">
        <v>45819.40679398148</v>
      </c>
      <c r="C494" s="1" t="n">
        <v>46048</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15624-2023</t>
        </is>
      </c>
      <c r="B495" s="1" t="n">
        <v>45020.94496527778</v>
      </c>
      <c r="C495" s="1" t="n">
        <v>46048</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20882-2023</t>
        </is>
      </c>
      <c r="B496" s="1" t="n">
        <v>45058</v>
      </c>
      <c r="C496" s="1" t="n">
        <v>46048</v>
      </c>
      <c r="D496" t="inlineStr">
        <is>
          <t>JÄMTLANDS LÄN</t>
        </is>
      </c>
      <c r="E496" t="inlineStr">
        <is>
          <t>BERG</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10861-2024</t>
        </is>
      </c>
      <c r="B497" s="1" t="n">
        <v>45370.01967592593</v>
      </c>
      <c r="C497" s="1" t="n">
        <v>46048</v>
      </c>
      <c r="D497" t="inlineStr">
        <is>
          <t>JÄMTLANDS LÄN</t>
        </is>
      </c>
      <c r="E497" t="inlineStr">
        <is>
          <t>BERG</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29199-2025</t>
        </is>
      </c>
      <c r="B498" s="1" t="n">
        <v>45823.34459490741</v>
      </c>
      <c r="C498" s="1" t="n">
        <v>46048</v>
      </c>
      <c r="D498" t="inlineStr">
        <is>
          <t>JÄMTLANDS LÄN</t>
        </is>
      </c>
      <c r="E498" t="inlineStr">
        <is>
          <t>BERG</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29197-2025</t>
        </is>
      </c>
      <c r="B499" s="1" t="n">
        <v>45823.34438657408</v>
      </c>
      <c r="C499" s="1" t="n">
        <v>46048</v>
      </c>
      <c r="D499" t="inlineStr">
        <is>
          <t>JÄMTLANDS LÄN</t>
        </is>
      </c>
      <c r="E499" t="inlineStr">
        <is>
          <t>BERG</t>
        </is>
      </c>
      <c r="F499" t="inlineStr">
        <is>
          <t>SCA</t>
        </is>
      </c>
      <c r="G499" t="n">
        <v>10</v>
      </c>
      <c r="H499" t="n">
        <v>0</v>
      </c>
      <c r="I499" t="n">
        <v>0</v>
      </c>
      <c r="J499" t="n">
        <v>0</v>
      </c>
      <c r="K499" t="n">
        <v>0</v>
      </c>
      <c r="L499" t="n">
        <v>0</v>
      </c>
      <c r="M499" t="n">
        <v>0</v>
      </c>
      <c r="N499" t="n">
        <v>0</v>
      </c>
      <c r="O499" t="n">
        <v>0</v>
      </c>
      <c r="P499" t="n">
        <v>0</v>
      </c>
      <c r="Q499" t="n">
        <v>0</v>
      </c>
      <c r="R499" s="2" t="inlineStr"/>
    </row>
    <row r="500" ht="15" customHeight="1">
      <c r="A500" t="inlineStr">
        <is>
          <t>A 21679-2023</t>
        </is>
      </c>
      <c r="B500" s="1" t="n">
        <v>45063.94199074074</v>
      </c>
      <c r="C500" s="1" t="n">
        <v>46048</v>
      </c>
      <c r="D500" t="inlineStr">
        <is>
          <t>JÄMTLANDS LÄN</t>
        </is>
      </c>
      <c r="E500" t="inlineStr">
        <is>
          <t>BERG</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29310-2025</t>
        </is>
      </c>
      <c r="B501" s="1" t="n">
        <v>45824.46353009259</v>
      </c>
      <c r="C501" s="1" t="n">
        <v>46048</v>
      </c>
      <c r="D501" t="inlineStr">
        <is>
          <t>JÄMTLANDS LÄN</t>
        </is>
      </c>
      <c r="E501" t="inlineStr">
        <is>
          <t>BERG</t>
        </is>
      </c>
      <c r="G501" t="n">
        <v>5.6</v>
      </c>
      <c r="H501" t="n">
        <v>0</v>
      </c>
      <c r="I501" t="n">
        <v>0</v>
      </c>
      <c r="J501" t="n">
        <v>0</v>
      </c>
      <c r="K501" t="n">
        <v>0</v>
      </c>
      <c r="L501" t="n">
        <v>0</v>
      </c>
      <c r="M501" t="n">
        <v>0</v>
      </c>
      <c r="N501" t="n">
        <v>0</v>
      </c>
      <c r="O501" t="n">
        <v>0</v>
      </c>
      <c r="P501" t="n">
        <v>0</v>
      </c>
      <c r="Q501" t="n">
        <v>0</v>
      </c>
      <c r="R501" s="2" t="inlineStr"/>
    </row>
    <row r="502" ht="15" customHeight="1">
      <c r="A502" t="inlineStr">
        <is>
          <t>A 29538-2025</t>
        </is>
      </c>
      <c r="B502" s="1" t="n">
        <v>45825.34517361111</v>
      </c>
      <c r="C502" s="1" t="n">
        <v>46048</v>
      </c>
      <c r="D502" t="inlineStr">
        <is>
          <t>JÄMTLANDS LÄN</t>
        </is>
      </c>
      <c r="E502" t="inlineStr">
        <is>
          <t>BERG</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29533-2025</t>
        </is>
      </c>
      <c r="B503" s="1" t="n">
        <v>45825.34466435185</v>
      </c>
      <c r="C503" s="1" t="n">
        <v>46048</v>
      </c>
      <c r="D503" t="inlineStr">
        <is>
          <t>JÄMTLANDS LÄN</t>
        </is>
      </c>
      <c r="E503" t="inlineStr">
        <is>
          <t>BERG</t>
        </is>
      </c>
      <c r="F503" t="inlineStr">
        <is>
          <t>SCA</t>
        </is>
      </c>
      <c r="G503" t="n">
        <v>10</v>
      </c>
      <c r="H503" t="n">
        <v>0</v>
      </c>
      <c r="I503" t="n">
        <v>0</v>
      </c>
      <c r="J503" t="n">
        <v>0</v>
      </c>
      <c r="K503" t="n">
        <v>0</v>
      </c>
      <c r="L503" t="n">
        <v>0</v>
      </c>
      <c r="M503" t="n">
        <v>0</v>
      </c>
      <c r="N503" t="n">
        <v>0</v>
      </c>
      <c r="O503" t="n">
        <v>0</v>
      </c>
      <c r="P503" t="n">
        <v>0</v>
      </c>
      <c r="Q503" t="n">
        <v>0</v>
      </c>
      <c r="R503" s="2" t="inlineStr"/>
    </row>
    <row r="504" ht="15" customHeight="1">
      <c r="A504" t="inlineStr">
        <is>
          <t>A 29279-2025</t>
        </is>
      </c>
      <c r="B504" s="1" t="n">
        <v>45824.42381944445</v>
      </c>
      <c r="C504" s="1" t="n">
        <v>46048</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29198-2025</t>
        </is>
      </c>
      <c r="B505" s="1" t="n">
        <v>45823.34451388889</v>
      </c>
      <c r="C505" s="1" t="n">
        <v>46048</v>
      </c>
      <c r="D505" t="inlineStr">
        <is>
          <t>JÄMTLANDS LÄN</t>
        </is>
      </c>
      <c r="E505" t="inlineStr">
        <is>
          <t>BERG</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22947-2022</t>
        </is>
      </c>
      <c r="B506" s="1" t="n">
        <v>44715.92443287037</v>
      </c>
      <c r="C506" s="1" t="n">
        <v>46048</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29836-2025</t>
        </is>
      </c>
      <c r="B507" s="1" t="n">
        <v>45825.9468287037</v>
      </c>
      <c r="C507" s="1" t="n">
        <v>46048</v>
      </c>
      <c r="D507" t="inlineStr">
        <is>
          <t>JÄMTLANDS LÄN</t>
        </is>
      </c>
      <c r="E507" t="inlineStr">
        <is>
          <t>BERG</t>
        </is>
      </c>
      <c r="G507" t="n">
        <v>12.7</v>
      </c>
      <c r="H507" t="n">
        <v>0</v>
      </c>
      <c r="I507" t="n">
        <v>0</v>
      </c>
      <c r="J507" t="n">
        <v>0</v>
      </c>
      <c r="K507" t="n">
        <v>0</v>
      </c>
      <c r="L507" t="n">
        <v>0</v>
      </c>
      <c r="M507" t="n">
        <v>0</v>
      </c>
      <c r="N507" t="n">
        <v>0</v>
      </c>
      <c r="O507" t="n">
        <v>0</v>
      </c>
      <c r="P507" t="n">
        <v>0</v>
      </c>
      <c r="Q507" t="n">
        <v>0</v>
      </c>
      <c r="R507" s="2" t="inlineStr"/>
    </row>
    <row r="508" ht="15" customHeight="1">
      <c r="A508" t="inlineStr">
        <is>
          <t>A 12774-2023</t>
        </is>
      </c>
      <c r="B508" s="1" t="n">
        <v>45001</v>
      </c>
      <c r="C508" s="1" t="n">
        <v>46048</v>
      </c>
      <c r="D508" t="inlineStr">
        <is>
          <t>JÄMTLANDS LÄN</t>
        </is>
      </c>
      <c r="E508" t="inlineStr">
        <is>
          <t>BERG</t>
        </is>
      </c>
      <c r="G508" t="n">
        <v>0.7</v>
      </c>
      <c r="H508" t="n">
        <v>0</v>
      </c>
      <c r="I508" t="n">
        <v>0</v>
      </c>
      <c r="J508" t="n">
        <v>0</v>
      </c>
      <c r="K508" t="n">
        <v>0</v>
      </c>
      <c r="L508" t="n">
        <v>0</v>
      </c>
      <c r="M508" t="n">
        <v>0</v>
      </c>
      <c r="N508" t="n">
        <v>0</v>
      </c>
      <c r="O508" t="n">
        <v>0</v>
      </c>
      <c r="P508" t="n">
        <v>0</v>
      </c>
      <c r="Q508" t="n">
        <v>0</v>
      </c>
      <c r="R508" s="2" t="inlineStr"/>
    </row>
    <row r="509" ht="15" customHeight="1">
      <c r="A509" t="inlineStr">
        <is>
          <t>A 20268-2024</t>
        </is>
      </c>
      <c r="B509" s="1" t="n">
        <v>45434.94887731481</v>
      </c>
      <c r="C509" s="1" t="n">
        <v>46048</v>
      </c>
      <c r="D509" t="inlineStr">
        <is>
          <t>JÄMTLANDS LÄN</t>
        </is>
      </c>
      <c r="E509" t="inlineStr">
        <is>
          <t>BERG</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30017-2025</t>
        </is>
      </c>
      <c r="B510" s="1" t="n">
        <v>45826.55306712963</v>
      </c>
      <c r="C510" s="1" t="n">
        <v>46048</v>
      </c>
      <c r="D510" t="inlineStr">
        <is>
          <t>JÄMTLANDS LÄN</t>
        </is>
      </c>
      <c r="E510" t="inlineStr">
        <is>
          <t>BERG</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12342-2023</t>
        </is>
      </c>
      <c r="B511" s="1" t="n">
        <v>44998</v>
      </c>
      <c r="C511" s="1" t="n">
        <v>46048</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60587-2022</t>
        </is>
      </c>
      <c r="B512" s="1" t="n">
        <v>44911.58445601852</v>
      </c>
      <c r="C512" s="1" t="n">
        <v>46048</v>
      </c>
      <c r="D512" t="inlineStr">
        <is>
          <t>JÄMTLANDS LÄN</t>
        </is>
      </c>
      <c r="E512" t="inlineStr">
        <is>
          <t>BERG</t>
        </is>
      </c>
      <c r="G512" t="n">
        <v>4.8</v>
      </c>
      <c r="H512" t="n">
        <v>0</v>
      </c>
      <c r="I512" t="n">
        <v>0</v>
      </c>
      <c r="J512" t="n">
        <v>0</v>
      </c>
      <c r="K512" t="n">
        <v>0</v>
      </c>
      <c r="L512" t="n">
        <v>0</v>
      </c>
      <c r="M512" t="n">
        <v>0</v>
      </c>
      <c r="N512" t="n">
        <v>0</v>
      </c>
      <c r="O512" t="n">
        <v>0</v>
      </c>
      <c r="P512" t="n">
        <v>0</v>
      </c>
      <c r="Q512" t="n">
        <v>0</v>
      </c>
      <c r="R512" s="2" t="inlineStr"/>
    </row>
    <row r="513" ht="15" customHeight="1">
      <c r="A513" t="inlineStr">
        <is>
          <t>A 6645-2025</t>
        </is>
      </c>
      <c r="B513" s="1" t="n">
        <v>45700.39645833334</v>
      </c>
      <c r="C513" s="1" t="n">
        <v>46048</v>
      </c>
      <c r="D513" t="inlineStr">
        <is>
          <t>JÄMTLANDS LÄN</t>
        </is>
      </c>
      <c r="E513" t="inlineStr">
        <is>
          <t>BERG</t>
        </is>
      </c>
      <c r="G513" t="n">
        <v>2.6</v>
      </c>
      <c r="H513" t="n">
        <v>0</v>
      </c>
      <c r="I513" t="n">
        <v>0</v>
      </c>
      <c r="J513" t="n">
        <v>0</v>
      </c>
      <c r="K513" t="n">
        <v>0</v>
      </c>
      <c r="L513" t="n">
        <v>0</v>
      </c>
      <c r="M513" t="n">
        <v>0</v>
      </c>
      <c r="N513" t="n">
        <v>0</v>
      </c>
      <c r="O513" t="n">
        <v>0</v>
      </c>
      <c r="P513" t="n">
        <v>0</v>
      </c>
      <c r="Q513" t="n">
        <v>0</v>
      </c>
      <c r="R513" s="2" t="inlineStr"/>
    </row>
    <row r="514" ht="15" customHeight="1">
      <c r="A514" t="inlineStr">
        <is>
          <t>A 12254-2025</t>
        </is>
      </c>
      <c r="B514" s="1" t="n">
        <v>45729</v>
      </c>
      <c r="C514" s="1" t="n">
        <v>46048</v>
      </c>
      <c r="D514" t="inlineStr">
        <is>
          <t>JÄMTLANDS LÄN</t>
        </is>
      </c>
      <c r="E514" t="inlineStr">
        <is>
          <t>BERG</t>
        </is>
      </c>
      <c r="G514" t="n">
        <v>26.3</v>
      </c>
      <c r="H514" t="n">
        <v>0</v>
      </c>
      <c r="I514" t="n">
        <v>0</v>
      </c>
      <c r="J514" t="n">
        <v>0</v>
      </c>
      <c r="K514" t="n">
        <v>0</v>
      </c>
      <c r="L514" t="n">
        <v>0</v>
      </c>
      <c r="M514" t="n">
        <v>0</v>
      </c>
      <c r="N514" t="n">
        <v>0</v>
      </c>
      <c r="O514" t="n">
        <v>0</v>
      </c>
      <c r="P514" t="n">
        <v>0</v>
      </c>
      <c r="Q514" t="n">
        <v>0</v>
      </c>
      <c r="R514" s="2" t="inlineStr"/>
    </row>
    <row r="515" ht="15" customHeight="1">
      <c r="A515" t="inlineStr">
        <is>
          <t>A 31155-2024</t>
        </is>
      </c>
      <c r="B515" s="1" t="n">
        <v>45503</v>
      </c>
      <c r="C515" s="1" t="n">
        <v>46048</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30314-2025</t>
        </is>
      </c>
      <c r="B516" s="1" t="n">
        <v>45827.49047453704</v>
      </c>
      <c r="C516" s="1" t="n">
        <v>46048</v>
      </c>
      <c r="D516" t="inlineStr">
        <is>
          <t>JÄMTLANDS LÄN</t>
        </is>
      </c>
      <c r="E516" t="inlineStr">
        <is>
          <t>BERG</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51172-2024</t>
        </is>
      </c>
      <c r="B517" s="1" t="n">
        <v>45603.59056712963</v>
      </c>
      <c r="C517" s="1" t="n">
        <v>46048</v>
      </c>
      <c r="D517" t="inlineStr">
        <is>
          <t>JÄMTLANDS LÄN</t>
        </is>
      </c>
      <c r="E517" t="inlineStr">
        <is>
          <t>BERG</t>
        </is>
      </c>
      <c r="G517" t="n">
        <v>12.2</v>
      </c>
      <c r="H517" t="n">
        <v>0</v>
      </c>
      <c r="I517" t="n">
        <v>0</v>
      </c>
      <c r="J517" t="n">
        <v>0</v>
      </c>
      <c r="K517" t="n">
        <v>0</v>
      </c>
      <c r="L517" t="n">
        <v>0</v>
      </c>
      <c r="M517" t="n">
        <v>0</v>
      </c>
      <c r="N517" t="n">
        <v>0</v>
      </c>
      <c r="O517" t="n">
        <v>0</v>
      </c>
      <c r="P517" t="n">
        <v>0</v>
      </c>
      <c r="Q517" t="n">
        <v>0</v>
      </c>
      <c r="R517" s="2" t="inlineStr"/>
    </row>
    <row r="518" ht="15" customHeight="1">
      <c r="A518" t="inlineStr">
        <is>
          <t>A 29902-2025</t>
        </is>
      </c>
      <c r="B518" s="1" t="n">
        <v>45826</v>
      </c>
      <c r="C518" s="1" t="n">
        <v>46048</v>
      </c>
      <c r="D518" t="inlineStr">
        <is>
          <t>JÄMTLANDS LÄN</t>
        </is>
      </c>
      <c r="E518" t="inlineStr">
        <is>
          <t>BERG</t>
        </is>
      </c>
      <c r="G518" t="n">
        <v>9.1</v>
      </c>
      <c r="H518" t="n">
        <v>0</v>
      </c>
      <c r="I518" t="n">
        <v>0</v>
      </c>
      <c r="J518" t="n">
        <v>0</v>
      </c>
      <c r="K518" t="n">
        <v>0</v>
      </c>
      <c r="L518" t="n">
        <v>0</v>
      </c>
      <c r="M518" t="n">
        <v>0</v>
      </c>
      <c r="N518" t="n">
        <v>0</v>
      </c>
      <c r="O518" t="n">
        <v>0</v>
      </c>
      <c r="P518" t="n">
        <v>0</v>
      </c>
      <c r="Q518" t="n">
        <v>0</v>
      </c>
      <c r="R518" s="2" t="inlineStr"/>
    </row>
    <row r="519" ht="15" customHeight="1">
      <c r="A519" t="inlineStr">
        <is>
          <t>A 29908-2025</t>
        </is>
      </c>
      <c r="B519" s="1" t="n">
        <v>45826</v>
      </c>
      <c r="C519" s="1" t="n">
        <v>46048</v>
      </c>
      <c r="D519" t="inlineStr">
        <is>
          <t>JÄMTLANDS LÄN</t>
        </is>
      </c>
      <c r="E519" t="inlineStr">
        <is>
          <t>BERG</t>
        </is>
      </c>
      <c r="G519" t="n">
        <v>2.2</v>
      </c>
      <c r="H519" t="n">
        <v>0</v>
      </c>
      <c r="I519" t="n">
        <v>0</v>
      </c>
      <c r="J519" t="n">
        <v>0</v>
      </c>
      <c r="K519" t="n">
        <v>0</v>
      </c>
      <c r="L519" t="n">
        <v>0</v>
      </c>
      <c r="M519" t="n">
        <v>0</v>
      </c>
      <c r="N519" t="n">
        <v>0</v>
      </c>
      <c r="O519" t="n">
        <v>0</v>
      </c>
      <c r="P519" t="n">
        <v>0</v>
      </c>
      <c r="Q519" t="n">
        <v>0</v>
      </c>
      <c r="R519" s="2" t="inlineStr"/>
    </row>
    <row r="520" ht="15" customHeight="1">
      <c r="A520" t="inlineStr">
        <is>
          <t>A 65210-2023</t>
        </is>
      </c>
      <c r="B520" s="1" t="n">
        <v>45289</v>
      </c>
      <c r="C520" s="1" t="n">
        <v>46048</v>
      </c>
      <c r="D520" t="inlineStr">
        <is>
          <t>JÄMTLANDS LÄN</t>
        </is>
      </c>
      <c r="E520" t="inlineStr">
        <is>
          <t>BERG</t>
        </is>
      </c>
      <c r="G520" t="n">
        <v>0.4</v>
      </c>
      <c r="H520" t="n">
        <v>0</v>
      </c>
      <c r="I520" t="n">
        <v>0</v>
      </c>
      <c r="J520" t="n">
        <v>0</v>
      </c>
      <c r="K520" t="n">
        <v>0</v>
      </c>
      <c r="L520" t="n">
        <v>0</v>
      </c>
      <c r="M520" t="n">
        <v>0</v>
      </c>
      <c r="N520" t="n">
        <v>0</v>
      </c>
      <c r="O520" t="n">
        <v>0</v>
      </c>
      <c r="P520" t="n">
        <v>0</v>
      </c>
      <c r="Q520" t="n">
        <v>0</v>
      </c>
      <c r="R520" s="2" t="inlineStr"/>
    </row>
    <row r="521" ht="15" customHeight="1">
      <c r="A521" t="inlineStr">
        <is>
          <t>A 23560-2024</t>
        </is>
      </c>
      <c r="B521" s="1" t="n">
        <v>45453.95467592592</v>
      </c>
      <c r="C521" s="1" t="n">
        <v>46048</v>
      </c>
      <c r="D521" t="inlineStr">
        <is>
          <t>JÄMTLANDS LÄN</t>
        </is>
      </c>
      <c r="E521" t="inlineStr">
        <is>
          <t>BERG</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31015-2025</t>
        </is>
      </c>
      <c r="B522" s="1" t="n">
        <v>45832.51086805556</v>
      </c>
      <c r="C522" s="1" t="n">
        <v>46048</v>
      </c>
      <c r="D522" t="inlineStr">
        <is>
          <t>JÄMTLANDS LÄN</t>
        </is>
      </c>
      <c r="E522" t="inlineStr">
        <is>
          <t>BERG</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31017-2025</t>
        </is>
      </c>
      <c r="B523" s="1" t="n">
        <v>45832.51111111111</v>
      </c>
      <c r="C523" s="1" t="n">
        <v>46048</v>
      </c>
      <c r="D523" t="inlineStr">
        <is>
          <t>JÄMTLANDS LÄN</t>
        </is>
      </c>
      <c r="E523" t="inlineStr">
        <is>
          <t>BERG</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12392-2025</t>
        </is>
      </c>
      <c r="B524" s="1" t="n">
        <v>45730.40104166666</v>
      </c>
      <c r="C524" s="1" t="n">
        <v>46048</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31070-2025</t>
        </is>
      </c>
      <c r="B525" s="1" t="n">
        <v>45832.57887731482</v>
      </c>
      <c r="C525" s="1" t="n">
        <v>46048</v>
      </c>
      <c r="D525" t="inlineStr">
        <is>
          <t>JÄMTLANDS LÄN</t>
        </is>
      </c>
      <c r="E525" t="inlineStr">
        <is>
          <t>BERG</t>
        </is>
      </c>
      <c r="G525" t="n">
        <v>3.7</v>
      </c>
      <c r="H525" t="n">
        <v>0</v>
      </c>
      <c r="I525" t="n">
        <v>0</v>
      </c>
      <c r="J525" t="n">
        <v>0</v>
      </c>
      <c r="K525" t="n">
        <v>0</v>
      </c>
      <c r="L525" t="n">
        <v>0</v>
      </c>
      <c r="M525" t="n">
        <v>0</v>
      </c>
      <c r="N525" t="n">
        <v>0</v>
      </c>
      <c r="O525" t="n">
        <v>0</v>
      </c>
      <c r="P525" t="n">
        <v>0</v>
      </c>
      <c r="Q525" t="n">
        <v>0</v>
      </c>
      <c r="R525" s="2" t="inlineStr"/>
    </row>
    <row r="526" ht="15" customHeight="1">
      <c r="A526" t="inlineStr">
        <is>
          <t>A 31090-2025</t>
        </is>
      </c>
      <c r="B526" s="1" t="n">
        <v>45832.59436342592</v>
      </c>
      <c r="C526" s="1" t="n">
        <v>46048</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64251-2023</t>
        </is>
      </c>
      <c r="B527" s="1" t="n">
        <v>45279.92756944444</v>
      </c>
      <c r="C527" s="1" t="n">
        <v>46048</v>
      </c>
      <c r="D527" t="inlineStr">
        <is>
          <t>JÄMTLANDS LÄN</t>
        </is>
      </c>
      <c r="E527" t="inlineStr">
        <is>
          <t>BERG</t>
        </is>
      </c>
      <c r="G527" t="n">
        <v>0.4</v>
      </c>
      <c r="H527" t="n">
        <v>0</v>
      </c>
      <c r="I527" t="n">
        <v>0</v>
      </c>
      <c r="J527" t="n">
        <v>0</v>
      </c>
      <c r="K527" t="n">
        <v>0</v>
      </c>
      <c r="L527" t="n">
        <v>0</v>
      </c>
      <c r="M527" t="n">
        <v>0</v>
      </c>
      <c r="N527" t="n">
        <v>0</v>
      </c>
      <c r="O527" t="n">
        <v>0</v>
      </c>
      <c r="P527" t="n">
        <v>0</v>
      </c>
      <c r="Q527" t="n">
        <v>0</v>
      </c>
      <c r="R527" s="2" t="inlineStr"/>
    </row>
    <row r="528" ht="15" customHeight="1">
      <c r="A528" t="inlineStr">
        <is>
          <t>A 1982-2022</t>
        </is>
      </c>
      <c r="B528" s="1" t="n">
        <v>44575</v>
      </c>
      <c r="C528" s="1" t="n">
        <v>46048</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1989-2022</t>
        </is>
      </c>
      <c r="B529" s="1" t="n">
        <v>44575.55935185185</v>
      </c>
      <c r="C529" s="1" t="n">
        <v>46048</v>
      </c>
      <c r="D529" t="inlineStr">
        <is>
          <t>JÄMTLANDS LÄN</t>
        </is>
      </c>
      <c r="E529" t="inlineStr">
        <is>
          <t>BERG</t>
        </is>
      </c>
      <c r="G529" t="n">
        <v>0.7</v>
      </c>
      <c r="H529" t="n">
        <v>0</v>
      </c>
      <c r="I529" t="n">
        <v>0</v>
      </c>
      <c r="J529" t="n">
        <v>0</v>
      </c>
      <c r="K529" t="n">
        <v>0</v>
      </c>
      <c r="L529" t="n">
        <v>0</v>
      </c>
      <c r="M529" t="n">
        <v>0</v>
      </c>
      <c r="N529" t="n">
        <v>0</v>
      </c>
      <c r="O529" t="n">
        <v>0</v>
      </c>
      <c r="P529" t="n">
        <v>0</v>
      </c>
      <c r="Q529" t="n">
        <v>0</v>
      </c>
      <c r="R529" s="2" t="inlineStr"/>
    </row>
    <row r="530" ht="15" customHeight="1">
      <c r="A530" t="inlineStr">
        <is>
          <t>A 3173-2025</t>
        </is>
      </c>
      <c r="B530" s="1" t="n">
        <v>45679.38309027778</v>
      </c>
      <c r="C530" s="1" t="n">
        <v>46048</v>
      </c>
      <c r="D530" t="inlineStr">
        <is>
          <t>JÄMTLANDS LÄN</t>
        </is>
      </c>
      <c r="E530" t="inlineStr">
        <is>
          <t>BERG</t>
        </is>
      </c>
      <c r="G530" t="n">
        <v>8.9</v>
      </c>
      <c r="H530" t="n">
        <v>0</v>
      </c>
      <c r="I530" t="n">
        <v>0</v>
      </c>
      <c r="J530" t="n">
        <v>0</v>
      </c>
      <c r="K530" t="n">
        <v>0</v>
      </c>
      <c r="L530" t="n">
        <v>0</v>
      </c>
      <c r="M530" t="n">
        <v>0</v>
      </c>
      <c r="N530" t="n">
        <v>0</v>
      </c>
      <c r="O530" t="n">
        <v>0</v>
      </c>
      <c r="P530" t="n">
        <v>0</v>
      </c>
      <c r="Q530" t="n">
        <v>0</v>
      </c>
      <c r="R530" s="2" t="inlineStr"/>
    </row>
    <row r="531" ht="15" customHeight="1">
      <c r="A531" t="inlineStr">
        <is>
          <t>A 33481-2023</t>
        </is>
      </c>
      <c r="B531" s="1" t="n">
        <v>45131</v>
      </c>
      <c r="C531" s="1" t="n">
        <v>46048</v>
      </c>
      <c r="D531" t="inlineStr">
        <is>
          <t>JÄMTLANDS LÄN</t>
        </is>
      </c>
      <c r="E531" t="inlineStr">
        <is>
          <t>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62153-2022</t>
        </is>
      </c>
      <c r="B532" s="1" t="n">
        <v>44914</v>
      </c>
      <c r="C532" s="1" t="n">
        <v>46048</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15156-2024</t>
        </is>
      </c>
      <c r="B533" s="1" t="n">
        <v>45399.94496527778</v>
      </c>
      <c r="C533" s="1" t="n">
        <v>46048</v>
      </c>
      <c r="D533" t="inlineStr">
        <is>
          <t>JÄMTLANDS LÄN</t>
        </is>
      </c>
      <c r="E533" t="inlineStr">
        <is>
          <t>BERG</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31136-2025</t>
        </is>
      </c>
      <c r="B534" s="1" t="n">
        <v>45832.63599537037</v>
      </c>
      <c r="C534" s="1" t="n">
        <v>46048</v>
      </c>
      <c r="D534" t="inlineStr">
        <is>
          <t>JÄMTLANDS LÄN</t>
        </is>
      </c>
      <c r="E534" t="inlineStr">
        <is>
          <t>BERG</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46858-2023</t>
        </is>
      </c>
      <c r="B535" s="1" t="n">
        <v>45199.97042824074</v>
      </c>
      <c r="C535" s="1" t="n">
        <v>46048</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46874-2023</t>
        </is>
      </c>
      <c r="B536" s="1" t="n">
        <v>45200</v>
      </c>
      <c r="C536" s="1" t="n">
        <v>46048</v>
      </c>
      <c r="D536" t="inlineStr">
        <is>
          <t>JÄMTLANDS LÄN</t>
        </is>
      </c>
      <c r="E536" t="inlineStr">
        <is>
          <t>BERG</t>
        </is>
      </c>
      <c r="F536" t="inlineStr">
        <is>
          <t>Naturvårdsverket</t>
        </is>
      </c>
      <c r="G536" t="n">
        <v>1.1</v>
      </c>
      <c r="H536" t="n">
        <v>0</v>
      </c>
      <c r="I536" t="n">
        <v>0</v>
      </c>
      <c r="J536" t="n">
        <v>0</v>
      </c>
      <c r="K536" t="n">
        <v>0</v>
      </c>
      <c r="L536" t="n">
        <v>0</v>
      </c>
      <c r="M536" t="n">
        <v>0</v>
      </c>
      <c r="N536" t="n">
        <v>0</v>
      </c>
      <c r="O536" t="n">
        <v>0</v>
      </c>
      <c r="P536" t="n">
        <v>0</v>
      </c>
      <c r="Q536" t="n">
        <v>0</v>
      </c>
      <c r="R536" s="2" t="inlineStr"/>
    </row>
    <row r="537" ht="15" customHeight="1">
      <c r="A537" t="inlineStr">
        <is>
          <t>A 8711-2024</t>
        </is>
      </c>
      <c r="B537" s="1" t="n">
        <v>45356</v>
      </c>
      <c r="C537" s="1" t="n">
        <v>46048</v>
      </c>
      <c r="D537" t="inlineStr">
        <is>
          <t>JÄMTLANDS LÄN</t>
        </is>
      </c>
      <c r="E537" t="inlineStr">
        <is>
          <t>BERG</t>
        </is>
      </c>
      <c r="G537" t="n">
        <v>5.2</v>
      </c>
      <c r="H537" t="n">
        <v>0</v>
      </c>
      <c r="I537" t="n">
        <v>0</v>
      </c>
      <c r="J537" t="n">
        <v>0</v>
      </c>
      <c r="K537" t="n">
        <v>0</v>
      </c>
      <c r="L537" t="n">
        <v>0</v>
      </c>
      <c r="M537" t="n">
        <v>0</v>
      </c>
      <c r="N537" t="n">
        <v>0</v>
      </c>
      <c r="O537" t="n">
        <v>0</v>
      </c>
      <c r="P537" t="n">
        <v>0</v>
      </c>
      <c r="Q537" t="n">
        <v>0</v>
      </c>
      <c r="R537" s="2" t="inlineStr"/>
    </row>
    <row r="538" ht="15" customHeight="1">
      <c r="A538" t="inlineStr">
        <is>
          <t>A 14198-2023</t>
        </is>
      </c>
      <c r="B538" s="1" t="n">
        <v>45009.57518518518</v>
      </c>
      <c r="C538" s="1" t="n">
        <v>46048</v>
      </c>
      <c r="D538" t="inlineStr">
        <is>
          <t>JÄMTLANDS LÄN</t>
        </is>
      </c>
      <c r="E538" t="inlineStr">
        <is>
          <t>BERG</t>
        </is>
      </c>
      <c r="G538" t="n">
        <v>2.3</v>
      </c>
      <c r="H538" t="n">
        <v>0</v>
      </c>
      <c r="I538" t="n">
        <v>0</v>
      </c>
      <c r="J538" t="n">
        <v>0</v>
      </c>
      <c r="K538" t="n">
        <v>0</v>
      </c>
      <c r="L538" t="n">
        <v>0</v>
      </c>
      <c r="M538" t="n">
        <v>0</v>
      </c>
      <c r="N538" t="n">
        <v>0</v>
      </c>
      <c r="O538" t="n">
        <v>0</v>
      </c>
      <c r="P538" t="n">
        <v>0</v>
      </c>
      <c r="Q538" t="n">
        <v>0</v>
      </c>
      <c r="R538" s="2" t="inlineStr"/>
    </row>
    <row r="539" ht="15" customHeight="1">
      <c r="A539" t="inlineStr">
        <is>
          <t>A 1596-2024</t>
        </is>
      </c>
      <c r="B539" s="1" t="n">
        <v>45306</v>
      </c>
      <c r="C539" s="1" t="n">
        <v>46048</v>
      </c>
      <c r="D539" t="inlineStr">
        <is>
          <t>JÄMTLANDS LÄN</t>
        </is>
      </c>
      <c r="E539" t="inlineStr">
        <is>
          <t>BERG</t>
        </is>
      </c>
      <c r="G539" t="n">
        <v>0.8</v>
      </c>
      <c r="H539" t="n">
        <v>0</v>
      </c>
      <c r="I539" t="n">
        <v>0</v>
      </c>
      <c r="J539" t="n">
        <v>0</v>
      </c>
      <c r="K539" t="n">
        <v>0</v>
      </c>
      <c r="L539" t="n">
        <v>0</v>
      </c>
      <c r="M539" t="n">
        <v>0</v>
      </c>
      <c r="N539" t="n">
        <v>0</v>
      </c>
      <c r="O539" t="n">
        <v>0</v>
      </c>
      <c r="P539" t="n">
        <v>0</v>
      </c>
      <c r="Q539" t="n">
        <v>0</v>
      </c>
      <c r="R539" s="2" t="inlineStr"/>
    </row>
    <row r="540" ht="15" customHeight="1">
      <c r="A540" t="inlineStr">
        <is>
          <t>A 36192-2024</t>
        </is>
      </c>
      <c r="B540" s="1" t="n">
        <v>45534.42809027778</v>
      </c>
      <c r="C540" s="1" t="n">
        <v>46048</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32160-2025</t>
        </is>
      </c>
      <c r="B541" s="1" t="n">
        <v>45835.54142361111</v>
      </c>
      <c r="C541" s="1" t="n">
        <v>46048</v>
      </c>
      <c r="D541" t="inlineStr">
        <is>
          <t>JÄMTLANDS LÄN</t>
        </is>
      </c>
      <c r="E541" t="inlineStr">
        <is>
          <t>BERG</t>
        </is>
      </c>
      <c r="G541" t="n">
        <v>10.3</v>
      </c>
      <c r="H541" t="n">
        <v>0</v>
      </c>
      <c r="I541" t="n">
        <v>0</v>
      </c>
      <c r="J541" t="n">
        <v>0</v>
      </c>
      <c r="K541" t="n">
        <v>0</v>
      </c>
      <c r="L541" t="n">
        <v>0</v>
      </c>
      <c r="M541" t="n">
        <v>0</v>
      </c>
      <c r="N541" t="n">
        <v>0</v>
      </c>
      <c r="O541" t="n">
        <v>0</v>
      </c>
      <c r="P541" t="n">
        <v>0</v>
      </c>
      <c r="Q541" t="n">
        <v>0</v>
      </c>
      <c r="R541" s="2" t="inlineStr"/>
    </row>
    <row r="542" ht="15" customHeight="1">
      <c r="A542" t="inlineStr">
        <is>
          <t>A 14594-2025</t>
        </is>
      </c>
      <c r="B542" s="1" t="n">
        <v>45742.34414351852</v>
      </c>
      <c r="C542" s="1" t="n">
        <v>46048</v>
      </c>
      <c r="D542" t="inlineStr">
        <is>
          <t>JÄMTLANDS LÄN</t>
        </is>
      </c>
      <c r="E542" t="inlineStr">
        <is>
          <t>BERG</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14596-2025</t>
        </is>
      </c>
      <c r="B543" s="1" t="n">
        <v>45742.34449074074</v>
      </c>
      <c r="C543" s="1" t="n">
        <v>46048</v>
      </c>
      <c r="D543" t="inlineStr">
        <is>
          <t>JÄMTLANDS LÄN</t>
        </is>
      </c>
      <c r="E543" t="inlineStr">
        <is>
          <t>BERG</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31820-2025</t>
        </is>
      </c>
      <c r="B544" s="1" t="n">
        <v>45834.57930555556</v>
      </c>
      <c r="C544" s="1" t="n">
        <v>46048</v>
      </c>
      <c r="D544" t="inlineStr">
        <is>
          <t>JÄMTLANDS LÄN</t>
        </is>
      </c>
      <c r="E544" t="inlineStr">
        <is>
          <t>BERG</t>
        </is>
      </c>
      <c r="G544" t="n">
        <v>13.9</v>
      </c>
      <c r="H544" t="n">
        <v>0</v>
      </c>
      <c r="I544" t="n">
        <v>0</v>
      </c>
      <c r="J544" t="n">
        <v>0</v>
      </c>
      <c r="K544" t="n">
        <v>0</v>
      </c>
      <c r="L544" t="n">
        <v>0</v>
      </c>
      <c r="M544" t="n">
        <v>0</v>
      </c>
      <c r="N544" t="n">
        <v>0</v>
      </c>
      <c r="O544" t="n">
        <v>0</v>
      </c>
      <c r="P544" t="n">
        <v>0</v>
      </c>
      <c r="Q544" t="n">
        <v>0</v>
      </c>
      <c r="R544" s="2" t="inlineStr"/>
    </row>
    <row r="545" ht="15" customHeight="1">
      <c r="A545" t="inlineStr">
        <is>
          <t>A 1520-2022</t>
        </is>
      </c>
      <c r="B545" s="1" t="n">
        <v>44572</v>
      </c>
      <c r="C545" s="1" t="n">
        <v>46048</v>
      </c>
      <c r="D545" t="inlineStr">
        <is>
          <t>JÄMTLANDS LÄN</t>
        </is>
      </c>
      <c r="E545" t="inlineStr">
        <is>
          <t>BERG</t>
        </is>
      </c>
      <c r="G545" t="n">
        <v>7.7</v>
      </c>
      <c r="H545" t="n">
        <v>0</v>
      </c>
      <c r="I545" t="n">
        <v>0</v>
      </c>
      <c r="J545" t="n">
        <v>0</v>
      </c>
      <c r="K545" t="n">
        <v>0</v>
      </c>
      <c r="L545" t="n">
        <v>0</v>
      </c>
      <c r="M545" t="n">
        <v>0</v>
      </c>
      <c r="N545" t="n">
        <v>0</v>
      </c>
      <c r="O545" t="n">
        <v>0</v>
      </c>
      <c r="P545" t="n">
        <v>0</v>
      </c>
      <c r="Q545" t="n">
        <v>0</v>
      </c>
      <c r="R545" s="2" t="inlineStr"/>
    </row>
    <row r="546" ht="15" customHeight="1">
      <c r="A546" t="inlineStr">
        <is>
          <t>A 27239-2023</t>
        </is>
      </c>
      <c r="B546" s="1" t="n">
        <v>45092</v>
      </c>
      <c r="C546" s="1" t="n">
        <v>46048</v>
      </c>
      <c r="D546" t="inlineStr">
        <is>
          <t>JÄMTLANDS LÄN</t>
        </is>
      </c>
      <c r="E546" t="inlineStr">
        <is>
          <t>BERG</t>
        </is>
      </c>
      <c r="G546" t="n">
        <v>5.3</v>
      </c>
      <c r="H546" t="n">
        <v>0</v>
      </c>
      <c r="I546" t="n">
        <v>0</v>
      </c>
      <c r="J546" t="n">
        <v>0</v>
      </c>
      <c r="K546" t="n">
        <v>0</v>
      </c>
      <c r="L546" t="n">
        <v>0</v>
      </c>
      <c r="M546" t="n">
        <v>0</v>
      </c>
      <c r="N546" t="n">
        <v>0</v>
      </c>
      <c r="O546" t="n">
        <v>0</v>
      </c>
      <c r="P546" t="n">
        <v>0</v>
      </c>
      <c r="Q546" t="n">
        <v>0</v>
      </c>
      <c r="R546" s="2" t="inlineStr"/>
    </row>
    <row r="547" ht="15" customHeight="1">
      <c r="A547" t="inlineStr">
        <is>
          <t>A 32248-2024</t>
        </is>
      </c>
      <c r="B547" s="1" t="n">
        <v>45511.95144675926</v>
      </c>
      <c r="C547" s="1" t="n">
        <v>46048</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39103-2024</t>
        </is>
      </c>
      <c r="B548" s="1" t="n">
        <v>45548.57025462963</v>
      </c>
      <c r="C548" s="1" t="n">
        <v>46048</v>
      </c>
      <c r="D548" t="inlineStr">
        <is>
          <t>JÄMTLANDS LÄN</t>
        </is>
      </c>
      <c r="E548" t="inlineStr">
        <is>
          <t>BERG</t>
        </is>
      </c>
      <c r="G548" t="n">
        <v>38.4</v>
      </c>
      <c r="H548" t="n">
        <v>0</v>
      </c>
      <c r="I548" t="n">
        <v>0</v>
      </c>
      <c r="J548" t="n">
        <v>0</v>
      </c>
      <c r="K548" t="n">
        <v>0</v>
      </c>
      <c r="L548" t="n">
        <v>0</v>
      </c>
      <c r="M548" t="n">
        <v>0</v>
      </c>
      <c r="N548" t="n">
        <v>0</v>
      </c>
      <c r="O548" t="n">
        <v>0</v>
      </c>
      <c r="P548" t="n">
        <v>0</v>
      </c>
      <c r="Q548" t="n">
        <v>0</v>
      </c>
      <c r="R548" s="2" t="inlineStr"/>
    </row>
    <row r="549" ht="15" customHeight="1">
      <c r="A549" t="inlineStr">
        <is>
          <t>A 8191-2025</t>
        </is>
      </c>
      <c r="B549" s="1" t="n">
        <v>45708.40821759259</v>
      </c>
      <c r="C549" s="1" t="n">
        <v>46048</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3798-2022</t>
        </is>
      </c>
      <c r="B550" s="1" t="n">
        <v>44586</v>
      </c>
      <c r="C550" s="1" t="n">
        <v>46048</v>
      </c>
      <c r="D550" t="inlineStr">
        <is>
          <t>JÄMTLANDS LÄN</t>
        </is>
      </c>
      <c r="E550" t="inlineStr">
        <is>
          <t>BERG</t>
        </is>
      </c>
      <c r="G550" t="n">
        <v>0.1</v>
      </c>
      <c r="H550" t="n">
        <v>0</v>
      </c>
      <c r="I550" t="n">
        <v>0</v>
      </c>
      <c r="J550" t="n">
        <v>0</v>
      </c>
      <c r="K550" t="n">
        <v>0</v>
      </c>
      <c r="L550" t="n">
        <v>0</v>
      </c>
      <c r="M550" t="n">
        <v>0</v>
      </c>
      <c r="N550" t="n">
        <v>0</v>
      </c>
      <c r="O550" t="n">
        <v>0</v>
      </c>
      <c r="P550" t="n">
        <v>0</v>
      </c>
      <c r="Q550" t="n">
        <v>0</v>
      </c>
      <c r="R550" s="2" t="inlineStr"/>
    </row>
    <row r="551" ht="15" customHeight="1">
      <c r="A551" t="inlineStr">
        <is>
          <t>A 11274-2025</t>
        </is>
      </c>
      <c r="B551" s="1" t="n">
        <v>45726.40868055556</v>
      </c>
      <c r="C551" s="1" t="n">
        <v>46048</v>
      </c>
      <c r="D551" t="inlineStr">
        <is>
          <t>JÄMTLANDS LÄN</t>
        </is>
      </c>
      <c r="E551" t="inlineStr">
        <is>
          <t>BERG</t>
        </is>
      </c>
      <c r="G551" t="n">
        <v>3</v>
      </c>
      <c r="H551" t="n">
        <v>0</v>
      </c>
      <c r="I551" t="n">
        <v>0</v>
      </c>
      <c r="J551" t="n">
        <v>0</v>
      </c>
      <c r="K551" t="n">
        <v>0</v>
      </c>
      <c r="L551" t="n">
        <v>0</v>
      </c>
      <c r="M551" t="n">
        <v>0</v>
      </c>
      <c r="N551" t="n">
        <v>0</v>
      </c>
      <c r="O551" t="n">
        <v>0</v>
      </c>
      <c r="P551" t="n">
        <v>0</v>
      </c>
      <c r="Q551" t="n">
        <v>0</v>
      </c>
      <c r="R551" s="2" t="inlineStr"/>
    </row>
    <row r="552" ht="15" customHeight="1">
      <c r="A552" t="inlineStr">
        <is>
          <t>A 149-2024</t>
        </is>
      </c>
      <c r="B552" s="1" t="n">
        <v>45294</v>
      </c>
      <c r="C552" s="1" t="n">
        <v>46048</v>
      </c>
      <c r="D552" t="inlineStr">
        <is>
          <t>JÄMTLANDS LÄN</t>
        </is>
      </c>
      <c r="E552" t="inlineStr">
        <is>
          <t>BERG</t>
        </is>
      </c>
      <c r="F552" t="inlineStr">
        <is>
          <t>Kyrkan</t>
        </is>
      </c>
      <c r="G552" t="n">
        <v>3.7</v>
      </c>
      <c r="H552" t="n">
        <v>0</v>
      </c>
      <c r="I552" t="n">
        <v>0</v>
      </c>
      <c r="J552" t="n">
        <v>0</v>
      </c>
      <c r="K552" t="n">
        <v>0</v>
      </c>
      <c r="L552" t="n">
        <v>0</v>
      </c>
      <c r="M552" t="n">
        <v>0</v>
      </c>
      <c r="N552" t="n">
        <v>0</v>
      </c>
      <c r="O552" t="n">
        <v>0</v>
      </c>
      <c r="P552" t="n">
        <v>0</v>
      </c>
      <c r="Q552" t="n">
        <v>0</v>
      </c>
      <c r="R552" s="2" t="inlineStr"/>
    </row>
    <row r="553" ht="15" customHeight="1">
      <c r="A553" t="inlineStr">
        <is>
          <t>A 36708-2023</t>
        </is>
      </c>
      <c r="B553" s="1" t="n">
        <v>45153.65226851852</v>
      </c>
      <c r="C553" s="1" t="n">
        <v>46048</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32713-2025</t>
        </is>
      </c>
      <c r="B554" s="1" t="n">
        <v>45839.36935185185</v>
      </c>
      <c r="C554" s="1" t="n">
        <v>46048</v>
      </c>
      <c r="D554" t="inlineStr">
        <is>
          <t>JÄMTLANDS LÄN</t>
        </is>
      </c>
      <c r="E554" t="inlineStr">
        <is>
          <t>BERG</t>
        </is>
      </c>
      <c r="G554" t="n">
        <v>1.5</v>
      </c>
      <c r="H554" t="n">
        <v>0</v>
      </c>
      <c r="I554" t="n">
        <v>0</v>
      </c>
      <c r="J554" t="n">
        <v>0</v>
      </c>
      <c r="K554" t="n">
        <v>0</v>
      </c>
      <c r="L554" t="n">
        <v>0</v>
      </c>
      <c r="M554" t="n">
        <v>0</v>
      </c>
      <c r="N554" t="n">
        <v>0</v>
      </c>
      <c r="O554" t="n">
        <v>0</v>
      </c>
      <c r="P554" t="n">
        <v>0</v>
      </c>
      <c r="Q554" t="n">
        <v>0</v>
      </c>
      <c r="R554" s="2" t="inlineStr"/>
    </row>
    <row r="555" ht="15" customHeight="1">
      <c r="A555" t="inlineStr">
        <is>
          <t>A 28403-2025</t>
        </is>
      </c>
      <c r="B555" s="1" t="n">
        <v>45819</v>
      </c>
      <c r="C555" s="1" t="n">
        <v>46048</v>
      </c>
      <c r="D555" t="inlineStr">
        <is>
          <t>JÄMTLANDS LÄN</t>
        </is>
      </c>
      <c r="E555" t="inlineStr">
        <is>
          <t>BERG</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33750-2023</t>
        </is>
      </c>
      <c r="B556" s="1" t="n">
        <v>45120</v>
      </c>
      <c r="C556" s="1" t="n">
        <v>46048</v>
      </c>
      <c r="D556" t="inlineStr">
        <is>
          <t>JÄMTLANDS LÄN</t>
        </is>
      </c>
      <c r="E556" t="inlineStr">
        <is>
          <t>BERG</t>
        </is>
      </c>
      <c r="G556" t="n">
        <v>2.6</v>
      </c>
      <c r="H556" t="n">
        <v>0</v>
      </c>
      <c r="I556" t="n">
        <v>0</v>
      </c>
      <c r="J556" t="n">
        <v>0</v>
      </c>
      <c r="K556" t="n">
        <v>0</v>
      </c>
      <c r="L556" t="n">
        <v>0</v>
      </c>
      <c r="M556" t="n">
        <v>0</v>
      </c>
      <c r="N556" t="n">
        <v>0</v>
      </c>
      <c r="O556" t="n">
        <v>0</v>
      </c>
      <c r="P556" t="n">
        <v>0</v>
      </c>
      <c r="Q556" t="n">
        <v>0</v>
      </c>
      <c r="R556" s="2" t="inlineStr"/>
    </row>
    <row r="557" ht="15" customHeight="1">
      <c r="A557" t="inlineStr">
        <is>
          <t>A 32919-2025</t>
        </is>
      </c>
      <c r="B557" s="1" t="n">
        <v>45839.64721064815</v>
      </c>
      <c r="C557" s="1" t="n">
        <v>46048</v>
      </c>
      <c r="D557" t="inlineStr">
        <is>
          <t>JÄMTLANDS LÄN</t>
        </is>
      </c>
      <c r="E557" t="inlineStr">
        <is>
          <t>BERG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25565-2023</t>
        </is>
      </c>
      <c r="B558" s="1" t="n">
        <v>45082</v>
      </c>
      <c r="C558" s="1" t="n">
        <v>46048</v>
      </c>
      <c r="D558" t="inlineStr">
        <is>
          <t>JÄMTLANDS LÄN</t>
        </is>
      </c>
      <c r="E558" t="inlineStr">
        <is>
          <t>BERG</t>
        </is>
      </c>
      <c r="G558" t="n">
        <v>3.1</v>
      </c>
      <c r="H558" t="n">
        <v>0</v>
      </c>
      <c r="I558" t="n">
        <v>0</v>
      </c>
      <c r="J558" t="n">
        <v>0</v>
      </c>
      <c r="K558" t="n">
        <v>0</v>
      </c>
      <c r="L558" t="n">
        <v>0</v>
      </c>
      <c r="M558" t="n">
        <v>0</v>
      </c>
      <c r="N558" t="n">
        <v>0</v>
      </c>
      <c r="O558" t="n">
        <v>0</v>
      </c>
      <c r="P558" t="n">
        <v>0</v>
      </c>
      <c r="Q558" t="n">
        <v>0</v>
      </c>
      <c r="R558" s="2" t="inlineStr"/>
    </row>
    <row r="559" ht="15" customHeight="1">
      <c r="A559" t="inlineStr">
        <is>
          <t>A 8722-2024</t>
        </is>
      </c>
      <c r="B559" s="1" t="n">
        <v>45355</v>
      </c>
      <c r="C559" s="1" t="n">
        <v>46048</v>
      </c>
      <c r="D559" t="inlineStr">
        <is>
          <t>JÄMTLANDS LÄN</t>
        </is>
      </c>
      <c r="E559" t="inlineStr">
        <is>
          <t>BERG</t>
        </is>
      </c>
      <c r="G559" t="n">
        <v>2.4</v>
      </c>
      <c r="H559" t="n">
        <v>0</v>
      </c>
      <c r="I559" t="n">
        <v>0</v>
      </c>
      <c r="J559" t="n">
        <v>0</v>
      </c>
      <c r="K559" t="n">
        <v>0</v>
      </c>
      <c r="L559" t="n">
        <v>0</v>
      </c>
      <c r="M559" t="n">
        <v>0</v>
      </c>
      <c r="N559" t="n">
        <v>0</v>
      </c>
      <c r="O559" t="n">
        <v>0</v>
      </c>
      <c r="P559" t="n">
        <v>0</v>
      </c>
      <c r="Q559" t="n">
        <v>0</v>
      </c>
      <c r="R559" s="2" t="inlineStr"/>
    </row>
    <row r="560" ht="15" customHeight="1">
      <c r="A560" t="inlineStr">
        <is>
          <t>A 8726-2024</t>
        </is>
      </c>
      <c r="B560" s="1" t="n">
        <v>45355</v>
      </c>
      <c r="C560" s="1" t="n">
        <v>46048</v>
      </c>
      <c r="D560" t="inlineStr">
        <is>
          <t>JÄMTLANDS LÄN</t>
        </is>
      </c>
      <c r="E560" t="inlineStr">
        <is>
          <t>BERG</t>
        </is>
      </c>
      <c r="G560" t="n">
        <v>1.3</v>
      </c>
      <c r="H560" t="n">
        <v>0</v>
      </c>
      <c r="I560" t="n">
        <v>0</v>
      </c>
      <c r="J560" t="n">
        <v>0</v>
      </c>
      <c r="K560" t="n">
        <v>0</v>
      </c>
      <c r="L560" t="n">
        <v>0</v>
      </c>
      <c r="M560" t="n">
        <v>0</v>
      </c>
      <c r="N560" t="n">
        <v>0</v>
      </c>
      <c r="O560" t="n">
        <v>0</v>
      </c>
      <c r="P560" t="n">
        <v>0</v>
      </c>
      <c r="Q560" t="n">
        <v>0</v>
      </c>
      <c r="R560" s="2" t="inlineStr"/>
    </row>
    <row r="561" ht="15" customHeight="1">
      <c r="A561" t="inlineStr">
        <is>
          <t>A 8733-2024</t>
        </is>
      </c>
      <c r="B561" s="1" t="n">
        <v>45355</v>
      </c>
      <c r="C561" s="1" t="n">
        <v>46048</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57661-2024</t>
        </is>
      </c>
      <c r="B562" s="1" t="n">
        <v>45630.6140162037</v>
      </c>
      <c r="C562" s="1" t="n">
        <v>46048</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33054-2025</t>
        </is>
      </c>
      <c r="B563" s="1" t="n">
        <v>45840.42746527777</v>
      </c>
      <c r="C563" s="1" t="n">
        <v>46048</v>
      </c>
      <c r="D563" t="inlineStr">
        <is>
          <t>JÄMTLANDS LÄN</t>
        </is>
      </c>
      <c r="E563" t="inlineStr">
        <is>
          <t>BERG</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45208-2024</t>
        </is>
      </c>
      <c r="B564" s="1" t="n">
        <v>45575.7077662037</v>
      </c>
      <c r="C564" s="1" t="n">
        <v>46048</v>
      </c>
      <c r="D564" t="inlineStr">
        <is>
          <t>JÄMTLANDS LÄN</t>
        </is>
      </c>
      <c r="E564" t="inlineStr">
        <is>
          <t>BERG</t>
        </is>
      </c>
      <c r="G564" t="n">
        <v>1.9</v>
      </c>
      <c r="H564" t="n">
        <v>0</v>
      </c>
      <c r="I564" t="n">
        <v>0</v>
      </c>
      <c r="J564" t="n">
        <v>0</v>
      </c>
      <c r="K564" t="n">
        <v>0</v>
      </c>
      <c r="L564" t="n">
        <v>0</v>
      </c>
      <c r="M564" t="n">
        <v>0</v>
      </c>
      <c r="N564" t="n">
        <v>0</v>
      </c>
      <c r="O564" t="n">
        <v>0</v>
      </c>
      <c r="P564" t="n">
        <v>0</v>
      </c>
      <c r="Q564" t="n">
        <v>0</v>
      </c>
      <c r="R564" s="2" t="inlineStr"/>
    </row>
    <row r="565" ht="15" customHeight="1">
      <c r="A565" t="inlineStr">
        <is>
          <t>A 35866-2024</t>
        </is>
      </c>
      <c r="B565" s="1" t="n">
        <v>45533.3422337963</v>
      </c>
      <c r="C565" s="1" t="n">
        <v>46048</v>
      </c>
      <c r="D565" t="inlineStr">
        <is>
          <t>JÄMTLANDS LÄN</t>
        </is>
      </c>
      <c r="E565" t="inlineStr">
        <is>
          <t>BERG</t>
        </is>
      </c>
      <c r="G565" t="n">
        <v>2.5</v>
      </c>
      <c r="H565" t="n">
        <v>0</v>
      </c>
      <c r="I565" t="n">
        <v>0</v>
      </c>
      <c r="J565" t="n">
        <v>0</v>
      </c>
      <c r="K565" t="n">
        <v>0</v>
      </c>
      <c r="L565" t="n">
        <v>0</v>
      </c>
      <c r="M565" t="n">
        <v>0</v>
      </c>
      <c r="N565" t="n">
        <v>0</v>
      </c>
      <c r="O565" t="n">
        <v>0</v>
      </c>
      <c r="P565" t="n">
        <v>0</v>
      </c>
      <c r="Q565" t="n">
        <v>0</v>
      </c>
      <c r="R565" s="2" t="inlineStr"/>
    </row>
    <row r="566" ht="15" customHeight="1">
      <c r="A566" t="inlineStr">
        <is>
          <t>A 14772-2021</t>
        </is>
      </c>
      <c r="B566" s="1" t="n">
        <v>44280.62068287037</v>
      </c>
      <c r="C566" s="1" t="n">
        <v>46048</v>
      </c>
      <c r="D566" t="inlineStr">
        <is>
          <t>JÄMTLANDS LÄN</t>
        </is>
      </c>
      <c r="E566" t="inlineStr">
        <is>
          <t>BERG</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33750-2025</t>
        </is>
      </c>
      <c r="B567" s="1" t="n">
        <v>45842.36243055556</v>
      </c>
      <c r="C567" s="1" t="n">
        <v>46048</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30992-2024</t>
        </is>
      </c>
      <c r="B568" s="1" t="n">
        <v>45499</v>
      </c>
      <c r="C568" s="1" t="n">
        <v>46048</v>
      </c>
      <c r="D568" t="inlineStr">
        <is>
          <t>JÄMTLANDS LÄN</t>
        </is>
      </c>
      <c r="E568" t="inlineStr">
        <is>
          <t>BERG</t>
        </is>
      </c>
      <c r="F568" t="inlineStr">
        <is>
          <t>Sveaskog</t>
        </is>
      </c>
      <c r="G568" t="n">
        <v>5.1</v>
      </c>
      <c r="H568" t="n">
        <v>0</v>
      </c>
      <c r="I568" t="n">
        <v>0</v>
      </c>
      <c r="J568" t="n">
        <v>0</v>
      </c>
      <c r="K568" t="n">
        <v>0</v>
      </c>
      <c r="L568" t="n">
        <v>0</v>
      </c>
      <c r="M568" t="n">
        <v>0</v>
      </c>
      <c r="N568" t="n">
        <v>0</v>
      </c>
      <c r="O568" t="n">
        <v>0</v>
      </c>
      <c r="P568" t="n">
        <v>0</v>
      </c>
      <c r="Q568" t="n">
        <v>0</v>
      </c>
      <c r="R568" s="2" t="inlineStr"/>
    </row>
    <row r="569" ht="15" customHeight="1">
      <c r="A569" t="inlineStr">
        <is>
          <t>A 33748-2025</t>
        </is>
      </c>
      <c r="B569" s="1" t="n">
        <v>45842.35685185185</v>
      </c>
      <c r="C569" s="1" t="n">
        <v>46048</v>
      </c>
      <c r="D569" t="inlineStr">
        <is>
          <t>JÄMTLANDS LÄN</t>
        </is>
      </c>
      <c r="E569" t="inlineStr">
        <is>
          <t>BERG</t>
        </is>
      </c>
      <c r="G569" t="n">
        <v>2.1</v>
      </c>
      <c r="H569" t="n">
        <v>0</v>
      </c>
      <c r="I569" t="n">
        <v>0</v>
      </c>
      <c r="J569" t="n">
        <v>0</v>
      </c>
      <c r="K569" t="n">
        <v>0</v>
      </c>
      <c r="L569" t="n">
        <v>0</v>
      </c>
      <c r="M569" t="n">
        <v>0</v>
      </c>
      <c r="N569" t="n">
        <v>0</v>
      </c>
      <c r="O569" t="n">
        <v>0</v>
      </c>
      <c r="P569" t="n">
        <v>0</v>
      </c>
      <c r="Q569" t="n">
        <v>0</v>
      </c>
      <c r="R569" s="2" t="inlineStr"/>
    </row>
    <row r="570" ht="15" customHeight="1">
      <c r="A570" t="inlineStr">
        <is>
          <t>A 47304-2023</t>
        </is>
      </c>
      <c r="B570" s="1" t="n">
        <v>45202.48180555556</v>
      </c>
      <c r="C570" s="1" t="n">
        <v>46048</v>
      </c>
      <c r="D570" t="inlineStr">
        <is>
          <t>JÄMTLANDS LÄN</t>
        </is>
      </c>
      <c r="E570" t="inlineStr">
        <is>
          <t>BERG</t>
        </is>
      </c>
      <c r="G570" t="n">
        <v>3.4</v>
      </c>
      <c r="H570" t="n">
        <v>0</v>
      </c>
      <c r="I570" t="n">
        <v>0</v>
      </c>
      <c r="J570" t="n">
        <v>0</v>
      </c>
      <c r="K570" t="n">
        <v>0</v>
      </c>
      <c r="L570" t="n">
        <v>0</v>
      </c>
      <c r="M570" t="n">
        <v>0</v>
      </c>
      <c r="N570" t="n">
        <v>0</v>
      </c>
      <c r="O570" t="n">
        <v>0</v>
      </c>
      <c r="P570" t="n">
        <v>0</v>
      </c>
      <c r="Q570" t="n">
        <v>0</v>
      </c>
      <c r="R570" s="2" t="inlineStr"/>
    </row>
    <row r="571" ht="15" customHeight="1">
      <c r="A571" t="inlineStr">
        <is>
          <t>A 34030-2025</t>
        </is>
      </c>
      <c r="B571" s="1" t="n">
        <v>45845.3633912037</v>
      </c>
      <c r="C571" s="1" t="n">
        <v>46048</v>
      </c>
      <c r="D571" t="inlineStr">
        <is>
          <t>JÄMTLANDS LÄN</t>
        </is>
      </c>
      <c r="E571" t="inlineStr">
        <is>
          <t>BERG</t>
        </is>
      </c>
      <c r="G571" t="n">
        <v>13.5</v>
      </c>
      <c r="H571" t="n">
        <v>0</v>
      </c>
      <c r="I571" t="n">
        <v>0</v>
      </c>
      <c r="J571" t="n">
        <v>0</v>
      </c>
      <c r="K571" t="n">
        <v>0</v>
      </c>
      <c r="L571" t="n">
        <v>0</v>
      </c>
      <c r="M571" t="n">
        <v>0</v>
      </c>
      <c r="N571" t="n">
        <v>0</v>
      </c>
      <c r="O571" t="n">
        <v>0</v>
      </c>
      <c r="P571" t="n">
        <v>0</v>
      </c>
      <c r="Q571" t="n">
        <v>0</v>
      </c>
      <c r="R571" s="2" t="inlineStr"/>
    </row>
    <row r="572" ht="15" customHeight="1">
      <c r="A572" t="inlineStr">
        <is>
          <t>A 33753-2025</t>
        </is>
      </c>
      <c r="B572" s="1" t="n">
        <v>45842.37199074074</v>
      </c>
      <c r="C572" s="1" t="n">
        <v>46048</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34036-2025</t>
        </is>
      </c>
      <c r="B573" s="1" t="n">
        <v>45845.36954861111</v>
      </c>
      <c r="C573" s="1" t="n">
        <v>46048</v>
      </c>
      <c r="D573" t="inlineStr">
        <is>
          <t>JÄMTLANDS LÄN</t>
        </is>
      </c>
      <c r="E573" t="inlineStr">
        <is>
          <t>BERG</t>
        </is>
      </c>
      <c r="G573" t="n">
        <v>4.8</v>
      </c>
      <c r="H573" t="n">
        <v>0</v>
      </c>
      <c r="I573" t="n">
        <v>0</v>
      </c>
      <c r="J573" t="n">
        <v>0</v>
      </c>
      <c r="K573" t="n">
        <v>0</v>
      </c>
      <c r="L573" t="n">
        <v>0</v>
      </c>
      <c r="M573" t="n">
        <v>0</v>
      </c>
      <c r="N573" t="n">
        <v>0</v>
      </c>
      <c r="O573" t="n">
        <v>0</v>
      </c>
      <c r="P573" t="n">
        <v>0</v>
      </c>
      <c r="Q573" t="n">
        <v>0</v>
      </c>
      <c r="R573" s="2" t="inlineStr"/>
    </row>
    <row r="574" ht="15" customHeight="1">
      <c r="A574" t="inlineStr">
        <is>
          <t>A 49048-2024</t>
        </is>
      </c>
      <c r="B574" s="1" t="n">
        <v>45594.57427083333</v>
      </c>
      <c r="C574" s="1" t="n">
        <v>46048</v>
      </c>
      <c r="D574" t="inlineStr">
        <is>
          <t>JÄMTLANDS LÄN</t>
        </is>
      </c>
      <c r="E574" t="inlineStr">
        <is>
          <t>BERG</t>
        </is>
      </c>
      <c r="G574" t="n">
        <v>1.3</v>
      </c>
      <c r="H574" t="n">
        <v>0</v>
      </c>
      <c r="I574" t="n">
        <v>0</v>
      </c>
      <c r="J574" t="n">
        <v>0</v>
      </c>
      <c r="K574" t="n">
        <v>0</v>
      </c>
      <c r="L574" t="n">
        <v>0</v>
      </c>
      <c r="M574" t="n">
        <v>0</v>
      </c>
      <c r="N574" t="n">
        <v>0</v>
      </c>
      <c r="O574" t="n">
        <v>0</v>
      </c>
      <c r="P574" t="n">
        <v>0</v>
      </c>
      <c r="Q574" t="n">
        <v>0</v>
      </c>
      <c r="R574" s="2" t="inlineStr"/>
    </row>
    <row r="575" ht="15" customHeight="1">
      <c r="A575" t="inlineStr">
        <is>
          <t>A 37101-2024</t>
        </is>
      </c>
      <c r="B575" s="1" t="n">
        <v>45539.5029050926</v>
      </c>
      <c r="C575" s="1" t="n">
        <v>46048</v>
      </c>
      <c r="D575" t="inlineStr">
        <is>
          <t>JÄMTLANDS LÄN</t>
        </is>
      </c>
      <c r="E575" t="inlineStr">
        <is>
          <t>BERG</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54071-2023</t>
        </is>
      </c>
      <c r="B576" s="1" t="n">
        <v>45231</v>
      </c>
      <c r="C576" s="1" t="n">
        <v>46048</v>
      </c>
      <c r="D576" t="inlineStr">
        <is>
          <t>JÄMTLANDS LÄN</t>
        </is>
      </c>
      <c r="E576" t="inlineStr">
        <is>
          <t>BERG</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37067-2023</t>
        </is>
      </c>
      <c r="B577" s="1" t="n">
        <v>45154</v>
      </c>
      <c r="C577" s="1" t="n">
        <v>46048</v>
      </c>
      <c r="D577" t="inlineStr">
        <is>
          <t>JÄMTLANDS LÄN</t>
        </is>
      </c>
      <c r="E577" t="inlineStr">
        <is>
          <t>BERG</t>
        </is>
      </c>
      <c r="G577" t="n">
        <v>7.4</v>
      </c>
      <c r="H577" t="n">
        <v>0</v>
      </c>
      <c r="I577" t="n">
        <v>0</v>
      </c>
      <c r="J577" t="n">
        <v>0</v>
      </c>
      <c r="K577" t="n">
        <v>0</v>
      </c>
      <c r="L577" t="n">
        <v>0</v>
      </c>
      <c r="M577" t="n">
        <v>0</v>
      </c>
      <c r="N577" t="n">
        <v>0</v>
      </c>
      <c r="O577" t="n">
        <v>0</v>
      </c>
      <c r="P577" t="n">
        <v>0</v>
      </c>
      <c r="Q577" t="n">
        <v>0</v>
      </c>
      <c r="R577" s="2" t="inlineStr"/>
    </row>
    <row r="578" ht="15" customHeight="1">
      <c r="A578" t="inlineStr">
        <is>
          <t>A 8733-2025</t>
        </is>
      </c>
      <c r="B578" s="1" t="n">
        <v>45712.53197916667</v>
      </c>
      <c r="C578" s="1" t="n">
        <v>46048</v>
      </c>
      <c r="D578" t="inlineStr">
        <is>
          <t>JÄMTLANDS LÄN</t>
        </is>
      </c>
      <c r="E578" t="inlineStr">
        <is>
          <t>BERG</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34601-2024</t>
        </is>
      </c>
      <c r="B579" s="1" t="n">
        <v>45526.4034375</v>
      </c>
      <c r="C579" s="1" t="n">
        <v>46048</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34892-2025</t>
        </is>
      </c>
      <c r="B580" s="1" t="n">
        <v>45849.49047453704</v>
      </c>
      <c r="C580" s="1" t="n">
        <v>46048</v>
      </c>
      <c r="D580" t="inlineStr">
        <is>
          <t>JÄMTLANDS LÄN</t>
        </is>
      </c>
      <c r="E580" t="inlineStr">
        <is>
          <t>BERG</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19258-2025</t>
        </is>
      </c>
      <c r="B581" s="1" t="n">
        <v>45769.49987268518</v>
      </c>
      <c r="C581" s="1" t="n">
        <v>46048</v>
      </c>
      <c r="D581" t="inlineStr">
        <is>
          <t>JÄMTLANDS LÄN</t>
        </is>
      </c>
      <c r="E581" t="inlineStr">
        <is>
          <t>BERG</t>
        </is>
      </c>
      <c r="G581" t="n">
        <v>10.9</v>
      </c>
      <c r="H581" t="n">
        <v>0</v>
      </c>
      <c r="I581" t="n">
        <v>0</v>
      </c>
      <c r="J581" t="n">
        <v>0</v>
      </c>
      <c r="K581" t="n">
        <v>0</v>
      </c>
      <c r="L581" t="n">
        <v>0</v>
      </c>
      <c r="M581" t="n">
        <v>0</v>
      </c>
      <c r="N581" t="n">
        <v>0</v>
      </c>
      <c r="O581" t="n">
        <v>0</v>
      </c>
      <c r="P581" t="n">
        <v>0</v>
      </c>
      <c r="Q581" t="n">
        <v>0</v>
      </c>
      <c r="R581" s="2" t="inlineStr"/>
    </row>
    <row r="582" ht="15" customHeight="1">
      <c r="A582" t="inlineStr">
        <is>
          <t>A 461-2023</t>
        </is>
      </c>
      <c r="B582" s="1" t="n">
        <v>44929</v>
      </c>
      <c r="C582" s="1" t="n">
        <v>46048</v>
      </c>
      <c r="D582" t="inlineStr">
        <is>
          <t>JÄMTLANDS LÄN</t>
        </is>
      </c>
      <c r="E582" t="inlineStr">
        <is>
          <t>BERG</t>
        </is>
      </c>
      <c r="G582" t="n">
        <v>5.8</v>
      </c>
      <c r="H582" t="n">
        <v>0</v>
      </c>
      <c r="I582" t="n">
        <v>0</v>
      </c>
      <c r="J582" t="n">
        <v>0</v>
      </c>
      <c r="K582" t="n">
        <v>0</v>
      </c>
      <c r="L582" t="n">
        <v>0</v>
      </c>
      <c r="M582" t="n">
        <v>0</v>
      </c>
      <c r="N582" t="n">
        <v>0</v>
      </c>
      <c r="O582" t="n">
        <v>0</v>
      </c>
      <c r="P582" t="n">
        <v>0</v>
      </c>
      <c r="Q582" t="n">
        <v>0</v>
      </c>
      <c r="R582" s="2" t="inlineStr"/>
    </row>
    <row r="583" ht="15" customHeight="1">
      <c r="A583" t="inlineStr">
        <is>
          <t>A 35183-2025</t>
        </is>
      </c>
      <c r="B583" s="1" t="n">
        <v>45853.29931712963</v>
      </c>
      <c r="C583" s="1" t="n">
        <v>46048</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14697-2025</t>
        </is>
      </c>
      <c r="B584" s="1" t="n">
        <v>45742.59415509259</v>
      </c>
      <c r="C584" s="1" t="n">
        <v>46048</v>
      </c>
      <c r="D584" t="inlineStr">
        <is>
          <t>JÄMTLANDS LÄN</t>
        </is>
      </c>
      <c r="E584" t="inlineStr">
        <is>
          <t>BERG</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16022-2025</t>
        </is>
      </c>
      <c r="B585" s="1" t="n">
        <v>45749.60973379629</v>
      </c>
      <c r="C585" s="1" t="n">
        <v>46048</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35213-2025</t>
        </is>
      </c>
      <c r="B586" s="1" t="n">
        <v>45853.46494212963</v>
      </c>
      <c r="C586" s="1" t="n">
        <v>46048</v>
      </c>
      <c r="D586" t="inlineStr">
        <is>
          <t>JÄMTLANDS LÄN</t>
        </is>
      </c>
      <c r="E586" t="inlineStr">
        <is>
          <t>BERG</t>
        </is>
      </c>
      <c r="G586" t="n">
        <v>0.6</v>
      </c>
      <c r="H586" t="n">
        <v>0</v>
      </c>
      <c r="I586" t="n">
        <v>0</v>
      </c>
      <c r="J586" t="n">
        <v>0</v>
      </c>
      <c r="K586" t="n">
        <v>0</v>
      </c>
      <c r="L586" t="n">
        <v>0</v>
      </c>
      <c r="M586" t="n">
        <v>0</v>
      </c>
      <c r="N586" t="n">
        <v>0</v>
      </c>
      <c r="O586" t="n">
        <v>0</v>
      </c>
      <c r="P586" t="n">
        <v>0</v>
      </c>
      <c r="Q586" t="n">
        <v>0</v>
      </c>
      <c r="R586" s="2" t="inlineStr"/>
    </row>
    <row r="587" ht="15" customHeight="1">
      <c r="A587" t="inlineStr">
        <is>
          <t>A 28098-2024</t>
        </is>
      </c>
      <c r="B587" s="1" t="n">
        <v>45476.61347222222</v>
      </c>
      <c r="C587" s="1" t="n">
        <v>46048</v>
      </c>
      <c r="D587" t="inlineStr">
        <is>
          <t>JÄMTLANDS LÄN</t>
        </is>
      </c>
      <c r="E587" t="inlineStr">
        <is>
          <t>BERG</t>
        </is>
      </c>
      <c r="G587" t="n">
        <v>0.4</v>
      </c>
      <c r="H587" t="n">
        <v>0</v>
      </c>
      <c r="I587" t="n">
        <v>0</v>
      </c>
      <c r="J587" t="n">
        <v>0</v>
      </c>
      <c r="K587" t="n">
        <v>0</v>
      </c>
      <c r="L587" t="n">
        <v>0</v>
      </c>
      <c r="M587" t="n">
        <v>0</v>
      </c>
      <c r="N587" t="n">
        <v>0</v>
      </c>
      <c r="O587" t="n">
        <v>0</v>
      </c>
      <c r="P587" t="n">
        <v>0</v>
      </c>
      <c r="Q587" t="n">
        <v>0</v>
      </c>
      <c r="R587" s="2" t="inlineStr"/>
    </row>
    <row r="588" ht="15" customHeight="1">
      <c r="A588" t="inlineStr">
        <is>
          <t>A 35184-2025</t>
        </is>
      </c>
      <c r="B588" s="1" t="n">
        <v>45853.30270833334</v>
      </c>
      <c r="C588" s="1" t="n">
        <v>46048</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12499-2021</t>
        </is>
      </c>
      <c r="B589" s="1" t="n">
        <v>44267</v>
      </c>
      <c r="C589" s="1" t="n">
        <v>46048</v>
      </c>
      <c r="D589" t="inlineStr">
        <is>
          <t>JÄMTLANDS LÄN</t>
        </is>
      </c>
      <c r="E589" t="inlineStr">
        <is>
          <t>BERG</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47099-2024</t>
        </is>
      </c>
      <c r="B590" s="1" t="n">
        <v>45586.53743055555</v>
      </c>
      <c r="C590" s="1" t="n">
        <v>46048</v>
      </c>
      <c r="D590" t="inlineStr">
        <is>
          <t>JÄMTLANDS LÄN</t>
        </is>
      </c>
      <c r="E590" t="inlineStr">
        <is>
          <t>BERG</t>
        </is>
      </c>
      <c r="G590" t="n">
        <v>5.9</v>
      </c>
      <c r="H590" t="n">
        <v>0</v>
      </c>
      <c r="I590" t="n">
        <v>0</v>
      </c>
      <c r="J590" t="n">
        <v>0</v>
      </c>
      <c r="K590" t="n">
        <v>0</v>
      </c>
      <c r="L590" t="n">
        <v>0</v>
      </c>
      <c r="M590" t="n">
        <v>0</v>
      </c>
      <c r="N590" t="n">
        <v>0</v>
      </c>
      <c r="O590" t="n">
        <v>0</v>
      </c>
      <c r="P590" t="n">
        <v>0</v>
      </c>
      <c r="Q590" t="n">
        <v>0</v>
      </c>
      <c r="R590" s="2" t="inlineStr"/>
    </row>
    <row r="591" ht="15" customHeight="1">
      <c r="A591" t="inlineStr">
        <is>
          <t>A 525-2023</t>
        </is>
      </c>
      <c r="B591" s="1" t="n">
        <v>44924</v>
      </c>
      <c r="C591" s="1" t="n">
        <v>46048</v>
      </c>
      <c r="D591" t="inlineStr">
        <is>
          <t>JÄMTLANDS LÄN</t>
        </is>
      </c>
      <c r="E591" t="inlineStr">
        <is>
          <t>BERG</t>
        </is>
      </c>
      <c r="G591" t="n">
        <v>4</v>
      </c>
      <c r="H591" t="n">
        <v>0</v>
      </c>
      <c r="I591" t="n">
        <v>0</v>
      </c>
      <c r="J591" t="n">
        <v>0</v>
      </c>
      <c r="K591" t="n">
        <v>0</v>
      </c>
      <c r="L591" t="n">
        <v>0</v>
      </c>
      <c r="M591" t="n">
        <v>0</v>
      </c>
      <c r="N591" t="n">
        <v>0</v>
      </c>
      <c r="O591" t="n">
        <v>0</v>
      </c>
      <c r="P591" t="n">
        <v>0</v>
      </c>
      <c r="Q591" t="n">
        <v>0</v>
      </c>
      <c r="R591" s="2" t="inlineStr"/>
    </row>
    <row r="592" ht="15" customHeight="1">
      <c r="A592" t="inlineStr">
        <is>
          <t>A 35363-2025</t>
        </is>
      </c>
      <c r="B592" s="1" t="n">
        <v>45854.67538194444</v>
      </c>
      <c r="C592" s="1" t="n">
        <v>46048</v>
      </c>
      <c r="D592" t="inlineStr">
        <is>
          <t>JÄMTLANDS LÄN</t>
        </is>
      </c>
      <c r="E592" t="inlineStr">
        <is>
          <t>BERG</t>
        </is>
      </c>
      <c r="G592" t="n">
        <v>9.5</v>
      </c>
      <c r="H592" t="n">
        <v>0</v>
      </c>
      <c r="I592" t="n">
        <v>0</v>
      </c>
      <c r="J592" t="n">
        <v>0</v>
      </c>
      <c r="K592" t="n">
        <v>0</v>
      </c>
      <c r="L592" t="n">
        <v>0</v>
      </c>
      <c r="M592" t="n">
        <v>0</v>
      </c>
      <c r="N592" t="n">
        <v>0</v>
      </c>
      <c r="O592" t="n">
        <v>0</v>
      </c>
      <c r="P592" t="n">
        <v>0</v>
      </c>
      <c r="Q592" t="n">
        <v>0</v>
      </c>
      <c r="R592" s="2" t="inlineStr"/>
    </row>
    <row r="593" ht="15" customHeight="1">
      <c r="A593" t="inlineStr">
        <is>
          <t>A 35360-2025</t>
        </is>
      </c>
      <c r="B593" s="1" t="n">
        <v>45854.66877314815</v>
      </c>
      <c r="C593" s="1" t="n">
        <v>46048</v>
      </c>
      <c r="D593" t="inlineStr">
        <is>
          <t>JÄMTLANDS LÄN</t>
        </is>
      </c>
      <c r="E593" t="inlineStr">
        <is>
          <t>BERG</t>
        </is>
      </c>
      <c r="G593" t="n">
        <v>3.7</v>
      </c>
      <c r="H593" t="n">
        <v>0</v>
      </c>
      <c r="I593" t="n">
        <v>0</v>
      </c>
      <c r="J593" t="n">
        <v>0</v>
      </c>
      <c r="K593" t="n">
        <v>0</v>
      </c>
      <c r="L593" t="n">
        <v>0</v>
      </c>
      <c r="M593" t="n">
        <v>0</v>
      </c>
      <c r="N593" t="n">
        <v>0</v>
      </c>
      <c r="O593" t="n">
        <v>0</v>
      </c>
      <c r="P593" t="n">
        <v>0</v>
      </c>
      <c r="Q593" t="n">
        <v>0</v>
      </c>
      <c r="R593" s="2" t="inlineStr"/>
    </row>
    <row r="594" ht="15" customHeight="1">
      <c r="A594" t="inlineStr">
        <is>
          <t>A 35576-2025</t>
        </is>
      </c>
      <c r="B594" s="1" t="n">
        <v>45856.63608796296</v>
      </c>
      <c r="C594" s="1" t="n">
        <v>46048</v>
      </c>
      <c r="D594" t="inlineStr">
        <is>
          <t>JÄMTLANDS LÄN</t>
        </is>
      </c>
      <c r="E594" t="inlineStr">
        <is>
          <t>BERG</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26918-2024</t>
        </is>
      </c>
      <c r="B595" s="1" t="n">
        <v>45470</v>
      </c>
      <c r="C595" s="1" t="n">
        <v>46048</v>
      </c>
      <c r="D595" t="inlineStr">
        <is>
          <t>JÄMTLANDS LÄN</t>
        </is>
      </c>
      <c r="E595" t="inlineStr">
        <is>
          <t>BERG</t>
        </is>
      </c>
      <c r="G595" t="n">
        <v>0.4</v>
      </c>
      <c r="H595" t="n">
        <v>0</v>
      </c>
      <c r="I595" t="n">
        <v>0</v>
      </c>
      <c r="J595" t="n">
        <v>0</v>
      </c>
      <c r="K595" t="n">
        <v>0</v>
      </c>
      <c r="L595" t="n">
        <v>0</v>
      </c>
      <c r="M595" t="n">
        <v>0</v>
      </c>
      <c r="N595" t="n">
        <v>0</v>
      </c>
      <c r="O595" t="n">
        <v>0</v>
      </c>
      <c r="P595" t="n">
        <v>0</v>
      </c>
      <c r="Q595" t="n">
        <v>0</v>
      </c>
      <c r="R595" s="2" t="inlineStr"/>
    </row>
    <row r="596" ht="15" customHeight="1">
      <c r="A596" t="inlineStr">
        <is>
          <t>A 54415-2023</t>
        </is>
      </c>
      <c r="B596" s="1" t="n">
        <v>45233.40039351852</v>
      </c>
      <c r="C596" s="1" t="n">
        <v>46048</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27579-2024</t>
        </is>
      </c>
      <c r="B597" s="1" t="n">
        <v>45474.65244212963</v>
      </c>
      <c r="C597" s="1" t="n">
        <v>46048</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54992-2023</t>
        </is>
      </c>
      <c r="B598" s="1" t="n">
        <v>45236.96789351852</v>
      </c>
      <c r="C598" s="1" t="n">
        <v>46048</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54994-2023</t>
        </is>
      </c>
      <c r="B599" s="1" t="n">
        <v>45236</v>
      </c>
      <c r="C599" s="1" t="n">
        <v>46048</v>
      </c>
      <c r="D599" t="inlineStr">
        <is>
          <t>JÄMTLANDS LÄN</t>
        </is>
      </c>
      <c r="E599" t="inlineStr">
        <is>
          <t>BERG</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35684-2025</t>
        </is>
      </c>
      <c r="B600" s="1" t="n">
        <v>45859.88079861111</v>
      </c>
      <c r="C600" s="1" t="n">
        <v>46048</v>
      </c>
      <c r="D600" t="inlineStr">
        <is>
          <t>JÄMTLANDS LÄN</t>
        </is>
      </c>
      <c r="E600" t="inlineStr">
        <is>
          <t>BERG</t>
        </is>
      </c>
      <c r="G600" t="n">
        <v>6.1</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44895.66629629629</v>
      </c>
      <c r="C601" s="1" t="n">
        <v>46048</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35691-2025</t>
        </is>
      </c>
      <c r="B602" s="1" t="n">
        <v>45860.344375</v>
      </c>
      <c r="C602" s="1" t="n">
        <v>46048</v>
      </c>
      <c r="D602" t="inlineStr">
        <is>
          <t>JÄMTLANDS LÄN</t>
        </is>
      </c>
      <c r="E602" t="inlineStr">
        <is>
          <t>BERG</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5911-2024</t>
        </is>
      </c>
      <c r="B603" s="1" t="n">
        <v>45335</v>
      </c>
      <c r="C603" s="1" t="n">
        <v>46048</v>
      </c>
      <c r="D603" t="inlineStr">
        <is>
          <t>JÄMTLANDS LÄN</t>
        </is>
      </c>
      <c r="E603" t="inlineStr">
        <is>
          <t>BERG</t>
        </is>
      </c>
      <c r="F603" t="inlineStr">
        <is>
          <t>SCA</t>
        </is>
      </c>
      <c r="G603" t="n">
        <v>28.6</v>
      </c>
      <c r="H603" t="n">
        <v>0</v>
      </c>
      <c r="I603" t="n">
        <v>0</v>
      </c>
      <c r="J603" t="n">
        <v>0</v>
      </c>
      <c r="K603" t="n">
        <v>0</v>
      </c>
      <c r="L603" t="n">
        <v>0</v>
      </c>
      <c r="M603" t="n">
        <v>0</v>
      </c>
      <c r="N603" t="n">
        <v>0</v>
      </c>
      <c r="O603" t="n">
        <v>0</v>
      </c>
      <c r="P603" t="n">
        <v>0</v>
      </c>
      <c r="Q603" t="n">
        <v>0</v>
      </c>
      <c r="R603" s="2" t="inlineStr"/>
    </row>
    <row r="604" ht="15" customHeight="1">
      <c r="A604" t="inlineStr">
        <is>
          <t>A 25306-2023</t>
        </is>
      </c>
      <c r="B604" s="1" t="n">
        <v>45086</v>
      </c>
      <c r="C604" s="1" t="n">
        <v>46048</v>
      </c>
      <c r="D604" t="inlineStr">
        <is>
          <t>JÄMTLANDS LÄN</t>
        </is>
      </c>
      <c r="E604" t="inlineStr">
        <is>
          <t>BERG</t>
        </is>
      </c>
      <c r="G604" t="n">
        <v>23.3</v>
      </c>
      <c r="H604" t="n">
        <v>0</v>
      </c>
      <c r="I604" t="n">
        <v>0</v>
      </c>
      <c r="J604" t="n">
        <v>0</v>
      </c>
      <c r="K604" t="n">
        <v>0</v>
      </c>
      <c r="L604" t="n">
        <v>0</v>
      </c>
      <c r="M604" t="n">
        <v>0</v>
      </c>
      <c r="N604" t="n">
        <v>0</v>
      </c>
      <c r="O604" t="n">
        <v>0</v>
      </c>
      <c r="P604" t="n">
        <v>0</v>
      </c>
      <c r="Q604" t="n">
        <v>0</v>
      </c>
      <c r="R604" s="2" t="inlineStr"/>
    </row>
    <row r="605" ht="15" customHeight="1">
      <c r="A605" t="inlineStr">
        <is>
          <t>A 35681-2025</t>
        </is>
      </c>
      <c r="B605" s="1" t="n">
        <v>45859.77703703703</v>
      </c>
      <c r="C605" s="1" t="n">
        <v>46048</v>
      </c>
      <c r="D605" t="inlineStr">
        <is>
          <t>JÄMTLANDS LÄN</t>
        </is>
      </c>
      <c r="E605" t="inlineStr">
        <is>
          <t>BERG</t>
        </is>
      </c>
      <c r="G605" t="n">
        <v>27</v>
      </c>
      <c r="H605" t="n">
        <v>0</v>
      </c>
      <c r="I605" t="n">
        <v>0</v>
      </c>
      <c r="J605" t="n">
        <v>0</v>
      </c>
      <c r="K605" t="n">
        <v>0</v>
      </c>
      <c r="L605" t="n">
        <v>0</v>
      </c>
      <c r="M605" t="n">
        <v>0</v>
      </c>
      <c r="N605" t="n">
        <v>0</v>
      </c>
      <c r="O605" t="n">
        <v>0</v>
      </c>
      <c r="P605" t="n">
        <v>0</v>
      </c>
      <c r="Q605" t="n">
        <v>0</v>
      </c>
      <c r="R605" s="2" t="inlineStr"/>
    </row>
    <row r="606" ht="15" customHeight="1">
      <c r="A606" t="inlineStr">
        <is>
          <t>A 35683-2025</t>
        </is>
      </c>
      <c r="B606" s="1" t="n">
        <v>45859</v>
      </c>
      <c r="C606" s="1" t="n">
        <v>46048</v>
      </c>
      <c r="D606" t="inlineStr">
        <is>
          <t>JÄMTLANDS LÄN</t>
        </is>
      </c>
      <c r="E606" t="inlineStr">
        <is>
          <t>BERG</t>
        </is>
      </c>
      <c r="G606" t="n">
        <v>3.4</v>
      </c>
      <c r="H606" t="n">
        <v>0</v>
      </c>
      <c r="I606" t="n">
        <v>0</v>
      </c>
      <c r="J606" t="n">
        <v>0</v>
      </c>
      <c r="K606" t="n">
        <v>0</v>
      </c>
      <c r="L606" t="n">
        <v>0</v>
      </c>
      <c r="M606" t="n">
        <v>0</v>
      </c>
      <c r="N606" t="n">
        <v>0</v>
      </c>
      <c r="O606" t="n">
        <v>0</v>
      </c>
      <c r="P606" t="n">
        <v>0</v>
      </c>
      <c r="Q606" t="n">
        <v>0</v>
      </c>
      <c r="R606" s="2" t="inlineStr"/>
    </row>
    <row r="607" ht="15" customHeight="1">
      <c r="A607" t="inlineStr">
        <is>
          <t>A 1495-2025</t>
        </is>
      </c>
      <c r="B607" s="1" t="n">
        <v>45670.40652777778</v>
      </c>
      <c r="C607" s="1" t="n">
        <v>46048</v>
      </c>
      <c r="D607" t="inlineStr">
        <is>
          <t>JÄMTLANDS LÄN</t>
        </is>
      </c>
      <c r="E607" t="inlineStr">
        <is>
          <t>BERG</t>
        </is>
      </c>
      <c r="G607" t="n">
        <v>0.3</v>
      </c>
      <c r="H607" t="n">
        <v>0</v>
      </c>
      <c r="I607" t="n">
        <v>0</v>
      </c>
      <c r="J607" t="n">
        <v>0</v>
      </c>
      <c r="K607" t="n">
        <v>0</v>
      </c>
      <c r="L607" t="n">
        <v>0</v>
      </c>
      <c r="M607" t="n">
        <v>0</v>
      </c>
      <c r="N607" t="n">
        <v>0</v>
      </c>
      <c r="O607" t="n">
        <v>0</v>
      </c>
      <c r="P607" t="n">
        <v>0</v>
      </c>
      <c r="Q607" t="n">
        <v>0</v>
      </c>
      <c r="R607" s="2" t="inlineStr"/>
    </row>
    <row r="608" ht="15" customHeight="1">
      <c r="A608" t="inlineStr">
        <is>
          <t>A 34367-2024</t>
        </is>
      </c>
      <c r="B608" s="1" t="n">
        <v>45525.38040509259</v>
      </c>
      <c r="C608" s="1" t="n">
        <v>46048</v>
      </c>
      <c r="D608" t="inlineStr">
        <is>
          <t>JÄMTLANDS LÄN</t>
        </is>
      </c>
      <c r="E608" t="inlineStr">
        <is>
          <t>BERG</t>
        </is>
      </c>
      <c r="G608" t="n">
        <v>0.4</v>
      </c>
      <c r="H608" t="n">
        <v>0</v>
      </c>
      <c r="I608" t="n">
        <v>0</v>
      </c>
      <c r="J608" t="n">
        <v>0</v>
      </c>
      <c r="K608" t="n">
        <v>0</v>
      </c>
      <c r="L608" t="n">
        <v>0</v>
      </c>
      <c r="M608" t="n">
        <v>0</v>
      </c>
      <c r="N608" t="n">
        <v>0</v>
      </c>
      <c r="O608" t="n">
        <v>0</v>
      </c>
      <c r="P608" t="n">
        <v>0</v>
      </c>
      <c r="Q608" t="n">
        <v>0</v>
      </c>
      <c r="R608" s="2" t="inlineStr"/>
    </row>
    <row r="609" ht="15" customHeight="1">
      <c r="A609" t="inlineStr">
        <is>
          <t>A 34369-2024</t>
        </is>
      </c>
      <c r="B609" s="1" t="n">
        <v>45525.38228009259</v>
      </c>
      <c r="C609" s="1" t="n">
        <v>46048</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166-2024</t>
        </is>
      </c>
      <c r="B610" s="1" t="n">
        <v>45294</v>
      </c>
      <c r="C610" s="1" t="n">
        <v>46048</v>
      </c>
      <c r="D610" t="inlineStr">
        <is>
          <t>JÄMTLANDS LÄN</t>
        </is>
      </c>
      <c r="E610" t="inlineStr">
        <is>
          <t>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24307-2023</t>
        </is>
      </c>
      <c r="B611" s="1" t="n">
        <v>45079.94229166667</v>
      </c>
      <c r="C611" s="1" t="n">
        <v>46048</v>
      </c>
      <c r="D611" t="inlineStr">
        <is>
          <t>JÄMTLANDS LÄN</t>
        </is>
      </c>
      <c r="E611" t="inlineStr">
        <is>
          <t>BERG</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13373-2024</t>
        </is>
      </c>
      <c r="B612" s="1" t="n">
        <v>45387.37010416666</v>
      </c>
      <c r="C612" s="1" t="n">
        <v>46048</v>
      </c>
      <c r="D612" t="inlineStr">
        <is>
          <t>JÄMTLANDS LÄN</t>
        </is>
      </c>
      <c r="E612" t="inlineStr">
        <is>
          <t>BERG</t>
        </is>
      </c>
      <c r="G612" t="n">
        <v>3.8</v>
      </c>
      <c r="H612" t="n">
        <v>0</v>
      </c>
      <c r="I612" t="n">
        <v>0</v>
      </c>
      <c r="J612" t="n">
        <v>0</v>
      </c>
      <c r="K612" t="n">
        <v>0</v>
      </c>
      <c r="L612" t="n">
        <v>0</v>
      </c>
      <c r="M612" t="n">
        <v>0</v>
      </c>
      <c r="N612" t="n">
        <v>0</v>
      </c>
      <c r="O612" t="n">
        <v>0</v>
      </c>
      <c r="P612" t="n">
        <v>0</v>
      </c>
      <c r="Q612" t="n">
        <v>0</v>
      </c>
      <c r="R612" s="2" t="inlineStr"/>
    </row>
    <row r="613" ht="15" customHeight="1">
      <c r="A613" t="inlineStr">
        <is>
          <t>A 40990-2022</t>
        </is>
      </c>
      <c r="B613" s="1" t="n">
        <v>44823</v>
      </c>
      <c r="C613" s="1" t="n">
        <v>46048</v>
      </c>
      <c r="D613" t="inlineStr">
        <is>
          <t>JÄMTLANDS LÄN</t>
        </is>
      </c>
      <c r="E613" t="inlineStr">
        <is>
          <t>BERG</t>
        </is>
      </c>
      <c r="G613" t="n">
        <v>11.7</v>
      </c>
      <c r="H613" t="n">
        <v>0</v>
      </c>
      <c r="I613" t="n">
        <v>0</v>
      </c>
      <c r="J613" t="n">
        <v>0</v>
      </c>
      <c r="K613" t="n">
        <v>0</v>
      </c>
      <c r="L613" t="n">
        <v>0</v>
      </c>
      <c r="M613" t="n">
        <v>0</v>
      </c>
      <c r="N613" t="n">
        <v>0</v>
      </c>
      <c r="O613" t="n">
        <v>0</v>
      </c>
      <c r="P613" t="n">
        <v>0</v>
      </c>
      <c r="Q613" t="n">
        <v>0</v>
      </c>
      <c r="R613" s="2" t="inlineStr"/>
    </row>
    <row r="614" ht="15" customHeight="1">
      <c r="A614" t="inlineStr">
        <is>
          <t>A 3964-2025</t>
        </is>
      </c>
      <c r="B614" s="1" t="n">
        <v>45684.50761574074</v>
      </c>
      <c r="C614" s="1" t="n">
        <v>46048</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52774-2023</t>
        </is>
      </c>
      <c r="B615" s="1" t="n">
        <v>45219</v>
      </c>
      <c r="C615" s="1" t="n">
        <v>46048</v>
      </c>
      <c r="D615" t="inlineStr">
        <is>
          <t>JÄMTLANDS LÄN</t>
        </is>
      </c>
      <c r="E615" t="inlineStr">
        <is>
          <t>BERG</t>
        </is>
      </c>
      <c r="G615" t="n">
        <v>1.1</v>
      </c>
      <c r="H615" t="n">
        <v>0</v>
      </c>
      <c r="I615" t="n">
        <v>0</v>
      </c>
      <c r="J615" t="n">
        <v>0</v>
      </c>
      <c r="K615" t="n">
        <v>0</v>
      </c>
      <c r="L615" t="n">
        <v>0</v>
      </c>
      <c r="M615" t="n">
        <v>0</v>
      </c>
      <c r="N615" t="n">
        <v>0</v>
      </c>
      <c r="O615" t="n">
        <v>0</v>
      </c>
      <c r="P615" t="n">
        <v>0</v>
      </c>
      <c r="Q615" t="n">
        <v>0</v>
      </c>
      <c r="R615" s="2" t="inlineStr"/>
    </row>
    <row r="616" ht="15" customHeight="1">
      <c r="A616" t="inlineStr">
        <is>
          <t>A 47982-2022</t>
        </is>
      </c>
      <c r="B616" s="1" t="n">
        <v>44853</v>
      </c>
      <c r="C616" s="1" t="n">
        <v>46048</v>
      </c>
      <c r="D616" t="inlineStr">
        <is>
          <t>JÄMTLANDS LÄN</t>
        </is>
      </c>
      <c r="E616" t="inlineStr">
        <is>
          <t>BERG</t>
        </is>
      </c>
      <c r="G616" t="n">
        <v>5.1</v>
      </c>
      <c r="H616" t="n">
        <v>0</v>
      </c>
      <c r="I616" t="n">
        <v>0</v>
      </c>
      <c r="J616" t="n">
        <v>0</v>
      </c>
      <c r="K616" t="n">
        <v>0</v>
      </c>
      <c r="L616" t="n">
        <v>0</v>
      </c>
      <c r="M616" t="n">
        <v>0</v>
      </c>
      <c r="N616" t="n">
        <v>0</v>
      </c>
      <c r="O616" t="n">
        <v>0</v>
      </c>
      <c r="P616" t="n">
        <v>0</v>
      </c>
      <c r="Q616" t="n">
        <v>0</v>
      </c>
      <c r="R616" s="2" t="inlineStr"/>
    </row>
    <row r="617" ht="15" customHeight="1">
      <c r="A617" t="inlineStr">
        <is>
          <t>A 61239-2022</t>
        </is>
      </c>
      <c r="B617" s="1" t="n">
        <v>44909</v>
      </c>
      <c r="C617" s="1" t="n">
        <v>46048</v>
      </c>
      <c r="D617" t="inlineStr">
        <is>
          <t>JÄMTLANDS LÄN</t>
        </is>
      </c>
      <c r="E617" t="inlineStr">
        <is>
          <t>BERG</t>
        </is>
      </c>
      <c r="G617" t="n">
        <v>13.5</v>
      </c>
      <c r="H617" t="n">
        <v>0</v>
      </c>
      <c r="I617" t="n">
        <v>0</v>
      </c>
      <c r="J617" t="n">
        <v>0</v>
      </c>
      <c r="K617" t="n">
        <v>0</v>
      </c>
      <c r="L617" t="n">
        <v>0</v>
      </c>
      <c r="M617" t="n">
        <v>0</v>
      </c>
      <c r="N617" t="n">
        <v>0</v>
      </c>
      <c r="O617" t="n">
        <v>0</v>
      </c>
      <c r="P617" t="n">
        <v>0</v>
      </c>
      <c r="Q617" t="n">
        <v>0</v>
      </c>
      <c r="R617" s="2" t="inlineStr"/>
    </row>
    <row r="618" ht="15" customHeight="1">
      <c r="A618" t="inlineStr">
        <is>
          <t>A 7021-2025</t>
        </is>
      </c>
      <c r="B618" s="1" t="n">
        <v>45701.61520833334</v>
      </c>
      <c r="C618" s="1" t="n">
        <v>46048</v>
      </c>
      <c r="D618" t="inlineStr">
        <is>
          <t>JÄMTLANDS LÄN</t>
        </is>
      </c>
      <c r="E618" t="inlineStr">
        <is>
          <t>BERG</t>
        </is>
      </c>
      <c r="G618" t="n">
        <v>4.2</v>
      </c>
      <c r="H618" t="n">
        <v>0</v>
      </c>
      <c r="I618" t="n">
        <v>0</v>
      </c>
      <c r="J618" t="n">
        <v>0</v>
      </c>
      <c r="K618" t="n">
        <v>0</v>
      </c>
      <c r="L618" t="n">
        <v>0</v>
      </c>
      <c r="M618" t="n">
        <v>0</v>
      </c>
      <c r="N618" t="n">
        <v>0</v>
      </c>
      <c r="O618" t="n">
        <v>0</v>
      </c>
      <c r="P618" t="n">
        <v>0</v>
      </c>
      <c r="Q618" t="n">
        <v>0</v>
      </c>
      <c r="R618" s="2" t="inlineStr"/>
    </row>
    <row r="619" ht="15" customHeight="1">
      <c r="A619" t="inlineStr">
        <is>
          <t>A 36142-2025</t>
        </is>
      </c>
      <c r="B619" s="1" t="n">
        <v>45866</v>
      </c>
      <c r="C619" s="1" t="n">
        <v>46048</v>
      </c>
      <c r="D619" t="inlineStr">
        <is>
          <t>JÄMTLANDS LÄN</t>
        </is>
      </c>
      <c r="E619" t="inlineStr">
        <is>
          <t>BERG</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21521-2024</t>
        </is>
      </c>
      <c r="B620" s="1" t="n">
        <v>45441.58313657407</v>
      </c>
      <c r="C620" s="1" t="n">
        <v>46048</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54998-2023</t>
        </is>
      </c>
      <c r="B621" s="1" t="n">
        <v>45236</v>
      </c>
      <c r="C621" s="1" t="n">
        <v>46048</v>
      </c>
      <c r="D621" t="inlineStr">
        <is>
          <t>JÄMTLANDS LÄN</t>
        </is>
      </c>
      <c r="E621" t="inlineStr">
        <is>
          <t>BERG</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46048</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19429-2025</t>
        </is>
      </c>
      <c r="B623" s="1" t="n">
        <v>45769.8025462963</v>
      </c>
      <c r="C623" s="1" t="n">
        <v>46048</v>
      </c>
      <c r="D623" t="inlineStr">
        <is>
          <t>JÄMTLANDS LÄN</t>
        </is>
      </c>
      <c r="E623" t="inlineStr">
        <is>
          <t>BERG</t>
        </is>
      </c>
      <c r="G623" t="n">
        <v>2</v>
      </c>
      <c r="H623" t="n">
        <v>0</v>
      </c>
      <c r="I623" t="n">
        <v>0</v>
      </c>
      <c r="J623" t="n">
        <v>0</v>
      </c>
      <c r="K623" t="n">
        <v>0</v>
      </c>
      <c r="L623" t="n">
        <v>0</v>
      </c>
      <c r="M623" t="n">
        <v>0</v>
      </c>
      <c r="N623" t="n">
        <v>0</v>
      </c>
      <c r="O623" t="n">
        <v>0</v>
      </c>
      <c r="P623" t="n">
        <v>0</v>
      </c>
      <c r="Q623" t="n">
        <v>0</v>
      </c>
      <c r="R623" s="2" t="inlineStr"/>
    </row>
    <row r="624" ht="15" customHeight="1">
      <c r="A624" t="inlineStr">
        <is>
          <t>A 22030-2025</t>
        </is>
      </c>
      <c r="B624" s="1" t="n">
        <v>45785.25814814815</v>
      </c>
      <c r="C624" s="1" t="n">
        <v>46048</v>
      </c>
      <c r="D624" t="inlineStr">
        <is>
          <t>JÄMTLANDS LÄN</t>
        </is>
      </c>
      <c r="E624" t="inlineStr">
        <is>
          <t>BERG</t>
        </is>
      </c>
      <c r="G624" t="n">
        <v>5</v>
      </c>
      <c r="H624" t="n">
        <v>0</v>
      </c>
      <c r="I624" t="n">
        <v>0</v>
      </c>
      <c r="J624" t="n">
        <v>0</v>
      </c>
      <c r="K624" t="n">
        <v>0</v>
      </c>
      <c r="L624" t="n">
        <v>0</v>
      </c>
      <c r="M624" t="n">
        <v>0</v>
      </c>
      <c r="N624" t="n">
        <v>0</v>
      </c>
      <c r="O624" t="n">
        <v>0</v>
      </c>
      <c r="P624" t="n">
        <v>0</v>
      </c>
      <c r="Q624" t="n">
        <v>0</v>
      </c>
      <c r="R624" s="2" t="inlineStr"/>
    </row>
    <row r="625" ht="15" customHeight="1">
      <c r="A625" t="inlineStr">
        <is>
          <t>A 36377-2025</t>
        </is>
      </c>
      <c r="B625" s="1" t="n">
        <v>45868.57342592593</v>
      </c>
      <c r="C625" s="1" t="n">
        <v>46048</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24011-2023</t>
        </is>
      </c>
      <c r="B626" s="1" t="n">
        <v>45078</v>
      </c>
      <c r="C626" s="1" t="n">
        <v>46048</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32156-2024</t>
        </is>
      </c>
      <c r="B627" s="1" t="n">
        <v>45511</v>
      </c>
      <c r="C627" s="1" t="n">
        <v>46048</v>
      </c>
      <c r="D627" t="inlineStr">
        <is>
          <t>JÄMTLANDS LÄN</t>
        </is>
      </c>
      <c r="E627" t="inlineStr">
        <is>
          <t>BERG</t>
        </is>
      </c>
      <c r="G627" t="n">
        <v>3.4</v>
      </c>
      <c r="H627" t="n">
        <v>0</v>
      </c>
      <c r="I627" t="n">
        <v>0</v>
      </c>
      <c r="J627" t="n">
        <v>0</v>
      </c>
      <c r="K627" t="n">
        <v>0</v>
      </c>
      <c r="L627" t="n">
        <v>0</v>
      </c>
      <c r="M627" t="n">
        <v>0</v>
      </c>
      <c r="N627" t="n">
        <v>0</v>
      </c>
      <c r="O627" t="n">
        <v>0</v>
      </c>
      <c r="P627" t="n">
        <v>0</v>
      </c>
      <c r="Q627" t="n">
        <v>0</v>
      </c>
      <c r="R627" s="2" t="inlineStr"/>
    </row>
    <row r="628" ht="15" customHeight="1">
      <c r="A628" t="inlineStr">
        <is>
          <t>A 47176-2023</t>
        </is>
      </c>
      <c r="B628" s="1" t="n">
        <v>45201.94844907407</v>
      </c>
      <c r="C628" s="1" t="n">
        <v>46048</v>
      </c>
      <c r="D628" t="inlineStr">
        <is>
          <t>JÄMTLANDS LÄN</t>
        </is>
      </c>
      <c r="E628" t="inlineStr">
        <is>
          <t>BERG</t>
        </is>
      </c>
      <c r="F628" t="inlineStr">
        <is>
          <t>SCA</t>
        </is>
      </c>
      <c r="G628" t="n">
        <v>32.3</v>
      </c>
      <c r="H628" t="n">
        <v>0</v>
      </c>
      <c r="I628" t="n">
        <v>0</v>
      </c>
      <c r="J628" t="n">
        <v>0</v>
      </c>
      <c r="K628" t="n">
        <v>0</v>
      </c>
      <c r="L628" t="n">
        <v>0</v>
      </c>
      <c r="M628" t="n">
        <v>0</v>
      </c>
      <c r="N628" t="n">
        <v>0</v>
      </c>
      <c r="O628" t="n">
        <v>0</v>
      </c>
      <c r="P628" t="n">
        <v>0</v>
      </c>
      <c r="Q628" t="n">
        <v>0</v>
      </c>
      <c r="R628" s="2" t="inlineStr"/>
    </row>
    <row r="629" ht="15" customHeight="1">
      <c r="A629" t="inlineStr">
        <is>
          <t>A 23165-2024</t>
        </is>
      </c>
      <c r="B629" s="1" t="n">
        <v>45450</v>
      </c>
      <c r="C629" s="1" t="n">
        <v>46048</v>
      </c>
      <c r="D629" t="inlineStr">
        <is>
          <t>JÄMTLANDS LÄN</t>
        </is>
      </c>
      <c r="E629" t="inlineStr">
        <is>
          <t>BERG</t>
        </is>
      </c>
      <c r="G629" t="n">
        <v>1.3</v>
      </c>
      <c r="H629" t="n">
        <v>0</v>
      </c>
      <c r="I629" t="n">
        <v>0</v>
      </c>
      <c r="J629" t="n">
        <v>0</v>
      </c>
      <c r="K629" t="n">
        <v>0</v>
      </c>
      <c r="L629" t="n">
        <v>0</v>
      </c>
      <c r="M629" t="n">
        <v>0</v>
      </c>
      <c r="N629" t="n">
        <v>0</v>
      </c>
      <c r="O629" t="n">
        <v>0</v>
      </c>
      <c r="P629" t="n">
        <v>0</v>
      </c>
      <c r="Q629" t="n">
        <v>0</v>
      </c>
      <c r="R629" s="2" t="inlineStr"/>
    </row>
    <row r="630" ht="15" customHeight="1">
      <c r="A630" t="inlineStr">
        <is>
          <t>A 11704-2023</t>
        </is>
      </c>
      <c r="B630" s="1" t="n">
        <v>44994.54274305556</v>
      </c>
      <c r="C630" s="1" t="n">
        <v>46048</v>
      </c>
      <c r="D630" t="inlineStr">
        <is>
          <t>JÄMTLANDS LÄN</t>
        </is>
      </c>
      <c r="E630" t="inlineStr">
        <is>
          <t>BERG</t>
        </is>
      </c>
      <c r="G630" t="n">
        <v>1</v>
      </c>
      <c r="H630" t="n">
        <v>0</v>
      </c>
      <c r="I630" t="n">
        <v>0</v>
      </c>
      <c r="J630" t="n">
        <v>0</v>
      </c>
      <c r="K630" t="n">
        <v>0</v>
      </c>
      <c r="L630" t="n">
        <v>0</v>
      </c>
      <c r="M630" t="n">
        <v>0</v>
      </c>
      <c r="N630" t="n">
        <v>0</v>
      </c>
      <c r="O630" t="n">
        <v>0</v>
      </c>
      <c r="P630" t="n">
        <v>0</v>
      </c>
      <c r="Q630" t="n">
        <v>0</v>
      </c>
      <c r="R630" s="2" t="inlineStr"/>
    </row>
    <row r="631" ht="15" customHeight="1">
      <c r="A631" t="inlineStr">
        <is>
          <t>A 13672-2024</t>
        </is>
      </c>
      <c r="B631" s="1" t="n">
        <v>45390</v>
      </c>
      <c r="C631" s="1" t="n">
        <v>46048</v>
      </c>
      <c r="D631" t="inlineStr">
        <is>
          <t>JÄMTLANDS LÄN</t>
        </is>
      </c>
      <c r="E631" t="inlineStr">
        <is>
          <t>BERG</t>
        </is>
      </c>
      <c r="G631" t="n">
        <v>0.3</v>
      </c>
      <c r="H631" t="n">
        <v>0</v>
      </c>
      <c r="I631" t="n">
        <v>0</v>
      </c>
      <c r="J631" t="n">
        <v>0</v>
      </c>
      <c r="K631" t="n">
        <v>0</v>
      </c>
      <c r="L631" t="n">
        <v>0</v>
      </c>
      <c r="M631" t="n">
        <v>0</v>
      </c>
      <c r="N631" t="n">
        <v>0</v>
      </c>
      <c r="O631" t="n">
        <v>0</v>
      </c>
      <c r="P631" t="n">
        <v>0</v>
      </c>
      <c r="Q631" t="n">
        <v>0</v>
      </c>
      <c r="R631" s="2" t="inlineStr"/>
    </row>
    <row r="632" ht="15" customHeight="1">
      <c r="A632" t="inlineStr">
        <is>
          <t>A 19345-2024</t>
        </is>
      </c>
      <c r="B632" s="1" t="n">
        <v>45428.97185185185</v>
      </c>
      <c r="C632" s="1" t="n">
        <v>46048</v>
      </c>
      <c r="D632" t="inlineStr">
        <is>
          <t>JÄMTLANDS LÄN</t>
        </is>
      </c>
      <c r="E632" t="inlineStr">
        <is>
          <t>BERG</t>
        </is>
      </c>
      <c r="F632" t="inlineStr">
        <is>
          <t>SCA</t>
        </is>
      </c>
      <c r="G632" t="n">
        <v>14.7</v>
      </c>
      <c r="H632" t="n">
        <v>0</v>
      </c>
      <c r="I632" t="n">
        <v>0</v>
      </c>
      <c r="J632" t="n">
        <v>0</v>
      </c>
      <c r="K632" t="n">
        <v>0</v>
      </c>
      <c r="L632" t="n">
        <v>0</v>
      </c>
      <c r="M632" t="n">
        <v>0</v>
      </c>
      <c r="N632" t="n">
        <v>0</v>
      </c>
      <c r="O632" t="n">
        <v>0</v>
      </c>
      <c r="P632" t="n">
        <v>0</v>
      </c>
      <c r="Q632" t="n">
        <v>0</v>
      </c>
      <c r="R632" s="2" t="inlineStr"/>
    </row>
    <row r="633" ht="15" customHeight="1">
      <c r="A633" t="inlineStr">
        <is>
          <t>A 50612-2023</t>
        </is>
      </c>
      <c r="B633" s="1" t="n">
        <v>45217.444375</v>
      </c>
      <c r="C633" s="1" t="n">
        <v>46048</v>
      </c>
      <c r="D633" t="inlineStr">
        <is>
          <t>JÄMTLANDS LÄN</t>
        </is>
      </c>
      <c r="E633" t="inlineStr">
        <is>
          <t>BERG</t>
        </is>
      </c>
      <c r="G633" t="n">
        <v>1.4</v>
      </c>
      <c r="H633" t="n">
        <v>0</v>
      </c>
      <c r="I633" t="n">
        <v>0</v>
      </c>
      <c r="J633" t="n">
        <v>0</v>
      </c>
      <c r="K633" t="n">
        <v>0</v>
      </c>
      <c r="L633" t="n">
        <v>0</v>
      </c>
      <c r="M633" t="n">
        <v>0</v>
      </c>
      <c r="N633" t="n">
        <v>0</v>
      </c>
      <c r="O633" t="n">
        <v>0</v>
      </c>
      <c r="P633" t="n">
        <v>0</v>
      </c>
      <c r="Q633" t="n">
        <v>0</v>
      </c>
      <c r="R633" s="2" t="inlineStr"/>
    </row>
    <row r="634" ht="15" customHeight="1">
      <c r="A634" t="inlineStr">
        <is>
          <t>A 36668-2025</t>
        </is>
      </c>
      <c r="B634" s="1" t="n">
        <v>45873.38351851852</v>
      </c>
      <c r="C634" s="1" t="n">
        <v>46048</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59459-2024</t>
        </is>
      </c>
      <c r="B635" s="1" t="n">
        <v>45638</v>
      </c>
      <c r="C635" s="1" t="n">
        <v>46048</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14153-2023</t>
        </is>
      </c>
      <c r="B636" s="1" t="n">
        <v>45008</v>
      </c>
      <c r="C636" s="1" t="n">
        <v>46048</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162-2024</t>
        </is>
      </c>
      <c r="B637" s="1" t="n">
        <v>45294</v>
      </c>
      <c r="C637" s="1" t="n">
        <v>46048</v>
      </c>
      <c r="D637" t="inlineStr">
        <is>
          <t>JÄMTLANDS LÄN</t>
        </is>
      </c>
      <c r="E637" t="inlineStr">
        <is>
          <t>BERG</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20899-2023</t>
        </is>
      </c>
      <c r="B638" s="1" t="n">
        <v>45060</v>
      </c>
      <c r="C638" s="1" t="n">
        <v>46048</v>
      </c>
      <c r="D638" t="inlineStr">
        <is>
          <t>JÄMTLANDS LÄN</t>
        </is>
      </c>
      <c r="E638" t="inlineStr">
        <is>
          <t>BERG</t>
        </is>
      </c>
      <c r="G638" t="n">
        <v>1.9</v>
      </c>
      <c r="H638" t="n">
        <v>0</v>
      </c>
      <c r="I638" t="n">
        <v>0</v>
      </c>
      <c r="J638" t="n">
        <v>0</v>
      </c>
      <c r="K638" t="n">
        <v>0</v>
      </c>
      <c r="L638" t="n">
        <v>0</v>
      </c>
      <c r="M638" t="n">
        <v>0</v>
      </c>
      <c r="N638" t="n">
        <v>0</v>
      </c>
      <c r="O638" t="n">
        <v>0</v>
      </c>
      <c r="P638" t="n">
        <v>0</v>
      </c>
      <c r="Q638" t="n">
        <v>0</v>
      </c>
      <c r="R638" s="2" t="inlineStr"/>
    </row>
    <row r="639" ht="15" customHeight="1">
      <c r="A639" t="inlineStr">
        <is>
          <t>A 46298-2024</t>
        </is>
      </c>
      <c r="B639" s="1" t="n">
        <v>45581.67739583334</v>
      </c>
      <c r="C639" s="1" t="n">
        <v>46048</v>
      </c>
      <c r="D639" t="inlineStr">
        <is>
          <t>JÄMTLANDS LÄN</t>
        </is>
      </c>
      <c r="E639" t="inlineStr">
        <is>
          <t>BERG</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36-2024</t>
        </is>
      </c>
      <c r="B640" s="1" t="n">
        <v>45293</v>
      </c>
      <c r="C640" s="1" t="n">
        <v>46048</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41106-2023</t>
        </is>
      </c>
      <c r="B641" s="1" t="n">
        <v>45170</v>
      </c>
      <c r="C641" s="1" t="n">
        <v>46048</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7744-2024</t>
        </is>
      </c>
      <c r="B642" s="1" t="n">
        <v>45349</v>
      </c>
      <c r="C642" s="1" t="n">
        <v>46048</v>
      </c>
      <c r="D642" t="inlineStr">
        <is>
          <t>JÄMTLANDS LÄN</t>
        </is>
      </c>
      <c r="E642" t="inlineStr">
        <is>
          <t>BERG</t>
        </is>
      </c>
      <c r="G642" t="n">
        <v>1.7</v>
      </c>
      <c r="H642" t="n">
        <v>0</v>
      </c>
      <c r="I642" t="n">
        <v>0</v>
      </c>
      <c r="J642" t="n">
        <v>0</v>
      </c>
      <c r="K642" t="n">
        <v>0</v>
      </c>
      <c r="L642" t="n">
        <v>0</v>
      </c>
      <c r="M642" t="n">
        <v>0</v>
      </c>
      <c r="N642" t="n">
        <v>0</v>
      </c>
      <c r="O642" t="n">
        <v>0</v>
      </c>
      <c r="P642" t="n">
        <v>0</v>
      </c>
      <c r="Q642" t="n">
        <v>0</v>
      </c>
      <c r="R642" s="2" t="inlineStr"/>
    </row>
    <row r="643" ht="15" customHeight="1">
      <c r="A643" t="inlineStr">
        <is>
          <t>A 45206-2024</t>
        </is>
      </c>
      <c r="B643" s="1" t="n">
        <v>45575.69966435185</v>
      </c>
      <c r="C643" s="1" t="n">
        <v>46048</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37201-2025</t>
        </is>
      </c>
      <c r="B644" s="1" t="n">
        <v>45875.67797453704</v>
      </c>
      <c r="C644" s="1" t="n">
        <v>46048</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37066-2025</t>
        </is>
      </c>
      <c r="B645" s="1" t="n">
        <v>45875.3862962963</v>
      </c>
      <c r="C645" s="1" t="n">
        <v>46048</v>
      </c>
      <c r="D645" t="inlineStr">
        <is>
          <t>JÄMTLANDS LÄN</t>
        </is>
      </c>
      <c r="E645" t="inlineStr">
        <is>
          <t>BERG</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511-2025</t>
        </is>
      </c>
      <c r="B646" s="1" t="n">
        <v>45664.47284722222</v>
      </c>
      <c r="C646" s="1" t="n">
        <v>46048</v>
      </c>
      <c r="D646" t="inlineStr">
        <is>
          <t>JÄMTLANDS LÄN</t>
        </is>
      </c>
      <c r="E646" t="inlineStr">
        <is>
          <t>BERG</t>
        </is>
      </c>
      <c r="G646" t="n">
        <v>4.5</v>
      </c>
      <c r="H646" t="n">
        <v>0</v>
      </c>
      <c r="I646" t="n">
        <v>0</v>
      </c>
      <c r="J646" t="n">
        <v>0</v>
      </c>
      <c r="K646" t="n">
        <v>0</v>
      </c>
      <c r="L646" t="n">
        <v>0</v>
      </c>
      <c r="M646" t="n">
        <v>0</v>
      </c>
      <c r="N646" t="n">
        <v>0</v>
      </c>
      <c r="O646" t="n">
        <v>0</v>
      </c>
      <c r="P646" t="n">
        <v>0</v>
      </c>
      <c r="Q646" t="n">
        <v>0</v>
      </c>
      <c r="R646" s="2" t="inlineStr"/>
    </row>
    <row r="647" ht="15" customHeight="1">
      <c r="A647" t="inlineStr">
        <is>
          <t>A 36896-2025</t>
        </is>
      </c>
      <c r="B647" s="1" t="n">
        <v>45874.4740625</v>
      </c>
      <c r="C647" s="1" t="n">
        <v>46048</v>
      </c>
      <c r="D647" t="inlineStr">
        <is>
          <t>JÄMTLANDS LÄN</t>
        </is>
      </c>
      <c r="E647" t="inlineStr">
        <is>
          <t>BERG</t>
        </is>
      </c>
      <c r="G647" t="n">
        <v>3.2</v>
      </c>
      <c r="H647" t="n">
        <v>0</v>
      </c>
      <c r="I647" t="n">
        <v>0</v>
      </c>
      <c r="J647" t="n">
        <v>0</v>
      </c>
      <c r="K647" t="n">
        <v>0</v>
      </c>
      <c r="L647" t="n">
        <v>0</v>
      </c>
      <c r="M647" t="n">
        <v>0</v>
      </c>
      <c r="N647" t="n">
        <v>0</v>
      </c>
      <c r="O647" t="n">
        <v>0</v>
      </c>
      <c r="P647" t="n">
        <v>0</v>
      </c>
      <c r="Q647" t="n">
        <v>0</v>
      </c>
      <c r="R647" s="2" t="inlineStr"/>
    </row>
    <row r="648" ht="15" customHeight="1">
      <c r="A648" t="inlineStr">
        <is>
          <t>A 36714-2025</t>
        </is>
      </c>
      <c r="B648" s="1" t="n">
        <v>45873.46881944445</v>
      </c>
      <c r="C648" s="1" t="n">
        <v>46048</v>
      </c>
      <c r="D648" t="inlineStr">
        <is>
          <t>JÄMTLANDS LÄN</t>
        </is>
      </c>
      <c r="E648" t="inlineStr">
        <is>
          <t>BERG</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36718-2025</t>
        </is>
      </c>
      <c r="B649" s="1" t="n">
        <v>45873.47069444445</v>
      </c>
      <c r="C649" s="1" t="n">
        <v>46048</v>
      </c>
      <c r="D649" t="inlineStr">
        <is>
          <t>JÄMTLANDS LÄN</t>
        </is>
      </c>
      <c r="E649" t="inlineStr">
        <is>
          <t>BERG</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40415-2023</t>
        </is>
      </c>
      <c r="B650" s="1" t="n">
        <v>45169.93925925926</v>
      </c>
      <c r="C650" s="1" t="n">
        <v>46048</v>
      </c>
      <c r="D650" t="inlineStr">
        <is>
          <t>JÄMTLANDS LÄN</t>
        </is>
      </c>
      <c r="E650" t="inlineStr">
        <is>
          <t>BERG</t>
        </is>
      </c>
      <c r="F650" t="inlineStr">
        <is>
          <t>SCA</t>
        </is>
      </c>
      <c r="G650" t="n">
        <v>10.2</v>
      </c>
      <c r="H650" t="n">
        <v>0</v>
      </c>
      <c r="I650" t="n">
        <v>0</v>
      </c>
      <c r="J650" t="n">
        <v>0</v>
      </c>
      <c r="K650" t="n">
        <v>0</v>
      </c>
      <c r="L650" t="n">
        <v>0</v>
      </c>
      <c r="M650" t="n">
        <v>0</v>
      </c>
      <c r="N650" t="n">
        <v>0</v>
      </c>
      <c r="O650" t="n">
        <v>0</v>
      </c>
      <c r="P650" t="n">
        <v>0</v>
      </c>
      <c r="Q650" t="n">
        <v>0</v>
      </c>
      <c r="R650" s="2" t="inlineStr"/>
    </row>
    <row r="651" ht="15" customHeight="1">
      <c r="A651" t="inlineStr">
        <is>
          <t>A 12611-2025</t>
        </is>
      </c>
      <c r="B651" s="1" t="n">
        <v>45733.33921296296</v>
      </c>
      <c r="C651" s="1" t="n">
        <v>46048</v>
      </c>
      <c r="D651" t="inlineStr">
        <is>
          <t>JÄMTLANDS LÄN</t>
        </is>
      </c>
      <c r="E651" t="inlineStr">
        <is>
          <t>BERG</t>
        </is>
      </c>
      <c r="G651" t="n">
        <v>7.7</v>
      </c>
      <c r="H651" t="n">
        <v>0</v>
      </c>
      <c r="I651" t="n">
        <v>0</v>
      </c>
      <c r="J651" t="n">
        <v>0</v>
      </c>
      <c r="K651" t="n">
        <v>0</v>
      </c>
      <c r="L651" t="n">
        <v>0</v>
      </c>
      <c r="M651" t="n">
        <v>0</v>
      </c>
      <c r="N651" t="n">
        <v>0</v>
      </c>
      <c r="O651" t="n">
        <v>0</v>
      </c>
      <c r="P651" t="n">
        <v>0</v>
      </c>
      <c r="Q651" t="n">
        <v>0</v>
      </c>
      <c r="R651" s="2" t="inlineStr"/>
    </row>
    <row r="652" ht="15" customHeight="1">
      <c r="A652" t="inlineStr">
        <is>
          <t>A 53456-2022</t>
        </is>
      </c>
      <c r="B652" s="1" t="n">
        <v>44874</v>
      </c>
      <c r="C652" s="1" t="n">
        <v>46048</v>
      </c>
      <c r="D652" t="inlineStr">
        <is>
          <t>JÄMTLANDS LÄN</t>
        </is>
      </c>
      <c r="E652" t="inlineStr">
        <is>
          <t>BERG</t>
        </is>
      </c>
      <c r="G652" t="n">
        <v>13.3</v>
      </c>
      <c r="H652" t="n">
        <v>0</v>
      </c>
      <c r="I652" t="n">
        <v>0</v>
      </c>
      <c r="J652" t="n">
        <v>0</v>
      </c>
      <c r="K652" t="n">
        <v>0</v>
      </c>
      <c r="L652" t="n">
        <v>0</v>
      </c>
      <c r="M652" t="n">
        <v>0</v>
      </c>
      <c r="N652" t="n">
        <v>0</v>
      </c>
      <c r="O652" t="n">
        <v>0</v>
      </c>
      <c r="P652" t="n">
        <v>0</v>
      </c>
      <c r="Q652" t="n">
        <v>0</v>
      </c>
      <c r="R652" s="2" t="inlineStr"/>
    </row>
    <row r="653" ht="15" customHeight="1">
      <c r="A653" t="inlineStr">
        <is>
          <t>A 37062-2025</t>
        </is>
      </c>
      <c r="B653" s="1" t="n">
        <v>45875.38579861111</v>
      </c>
      <c r="C653" s="1" t="n">
        <v>46048</v>
      </c>
      <c r="D653" t="inlineStr">
        <is>
          <t>JÄMTLANDS LÄN</t>
        </is>
      </c>
      <c r="E653" t="inlineStr">
        <is>
          <t>BERG</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36341-2025</t>
        </is>
      </c>
      <c r="B654" s="1" t="n">
        <v>45868</v>
      </c>
      <c r="C654" s="1" t="n">
        <v>46048</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37488-2025</t>
        </is>
      </c>
      <c r="B655" s="1" t="n">
        <v>45877.63582175926</v>
      </c>
      <c r="C655" s="1" t="n">
        <v>46048</v>
      </c>
      <c r="D655" t="inlineStr">
        <is>
          <t>JÄMTLANDS LÄN</t>
        </is>
      </c>
      <c r="E655" t="inlineStr">
        <is>
          <t>BERG</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37455-2025</t>
        </is>
      </c>
      <c r="B656" s="1" t="n">
        <v>45877.56710648148</v>
      </c>
      <c r="C656" s="1" t="n">
        <v>46048</v>
      </c>
      <c r="D656" t="inlineStr">
        <is>
          <t>JÄMTLANDS LÄN</t>
        </is>
      </c>
      <c r="E656" t="inlineStr">
        <is>
          <t>BERG</t>
        </is>
      </c>
      <c r="G656" t="n">
        <v>5.6</v>
      </c>
      <c r="H656" t="n">
        <v>0</v>
      </c>
      <c r="I656" t="n">
        <v>0</v>
      </c>
      <c r="J656" t="n">
        <v>0</v>
      </c>
      <c r="K656" t="n">
        <v>0</v>
      </c>
      <c r="L656" t="n">
        <v>0</v>
      </c>
      <c r="M656" t="n">
        <v>0</v>
      </c>
      <c r="N656" t="n">
        <v>0</v>
      </c>
      <c r="O656" t="n">
        <v>0</v>
      </c>
      <c r="P656" t="n">
        <v>0</v>
      </c>
      <c r="Q656" t="n">
        <v>0</v>
      </c>
      <c r="R656" s="2" t="inlineStr"/>
    </row>
    <row r="657" ht="15" customHeight="1">
      <c r="A657" t="inlineStr">
        <is>
          <t>A 2247-2025</t>
        </is>
      </c>
      <c r="B657" s="1" t="n">
        <v>45673.49039351852</v>
      </c>
      <c r="C657" s="1" t="n">
        <v>46048</v>
      </c>
      <c r="D657" t="inlineStr">
        <is>
          <t>JÄMTLANDS LÄN</t>
        </is>
      </c>
      <c r="E657" t="inlineStr">
        <is>
          <t>BERG</t>
        </is>
      </c>
      <c r="F657" t="inlineStr">
        <is>
          <t>SCA</t>
        </is>
      </c>
      <c r="G657" t="n">
        <v>13.3</v>
      </c>
      <c r="H657" t="n">
        <v>0</v>
      </c>
      <c r="I657" t="n">
        <v>0</v>
      </c>
      <c r="J657" t="n">
        <v>0</v>
      </c>
      <c r="K657" t="n">
        <v>0</v>
      </c>
      <c r="L657" t="n">
        <v>0</v>
      </c>
      <c r="M657" t="n">
        <v>0</v>
      </c>
      <c r="N657" t="n">
        <v>0</v>
      </c>
      <c r="O657" t="n">
        <v>0</v>
      </c>
      <c r="P657" t="n">
        <v>0</v>
      </c>
      <c r="Q657" t="n">
        <v>0</v>
      </c>
      <c r="R657" s="2" t="inlineStr"/>
    </row>
    <row r="658" ht="15" customHeight="1">
      <c r="A658" t="inlineStr">
        <is>
          <t>A 18872-2023</t>
        </is>
      </c>
      <c r="B658" s="1" t="n">
        <v>45042</v>
      </c>
      <c r="C658" s="1" t="n">
        <v>46048</v>
      </c>
      <c r="D658" t="inlineStr">
        <is>
          <t>JÄMTLANDS LÄN</t>
        </is>
      </c>
      <c r="E658" t="inlineStr">
        <is>
          <t>BERG</t>
        </is>
      </c>
      <c r="G658" t="n">
        <v>13.2</v>
      </c>
      <c r="H658" t="n">
        <v>0</v>
      </c>
      <c r="I658" t="n">
        <v>0</v>
      </c>
      <c r="J658" t="n">
        <v>0</v>
      </c>
      <c r="K658" t="n">
        <v>0</v>
      </c>
      <c r="L658" t="n">
        <v>0</v>
      </c>
      <c r="M658" t="n">
        <v>0</v>
      </c>
      <c r="N658" t="n">
        <v>0</v>
      </c>
      <c r="O658" t="n">
        <v>0</v>
      </c>
      <c r="P658" t="n">
        <v>0</v>
      </c>
      <c r="Q658" t="n">
        <v>0</v>
      </c>
      <c r="R658" s="2" t="inlineStr"/>
    </row>
    <row r="659" ht="15" customHeight="1">
      <c r="A659" t="inlineStr">
        <is>
          <t>A 37463-2025</t>
        </is>
      </c>
      <c r="B659" s="1" t="n">
        <v>45877.5738425926</v>
      </c>
      <c r="C659" s="1" t="n">
        <v>46048</v>
      </c>
      <c r="D659" t="inlineStr">
        <is>
          <t>JÄMTLANDS LÄN</t>
        </is>
      </c>
      <c r="E659" t="inlineStr">
        <is>
          <t>BERG</t>
        </is>
      </c>
      <c r="F659" t="inlineStr">
        <is>
          <t>SCA</t>
        </is>
      </c>
      <c r="G659" t="n">
        <v>13.3</v>
      </c>
      <c r="H659" t="n">
        <v>0</v>
      </c>
      <c r="I659" t="n">
        <v>0</v>
      </c>
      <c r="J659" t="n">
        <v>0</v>
      </c>
      <c r="K659" t="n">
        <v>0</v>
      </c>
      <c r="L659" t="n">
        <v>0</v>
      </c>
      <c r="M659" t="n">
        <v>0</v>
      </c>
      <c r="N659" t="n">
        <v>0</v>
      </c>
      <c r="O659" t="n">
        <v>0</v>
      </c>
      <c r="P659" t="n">
        <v>0</v>
      </c>
      <c r="Q659" t="n">
        <v>0</v>
      </c>
      <c r="R659" s="2" t="inlineStr"/>
    </row>
    <row r="660" ht="15" customHeight="1">
      <c r="A660" t="inlineStr">
        <is>
          <t>A 29087-2024</t>
        </is>
      </c>
      <c r="B660" s="1" t="n">
        <v>45481.92946759259</v>
      </c>
      <c r="C660" s="1" t="n">
        <v>46048</v>
      </c>
      <c r="D660" t="inlineStr">
        <is>
          <t>JÄMTLANDS LÄN</t>
        </is>
      </c>
      <c r="E660" t="inlineStr">
        <is>
          <t>BERG</t>
        </is>
      </c>
      <c r="G660" t="n">
        <v>10.7</v>
      </c>
      <c r="H660" t="n">
        <v>0</v>
      </c>
      <c r="I660" t="n">
        <v>0</v>
      </c>
      <c r="J660" t="n">
        <v>0</v>
      </c>
      <c r="K660" t="n">
        <v>0</v>
      </c>
      <c r="L660" t="n">
        <v>0</v>
      </c>
      <c r="M660" t="n">
        <v>0</v>
      </c>
      <c r="N660" t="n">
        <v>0</v>
      </c>
      <c r="O660" t="n">
        <v>0</v>
      </c>
      <c r="P660" t="n">
        <v>0</v>
      </c>
      <c r="Q660" t="n">
        <v>0</v>
      </c>
      <c r="R660" s="2" t="inlineStr"/>
    </row>
    <row r="661" ht="15" customHeight="1">
      <c r="A661" t="inlineStr">
        <is>
          <t>A 37431-2025</t>
        </is>
      </c>
      <c r="B661" s="1" t="n">
        <v>45877.51092592593</v>
      </c>
      <c r="C661" s="1" t="n">
        <v>46048</v>
      </c>
      <c r="D661" t="inlineStr">
        <is>
          <t>JÄMTLANDS LÄN</t>
        </is>
      </c>
      <c r="E661" t="inlineStr">
        <is>
          <t>BERG</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32654-2025</t>
        </is>
      </c>
      <c r="B662" s="1" t="n">
        <v>45838.6778587963</v>
      </c>
      <c r="C662" s="1" t="n">
        <v>46048</v>
      </c>
      <c r="D662" t="inlineStr">
        <is>
          <t>JÄMTLANDS LÄN</t>
        </is>
      </c>
      <c r="E662" t="inlineStr">
        <is>
          <t>BERG</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38082-2025</t>
        </is>
      </c>
      <c r="B663" s="1" t="n">
        <v>45882</v>
      </c>
      <c r="C663" s="1" t="n">
        <v>46048</v>
      </c>
      <c r="D663" t="inlineStr">
        <is>
          <t>JÄMTLANDS LÄN</t>
        </is>
      </c>
      <c r="E663" t="inlineStr">
        <is>
          <t>BERG</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38408-2025</t>
        </is>
      </c>
      <c r="B664" s="1" t="n">
        <v>45883.59412037037</v>
      </c>
      <c r="C664" s="1" t="n">
        <v>46048</v>
      </c>
      <c r="D664" t="inlineStr">
        <is>
          <t>JÄMTLANDS LÄN</t>
        </is>
      </c>
      <c r="E664" t="inlineStr">
        <is>
          <t>BERG</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38388-2025</t>
        </is>
      </c>
      <c r="B665" s="1" t="n">
        <v>45883.57467592593</v>
      </c>
      <c r="C665" s="1" t="n">
        <v>46048</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38428-2025</t>
        </is>
      </c>
      <c r="B666" s="1" t="n">
        <v>45883.63628472222</v>
      </c>
      <c r="C666" s="1" t="n">
        <v>46048</v>
      </c>
      <c r="D666" t="inlineStr">
        <is>
          <t>JÄMTLANDS LÄN</t>
        </is>
      </c>
      <c r="E666" t="inlineStr">
        <is>
          <t>BERG</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9252-2025</t>
        </is>
      </c>
      <c r="B667" s="1" t="n">
        <v>45714.59415509259</v>
      </c>
      <c r="C667" s="1" t="n">
        <v>46048</v>
      </c>
      <c r="D667" t="inlineStr">
        <is>
          <t>JÄMTLANDS LÄN</t>
        </is>
      </c>
      <c r="E667" t="inlineStr">
        <is>
          <t>BERG</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38080-2025</t>
        </is>
      </c>
      <c r="B668" s="1" t="n">
        <v>45882</v>
      </c>
      <c r="C668" s="1" t="n">
        <v>46048</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64247-2023</t>
        </is>
      </c>
      <c r="B669" s="1" t="n">
        <v>45279.92739583334</v>
      </c>
      <c r="C669" s="1" t="n">
        <v>46048</v>
      </c>
      <c r="D669" t="inlineStr">
        <is>
          <t>JÄMTLANDS LÄN</t>
        </is>
      </c>
      <c r="E669" t="inlineStr">
        <is>
          <t>BERG</t>
        </is>
      </c>
      <c r="G669" t="n">
        <v>0.9</v>
      </c>
      <c r="H669" t="n">
        <v>0</v>
      </c>
      <c r="I669" t="n">
        <v>0</v>
      </c>
      <c r="J669" t="n">
        <v>0</v>
      </c>
      <c r="K669" t="n">
        <v>0</v>
      </c>
      <c r="L669" t="n">
        <v>0</v>
      </c>
      <c r="M669" t="n">
        <v>0</v>
      </c>
      <c r="N669" t="n">
        <v>0</v>
      </c>
      <c r="O669" t="n">
        <v>0</v>
      </c>
      <c r="P669" t="n">
        <v>0</v>
      </c>
      <c r="Q669" t="n">
        <v>0</v>
      </c>
      <c r="R669" s="2" t="inlineStr"/>
    </row>
    <row r="670" ht="15" customHeight="1">
      <c r="A670" t="inlineStr">
        <is>
          <t>A 31330-2024</t>
        </is>
      </c>
      <c r="B670" s="1" t="n">
        <v>45504</v>
      </c>
      <c r="C670" s="1" t="n">
        <v>46048</v>
      </c>
      <c r="D670" t="inlineStr">
        <is>
          <t>JÄMTLANDS LÄN</t>
        </is>
      </c>
      <c r="E670" t="inlineStr">
        <is>
          <t>BERG</t>
        </is>
      </c>
      <c r="G670" t="n">
        <v>30.5</v>
      </c>
      <c r="H670" t="n">
        <v>0</v>
      </c>
      <c r="I670" t="n">
        <v>0</v>
      </c>
      <c r="J670" t="n">
        <v>0</v>
      </c>
      <c r="K670" t="n">
        <v>0</v>
      </c>
      <c r="L670" t="n">
        <v>0</v>
      </c>
      <c r="M670" t="n">
        <v>0</v>
      </c>
      <c r="N670" t="n">
        <v>0</v>
      </c>
      <c r="O670" t="n">
        <v>0</v>
      </c>
      <c r="P670" t="n">
        <v>0</v>
      </c>
      <c r="Q670" t="n">
        <v>0</v>
      </c>
      <c r="R670" s="2" t="inlineStr"/>
    </row>
    <row r="671" ht="15" customHeight="1">
      <c r="A671" t="inlineStr">
        <is>
          <t>A 60404-2023</t>
        </is>
      </c>
      <c r="B671" s="1" t="n">
        <v>45259.46332175926</v>
      </c>
      <c r="C671" s="1" t="n">
        <v>46048</v>
      </c>
      <c r="D671" t="inlineStr">
        <is>
          <t>JÄMTLANDS LÄN</t>
        </is>
      </c>
      <c r="E671" t="inlineStr">
        <is>
          <t>BERG</t>
        </is>
      </c>
      <c r="G671" t="n">
        <v>1.2</v>
      </c>
      <c r="H671" t="n">
        <v>0</v>
      </c>
      <c r="I671" t="n">
        <v>0</v>
      </c>
      <c r="J671" t="n">
        <v>0</v>
      </c>
      <c r="K671" t="n">
        <v>0</v>
      </c>
      <c r="L671" t="n">
        <v>0</v>
      </c>
      <c r="M671" t="n">
        <v>0</v>
      </c>
      <c r="N671" t="n">
        <v>0</v>
      </c>
      <c r="O671" t="n">
        <v>0</v>
      </c>
      <c r="P671" t="n">
        <v>0</v>
      </c>
      <c r="Q671" t="n">
        <v>0</v>
      </c>
      <c r="R671" s="2" t="inlineStr"/>
    </row>
    <row r="672" ht="15" customHeight="1">
      <c r="A672" t="inlineStr">
        <is>
          <t>A 46991-2024</t>
        </is>
      </c>
      <c r="B672" s="1" t="n">
        <v>45586.365625</v>
      </c>
      <c r="C672" s="1" t="n">
        <v>46048</v>
      </c>
      <c r="D672" t="inlineStr">
        <is>
          <t>JÄMTLANDS LÄN</t>
        </is>
      </c>
      <c r="E672" t="inlineStr">
        <is>
          <t>BERG</t>
        </is>
      </c>
      <c r="G672" t="n">
        <v>2.9</v>
      </c>
      <c r="H672" t="n">
        <v>0</v>
      </c>
      <c r="I672" t="n">
        <v>0</v>
      </c>
      <c r="J672" t="n">
        <v>0</v>
      </c>
      <c r="K672" t="n">
        <v>0</v>
      </c>
      <c r="L672" t="n">
        <v>0</v>
      </c>
      <c r="M672" t="n">
        <v>0</v>
      </c>
      <c r="N672" t="n">
        <v>0</v>
      </c>
      <c r="O672" t="n">
        <v>0</v>
      </c>
      <c r="P672" t="n">
        <v>0</v>
      </c>
      <c r="Q672" t="n">
        <v>0</v>
      </c>
      <c r="R672" s="2" t="inlineStr"/>
    </row>
    <row r="673" ht="15" customHeight="1">
      <c r="A673" t="inlineStr">
        <is>
          <t>A 39186-2024</t>
        </is>
      </c>
      <c r="B673" s="1" t="n">
        <v>45548.66489583333</v>
      </c>
      <c r="C673" s="1" t="n">
        <v>46048</v>
      </c>
      <c r="D673" t="inlineStr">
        <is>
          <t>JÄMTLANDS LÄN</t>
        </is>
      </c>
      <c r="E673" t="inlineStr">
        <is>
          <t>BERG</t>
        </is>
      </c>
      <c r="G673" t="n">
        <v>38.4</v>
      </c>
      <c r="H673" t="n">
        <v>0</v>
      </c>
      <c r="I673" t="n">
        <v>0</v>
      </c>
      <c r="J673" t="n">
        <v>0</v>
      </c>
      <c r="K673" t="n">
        <v>0</v>
      </c>
      <c r="L673" t="n">
        <v>0</v>
      </c>
      <c r="M673" t="n">
        <v>0</v>
      </c>
      <c r="N673" t="n">
        <v>0</v>
      </c>
      <c r="O673" t="n">
        <v>0</v>
      </c>
      <c r="P673" t="n">
        <v>0</v>
      </c>
      <c r="Q673" t="n">
        <v>0</v>
      </c>
      <c r="R673" s="2" t="inlineStr"/>
    </row>
    <row r="674" ht="15" customHeight="1">
      <c r="A674" t="inlineStr">
        <is>
          <t>A 50706-2023</t>
        </is>
      </c>
      <c r="B674" s="1" t="n">
        <v>45217.55832175926</v>
      </c>
      <c r="C674" s="1" t="n">
        <v>46048</v>
      </c>
      <c r="D674" t="inlineStr">
        <is>
          <t>JÄMTLANDS LÄN</t>
        </is>
      </c>
      <c r="E674" t="inlineStr">
        <is>
          <t>BERG</t>
        </is>
      </c>
      <c r="G674" t="n">
        <v>4.1</v>
      </c>
      <c r="H674" t="n">
        <v>0</v>
      </c>
      <c r="I674" t="n">
        <v>0</v>
      </c>
      <c r="J674" t="n">
        <v>0</v>
      </c>
      <c r="K674" t="n">
        <v>0</v>
      </c>
      <c r="L674" t="n">
        <v>0</v>
      </c>
      <c r="M674" t="n">
        <v>0</v>
      </c>
      <c r="N674" t="n">
        <v>0</v>
      </c>
      <c r="O674" t="n">
        <v>0</v>
      </c>
      <c r="P674" t="n">
        <v>0</v>
      </c>
      <c r="Q674" t="n">
        <v>0</v>
      </c>
      <c r="R674" s="2" t="inlineStr"/>
    </row>
    <row r="675" ht="15" customHeight="1">
      <c r="A675" t="inlineStr">
        <is>
          <t>A 3625-2024</t>
        </is>
      </c>
      <c r="B675" s="1" t="n">
        <v>45320</v>
      </c>
      <c r="C675" s="1" t="n">
        <v>46048</v>
      </c>
      <c r="D675" t="inlineStr">
        <is>
          <t>JÄMTLANDS LÄN</t>
        </is>
      </c>
      <c r="E675" t="inlineStr">
        <is>
          <t>BERG</t>
        </is>
      </c>
      <c r="F675" t="inlineStr">
        <is>
          <t>SCA</t>
        </is>
      </c>
      <c r="G675" t="n">
        <v>23.7</v>
      </c>
      <c r="H675" t="n">
        <v>0</v>
      </c>
      <c r="I675" t="n">
        <v>0</v>
      </c>
      <c r="J675" t="n">
        <v>0</v>
      </c>
      <c r="K675" t="n">
        <v>0</v>
      </c>
      <c r="L675" t="n">
        <v>0</v>
      </c>
      <c r="M675" t="n">
        <v>0</v>
      </c>
      <c r="N675" t="n">
        <v>0</v>
      </c>
      <c r="O675" t="n">
        <v>0</v>
      </c>
      <c r="P675" t="n">
        <v>0</v>
      </c>
      <c r="Q675" t="n">
        <v>0</v>
      </c>
      <c r="R675" s="2" t="inlineStr"/>
    </row>
    <row r="676" ht="15" customHeight="1">
      <c r="A676" t="inlineStr">
        <is>
          <t>A 19428-2025</t>
        </is>
      </c>
      <c r="B676" s="1" t="n">
        <v>45769.79763888889</v>
      </c>
      <c r="C676" s="1" t="n">
        <v>46048</v>
      </c>
      <c r="D676" t="inlineStr">
        <is>
          <t>JÄMTLANDS LÄN</t>
        </is>
      </c>
      <c r="E676" t="inlineStr">
        <is>
          <t>BERG</t>
        </is>
      </c>
      <c r="G676" t="n">
        <v>7.1</v>
      </c>
      <c r="H676" t="n">
        <v>0</v>
      </c>
      <c r="I676" t="n">
        <v>0</v>
      </c>
      <c r="J676" t="n">
        <v>0</v>
      </c>
      <c r="K676" t="n">
        <v>0</v>
      </c>
      <c r="L676" t="n">
        <v>0</v>
      </c>
      <c r="M676" t="n">
        <v>0</v>
      </c>
      <c r="N676" t="n">
        <v>0</v>
      </c>
      <c r="O676" t="n">
        <v>0</v>
      </c>
      <c r="P676" t="n">
        <v>0</v>
      </c>
      <c r="Q676" t="n">
        <v>0</v>
      </c>
      <c r="R676" s="2" t="inlineStr"/>
    </row>
    <row r="677" ht="15" customHeight="1">
      <c r="A677" t="inlineStr">
        <is>
          <t>A 18408-2025</t>
        </is>
      </c>
      <c r="B677" s="1" t="n">
        <v>45762.61128472222</v>
      </c>
      <c r="C677" s="1" t="n">
        <v>46048</v>
      </c>
      <c r="D677" t="inlineStr">
        <is>
          <t>JÄMTLANDS LÄN</t>
        </is>
      </c>
      <c r="E677" t="inlineStr">
        <is>
          <t>BERG</t>
        </is>
      </c>
      <c r="G677" t="n">
        <v>5.1</v>
      </c>
      <c r="H677" t="n">
        <v>0</v>
      </c>
      <c r="I677" t="n">
        <v>0</v>
      </c>
      <c r="J677" t="n">
        <v>0</v>
      </c>
      <c r="K677" t="n">
        <v>0</v>
      </c>
      <c r="L677" t="n">
        <v>0</v>
      </c>
      <c r="M677" t="n">
        <v>0</v>
      </c>
      <c r="N677" t="n">
        <v>0</v>
      </c>
      <c r="O677" t="n">
        <v>0</v>
      </c>
      <c r="P677" t="n">
        <v>0</v>
      </c>
      <c r="Q677" t="n">
        <v>0</v>
      </c>
      <c r="R677" s="2" t="inlineStr"/>
    </row>
    <row r="678" ht="15" customHeight="1">
      <c r="A678" t="inlineStr">
        <is>
          <t>A 39418-2025</t>
        </is>
      </c>
      <c r="B678" s="1" t="n">
        <v>45889</v>
      </c>
      <c r="C678" s="1" t="n">
        <v>46048</v>
      </c>
      <c r="D678" t="inlineStr">
        <is>
          <t>JÄMTLANDS LÄN</t>
        </is>
      </c>
      <c r="E678" t="inlineStr">
        <is>
          <t>BERG</t>
        </is>
      </c>
      <c r="G678" t="n">
        <v>19.8</v>
      </c>
      <c r="H678" t="n">
        <v>0</v>
      </c>
      <c r="I678" t="n">
        <v>0</v>
      </c>
      <c r="J678" t="n">
        <v>0</v>
      </c>
      <c r="K678" t="n">
        <v>0</v>
      </c>
      <c r="L678" t="n">
        <v>0</v>
      </c>
      <c r="M678" t="n">
        <v>0</v>
      </c>
      <c r="N678" t="n">
        <v>0</v>
      </c>
      <c r="O678" t="n">
        <v>0</v>
      </c>
      <c r="P678" t="n">
        <v>0</v>
      </c>
      <c r="Q678" t="n">
        <v>0</v>
      </c>
      <c r="R678" s="2" t="inlineStr"/>
    </row>
    <row r="679" ht="15" customHeight="1">
      <c r="A679" t="inlineStr">
        <is>
          <t>A 39004-2025</t>
        </is>
      </c>
      <c r="B679" s="1" t="n">
        <v>45888.34472222222</v>
      </c>
      <c r="C679" s="1" t="n">
        <v>46048</v>
      </c>
      <c r="D679" t="inlineStr">
        <is>
          <t>JÄMTLANDS LÄN</t>
        </is>
      </c>
      <c r="E679" t="inlineStr">
        <is>
          <t>BERG</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33386-2025</t>
        </is>
      </c>
      <c r="B680" s="1" t="n">
        <v>45841.40587962963</v>
      </c>
      <c r="C680" s="1" t="n">
        <v>46048</v>
      </c>
      <c r="D680" t="inlineStr">
        <is>
          <t>JÄMTLANDS LÄN</t>
        </is>
      </c>
      <c r="E680" t="inlineStr">
        <is>
          <t>BERG</t>
        </is>
      </c>
      <c r="G680" t="n">
        <v>37.7</v>
      </c>
      <c r="H680" t="n">
        <v>0</v>
      </c>
      <c r="I680" t="n">
        <v>0</v>
      </c>
      <c r="J680" t="n">
        <v>0</v>
      </c>
      <c r="K680" t="n">
        <v>0</v>
      </c>
      <c r="L680" t="n">
        <v>0</v>
      </c>
      <c r="M680" t="n">
        <v>0</v>
      </c>
      <c r="N680" t="n">
        <v>0</v>
      </c>
      <c r="O680" t="n">
        <v>0</v>
      </c>
      <c r="P680" t="n">
        <v>0</v>
      </c>
      <c r="Q680" t="n">
        <v>0</v>
      </c>
      <c r="R680" s="2" t="inlineStr"/>
    </row>
    <row r="681" ht="15" customHeight="1">
      <c r="A681" t="inlineStr">
        <is>
          <t>A 37086-2024</t>
        </is>
      </c>
      <c r="B681" s="1" t="n">
        <v>45539.49776620371</v>
      </c>
      <c r="C681" s="1" t="n">
        <v>46048</v>
      </c>
      <c r="D681" t="inlineStr">
        <is>
          <t>JÄMTLANDS LÄN</t>
        </is>
      </c>
      <c r="E681" t="inlineStr">
        <is>
          <t>BERG</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39601-2025</t>
        </is>
      </c>
      <c r="B682" s="1" t="n">
        <v>45890.55284722222</v>
      </c>
      <c r="C682" s="1" t="n">
        <v>46048</v>
      </c>
      <c r="D682" t="inlineStr">
        <is>
          <t>JÄMTLANDS LÄN</t>
        </is>
      </c>
      <c r="E682" t="inlineStr">
        <is>
          <t>BERG</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39698-2025</t>
        </is>
      </c>
      <c r="B683" s="1" t="n">
        <v>45890.69837962963</v>
      </c>
      <c r="C683" s="1" t="n">
        <v>46048</v>
      </c>
      <c r="D683" t="inlineStr">
        <is>
          <t>JÄMTLANDS LÄN</t>
        </is>
      </c>
      <c r="E683" t="inlineStr">
        <is>
          <t>BERG</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39544-2025</t>
        </is>
      </c>
      <c r="B684" s="1" t="n">
        <v>45890.45547453704</v>
      </c>
      <c r="C684" s="1" t="n">
        <v>46048</v>
      </c>
      <c r="D684" t="inlineStr">
        <is>
          <t>JÄMTLANDS LÄN</t>
        </is>
      </c>
      <c r="E684" t="inlineStr">
        <is>
          <t>BERG</t>
        </is>
      </c>
      <c r="G684" t="n">
        <v>7.5</v>
      </c>
      <c r="H684" t="n">
        <v>0</v>
      </c>
      <c r="I684" t="n">
        <v>0</v>
      </c>
      <c r="J684" t="n">
        <v>0</v>
      </c>
      <c r="K684" t="n">
        <v>0</v>
      </c>
      <c r="L684" t="n">
        <v>0</v>
      </c>
      <c r="M684" t="n">
        <v>0</v>
      </c>
      <c r="N684" t="n">
        <v>0</v>
      </c>
      <c r="O684" t="n">
        <v>0</v>
      </c>
      <c r="P684" t="n">
        <v>0</v>
      </c>
      <c r="Q684" t="n">
        <v>0</v>
      </c>
      <c r="R684" s="2" t="inlineStr"/>
    </row>
    <row r="685" ht="15" customHeight="1">
      <c r="A685" t="inlineStr">
        <is>
          <t>A 39539-2025</t>
        </is>
      </c>
      <c r="B685" s="1" t="n">
        <v>45890.4525</v>
      </c>
      <c r="C685" s="1" t="n">
        <v>46048</v>
      </c>
      <c r="D685" t="inlineStr">
        <is>
          <t>JÄMTLANDS LÄN</t>
        </is>
      </c>
      <c r="E685" t="inlineStr">
        <is>
          <t>BERG</t>
        </is>
      </c>
      <c r="G685" t="n">
        <v>7.7</v>
      </c>
      <c r="H685" t="n">
        <v>0</v>
      </c>
      <c r="I685" t="n">
        <v>0</v>
      </c>
      <c r="J685" t="n">
        <v>0</v>
      </c>
      <c r="K685" t="n">
        <v>0</v>
      </c>
      <c r="L685" t="n">
        <v>0</v>
      </c>
      <c r="M685" t="n">
        <v>0</v>
      </c>
      <c r="N685" t="n">
        <v>0</v>
      </c>
      <c r="O685" t="n">
        <v>0</v>
      </c>
      <c r="P685" t="n">
        <v>0</v>
      </c>
      <c r="Q685" t="n">
        <v>0</v>
      </c>
      <c r="R685" s="2" t="inlineStr"/>
    </row>
    <row r="686" ht="15" customHeight="1">
      <c r="A686" t="inlineStr">
        <is>
          <t>A 59968-2024</t>
        </is>
      </c>
      <c r="B686" s="1" t="n">
        <v>45642</v>
      </c>
      <c r="C686" s="1" t="n">
        <v>46048</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40266-2025</t>
        </is>
      </c>
      <c r="B687" s="1" t="n">
        <v>45895.34478009259</v>
      </c>
      <c r="C687" s="1" t="n">
        <v>46048</v>
      </c>
      <c r="D687" t="inlineStr">
        <is>
          <t>JÄMTLANDS LÄN</t>
        </is>
      </c>
      <c r="E687" t="inlineStr">
        <is>
          <t>BERG</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40060-2025</t>
        </is>
      </c>
      <c r="B688" s="1" t="n">
        <v>45894.42746527777</v>
      </c>
      <c r="C688" s="1" t="n">
        <v>46048</v>
      </c>
      <c r="D688" t="inlineStr">
        <is>
          <t>JÄMTLANDS LÄN</t>
        </is>
      </c>
      <c r="E688" t="inlineStr">
        <is>
          <t>BERG</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40339-2025</t>
        </is>
      </c>
      <c r="B689" s="1" t="n">
        <v>45895</v>
      </c>
      <c r="C689" s="1" t="n">
        <v>46048</v>
      </c>
      <c r="D689" t="inlineStr">
        <is>
          <t>JÄMTLANDS LÄN</t>
        </is>
      </c>
      <c r="E689" t="inlineStr">
        <is>
          <t>BERG</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40340-2025</t>
        </is>
      </c>
      <c r="B690" s="1" t="n">
        <v>45895.46922453704</v>
      </c>
      <c r="C690" s="1" t="n">
        <v>46048</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40410-2025</t>
        </is>
      </c>
      <c r="B691" s="1" t="n">
        <v>45895.57349537037</v>
      </c>
      <c r="C691" s="1" t="n">
        <v>46048</v>
      </c>
      <c r="D691" t="inlineStr">
        <is>
          <t>JÄMTLANDS LÄN</t>
        </is>
      </c>
      <c r="E691" t="inlineStr">
        <is>
          <t>BERG</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40341-2025</t>
        </is>
      </c>
      <c r="B692" s="1" t="n">
        <v>45895</v>
      </c>
      <c r="C692" s="1" t="n">
        <v>46048</v>
      </c>
      <c r="D692" t="inlineStr">
        <is>
          <t>JÄMTLANDS LÄN</t>
        </is>
      </c>
      <c r="E692" t="inlineStr">
        <is>
          <t>BERG</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22275-2022</t>
        </is>
      </c>
      <c r="B693" s="1" t="n">
        <v>44712</v>
      </c>
      <c r="C693" s="1" t="n">
        <v>46048</v>
      </c>
      <c r="D693" t="inlineStr">
        <is>
          <t>JÄMTLANDS LÄN</t>
        </is>
      </c>
      <c r="E693" t="inlineStr">
        <is>
          <t>BERG</t>
        </is>
      </c>
      <c r="G693" t="n">
        <v>2.1</v>
      </c>
      <c r="H693" t="n">
        <v>0</v>
      </c>
      <c r="I693" t="n">
        <v>0</v>
      </c>
      <c r="J693" t="n">
        <v>0</v>
      </c>
      <c r="K693" t="n">
        <v>0</v>
      </c>
      <c r="L693" t="n">
        <v>0</v>
      </c>
      <c r="M693" t="n">
        <v>0</v>
      </c>
      <c r="N693" t="n">
        <v>0</v>
      </c>
      <c r="O693" t="n">
        <v>0</v>
      </c>
      <c r="P693" t="n">
        <v>0</v>
      </c>
      <c r="Q693" t="n">
        <v>0</v>
      </c>
      <c r="R693" s="2" t="inlineStr"/>
    </row>
    <row r="694" ht="15" customHeight="1">
      <c r="A694" t="inlineStr">
        <is>
          <t>A 4561-2024</t>
        </is>
      </c>
      <c r="B694" s="1" t="n">
        <v>45327</v>
      </c>
      <c r="C694" s="1" t="n">
        <v>46048</v>
      </c>
      <c r="D694" t="inlineStr">
        <is>
          <t>JÄMTLANDS LÄN</t>
        </is>
      </c>
      <c r="E694" t="inlineStr">
        <is>
          <t>BERG</t>
        </is>
      </c>
      <c r="G694" t="n">
        <v>7.4</v>
      </c>
      <c r="H694" t="n">
        <v>0</v>
      </c>
      <c r="I694" t="n">
        <v>0</v>
      </c>
      <c r="J694" t="n">
        <v>0</v>
      </c>
      <c r="K694" t="n">
        <v>0</v>
      </c>
      <c r="L694" t="n">
        <v>0</v>
      </c>
      <c r="M694" t="n">
        <v>0</v>
      </c>
      <c r="N694" t="n">
        <v>0</v>
      </c>
      <c r="O694" t="n">
        <v>0</v>
      </c>
      <c r="P694" t="n">
        <v>0</v>
      </c>
      <c r="Q694" t="n">
        <v>0</v>
      </c>
      <c r="R694" s="2" t="inlineStr"/>
    </row>
    <row r="695" ht="15" customHeight="1">
      <c r="A695" t="inlineStr">
        <is>
          <t>A 14190-2023</t>
        </is>
      </c>
      <c r="B695" s="1" t="n">
        <v>45009.56106481481</v>
      </c>
      <c r="C695" s="1" t="n">
        <v>46048</v>
      </c>
      <c r="D695" t="inlineStr">
        <is>
          <t>JÄMTLANDS LÄN</t>
        </is>
      </c>
      <c r="E695" t="inlineStr">
        <is>
          <t>BERG</t>
        </is>
      </c>
      <c r="G695" t="n">
        <v>3.8</v>
      </c>
      <c r="H695" t="n">
        <v>0</v>
      </c>
      <c r="I695" t="n">
        <v>0</v>
      </c>
      <c r="J695" t="n">
        <v>0</v>
      </c>
      <c r="K695" t="n">
        <v>0</v>
      </c>
      <c r="L695" t="n">
        <v>0</v>
      </c>
      <c r="M695" t="n">
        <v>0</v>
      </c>
      <c r="N695" t="n">
        <v>0</v>
      </c>
      <c r="O695" t="n">
        <v>0</v>
      </c>
      <c r="P695" t="n">
        <v>0</v>
      </c>
      <c r="Q695" t="n">
        <v>0</v>
      </c>
      <c r="R695" s="2" t="inlineStr"/>
    </row>
    <row r="696" ht="15" customHeight="1">
      <c r="A696" t="inlineStr">
        <is>
          <t>A 31079-2024</t>
        </is>
      </c>
      <c r="B696" s="1" t="n">
        <v>45502.46423611111</v>
      </c>
      <c r="C696" s="1" t="n">
        <v>46048</v>
      </c>
      <c r="D696" t="inlineStr">
        <is>
          <t>JÄMTLANDS LÄN</t>
        </is>
      </c>
      <c r="E696" t="inlineStr">
        <is>
          <t>BERG</t>
        </is>
      </c>
      <c r="G696" t="n">
        <v>2.5</v>
      </c>
      <c r="H696" t="n">
        <v>0</v>
      </c>
      <c r="I696" t="n">
        <v>0</v>
      </c>
      <c r="J696" t="n">
        <v>0</v>
      </c>
      <c r="K696" t="n">
        <v>0</v>
      </c>
      <c r="L696" t="n">
        <v>0</v>
      </c>
      <c r="M696" t="n">
        <v>0</v>
      </c>
      <c r="N696" t="n">
        <v>0</v>
      </c>
      <c r="O696" t="n">
        <v>0</v>
      </c>
      <c r="P696" t="n">
        <v>0</v>
      </c>
      <c r="Q696" t="n">
        <v>0</v>
      </c>
      <c r="R696" s="2" t="inlineStr"/>
    </row>
    <row r="697" ht="15" customHeight="1">
      <c r="A697" t="inlineStr">
        <is>
          <t>A 64487-2023</t>
        </is>
      </c>
      <c r="B697" s="1" t="n">
        <v>45280.92613425926</v>
      </c>
      <c r="C697" s="1" t="n">
        <v>46048</v>
      </c>
      <c r="D697" t="inlineStr">
        <is>
          <t>JÄMTLANDS LÄN</t>
        </is>
      </c>
      <c r="E697" t="inlineStr">
        <is>
          <t>BERG</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64489-2023</t>
        </is>
      </c>
      <c r="B698" s="1" t="n">
        <v>45280</v>
      </c>
      <c r="C698" s="1" t="n">
        <v>46048</v>
      </c>
      <c r="D698" t="inlineStr">
        <is>
          <t>JÄMTLANDS LÄN</t>
        </is>
      </c>
      <c r="E698" t="inlineStr">
        <is>
          <t>BERG</t>
        </is>
      </c>
      <c r="F698" t="inlineStr">
        <is>
          <t>Övriga Aktiebolag</t>
        </is>
      </c>
      <c r="G698" t="n">
        <v>14.1</v>
      </c>
      <c r="H698" t="n">
        <v>0</v>
      </c>
      <c r="I698" t="n">
        <v>0</v>
      </c>
      <c r="J698" t="n">
        <v>0</v>
      </c>
      <c r="K698" t="n">
        <v>0</v>
      </c>
      <c r="L698" t="n">
        <v>0</v>
      </c>
      <c r="M698" t="n">
        <v>0</v>
      </c>
      <c r="N698" t="n">
        <v>0</v>
      </c>
      <c r="O698" t="n">
        <v>0</v>
      </c>
      <c r="P698" t="n">
        <v>0</v>
      </c>
      <c r="Q698" t="n">
        <v>0</v>
      </c>
      <c r="R698" s="2" t="inlineStr"/>
    </row>
    <row r="699" ht="15" customHeight="1">
      <c r="A699" t="inlineStr">
        <is>
          <t>A 39510-2023</t>
        </is>
      </c>
      <c r="B699" s="1" t="n">
        <v>45166</v>
      </c>
      <c r="C699" s="1" t="n">
        <v>46048</v>
      </c>
      <c r="D699" t="inlineStr">
        <is>
          <t>JÄMTLANDS LÄN</t>
        </is>
      </c>
      <c r="E699" t="inlineStr">
        <is>
          <t>BERG</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41636-2024</t>
        </is>
      </c>
      <c r="B700" s="1" t="n">
        <v>45560.61606481481</v>
      </c>
      <c r="C700" s="1" t="n">
        <v>46048</v>
      </c>
      <c r="D700" t="inlineStr">
        <is>
          <t>JÄMTLANDS LÄN</t>
        </is>
      </c>
      <c r="E700" t="inlineStr">
        <is>
          <t>BERG</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40918-2025</t>
        </is>
      </c>
      <c r="B701" s="1" t="n">
        <v>45897.6292824074</v>
      </c>
      <c r="C701" s="1" t="n">
        <v>46048</v>
      </c>
      <c r="D701" t="inlineStr">
        <is>
          <t>JÄMTLANDS LÄN</t>
        </is>
      </c>
      <c r="E701" t="inlineStr">
        <is>
          <t>BERG</t>
        </is>
      </c>
      <c r="G701" t="n">
        <v>1.7</v>
      </c>
      <c r="H701" t="n">
        <v>0</v>
      </c>
      <c r="I701" t="n">
        <v>0</v>
      </c>
      <c r="J701" t="n">
        <v>0</v>
      </c>
      <c r="K701" t="n">
        <v>0</v>
      </c>
      <c r="L701" t="n">
        <v>0</v>
      </c>
      <c r="M701" t="n">
        <v>0</v>
      </c>
      <c r="N701" t="n">
        <v>0</v>
      </c>
      <c r="O701" t="n">
        <v>0</v>
      </c>
      <c r="P701" t="n">
        <v>0</v>
      </c>
      <c r="Q701" t="n">
        <v>0</v>
      </c>
      <c r="R701" s="2" t="inlineStr"/>
    </row>
    <row r="702" ht="15" customHeight="1">
      <c r="A702" t="inlineStr">
        <is>
          <t>A 40737-2025</t>
        </is>
      </c>
      <c r="B702" s="1" t="n">
        <v>45897.36572916667</v>
      </c>
      <c r="C702" s="1" t="n">
        <v>46048</v>
      </c>
      <c r="D702" t="inlineStr">
        <is>
          <t>JÄMTLANDS LÄN</t>
        </is>
      </c>
      <c r="E702" t="inlineStr">
        <is>
          <t>BERG</t>
        </is>
      </c>
      <c r="G702" t="n">
        <v>2.8</v>
      </c>
      <c r="H702" t="n">
        <v>0</v>
      </c>
      <c r="I702" t="n">
        <v>0</v>
      </c>
      <c r="J702" t="n">
        <v>0</v>
      </c>
      <c r="K702" t="n">
        <v>0</v>
      </c>
      <c r="L702" t="n">
        <v>0</v>
      </c>
      <c r="M702" t="n">
        <v>0</v>
      </c>
      <c r="N702" t="n">
        <v>0</v>
      </c>
      <c r="O702" t="n">
        <v>0</v>
      </c>
      <c r="P702" t="n">
        <v>0</v>
      </c>
      <c r="Q702" t="n">
        <v>0</v>
      </c>
      <c r="R702" s="2" t="inlineStr"/>
    </row>
    <row r="703" ht="15" customHeight="1">
      <c r="A703" t="inlineStr">
        <is>
          <t>A 40630-2025</t>
        </is>
      </c>
      <c r="B703" s="1" t="n">
        <v>45896</v>
      </c>
      <c r="C703" s="1" t="n">
        <v>46048</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40708-2025</t>
        </is>
      </c>
      <c r="B704" s="1" t="n">
        <v>45897</v>
      </c>
      <c r="C704" s="1" t="n">
        <v>46048</v>
      </c>
      <c r="D704" t="inlineStr">
        <is>
          <t>JÄMTLANDS LÄN</t>
        </is>
      </c>
      <c r="E704" t="inlineStr">
        <is>
          <t>BERG</t>
        </is>
      </c>
      <c r="G704" t="n">
        <v>6.6</v>
      </c>
      <c r="H704" t="n">
        <v>0</v>
      </c>
      <c r="I704" t="n">
        <v>0</v>
      </c>
      <c r="J704" t="n">
        <v>0</v>
      </c>
      <c r="K704" t="n">
        <v>0</v>
      </c>
      <c r="L704" t="n">
        <v>0</v>
      </c>
      <c r="M704" t="n">
        <v>0</v>
      </c>
      <c r="N704" t="n">
        <v>0</v>
      </c>
      <c r="O704" t="n">
        <v>0</v>
      </c>
      <c r="P704" t="n">
        <v>0</v>
      </c>
      <c r="Q704" t="n">
        <v>0</v>
      </c>
      <c r="R704" s="2" t="inlineStr"/>
    </row>
    <row r="705" ht="15" customHeight="1">
      <c r="A705" t="inlineStr">
        <is>
          <t>A 40873-2025</t>
        </is>
      </c>
      <c r="B705" s="1" t="n">
        <v>45897.5744675926</v>
      </c>
      <c r="C705" s="1" t="n">
        <v>46048</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40617-2025</t>
        </is>
      </c>
      <c r="B706" s="1" t="n">
        <v>45896.58326388889</v>
      </c>
      <c r="C706" s="1" t="n">
        <v>46048</v>
      </c>
      <c r="D706" t="inlineStr">
        <is>
          <t>JÄMTLANDS LÄN</t>
        </is>
      </c>
      <c r="E706" t="inlineStr">
        <is>
          <t>BERG</t>
        </is>
      </c>
      <c r="G706" t="n">
        <v>3.5</v>
      </c>
      <c r="H706" t="n">
        <v>0</v>
      </c>
      <c r="I706" t="n">
        <v>0</v>
      </c>
      <c r="J706" t="n">
        <v>0</v>
      </c>
      <c r="K706" t="n">
        <v>0</v>
      </c>
      <c r="L706" t="n">
        <v>0</v>
      </c>
      <c r="M706" t="n">
        <v>0</v>
      </c>
      <c r="N706" t="n">
        <v>0</v>
      </c>
      <c r="O706" t="n">
        <v>0</v>
      </c>
      <c r="P706" t="n">
        <v>0</v>
      </c>
      <c r="Q706" t="n">
        <v>0</v>
      </c>
      <c r="R706" s="2" t="inlineStr"/>
    </row>
    <row r="707" ht="15" customHeight="1">
      <c r="A707" t="inlineStr">
        <is>
          <t>A 41634-2024</t>
        </is>
      </c>
      <c r="B707" s="1" t="n">
        <v>45560.61496527777</v>
      </c>
      <c r="C707" s="1" t="n">
        <v>46048</v>
      </c>
      <c r="D707" t="inlineStr">
        <is>
          <t>JÄMTLANDS LÄN</t>
        </is>
      </c>
      <c r="E707" t="inlineStr">
        <is>
          <t>BERG</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41247-2025</t>
        </is>
      </c>
      <c r="B708" s="1" t="n">
        <v>45898.60109953704</v>
      </c>
      <c r="C708" s="1" t="n">
        <v>46048</v>
      </c>
      <c r="D708" t="inlineStr">
        <is>
          <t>JÄMTLANDS LÄN</t>
        </is>
      </c>
      <c r="E708" t="inlineStr">
        <is>
          <t>BERG</t>
        </is>
      </c>
      <c r="G708" t="n">
        <v>17.5</v>
      </c>
      <c r="H708" t="n">
        <v>0</v>
      </c>
      <c r="I708" t="n">
        <v>0</v>
      </c>
      <c r="J708" t="n">
        <v>0</v>
      </c>
      <c r="K708" t="n">
        <v>0</v>
      </c>
      <c r="L708" t="n">
        <v>0</v>
      </c>
      <c r="M708" t="n">
        <v>0</v>
      </c>
      <c r="N708" t="n">
        <v>0</v>
      </c>
      <c r="O708" t="n">
        <v>0</v>
      </c>
      <c r="P708" t="n">
        <v>0</v>
      </c>
      <c r="Q708" t="n">
        <v>0</v>
      </c>
      <c r="R708" s="2" t="inlineStr"/>
    </row>
    <row r="709" ht="15" customHeight="1">
      <c r="A709" t="inlineStr">
        <is>
          <t>A 27395-2021</t>
        </is>
      </c>
      <c r="B709" s="1" t="n">
        <v>44350</v>
      </c>
      <c r="C709" s="1" t="n">
        <v>46048</v>
      </c>
      <c r="D709" t="inlineStr">
        <is>
          <t>JÄMTLANDS LÄN</t>
        </is>
      </c>
      <c r="E709" t="inlineStr">
        <is>
          <t>BERG</t>
        </is>
      </c>
      <c r="G709" t="n">
        <v>4.4</v>
      </c>
      <c r="H709" t="n">
        <v>0</v>
      </c>
      <c r="I709" t="n">
        <v>0</v>
      </c>
      <c r="J709" t="n">
        <v>0</v>
      </c>
      <c r="K709" t="n">
        <v>0</v>
      </c>
      <c r="L709" t="n">
        <v>0</v>
      </c>
      <c r="M709" t="n">
        <v>0</v>
      </c>
      <c r="N709" t="n">
        <v>0</v>
      </c>
      <c r="O709" t="n">
        <v>0</v>
      </c>
      <c r="P709" t="n">
        <v>0</v>
      </c>
      <c r="Q709" t="n">
        <v>0</v>
      </c>
      <c r="R709" s="2" t="inlineStr"/>
    </row>
    <row r="710" ht="15" customHeight="1">
      <c r="A710" t="inlineStr">
        <is>
          <t>A 41263-2025</t>
        </is>
      </c>
      <c r="B710" s="1" t="n">
        <v>45898.61517361111</v>
      </c>
      <c r="C710" s="1" t="n">
        <v>46048</v>
      </c>
      <c r="D710" t="inlineStr">
        <is>
          <t>JÄMTLANDS LÄN</t>
        </is>
      </c>
      <c r="E710" t="inlineStr">
        <is>
          <t>BERG</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41295-2025</t>
        </is>
      </c>
      <c r="B711" s="1" t="n">
        <v>45898.65660879629</v>
      </c>
      <c r="C711" s="1" t="n">
        <v>46048</v>
      </c>
      <c r="D711" t="inlineStr">
        <is>
          <t>JÄMTLANDS LÄN</t>
        </is>
      </c>
      <c r="E711" t="inlineStr">
        <is>
          <t>BERG</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41265-2025</t>
        </is>
      </c>
      <c r="B712" s="1" t="n">
        <v>45898.6153587963</v>
      </c>
      <c r="C712" s="1" t="n">
        <v>46048</v>
      </c>
      <c r="D712" t="inlineStr">
        <is>
          <t>JÄMTLANDS LÄN</t>
        </is>
      </c>
      <c r="E712" t="inlineStr">
        <is>
          <t>BERG</t>
        </is>
      </c>
      <c r="G712" t="n">
        <v>1.6</v>
      </c>
      <c r="H712" t="n">
        <v>0</v>
      </c>
      <c r="I712" t="n">
        <v>0</v>
      </c>
      <c r="J712" t="n">
        <v>0</v>
      </c>
      <c r="K712" t="n">
        <v>0</v>
      </c>
      <c r="L712" t="n">
        <v>0</v>
      </c>
      <c r="M712" t="n">
        <v>0</v>
      </c>
      <c r="N712" t="n">
        <v>0</v>
      </c>
      <c r="O712" t="n">
        <v>0</v>
      </c>
      <c r="P712" t="n">
        <v>0</v>
      </c>
      <c r="Q712" t="n">
        <v>0</v>
      </c>
      <c r="R712" s="2" t="inlineStr"/>
    </row>
    <row r="713" ht="15" customHeight="1">
      <c r="A713" t="inlineStr">
        <is>
          <t>A 5219-2022</t>
        </is>
      </c>
      <c r="B713" s="1" t="n">
        <v>44594.48569444445</v>
      </c>
      <c r="C713" s="1" t="n">
        <v>46048</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14672-2025</t>
        </is>
      </c>
      <c r="B714" s="1" t="n">
        <v>45742.55269675926</v>
      </c>
      <c r="C714" s="1" t="n">
        <v>46048</v>
      </c>
      <c r="D714" t="inlineStr">
        <is>
          <t>JÄMTLANDS LÄN</t>
        </is>
      </c>
      <c r="E714" t="inlineStr">
        <is>
          <t>BERG</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42003-2025</t>
        </is>
      </c>
      <c r="B715" s="1" t="n">
        <v>45903.55403935185</v>
      </c>
      <c r="C715" s="1" t="n">
        <v>46048</v>
      </c>
      <c r="D715" t="inlineStr">
        <is>
          <t>JÄMTLANDS LÄN</t>
        </is>
      </c>
      <c r="E715" t="inlineStr">
        <is>
          <t>BERG</t>
        </is>
      </c>
      <c r="F715" t="inlineStr">
        <is>
          <t>Övriga statliga verk och myndigheter</t>
        </is>
      </c>
      <c r="G715" t="n">
        <v>10.5</v>
      </c>
      <c r="H715" t="n">
        <v>0</v>
      </c>
      <c r="I715" t="n">
        <v>0</v>
      </c>
      <c r="J715" t="n">
        <v>0</v>
      </c>
      <c r="K715" t="n">
        <v>0</v>
      </c>
      <c r="L715" t="n">
        <v>0</v>
      </c>
      <c r="M715" t="n">
        <v>0</v>
      </c>
      <c r="N715" t="n">
        <v>0</v>
      </c>
      <c r="O715" t="n">
        <v>0</v>
      </c>
      <c r="P715" t="n">
        <v>0</v>
      </c>
      <c r="Q715" t="n">
        <v>0</v>
      </c>
      <c r="R715" s="2" t="inlineStr"/>
    </row>
    <row r="716" ht="15" customHeight="1">
      <c r="A716" t="inlineStr">
        <is>
          <t>A 41930-2025</t>
        </is>
      </c>
      <c r="B716" s="1" t="n">
        <v>45903.43454861111</v>
      </c>
      <c r="C716" s="1" t="n">
        <v>46048</v>
      </c>
      <c r="D716" t="inlineStr">
        <is>
          <t>JÄMTLANDS LÄN</t>
        </is>
      </c>
      <c r="E716" t="inlineStr">
        <is>
          <t>BERG</t>
        </is>
      </c>
      <c r="F716" t="inlineStr">
        <is>
          <t>Övriga statliga verk och myndigheter</t>
        </is>
      </c>
      <c r="G716" t="n">
        <v>2.4</v>
      </c>
      <c r="H716" t="n">
        <v>0</v>
      </c>
      <c r="I716" t="n">
        <v>0</v>
      </c>
      <c r="J716" t="n">
        <v>0</v>
      </c>
      <c r="K716" t="n">
        <v>0</v>
      </c>
      <c r="L716" t="n">
        <v>0</v>
      </c>
      <c r="M716" t="n">
        <v>0</v>
      </c>
      <c r="N716" t="n">
        <v>0</v>
      </c>
      <c r="O716" t="n">
        <v>0</v>
      </c>
      <c r="P716" t="n">
        <v>0</v>
      </c>
      <c r="Q716" t="n">
        <v>0</v>
      </c>
      <c r="R716" s="2" t="inlineStr"/>
    </row>
    <row r="717" ht="15" customHeight="1">
      <c r="A717" t="inlineStr">
        <is>
          <t>A 13149-2025</t>
        </is>
      </c>
      <c r="B717" s="1" t="n">
        <v>45735.34424768519</v>
      </c>
      <c r="C717" s="1" t="n">
        <v>46048</v>
      </c>
      <c r="D717" t="inlineStr">
        <is>
          <t>JÄMTLANDS LÄN</t>
        </is>
      </c>
      <c r="E717" t="inlineStr">
        <is>
          <t>BERG</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15013-2025</t>
        </is>
      </c>
      <c r="B718" s="1" t="n">
        <v>45743.62734953704</v>
      </c>
      <c r="C718" s="1" t="n">
        <v>46048</v>
      </c>
      <c r="D718" t="inlineStr">
        <is>
          <t>JÄMTLANDS LÄN</t>
        </is>
      </c>
      <c r="E718" t="inlineStr">
        <is>
          <t>BERG</t>
        </is>
      </c>
      <c r="G718" t="n">
        <v>4.6</v>
      </c>
      <c r="H718" t="n">
        <v>0</v>
      </c>
      <c r="I718" t="n">
        <v>0</v>
      </c>
      <c r="J718" t="n">
        <v>0</v>
      </c>
      <c r="K718" t="n">
        <v>0</v>
      </c>
      <c r="L718" t="n">
        <v>0</v>
      </c>
      <c r="M718" t="n">
        <v>0</v>
      </c>
      <c r="N718" t="n">
        <v>0</v>
      </c>
      <c r="O718" t="n">
        <v>0</v>
      </c>
      <c r="P718" t="n">
        <v>0</v>
      </c>
      <c r="Q718" t="n">
        <v>0</v>
      </c>
      <c r="R718" s="2" t="inlineStr"/>
    </row>
    <row r="719" ht="15" customHeight="1">
      <c r="A719" t="inlineStr">
        <is>
          <t>A 41997-2025</t>
        </is>
      </c>
      <c r="B719" s="1" t="n">
        <v>45903.55162037037</v>
      </c>
      <c r="C719" s="1" t="n">
        <v>46048</v>
      </c>
      <c r="D719" t="inlineStr">
        <is>
          <t>JÄMTLANDS LÄN</t>
        </is>
      </c>
      <c r="E719" t="inlineStr">
        <is>
          <t>BERG</t>
        </is>
      </c>
      <c r="F719" t="inlineStr">
        <is>
          <t>Övriga statliga verk och myndigheter</t>
        </is>
      </c>
      <c r="G719" t="n">
        <v>2.2</v>
      </c>
      <c r="H719" t="n">
        <v>0</v>
      </c>
      <c r="I719" t="n">
        <v>0</v>
      </c>
      <c r="J719" t="n">
        <v>0</v>
      </c>
      <c r="K719" t="n">
        <v>0</v>
      </c>
      <c r="L719" t="n">
        <v>0</v>
      </c>
      <c r="M719" t="n">
        <v>0</v>
      </c>
      <c r="N719" t="n">
        <v>0</v>
      </c>
      <c r="O719" t="n">
        <v>0</v>
      </c>
      <c r="P719" t="n">
        <v>0</v>
      </c>
      <c r="Q719" t="n">
        <v>0</v>
      </c>
      <c r="R719" s="2" t="inlineStr"/>
    </row>
    <row r="720" ht="15" customHeight="1">
      <c r="A720" t="inlineStr">
        <is>
          <t>A 40824-2023</t>
        </is>
      </c>
      <c r="B720" s="1" t="n">
        <v>45171</v>
      </c>
      <c r="C720" s="1" t="n">
        <v>46048</v>
      </c>
      <c r="D720" t="inlineStr">
        <is>
          <t>JÄMTLANDS LÄN</t>
        </is>
      </c>
      <c r="E720" t="inlineStr">
        <is>
          <t>BERG</t>
        </is>
      </c>
      <c r="G720" t="n">
        <v>0.5</v>
      </c>
      <c r="H720" t="n">
        <v>0</v>
      </c>
      <c r="I720" t="n">
        <v>0</v>
      </c>
      <c r="J720" t="n">
        <v>0</v>
      </c>
      <c r="K720" t="n">
        <v>0</v>
      </c>
      <c r="L720" t="n">
        <v>0</v>
      </c>
      <c r="M720" t="n">
        <v>0</v>
      </c>
      <c r="N720" t="n">
        <v>0</v>
      </c>
      <c r="O720" t="n">
        <v>0</v>
      </c>
      <c r="P720" t="n">
        <v>0</v>
      </c>
      <c r="Q720" t="n">
        <v>0</v>
      </c>
      <c r="R720" s="2" t="inlineStr"/>
    </row>
    <row r="721" ht="15" customHeight="1">
      <c r="A721" t="inlineStr">
        <is>
          <t>A 35986-2023</t>
        </is>
      </c>
      <c r="B721" s="1" t="n">
        <v>45148</v>
      </c>
      <c r="C721" s="1" t="n">
        <v>46048</v>
      </c>
      <c r="D721" t="inlineStr">
        <is>
          <t>JÄMTLANDS LÄN</t>
        </is>
      </c>
      <c r="E721" t="inlineStr">
        <is>
          <t>BERG</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171-2022</t>
        </is>
      </c>
      <c r="B722" s="1" t="n">
        <v>44564</v>
      </c>
      <c r="C722" s="1" t="n">
        <v>46048</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2002-2022</t>
        </is>
      </c>
      <c r="B723" s="1" t="n">
        <v>44575</v>
      </c>
      <c r="C723" s="1" t="n">
        <v>46048</v>
      </c>
      <c r="D723" t="inlineStr">
        <is>
          <t>JÄMTLANDS LÄN</t>
        </is>
      </c>
      <c r="E723" t="inlineStr">
        <is>
          <t>BERG</t>
        </is>
      </c>
      <c r="G723" t="n">
        <v>11.3</v>
      </c>
      <c r="H723" t="n">
        <v>0</v>
      </c>
      <c r="I723" t="n">
        <v>0</v>
      </c>
      <c r="J723" t="n">
        <v>0</v>
      </c>
      <c r="K723" t="n">
        <v>0</v>
      </c>
      <c r="L723" t="n">
        <v>0</v>
      </c>
      <c r="M723" t="n">
        <v>0</v>
      </c>
      <c r="N723" t="n">
        <v>0</v>
      </c>
      <c r="O723" t="n">
        <v>0</v>
      </c>
      <c r="P723" t="n">
        <v>0</v>
      </c>
      <c r="Q723" t="n">
        <v>0</v>
      </c>
      <c r="R723" s="2" t="inlineStr"/>
    </row>
    <row r="724" ht="15" customHeight="1">
      <c r="A724" t="inlineStr">
        <is>
          <t>A 31024-2025</t>
        </is>
      </c>
      <c r="B724" s="1" t="n">
        <v>45832.52571759259</v>
      </c>
      <c r="C724" s="1" t="n">
        <v>46048</v>
      </c>
      <c r="D724" t="inlineStr">
        <is>
          <t>JÄMTLANDS LÄN</t>
        </is>
      </c>
      <c r="E724" t="inlineStr">
        <is>
          <t>BERG</t>
        </is>
      </c>
      <c r="G724" t="n">
        <v>3.6</v>
      </c>
      <c r="H724" t="n">
        <v>0</v>
      </c>
      <c r="I724" t="n">
        <v>0</v>
      </c>
      <c r="J724" t="n">
        <v>0</v>
      </c>
      <c r="K724" t="n">
        <v>0</v>
      </c>
      <c r="L724" t="n">
        <v>0</v>
      </c>
      <c r="M724" t="n">
        <v>0</v>
      </c>
      <c r="N724" t="n">
        <v>0</v>
      </c>
      <c r="O724" t="n">
        <v>0</v>
      </c>
      <c r="P724" t="n">
        <v>0</v>
      </c>
      <c r="Q724" t="n">
        <v>0</v>
      </c>
      <c r="R724" s="2" t="inlineStr"/>
    </row>
    <row r="725" ht="15" customHeight="1">
      <c r="A725" t="inlineStr">
        <is>
          <t>A 53883-2023</t>
        </is>
      </c>
      <c r="B725" s="1" t="n">
        <v>45231.5221875</v>
      </c>
      <c r="C725" s="1" t="n">
        <v>46048</v>
      </c>
      <c r="D725" t="inlineStr">
        <is>
          <t>JÄMTLANDS LÄN</t>
        </is>
      </c>
      <c r="E725" t="inlineStr">
        <is>
          <t>BERG</t>
        </is>
      </c>
      <c r="G725" t="n">
        <v>2</v>
      </c>
      <c r="H725" t="n">
        <v>0</v>
      </c>
      <c r="I725" t="n">
        <v>0</v>
      </c>
      <c r="J725" t="n">
        <v>0</v>
      </c>
      <c r="K725" t="n">
        <v>0</v>
      </c>
      <c r="L725" t="n">
        <v>0</v>
      </c>
      <c r="M725" t="n">
        <v>0</v>
      </c>
      <c r="N725" t="n">
        <v>0</v>
      </c>
      <c r="O725" t="n">
        <v>0</v>
      </c>
      <c r="P725" t="n">
        <v>0</v>
      </c>
      <c r="Q725" t="n">
        <v>0</v>
      </c>
      <c r="R725" s="2" t="inlineStr"/>
    </row>
    <row r="726" ht="15" customHeight="1">
      <c r="A726" t="inlineStr">
        <is>
          <t>A 42415-2025</t>
        </is>
      </c>
      <c r="B726" s="1" t="n">
        <v>45905.39195601852</v>
      </c>
      <c r="C726" s="1" t="n">
        <v>46048</v>
      </c>
      <c r="D726" t="inlineStr">
        <is>
          <t>JÄMTLANDS LÄN</t>
        </is>
      </c>
      <c r="E726" t="inlineStr">
        <is>
          <t>BERG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42378-2025</t>
        </is>
      </c>
      <c r="B727" s="1" t="n">
        <v>45905.34423611111</v>
      </c>
      <c r="C727" s="1" t="n">
        <v>46048</v>
      </c>
      <c r="D727" t="inlineStr">
        <is>
          <t>JÄMTLANDS LÄN</t>
        </is>
      </c>
      <c r="E727" t="inlineStr">
        <is>
          <t>BERG</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42439-2025</t>
        </is>
      </c>
      <c r="B728" s="1" t="n">
        <v>45905.42969907408</v>
      </c>
      <c r="C728" s="1" t="n">
        <v>46048</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41875-2024</t>
        </is>
      </c>
      <c r="B729" s="1" t="n">
        <v>45561.47431712963</v>
      </c>
      <c r="C729" s="1" t="n">
        <v>46048</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4246-2025</t>
        </is>
      </c>
      <c r="B730" s="1" t="n">
        <v>45685.59083333334</v>
      </c>
      <c r="C730" s="1" t="n">
        <v>46048</v>
      </c>
      <c r="D730" t="inlineStr">
        <is>
          <t>JÄMTLANDS LÄN</t>
        </is>
      </c>
      <c r="E730" t="inlineStr">
        <is>
          <t>BERG</t>
        </is>
      </c>
      <c r="G730" t="n">
        <v>2.4</v>
      </c>
      <c r="H730" t="n">
        <v>0</v>
      </c>
      <c r="I730" t="n">
        <v>0</v>
      </c>
      <c r="J730" t="n">
        <v>0</v>
      </c>
      <c r="K730" t="n">
        <v>0</v>
      </c>
      <c r="L730" t="n">
        <v>0</v>
      </c>
      <c r="M730" t="n">
        <v>0</v>
      </c>
      <c r="N730" t="n">
        <v>0</v>
      </c>
      <c r="O730" t="n">
        <v>0</v>
      </c>
      <c r="P730" t="n">
        <v>0</v>
      </c>
      <c r="Q730" t="n">
        <v>0</v>
      </c>
      <c r="R730" s="2" t="inlineStr"/>
    </row>
    <row r="731" ht="15" customHeight="1">
      <c r="A731" t="inlineStr">
        <is>
          <t>A 42862-2025</t>
        </is>
      </c>
      <c r="B731" s="1" t="n">
        <v>45908.61515046296</v>
      </c>
      <c r="C731" s="1" t="n">
        <v>46048</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43015-2025</t>
        </is>
      </c>
      <c r="B732" s="1" t="n">
        <v>45909.49278935185</v>
      </c>
      <c r="C732" s="1" t="n">
        <v>46048</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8251-2023</t>
        </is>
      </c>
      <c r="B733" s="1" t="n">
        <v>44974</v>
      </c>
      <c r="C733" s="1" t="n">
        <v>46048</v>
      </c>
      <c r="D733" t="inlineStr">
        <is>
          <t>JÄMTLANDS LÄN</t>
        </is>
      </c>
      <c r="E733" t="inlineStr">
        <is>
          <t>BERG</t>
        </is>
      </c>
      <c r="G733" t="n">
        <v>1.7</v>
      </c>
      <c r="H733" t="n">
        <v>0</v>
      </c>
      <c r="I733" t="n">
        <v>0</v>
      </c>
      <c r="J733" t="n">
        <v>0</v>
      </c>
      <c r="K733" t="n">
        <v>0</v>
      </c>
      <c r="L733" t="n">
        <v>0</v>
      </c>
      <c r="M733" t="n">
        <v>0</v>
      </c>
      <c r="N733" t="n">
        <v>0</v>
      </c>
      <c r="O733" t="n">
        <v>0</v>
      </c>
      <c r="P733" t="n">
        <v>0</v>
      </c>
      <c r="Q733" t="n">
        <v>0</v>
      </c>
      <c r="R733" s="2" t="inlineStr"/>
    </row>
    <row r="734" ht="15" customHeight="1">
      <c r="A734" t="inlineStr">
        <is>
          <t>A 16553-2025</t>
        </is>
      </c>
      <c r="B734" s="1" t="n">
        <v>45751.69967592593</v>
      </c>
      <c r="C734" s="1" t="n">
        <v>46048</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45081-2022</t>
        </is>
      </c>
      <c r="B735" s="1" t="n">
        <v>44841</v>
      </c>
      <c r="C735" s="1" t="n">
        <v>46048</v>
      </c>
      <c r="D735" t="inlineStr">
        <is>
          <t>JÄMTLANDS LÄN</t>
        </is>
      </c>
      <c r="E735" t="inlineStr">
        <is>
          <t>BERG</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43442-2025</t>
        </is>
      </c>
      <c r="B736" s="1" t="n">
        <v>45911.44244212963</v>
      </c>
      <c r="C736" s="1" t="n">
        <v>46048</v>
      </c>
      <c r="D736" t="inlineStr">
        <is>
          <t>JÄMTLANDS LÄN</t>
        </is>
      </c>
      <c r="E736" t="inlineStr">
        <is>
          <t>BERG</t>
        </is>
      </c>
      <c r="G736" t="n">
        <v>3.8</v>
      </c>
      <c r="H736" t="n">
        <v>0</v>
      </c>
      <c r="I736" t="n">
        <v>0</v>
      </c>
      <c r="J736" t="n">
        <v>0</v>
      </c>
      <c r="K736" t="n">
        <v>0</v>
      </c>
      <c r="L736" t="n">
        <v>0</v>
      </c>
      <c r="M736" t="n">
        <v>0</v>
      </c>
      <c r="N736" t="n">
        <v>0</v>
      </c>
      <c r="O736" t="n">
        <v>0</v>
      </c>
      <c r="P736" t="n">
        <v>0</v>
      </c>
      <c r="Q736" t="n">
        <v>0</v>
      </c>
      <c r="R736" s="2" t="inlineStr"/>
    </row>
    <row r="737" ht="15" customHeight="1">
      <c r="A737" t="inlineStr">
        <is>
          <t>A 43443-2025</t>
        </is>
      </c>
      <c r="B737" s="1" t="n">
        <v>45911.44350694444</v>
      </c>
      <c r="C737" s="1" t="n">
        <v>46048</v>
      </c>
      <c r="D737" t="inlineStr">
        <is>
          <t>JÄMTLANDS LÄN</t>
        </is>
      </c>
      <c r="E737" t="inlineStr">
        <is>
          <t>BERG</t>
        </is>
      </c>
      <c r="G737" t="n">
        <v>2.7</v>
      </c>
      <c r="H737" t="n">
        <v>0</v>
      </c>
      <c r="I737" t="n">
        <v>0</v>
      </c>
      <c r="J737" t="n">
        <v>0</v>
      </c>
      <c r="K737" t="n">
        <v>0</v>
      </c>
      <c r="L737" t="n">
        <v>0</v>
      </c>
      <c r="M737" t="n">
        <v>0</v>
      </c>
      <c r="N737" t="n">
        <v>0</v>
      </c>
      <c r="O737" t="n">
        <v>0</v>
      </c>
      <c r="P737" t="n">
        <v>0</v>
      </c>
      <c r="Q737" t="n">
        <v>0</v>
      </c>
      <c r="R737" s="2" t="inlineStr"/>
    </row>
    <row r="738" ht="15" customHeight="1">
      <c r="A738" t="inlineStr">
        <is>
          <t>A 41264-2025</t>
        </is>
      </c>
      <c r="B738" s="1" t="n">
        <v>45898</v>
      </c>
      <c r="C738" s="1" t="n">
        <v>46048</v>
      </c>
      <c r="D738" t="inlineStr">
        <is>
          <t>JÄMTLANDS LÄN</t>
        </is>
      </c>
      <c r="E738" t="inlineStr">
        <is>
          <t>BERG</t>
        </is>
      </c>
      <c r="G738" t="n">
        <v>17.4</v>
      </c>
      <c r="H738" t="n">
        <v>0</v>
      </c>
      <c r="I738" t="n">
        <v>0</v>
      </c>
      <c r="J738" t="n">
        <v>0</v>
      </c>
      <c r="K738" t="n">
        <v>0</v>
      </c>
      <c r="L738" t="n">
        <v>0</v>
      </c>
      <c r="M738" t="n">
        <v>0</v>
      </c>
      <c r="N738" t="n">
        <v>0</v>
      </c>
      <c r="O738" t="n">
        <v>0</v>
      </c>
      <c r="P738" t="n">
        <v>0</v>
      </c>
      <c r="Q738" t="n">
        <v>0</v>
      </c>
      <c r="R738" s="2" t="inlineStr"/>
    </row>
    <row r="739" ht="15" customHeight="1">
      <c r="A739" t="inlineStr">
        <is>
          <t>A 47289-2023</t>
        </is>
      </c>
      <c r="B739" s="1" t="n">
        <v>45202.46581018518</v>
      </c>
      <c r="C739" s="1" t="n">
        <v>46048</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43567-2025</t>
        </is>
      </c>
      <c r="B740" s="1" t="n">
        <v>45911.6327662037</v>
      </c>
      <c r="C740" s="1" t="n">
        <v>46048</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43441-2025</t>
        </is>
      </c>
      <c r="B741" s="1" t="n">
        <v>45911.44184027778</v>
      </c>
      <c r="C741" s="1" t="n">
        <v>46048</v>
      </c>
      <c r="D741" t="inlineStr">
        <is>
          <t>JÄMTLANDS LÄN</t>
        </is>
      </c>
      <c r="E741" t="inlineStr">
        <is>
          <t>BERG</t>
        </is>
      </c>
      <c r="G741" t="n">
        <v>2</v>
      </c>
      <c r="H741" t="n">
        <v>0</v>
      </c>
      <c r="I741" t="n">
        <v>0</v>
      </c>
      <c r="J741" t="n">
        <v>0</v>
      </c>
      <c r="K741" t="n">
        <v>0</v>
      </c>
      <c r="L741" t="n">
        <v>0</v>
      </c>
      <c r="M741" t="n">
        <v>0</v>
      </c>
      <c r="N741" t="n">
        <v>0</v>
      </c>
      <c r="O741" t="n">
        <v>0</v>
      </c>
      <c r="P741" t="n">
        <v>0</v>
      </c>
      <c r="Q741" t="n">
        <v>0</v>
      </c>
      <c r="R741" s="2" t="inlineStr"/>
    </row>
    <row r="742" ht="15" customHeight="1">
      <c r="A742" t="inlineStr">
        <is>
          <t>A 43456-2025</t>
        </is>
      </c>
      <c r="B742" s="1" t="n">
        <v>45911.46148148148</v>
      </c>
      <c r="C742" s="1" t="n">
        <v>46048</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43560-2025</t>
        </is>
      </c>
      <c r="B743" s="1" t="n">
        <v>45911.62758101852</v>
      </c>
      <c r="C743" s="1" t="n">
        <v>46048</v>
      </c>
      <c r="D743" t="inlineStr">
        <is>
          <t>JÄMTLANDS LÄN</t>
        </is>
      </c>
      <c r="E743" t="inlineStr">
        <is>
          <t>BERG</t>
        </is>
      </c>
      <c r="G743" t="n">
        <v>10</v>
      </c>
      <c r="H743" t="n">
        <v>0</v>
      </c>
      <c r="I743" t="n">
        <v>0</v>
      </c>
      <c r="J743" t="n">
        <v>0</v>
      </c>
      <c r="K743" t="n">
        <v>0</v>
      </c>
      <c r="L743" t="n">
        <v>0</v>
      </c>
      <c r="M743" t="n">
        <v>0</v>
      </c>
      <c r="N743" t="n">
        <v>0</v>
      </c>
      <c r="O743" t="n">
        <v>0</v>
      </c>
      <c r="P743" t="n">
        <v>0</v>
      </c>
      <c r="Q743" t="n">
        <v>0</v>
      </c>
      <c r="R743" s="2" t="inlineStr"/>
    </row>
    <row r="744" ht="15" customHeight="1">
      <c r="A744" t="inlineStr">
        <is>
          <t>A 43364-2025</t>
        </is>
      </c>
      <c r="B744" s="1" t="n">
        <v>45911.34483796296</v>
      </c>
      <c r="C744" s="1" t="n">
        <v>46048</v>
      </c>
      <c r="D744" t="inlineStr">
        <is>
          <t>JÄMTLANDS LÄN</t>
        </is>
      </c>
      <c r="E744" t="inlineStr">
        <is>
          <t>BERG</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8388-2022</t>
        </is>
      </c>
      <c r="B745" s="1" t="n">
        <v>44610</v>
      </c>
      <c r="C745" s="1" t="n">
        <v>46048</v>
      </c>
      <c r="D745" t="inlineStr">
        <is>
          <t>JÄMTLANDS LÄN</t>
        </is>
      </c>
      <c r="E745" t="inlineStr">
        <is>
          <t>BERG</t>
        </is>
      </c>
      <c r="G745" t="n">
        <v>2.6</v>
      </c>
      <c r="H745" t="n">
        <v>0</v>
      </c>
      <c r="I745" t="n">
        <v>0</v>
      </c>
      <c r="J745" t="n">
        <v>0</v>
      </c>
      <c r="K745" t="n">
        <v>0</v>
      </c>
      <c r="L745" t="n">
        <v>0</v>
      </c>
      <c r="M745" t="n">
        <v>0</v>
      </c>
      <c r="N745" t="n">
        <v>0</v>
      </c>
      <c r="O745" t="n">
        <v>0</v>
      </c>
      <c r="P745" t="n">
        <v>0</v>
      </c>
      <c r="Q745" t="n">
        <v>0</v>
      </c>
      <c r="R745" s="2" t="inlineStr"/>
    </row>
    <row r="746" ht="15" customHeight="1">
      <c r="A746" t="inlineStr">
        <is>
          <t>A 44043-2025</t>
        </is>
      </c>
      <c r="B746" s="1" t="n">
        <v>45915.49266203704</v>
      </c>
      <c r="C746" s="1" t="n">
        <v>46048</v>
      </c>
      <c r="D746" t="inlineStr">
        <is>
          <t>JÄMTLANDS LÄN</t>
        </is>
      </c>
      <c r="E746" t="inlineStr">
        <is>
          <t>BERG</t>
        </is>
      </c>
      <c r="G746" t="n">
        <v>3.4</v>
      </c>
      <c r="H746" t="n">
        <v>0</v>
      </c>
      <c r="I746" t="n">
        <v>0</v>
      </c>
      <c r="J746" t="n">
        <v>0</v>
      </c>
      <c r="K746" t="n">
        <v>0</v>
      </c>
      <c r="L746" t="n">
        <v>0</v>
      </c>
      <c r="M746" t="n">
        <v>0</v>
      </c>
      <c r="N746" t="n">
        <v>0</v>
      </c>
      <c r="O746" t="n">
        <v>0</v>
      </c>
      <c r="P746" t="n">
        <v>0</v>
      </c>
      <c r="Q746" t="n">
        <v>0</v>
      </c>
      <c r="R746" s="2" t="inlineStr"/>
    </row>
    <row r="747" ht="15" customHeight="1">
      <c r="A747" t="inlineStr">
        <is>
          <t>A 43982-2025</t>
        </is>
      </c>
      <c r="B747" s="1" t="n">
        <v>45915.42771990741</v>
      </c>
      <c r="C747" s="1" t="n">
        <v>46048</v>
      </c>
      <c r="D747" t="inlineStr">
        <is>
          <t>JÄMTLANDS LÄN</t>
        </is>
      </c>
      <c r="E747" t="inlineStr">
        <is>
          <t>BERG</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4522-2024</t>
        </is>
      </c>
      <c r="B748" s="1" t="n">
        <v>45327</v>
      </c>
      <c r="C748" s="1" t="n">
        <v>46048</v>
      </c>
      <c r="D748" t="inlineStr">
        <is>
          <t>JÄMTLANDS LÄN</t>
        </is>
      </c>
      <c r="E748" t="inlineStr">
        <is>
          <t>BERG</t>
        </is>
      </c>
      <c r="G748" t="n">
        <v>0.6</v>
      </c>
      <c r="H748" t="n">
        <v>0</v>
      </c>
      <c r="I748" t="n">
        <v>0</v>
      </c>
      <c r="J748" t="n">
        <v>0</v>
      </c>
      <c r="K748" t="n">
        <v>0</v>
      </c>
      <c r="L748" t="n">
        <v>0</v>
      </c>
      <c r="M748" t="n">
        <v>0</v>
      </c>
      <c r="N748" t="n">
        <v>0</v>
      </c>
      <c r="O748" t="n">
        <v>0</v>
      </c>
      <c r="P748" t="n">
        <v>0</v>
      </c>
      <c r="Q748" t="n">
        <v>0</v>
      </c>
      <c r="R748" s="2" t="inlineStr"/>
    </row>
    <row r="749" ht="15" customHeight="1">
      <c r="A749" t="inlineStr">
        <is>
          <t>A 44051-2025</t>
        </is>
      </c>
      <c r="B749" s="1" t="n">
        <v>45915.51079861111</v>
      </c>
      <c r="C749" s="1" t="n">
        <v>46048</v>
      </c>
      <c r="D749" t="inlineStr">
        <is>
          <t>JÄMTLANDS LÄN</t>
        </is>
      </c>
      <c r="E749" t="inlineStr">
        <is>
          <t>BERG</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44302-2025</t>
        </is>
      </c>
      <c r="B750" s="1" t="n">
        <v>45915</v>
      </c>
      <c r="C750" s="1" t="n">
        <v>46048</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44031-2025</t>
        </is>
      </c>
      <c r="B751" s="1" t="n">
        <v>45915.49019675926</v>
      </c>
      <c r="C751" s="1" t="n">
        <v>46048</v>
      </c>
      <c r="D751" t="inlineStr">
        <is>
          <t>JÄMTLANDS LÄN</t>
        </is>
      </c>
      <c r="E751" t="inlineStr">
        <is>
          <t>BERG</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43968-2025</t>
        </is>
      </c>
      <c r="B752" s="1" t="n">
        <v>45915</v>
      </c>
      <c r="C752" s="1" t="n">
        <v>46048</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44303-2025</t>
        </is>
      </c>
      <c r="B753" s="1" t="n">
        <v>45915</v>
      </c>
      <c r="C753" s="1" t="n">
        <v>46048</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11599-2025</t>
        </is>
      </c>
      <c r="B754" s="1" t="n">
        <v>45727.4261574074</v>
      </c>
      <c r="C754" s="1" t="n">
        <v>46048</v>
      </c>
      <c r="D754" t="inlineStr">
        <is>
          <t>JÄMTLANDS LÄN</t>
        </is>
      </c>
      <c r="E754" t="inlineStr">
        <is>
          <t>BERG</t>
        </is>
      </c>
      <c r="G754" t="n">
        <v>1.4</v>
      </c>
      <c r="H754" t="n">
        <v>0</v>
      </c>
      <c r="I754" t="n">
        <v>0</v>
      </c>
      <c r="J754" t="n">
        <v>0</v>
      </c>
      <c r="K754" t="n">
        <v>0</v>
      </c>
      <c r="L754" t="n">
        <v>0</v>
      </c>
      <c r="M754" t="n">
        <v>0</v>
      </c>
      <c r="N754" t="n">
        <v>0</v>
      </c>
      <c r="O754" t="n">
        <v>0</v>
      </c>
      <c r="P754" t="n">
        <v>0</v>
      </c>
      <c r="Q754" t="n">
        <v>0</v>
      </c>
      <c r="R754" s="2" t="inlineStr"/>
    </row>
    <row r="755" ht="15" customHeight="1">
      <c r="A755" t="inlineStr">
        <is>
          <t>A 44572-2025</t>
        </is>
      </c>
      <c r="B755" s="1" t="n">
        <v>45917</v>
      </c>
      <c r="C755" s="1" t="n">
        <v>46048</v>
      </c>
      <c r="D755" t="inlineStr">
        <is>
          <t>JÄMTLANDS LÄN</t>
        </is>
      </c>
      <c r="E755" t="inlineStr">
        <is>
          <t>BERG</t>
        </is>
      </c>
      <c r="G755" t="n">
        <v>1.8</v>
      </c>
      <c r="H755" t="n">
        <v>0</v>
      </c>
      <c r="I755" t="n">
        <v>0</v>
      </c>
      <c r="J755" t="n">
        <v>0</v>
      </c>
      <c r="K755" t="n">
        <v>0</v>
      </c>
      <c r="L755" t="n">
        <v>0</v>
      </c>
      <c r="M755" t="n">
        <v>0</v>
      </c>
      <c r="N755" t="n">
        <v>0</v>
      </c>
      <c r="O755" t="n">
        <v>0</v>
      </c>
      <c r="P755" t="n">
        <v>0</v>
      </c>
      <c r="Q755" t="n">
        <v>0</v>
      </c>
      <c r="R755" s="2" t="inlineStr"/>
    </row>
    <row r="756" ht="15" customHeight="1">
      <c r="A756" t="inlineStr">
        <is>
          <t>A 44697-2025</t>
        </is>
      </c>
      <c r="B756" s="1" t="n">
        <v>45917.59888888889</v>
      </c>
      <c r="C756" s="1" t="n">
        <v>46048</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45249-2025</t>
        </is>
      </c>
      <c r="B757" s="1" t="n">
        <v>45919.61225694444</v>
      </c>
      <c r="C757" s="1" t="n">
        <v>46048</v>
      </c>
      <c r="D757" t="inlineStr">
        <is>
          <t>JÄMTLANDS LÄN</t>
        </is>
      </c>
      <c r="E757" t="inlineStr">
        <is>
          <t>BERG</t>
        </is>
      </c>
      <c r="G757" t="n">
        <v>1.3</v>
      </c>
      <c r="H757" t="n">
        <v>0</v>
      </c>
      <c r="I757" t="n">
        <v>0</v>
      </c>
      <c r="J757" t="n">
        <v>0</v>
      </c>
      <c r="K757" t="n">
        <v>0</v>
      </c>
      <c r="L757" t="n">
        <v>0</v>
      </c>
      <c r="M757" t="n">
        <v>0</v>
      </c>
      <c r="N757" t="n">
        <v>0</v>
      </c>
      <c r="O757" t="n">
        <v>0</v>
      </c>
      <c r="P757" t="n">
        <v>0</v>
      </c>
      <c r="Q757" t="n">
        <v>0</v>
      </c>
      <c r="R757" s="2" t="inlineStr"/>
    </row>
    <row r="758" ht="15" customHeight="1">
      <c r="A758" t="inlineStr">
        <is>
          <t>A 45171-2025</t>
        </is>
      </c>
      <c r="B758" s="1" t="n">
        <v>45919.50256944444</v>
      </c>
      <c r="C758" s="1" t="n">
        <v>46048</v>
      </c>
      <c r="D758" t="inlineStr">
        <is>
          <t>JÄMTLANDS LÄN</t>
        </is>
      </c>
      <c r="E758" t="inlineStr">
        <is>
          <t>BERG</t>
        </is>
      </c>
      <c r="F758" t="inlineStr">
        <is>
          <t>Övriga Aktiebolag</t>
        </is>
      </c>
      <c r="G758" t="n">
        <v>10.7</v>
      </c>
      <c r="H758" t="n">
        <v>0</v>
      </c>
      <c r="I758" t="n">
        <v>0</v>
      </c>
      <c r="J758" t="n">
        <v>0</v>
      </c>
      <c r="K758" t="n">
        <v>0</v>
      </c>
      <c r="L758" t="n">
        <v>0</v>
      </c>
      <c r="M758" t="n">
        <v>0</v>
      </c>
      <c r="N758" t="n">
        <v>0</v>
      </c>
      <c r="O758" t="n">
        <v>0</v>
      </c>
      <c r="P758" t="n">
        <v>0</v>
      </c>
      <c r="Q758" t="n">
        <v>0</v>
      </c>
      <c r="R758" s="2" t="inlineStr"/>
    </row>
    <row r="759" ht="15" customHeight="1">
      <c r="A759" t="inlineStr">
        <is>
          <t>A 48307-2024</t>
        </is>
      </c>
      <c r="B759" s="1" t="n">
        <v>45590.47684027778</v>
      </c>
      <c r="C759" s="1" t="n">
        <v>46048</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45129-2025</t>
        </is>
      </c>
      <c r="B760" s="1" t="n">
        <v>45919.43584490741</v>
      </c>
      <c r="C760" s="1" t="n">
        <v>46048</v>
      </c>
      <c r="D760" t="inlineStr">
        <is>
          <t>JÄMTLANDS LÄN</t>
        </is>
      </c>
      <c r="E760" t="inlineStr">
        <is>
          <t>BERG</t>
        </is>
      </c>
      <c r="F760" t="inlineStr">
        <is>
          <t>Övriga Aktiebolag</t>
        </is>
      </c>
      <c r="G760" t="n">
        <v>3.3</v>
      </c>
      <c r="H760" t="n">
        <v>0</v>
      </c>
      <c r="I760" t="n">
        <v>0</v>
      </c>
      <c r="J760" t="n">
        <v>0</v>
      </c>
      <c r="K760" t="n">
        <v>0</v>
      </c>
      <c r="L760" t="n">
        <v>0</v>
      </c>
      <c r="M760" t="n">
        <v>0</v>
      </c>
      <c r="N760" t="n">
        <v>0</v>
      </c>
      <c r="O760" t="n">
        <v>0</v>
      </c>
      <c r="P760" t="n">
        <v>0</v>
      </c>
      <c r="Q760" t="n">
        <v>0</v>
      </c>
      <c r="R760" s="2" t="inlineStr"/>
    </row>
    <row r="761" ht="15" customHeight="1">
      <c r="A761" t="inlineStr">
        <is>
          <t>A 45150-2025</t>
        </is>
      </c>
      <c r="B761" s="1" t="n">
        <v>45919.47131944444</v>
      </c>
      <c r="C761" s="1" t="n">
        <v>46048</v>
      </c>
      <c r="D761" t="inlineStr">
        <is>
          <t>JÄMTLANDS LÄN</t>
        </is>
      </c>
      <c r="E761" t="inlineStr">
        <is>
          <t>BERG</t>
        </is>
      </c>
      <c r="F761" t="inlineStr">
        <is>
          <t>Övriga Aktiebolag</t>
        </is>
      </c>
      <c r="G761" t="n">
        <v>9.6</v>
      </c>
      <c r="H761" t="n">
        <v>0</v>
      </c>
      <c r="I761" t="n">
        <v>0</v>
      </c>
      <c r="J761" t="n">
        <v>0</v>
      </c>
      <c r="K761" t="n">
        <v>0</v>
      </c>
      <c r="L761" t="n">
        <v>0</v>
      </c>
      <c r="M761" t="n">
        <v>0</v>
      </c>
      <c r="N761" t="n">
        <v>0</v>
      </c>
      <c r="O761" t="n">
        <v>0</v>
      </c>
      <c r="P761" t="n">
        <v>0</v>
      </c>
      <c r="Q761" t="n">
        <v>0</v>
      </c>
      <c r="R761" s="2" t="inlineStr"/>
    </row>
    <row r="762" ht="15" customHeight="1">
      <c r="A762" t="inlineStr">
        <is>
          <t>A 44811-2025</t>
        </is>
      </c>
      <c r="B762" s="1" t="n">
        <v>45918.37195601852</v>
      </c>
      <c r="C762" s="1" t="n">
        <v>46048</v>
      </c>
      <c r="D762" t="inlineStr">
        <is>
          <t>JÄMTLANDS LÄN</t>
        </is>
      </c>
      <c r="E762" t="inlineStr">
        <is>
          <t>BERG</t>
        </is>
      </c>
      <c r="G762" t="n">
        <v>1.4</v>
      </c>
      <c r="H762" t="n">
        <v>0</v>
      </c>
      <c r="I762" t="n">
        <v>0</v>
      </c>
      <c r="J762" t="n">
        <v>0</v>
      </c>
      <c r="K762" t="n">
        <v>0</v>
      </c>
      <c r="L762" t="n">
        <v>0</v>
      </c>
      <c r="M762" t="n">
        <v>0</v>
      </c>
      <c r="N762" t="n">
        <v>0</v>
      </c>
      <c r="O762" t="n">
        <v>0</v>
      </c>
      <c r="P762" t="n">
        <v>0</v>
      </c>
      <c r="Q762" t="n">
        <v>0</v>
      </c>
      <c r="R762" s="2" t="inlineStr"/>
    </row>
    <row r="763" ht="15" customHeight="1">
      <c r="A763" t="inlineStr">
        <is>
          <t>A 61652-2024</t>
        </is>
      </c>
      <c r="B763" s="1" t="n">
        <v>45646.72293981481</v>
      </c>
      <c r="C763" s="1" t="n">
        <v>46048</v>
      </c>
      <c r="D763" t="inlineStr">
        <is>
          <t>JÄMTLANDS LÄN</t>
        </is>
      </c>
      <c r="E763" t="inlineStr">
        <is>
          <t>BERG</t>
        </is>
      </c>
      <c r="G763" t="n">
        <v>6.4</v>
      </c>
      <c r="H763" t="n">
        <v>0</v>
      </c>
      <c r="I763" t="n">
        <v>0</v>
      </c>
      <c r="J763" t="n">
        <v>0</v>
      </c>
      <c r="K763" t="n">
        <v>0</v>
      </c>
      <c r="L763" t="n">
        <v>0</v>
      </c>
      <c r="M763" t="n">
        <v>0</v>
      </c>
      <c r="N763" t="n">
        <v>0</v>
      </c>
      <c r="O763" t="n">
        <v>0</v>
      </c>
      <c r="P763" t="n">
        <v>0</v>
      </c>
      <c r="Q763" t="n">
        <v>0</v>
      </c>
      <c r="R763" s="2" t="inlineStr"/>
    </row>
    <row r="764" ht="15" customHeight="1">
      <c r="A764" t="inlineStr">
        <is>
          <t>A 45109-2025</t>
        </is>
      </c>
      <c r="B764" s="1" t="n">
        <v>45919.41850694444</v>
      </c>
      <c r="C764" s="1" t="n">
        <v>46048</v>
      </c>
      <c r="D764" t="inlineStr">
        <is>
          <t>JÄMTLANDS LÄN</t>
        </is>
      </c>
      <c r="E764" t="inlineStr">
        <is>
          <t>BERG</t>
        </is>
      </c>
      <c r="F764" t="inlineStr">
        <is>
          <t>Övriga Aktiebolag</t>
        </is>
      </c>
      <c r="G764" t="n">
        <v>1.7</v>
      </c>
      <c r="H764" t="n">
        <v>0</v>
      </c>
      <c r="I764" t="n">
        <v>0</v>
      </c>
      <c r="J764" t="n">
        <v>0</v>
      </c>
      <c r="K764" t="n">
        <v>0</v>
      </c>
      <c r="L764" t="n">
        <v>0</v>
      </c>
      <c r="M764" t="n">
        <v>0</v>
      </c>
      <c r="N764" t="n">
        <v>0</v>
      </c>
      <c r="O764" t="n">
        <v>0</v>
      </c>
      <c r="P764" t="n">
        <v>0</v>
      </c>
      <c r="Q764" t="n">
        <v>0</v>
      </c>
      <c r="R764" s="2" t="inlineStr"/>
    </row>
    <row r="765" ht="15" customHeight="1">
      <c r="A765" t="inlineStr">
        <is>
          <t>A 45254-2025</t>
        </is>
      </c>
      <c r="B765" s="1" t="n">
        <v>45919.61523148148</v>
      </c>
      <c r="C765" s="1" t="n">
        <v>46048</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46048</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45640-2025</t>
        </is>
      </c>
      <c r="B767" s="1" t="n">
        <v>45922.961875</v>
      </c>
      <c r="C767" s="1" t="n">
        <v>46048</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45568-2025</t>
        </is>
      </c>
      <c r="B768" s="1" t="n">
        <v>45922.65672453704</v>
      </c>
      <c r="C768" s="1" t="n">
        <v>46048</v>
      </c>
      <c r="D768" t="inlineStr">
        <is>
          <t>JÄMTLANDS LÄN</t>
        </is>
      </c>
      <c r="E768" t="inlineStr">
        <is>
          <t>BERG</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15785-2021</t>
        </is>
      </c>
      <c r="B769" s="1" t="n">
        <v>44286.58679398148</v>
      </c>
      <c r="C769" s="1" t="n">
        <v>46048</v>
      </c>
      <c r="D769" t="inlineStr">
        <is>
          <t>JÄMTLANDS LÄN</t>
        </is>
      </c>
      <c r="E769" t="inlineStr">
        <is>
          <t>BERG</t>
        </is>
      </c>
      <c r="G769" t="n">
        <v>3.2</v>
      </c>
      <c r="H769" t="n">
        <v>0</v>
      </c>
      <c r="I769" t="n">
        <v>0</v>
      </c>
      <c r="J769" t="n">
        <v>0</v>
      </c>
      <c r="K769" t="n">
        <v>0</v>
      </c>
      <c r="L769" t="n">
        <v>0</v>
      </c>
      <c r="M769" t="n">
        <v>0</v>
      </c>
      <c r="N769" t="n">
        <v>0</v>
      </c>
      <c r="O769" t="n">
        <v>0</v>
      </c>
      <c r="P769" t="n">
        <v>0</v>
      </c>
      <c r="Q769" t="n">
        <v>0</v>
      </c>
      <c r="R769" s="2" t="inlineStr"/>
    </row>
    <row r="770" ht="15" customHeight="1">
      <c r="A770" t="inlineStr">
        <is>
          <t>A 45570-2025</t>
        </is>
      </c>
      <c r="B770" s="1" t="n">
        <v>45922.65715277778</v>
      </c>
      <c r="C770" s="1" t="n">
        <v>46048</v>
      </c>
      <c r="D770" t="inlineStr">
        <is>
          <t>JÄMTLANDS LÄN</t>
        </is>
      </c>
      <c r="E770" t="inlineStr">
        <is>
          <t>BERG</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45459-2025</t>
        </is>
      </c>
      <c r="B771" s="1" t="n">
        <v>45922.49230324074</v>
      </c>
      <c r="C771" s="1" t="n">
        <v>46048</v>
      </c>
      <c r="D771" t="inlineStr">
        <is>
          <t>JÄMTLANDS LÄN</t>
        </is>
      </c>
      <c r="E771" t="inlineStr">
        <is>
          <t>BERG</t>
        </is>
      </c>
      <c r="F771" t="inlineStr">
        <is>
          <t>Kyrkan</t>
        </is>
      </c>
      <c r="G771" t="n">
        <v>8</v>
      </c>
      <c r="H771" t="n">
        <v>0</v>
      </c>
      <c r="I771" t="n">
        <v>0</v>
      </c>
      <c r="J771" t="n">
        <v>0</v>
      </c>
      <c r="K771" t="n">
        <v>0</v>
      </c>
      <c r="L771" t="n">
        <v>0</v>
      </c>
      <c r="M771" t="n">
        <v>0</v>
      </c>
      <c r="N771" t="n">
        <v>0</v>
      </c>
      <c r="O771" t="n">
        <v>0</v>
      </c>
      <c r="P771" t="n">
        <v>0</v>
      </c>
      <c r="Q771" t="n">
        <v>0</v>
      </c>
      <c r="R771" s="2" t="inlineStr"/>
    </row>
    <row r="772" ht="15" customHeight="1">
      <c r="A772" t="inlineStr">
        <is>
          <t>A 45912-2025</t>
        </is>
      </c>
      <c r="B772" s="1" t="n">
        <v>45923</v>
      </c>
      <c r="C772" s="1" t="n">
        <v>46048</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45657-2025</t>
        </is>
      </c>
      <c r="B773" s="1" t="n">
        <v>45923.34453703704</v>
      </c>
      <c r="C773" s="1" t="n">
        <v>46048</v>
      </c>
      <c r="D773" t="inlineStr">
        <is>
          <t>JÄMTLANDS LÄN</t>
        </is>
      </c>
      <c r="E773" t="inlineStr">
        <is>
          <t>BERG</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45390-2025</t>
        </is>
      </c>
      <c r="B774" s="1" t="n">
        <v>45922.40762731482</v>
      </c>
      <c r="C774" s="1" t="n">
        <v>46048</v>
      </c>
      <c r="D774" t="inlineStr">
        <is>
          <t>JÄMTLANDS LÄN</t>
        </is>
      </c>
      <c r="E774" t="inlineStr">
        <is>
          <t>BERG</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38-2024</t>
        </is>
      </c>
      <c r="B775" s="1" t="n">
        <v>45293</v>
      </c>
      <c r="C775" s="1" t="n">
        <v>46048</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43762-2023</t>
        </is>
      </c>
      <c r="B776" s="1" t="n">
        <v>45182</v>
      </c>
      <c r="C776" s="1" t="n">
        <v>46048</v>
      </c>
      <c r="D776" t="inlineStr">
        <is>
          <t>JÄMTLANDS LÄN</t>
        </is>
      </c>
      <c r="E776" t="inlineStr">
        <is>
          <t>BERG</t>
        </is>
      </c>
      <c r="G776" t="n">
        <v>6.4</v>
      </c>
      <c r="H776" t="n">
        <v>0</v>
      </c>
      <c r="I776" t="n">
        <v>0</v>
      </c>
      <c r="J776" t="n">
        <v>0</v>
      </c>
      <c r="K776" t="n">
        <v>0</v>
      </c>
      <c r="L776" t="n">
        <v>0</v>
      </c>
      <c r="M776" t="n">
        <v>0</v>
      </c>
      <c r="N776" t="n">
        <v>0</v>
      </c>
      <c r="O776" t="n">
        <v>0</v>
      </c>
      <c r="P776" t="n">
        <v>0</v>
      </c>
      <c r="Q776" t="n">
        <v>0</v>
      </c>
      <c r="R776" s="2" t="inlineStr"/>
    </row>
    <row r="777" ht="15" customHeight="1">
      <c r="A777" t="inlineStr">
        <is>
          <t>A 46853-2025</t>
        </is>
      </c>
      <c r="B777" s="1" t="n">
        <v>45928.86563657408</v>
      </c>
      <c r="C777" s="1" t="n">
        <v>46048</v>
      </c>
      <c r="D777" t="inlineStr">
        <is>
          <t>JÄMTLANDS LÄN</t>
        </is>
      </c>
      <c r="E777" t="inlineStr">
        <is>
          <t>BERG</t>
        </is>
      </c>
      <c r="F777" t="inlineStr">
        <is>
          <t>Kyrkan</t>
        </is>
      </c>
      <c r="G777" t="n">
        <v>7.9</v>
      </c>
      <c r="H777" t="n">
        <v>0</v>
      </c>
      <c r="I777" t="n">
        <v>0</v>
      </c>
      <c r="J777" t="n">
        <v>0</v>
      </c>
      <c r="K777" t="n">
        <v>0</v>
      </c>
      <c r="L777" t="n">
        <v>0</v>
      </c>
      <c r="M777" t="n">
        <v>0</v>
      </c>
      <c r="N777" t="n">
        <v>0</v>
      </c>
      <c r="O777" t="n">
        <v>0</v>
      </c>
      <c r="P777" t="n">
        <v>0</v>
      </c>
      <c r="Q777" t="n">
        <v>0</v>
      </c>
      <c r="R777" s="2" t="inlineStr"/>
    </row>
    <row r="778" ht="15" customHeight="1">
      <c r="A778" t="inlineStr">
        <is>
          <t>A 46854-2025</t>
        </is>
      </c>
      <c r="B778" s="1" t="n">
        <v>45928.87376157408</v>
      </c>
      <c r="C778" s="1" t="n">
        <v>46048</v>
      </c>
      <c r="D778" t="inlineStr">
        <is>
          <t>JÄMTLANDS LÄN</t>
        </is>
      </c>
      <c r="E778" t="inlineStr">
        <is>
          <t>BERG</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51039-2024</t>
        </is>
      </c>
      <c r="B779" s="1" t="n">
        <v>45603.43164351852</v>
      </c>
      <c r="C779" s="1" t="n">
        <v>46048</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46908-2025</t>
        </is>
      </c>
      <c r="B780" s="1" t="n">
        <v>45929.40664351852</v>
      </c>
      <c r="C780" s="1" t="n">
        <v>46048</v>
      </c>
      <c r="D780" t="inlineStr">
        <is>
          <t>JÄMTLANDS LÄN</t>
        </is>
      </c>
      <c r="E780" t="inlineStr">
        <is>
          <t>BERG</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60076-2024</t>
        </is>
      </c>
      <c r="B781" s="1" t="n">
        <v>45642.53166666667</v>
      </c>
      <c r="C781" s="1" t="n">
        <v>46048</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47137-2025</t>
        </is>
      </c>
      <c r="B782" s="1" t="n">
        <v>45929.69876157407</v>
      </c>
      <c r="C782" s="1" t="n">
        <v>46048</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47145-2025</t>
        </is>
      </c>
      <c r="B783" s="1" t="n">
        <v>45929.71310185185</v>
      </c>
      <c r="C783" s="1" t="n">
        <v>46048</v>
      </c>
      <c r="D783" t="inlineStr">
        <is>
          <t>JÄMTLANDS LÄN</t>
        </is>
      </c>
      <c r="E783" t="inlineStr">
        <is>
          <t>BERG</t>
        </is>
      </c>
      <c r="G783" t="n">
        <v>3.5</v>
      </c>
      <c r="H783" t="n">
        <v>0</v>
      </c>
      <c r="I783" t="n">
        <v>0</v>
      </c>
      <c r="J783" t="n">
        <v>0</v>
      </c>
      <c r="K783" t="n">
        <v>0</v>
      </c>
      <c r="L783" t="n">
        <v>0</v>
      </c>
      <c r="M783" t="n">
        <v>0</v>
      </c>
      <c r="N783" t="n">
        <v>0</v>
      </c>
      <c r="O783" t="n">
        <v>0</v>
      </c>
      <c r="P783" t="n">
        <v>0</v>
      </c>
      <c r="Q783" t="n">
        <v>0</v>
      </c>
      <c r="R783" s="2" t="inlineStr"/>
    </row>
    <row r="784" ht="15" customHeight="1">
      <c r="A784" t="inlineStr">
        <is>
          <t>A 32711-2024</t>
        </is>
      </c>
      <c r="B784" s="1" t="n">
        <v>45516</v>
      </c>
      <c r="C784" s="1" t="n">
        <v>46048</v>
      </c>
      <c r="D784" t="inlineStr">
        <is>
          <t>JÄMTLANDS LÄN</t>
        </is>
      </c>
      <c r="E784" t="inlineStr">
        <is>
          <t>BERG</t>
        </is>
      </c>
      <c r="G784" t="n">
        <v>0</v>
      </c>
      <c r="H784" t="n">
        <v>0</v>
      </c>
      <c r="I784" t="n">
        <v>0</v>
      </c>
      <c r="J784" t="n">
        <v>0</v>
      </c>
      <c r="K784" t="n">
        <v>0</v>
      </c>
      <c r="L784" t="n">
        <v>0</v>
      </c>
      <c r="M784" t="n">
        <v>0</v>
      </c>
      <c r="N784" t="n">
        <v>0</v>
      </c>
      <c r="O784" t="n">
        <v>0</v>
      </c>
      <c r="P784" t="n">
        <v>0</v>
      </c>
      <c r="Q784" t="n">
        <v>0</v>
      </c>
      <c r="R784" s="2" t="inlineStr"/>
    </row>
    <row r="785" ht="15" customHeight="1">
      <c r="A785" t="inlineStr">
        <is>
          <t>A 15992-2025</t>
        </is>
      </c>
      <c r="B785" s="1" t="n">
        <v>45749.58319444444</v>
      </c>
      <c r="C785" s="1" t="n">
        <v>46048</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47135-2025</t>
        </is>
      </c>
      <c r="B786" s="1" t="n">
        <v>45929.69799768519</v>
      </c>
      <c r="C786" s="1" t="n">
        <v>46048</v>
      </c>
      <c r="D786" t="inlineStr">
        <is>
          <t>JÄMTLANDS LÄN</t>
        </is>
      </c>
      <c r="E786" t="inlineStr">
        <is>
          <t>BERG</t>
        </is>
      </c>
      <c r="G786" t="n">
        <v>0.6</v>
      </c>
      <c r="H786" t="n">
        <v>0</v>
      </c>
      <c r="I786" t="n">
        <v>0</v>
      </c>
      <c r="J786" t="n">
        <v>0</v>
      </c>
      <c r="K786" t="n">
        <v>0</v>
      </c>
      <c r="L786" t="n">
        <v>0</v>
      </c>
      <c r="M786" t="n">
        <v>0</v>
      </c>
      <c r="N786" t="n">
        <v>0</v>
      </c>
      <c r="O786" t="n">
        <v>0</v>
      </c>
      <c r="P786" t="n">
        <v>0</v>
      </c>
      <c r="Q786" t="n">
        <v>0</v>
      </c>
      <c r="R786" s="2" t="inlineStr"/>
    </row>
    <row r="787" ht="15" customHeight="1">
      <c r="A787" t="inlineStr">
        <is>
          <t>A 46811-2025</t>
        </is>
      </c>
      <c r="B787" s="1" t="n">
        <v>45926.69831018519</v>
      </c>
      <c r="C787" s="1" t="n">
        <v>46048</v>
      </c>
      <c r="D787" t="inlineStr">
        <is>
          <t>JÄMTLANDS LÄN</t>
        </is>
      </c>
      <c r="E787" t="inlineStr">
        <is>
          <t>BERG</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47141-2025</t>
        </is>
      </c>
      <c r="B788" s="1" t="n">
        <v>45929.70355324074</v>
      </c>
      <c r="C788" s="1" t="n">
        <v>46048</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2472-2025</t>
        </is>
      </c>
      <c r="B789" s="1" t="n">
        <v>45674.47341435185</v>
      </c>
      <c r="C789" s="1" t="n">
        <v>46048</v>
      </c>
      <c r="D789" t="inlineStr">
        <is>
          <t>JÄMTLANDS LÄN</t>
        </is>
      </c>
      <c r="E789" t="inlineStr">
        <is>
          <t>BERG</t>
        </is>
      </c>
      <c r="G789" t="n">
        <v>2.6</v>
      </c>
      <c r="H789" t="n">
        <v>0</v>
      </c>
      <c r="I789" t="n">
        <v>0</v>
      </c>
      <c r="J789" t="n">
        <v>0</v>
      </c>
      <c r="K789" t="n">
        <v>0</v>
      </c>
      <c r="L789" t="n">
        <v>0</v>
      </c>
      <c r="M789" t="n">
        <v>0</v>
      </c>
      <c r="N789" t="n">
        <v>0</v>
      </c>
      <c r="O789" t="n">
        <v>0</v>
      </c>
      <c r="P789" t="n">
        <v>0</v>
      </c>
      <c r="Q789" t="n">
        <v>0</v>
      </c>
      <c r="R789" s="2" t="inlineStr"/>
    </row>
    <row r="790" ht="15" customHeight="1">
      <c r="A790" t="inlineStr">
        <is>
          <t>A 46584-2025</t>
        </is>
      </c>
      <c r="B790" s="1" t="n">
        <v>45926</v>
      </c>
      <c r="C790" s="1" t="n">
        <v>46048</v>
      </c>
      <c r="D790" t="inlineStr">
        <is>
          <t>JÄMTLANDS LÄN</t>
        </is>
      </c>
      <c r="E790" t="inlineStr">
        <is>
          <t>BERG</t>
        </is>
      </c>
      <c r="G790" t="n">
        <v>17.1</v>
      </c>
      <c r="H790" t="n">
        <v>0</v>
      </c>
      <c r="I790" t="n">
        <v>0</v>
      </c>
      <c r="J790" t="n">
        <v>0</v>
      </c>
      <c r="K790" t="n">
        <v>0</v>
      </c>
      <c r="L790" t="n">
        <v>0</v>
      </c>
      <c r="M790" t="n">
        <v>0</v>
      </c>
      <c r="N790" t="n">
        <v>0</v>
      </c>
      <c r="O790" t="n">
        <v>0</v>
      </c>
      <c r="P790" t="n">
        <v>0</v>
      </c>
      <c r="Q790" t="n">
        <v>0</v>
      </c>
      <c r="R790" s="2" t="inlineStr"/>
    </row>
    <row r="791" ht="15" customHeight="1">
      <c r="A791" t="inlineStr">
        <is>
          <t>A 8239-2024</t>
        </is>
      </c>
      <c r="B791" s="1" t="n">
        <v>45351</v>
      </c>
      <c r="C791" s="1" t="n">
        <v>46048</v>
      </c>
      <c r="D791" t="inlineStr">
        <is>
          <t>JÄMTLANDS LÄN</t>
        </is>
      </c>
      <c r="E791" t="inlineStr">
        <is>
          <t>BERG</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47428-2025</t>
        </is>
      </c>
      <c r="B792" s="1" t="n">
        <v>45930</v>
      </c>
      <c r="C792" s="1" t="n">
        <v>46048</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47193-2025</t>
        </is>
      </c>
      <c r="B793" s="1" t="n">
        <v>45930.34469907408</v>
      </c>
      <c r="C793" s="1" t="n">
        <v>46048</v>
      </c>
      <c r="D793" t="inlineStr">
        <is>
          <t>JÄMTLANDS LÄN</t>
        </is>
      </c>
      <c r="E793" t="inlineStr">
        <is>
          <t>BERG</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47533-2025</t>
        </is>
      </c>
      <c r="B794" s="1" t="n">
        <v>45931.34659722223</v>
      </c>
      <c r="C794" s="1" t="n">
        <v>46048</v>
      </c>
      <c r="D794" t="inlineStr">
        <is>
          <t>JÄMTLANDS LÄN</t>
        </is>
      </c>
      <c r="E794" t="inlineStr">
        <is>
          <t>BERG</t>
        </is>
      </c>
      <c r="G794" t="n">
        <v>3.1</v>
      </c>
      <c r="H794" t="n">
        <v>0</v>
      </c>
      <c r="I794" t="n">
        <v>0</v>
      </c>
      <c r="J794" t="n">
        <v>0</v>
      </c>
      <c r="K794" t="n">
        <v>0</v>
      </c>
      <c r="L794" t="n">
        <v>0</v>
      </c>
      <c r="M794" t="n">
        <v>0</v>
      </c>
      <c r="N794" t="n">
        <v>0</v>
      </c>
      <c r="O794" t="n">
        <v>0</v>
      </c>
      <c r="P794" t="n">
        <v>0</v>
      </c>
      <c r="Q794" t="n">
        <v>0</v>
      </c>
      <c r="R794" s="2" t="inlineStr"/>
    </row>
    <row r="795" ht="15" customHeight="1">
      <c r="A795" t="inlineStr">
        <is>
          <t>A 47430-2025</t>
        </is>
      </c>
      <c r="B795" s="1" t="n">
        <v>45930.63619212963</v>
      </c>
      <c r="C795" s="1" t="n">
        <v>46048</v>
      </c>
      <c r="D795" t="inlineStr">
        <is>
          <t>JÄMTLANDS LÄN</t>
        </is>
      </c>
      <c r="E795" t="inlineStr">
        <is>
          <t>BERG</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47431-2025</t>
        </is>
      </c>
      <c r="B796" s="1" t="n">
        <v>45930.63626157407</v>
      </c>
      <c r="C796" s="1" t="n">
        <v>46048</v>
      </c>
      <c r="D796" t="inlineStr">
        <is>
          <t>JÄMTLANDS LÄN</t>
        </is>
      </c>
      <c r="E796" t="inlineStr">
        <is>
          <t>BERG</t>
        </is>
      </c>
      <c r="F796" t="inlineStr">
        <is>
          <t>SCA</t>
        </is>
      </c>
      <c r="G796" t="n">
        <v>9.5</v>
      </c>
      <c r="H796" t="n">
        <v>0</v>
      </c>
      <c r="I796" t="n">
        <v>0</v>
      </c>
      <c r="J796" t="n">
        <v>0</v>
      </c>
      <c r="K796" t="n">
        <v>0</v>
      </c>
      <c r="L796" t="n">
        <v>0</v>
      </c>
      <c r="M796" t="n">
        <v>0</v>
      </c>
      <c r="N796" t="n">
        <v>0</v>
      </c>
      <c r="O796" t="n">
        <v>0</v>
      </c>
      <c r="P796" t="n">
        <v>0</v>
      </c>
      <c r="Q796" t="n">
        <v>0</v>
      </c>
      <c r="R796" s="2" t="inlineStr"/>
    </row>
    <row r="797" ht="15" customHeight="1">
      <c r="A797" t="inlineStr">
        <is>
          <t>A 47197-2025</t>
        </is>
      </c>
      <c r="B797" s="1" t="n">
        <v>45930.34533564815</v>
      </c>
      <c r="C797" s="1" t="n">
        <v>46048</v>
      </c>
      <c r="D797" t="inlineStr">
        <is>
          <t>JÄMTLANDS LÄN</t>
        </is>
      </c>
      <c r="E797" t="inlineStr">
        <is>
          <t>BERG</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47434-2025</t>
        </is>
      </c>
      <c r="B798" s="1" t="n">
        <v>45930.63659722222</v>
      </c>
      <c r="C798" s="1" t="n">
        <v>46048</v>
      </c>
      <c r="D798" t="inlineStr">
        <is>
          <t>JÄMTLANDS LÄN</t>
        </is>
      </c>
      <c r="E798" t="inlineStr">
        <is>
          <t>BERG</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65207-2023</t>
        </is>
      </c>
      <c r="B799" s="1" t="n">
        <v>45289</v>
      </c>
      <c r="C799" s="1" t="n">
        <v>46048</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44313-2023</t>
        </is>
      </c>
      <c r="B800" s="1" t="n">
        <v>45188.6505787037</v>
      </c>
      <c r="C800" s="1" t="n">
        <v>46048</v>
      </c>
      <c r="D800" t="inlineStr">
        <is>
          <t>JÄMTLANDS LÄN</t>
        </is>
      </c>
      <c r="E800" t="inlineStr">
        <is>
          <t>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47534-2025</t>
        </is>
      </c>
      <c r="B801" s="1" t="n">
        <v>45931.3466550926</v>
      </c>
      <c r="C801" s="1" t="n">
        <v>46048</v>
      </c>
      <c r="D801" t="inlineStr">
        <is>
          <t>JÄMTLANDS LÄN</t>
        </is>
      </c>
      <c r="E801" t="inlineStr">
        <is>
          <t>BERG</t>
        </is>
      </c>
      <c r="G801" t="n">
        <v>1</v>
      </c>
      <c r="H801" t="n">
        <v>0</v>
      </c>
      <c r="I801" t="n">
        <v>0</v>
      </c>
      <c r="J801" t="n">
        <v>0</v>
      </c>
      <c r="K801" t="n">
        <v>0</v>
      </c>
      <c r="L801" t="n">
        <v>0</v>
      </c>
      <c r="M801" t="n">
        <v>0</v>
      </c>
      <c r="N801" t="n">
        <v>0</v>
      </c>
      <c r="O801" t="n">
        <v>0</v>
      </c>
      <c r="P801" t="n">
        <v>0</v>
      </c>
      <c r="Q801" t="n">
        <v>0</v>
      </c>
      <c r="R801" s="2" t="inlineStr"/>
    </row>
    <row r="802" ht="15" customHeight="1">
      <c r="A802" t="inlineStr">
        <is>
          <t>A 48250-2025</t>
        </is>
      </c>
      <c r="B802" s="1" t="n">
        <v>45933.55259259259</v>
      </c>
      <c r="C802" s="1" t="n">
        <v>46048</v>
      </c>
      <c r="D802" t="inlineStr">
        <is>
          <t>JÄMTLANDS LÄN</t>
        </is>
      </c>
      <c r="E802" t="inlineStr">
        <is>
          <t>BERG</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48056-2025</t>
        </is>
      </c>
      <c r="B803" s="1" t="n">
        <v>45932.67946759259</v>
      </c>
      <c r="C803" s="1" t="n">
        <v>46048</v>
      </c>
      <c r="D803" t="inlineStr">
        <is>
          <t>JÄMTLANDS LÄN</t>
        </is>
      </c>
      <c r="E803" t="inlineStr">
        <is>
          <t>BERG</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48209-2025</t>
        </is>
      </c>
      <c r="B804" s="1" t="n">
        <v>45933.4900462963</v>
      </c>
      <c r="C804" s="1" t="n">
        <v>46048</v>
      </c>
      <c r="D804" t="inlineStr">
        <is>
          <t>JÄMTLANDS LÄN</t>
        </is>
      </c>
      <c r="E804" t="inlineStr">
        <is>
          <t>BERG</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47821-2025</t>
        </is>
      </c>
      <c r="B805" s="1" t="n">
        <v>45932.34421296296</v>
      </c>
      <c r="C805" s="1" t="n">
        <v>46048</v>
      </c>
      <c r="D805" t="inlineStr">
        <is>
          <t>JÄMTLANDS LÄN</t>
        </is>
      </c>
      <c r="E805" t="inlineStr">
        <is>
          <t>BERG</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48168-2025</t>
        </is>
      </c>
      <c r="B806" s="1" t="n">
        <v>45933.43004629629</v>
      </c>
      <c r="C806" s="1" t="n">
        <v>46048</v>
      </c>
      <c r="D806" t="inlineStr">
        <is>
          <t>JÄMTLANDS LÄN</t>
        </is>
      </c>
      <c r="E806" t="inlineStr">
        <is>
          <t>BERG</t>
        </is>
      </c>
      <c r="G806" t="n">
        <v>1.2</v>
      </c>
      <c r="H806" t="n">
        <v>0</v>
      </c>
      <c r="I806" t="n">
        <v>0</v>
      </c>
      <c r="J806" t="n">
        <v>0</v>
      </c>
      <c r="K806" t="n">
        <v>0</v>
      </c>
      <c r="L806" t="n">
        <v>0</v>
      </c>
      <c r="M806" t="n">
        <v>0</v>
      </c>
      <c r="N806" t="n">
        <v>0</v>
      </c>
      <c r="O806" t="n">
        <v>0</v>
      </c>
      <c r="P806" t="n">
        <v>0</v>
      </c>
      <c r="Q806" t="n">
        <v>0</v>
      </c>
      <c r="R806" s="2" t="inlineStr"/>
    </row>
    <row r="807" ht="15" customHeight="1">
      <c r="A807" t="inlineStr">
        <is>
          <t>A 48190-2025</t>
        </is>
      </c>
      <c r="B807" s="1" t="n">
        <v>45933.46930555555</v>
      </c>
      <c r="C807" s="1" t="n">
        <v>46048</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19181-2025</t>
        </is>
      </c>
      <c r="B808" s="1" t="n">
        <v>45769.40174768519</v>
      </c>
      <c r="C808" s="1" t="n">
        <v>46048</v>
      </c>
      <c r="D808" t="inlineStr">
        <is>
          <t>JÄMTLANDS LÄN</t>
        </is>
      </c>
      <c r="E808" t="inlineStr">
        <is>
          <t>BERG</t>
        </is>
      </c>
      <c r="G808" t="n">
        <v>4.4</v>
      </c>
      <c r="H808" t="n">
        <v>0</v>
      </c>
      <c r="I808" t="n">
        <v>0</v>
      </c>
      <c r="J808" t="n">
        <v>0</v>
      </c>
      <c r="K808" t="n">
        <v>0</v>
      </c>
      <c r="L808" t="n">
        <v>0</v>
      </c>
      <c r="M808" t="n">
        <v>0</v>
      </c>
      <c r="N808" t="n">
        <v>0</v>
      </c>
      <c r="O808" t="n">
        <v>0</v>
      </c>
      <c r="P808" t="n">
        <v>0</v>
      </c>
      <c r="Q808" t="n">
        <v>0</v>
      </c>
      <c r="R808" s="2" t="inlineStr"/>
    </row>
    <row r="809" ht="15" customHeight="1">
      <c r="A809" t="inlineStr">
        <is>
          <t>A 19891-2025</t>
        </is>
      </c>
      <c r="B809" s="1" t="n">
        <v>45771.5743287037</v>
      </c>
      <c r="C809" s="1" t="n">
        <v>46048</v>
      </c>
      <c r="D809" t="inlineStr">
        <is>
          <t>JÄMTLANDS LÄN</t>
        </is>
      </c>
      <c r="E809" t="inlineStr">
        <is>
          <t>BERG</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30917-2024</t>
        </is>
      </c>
      <c r="B810" s="1" t="n">
        <v>45498.66611111111</v>
      </c>
      <c r="C810" s="1" t="n">
        <v>46048</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14341-2025</t>
        </is>
      </c>
      <c r="B811" s="1" t="n">
        <v>45741.26008101852</v>
      </c>
      <c r="C811" s="1" t="n">
        <v>46048</v>
      </c>
      <c r="D811" t="inlineStr">
        <is>
          <t>JÄMTLANDS LÄN</t>
        </is>
      </c>
      <c r="E811" t="inlineStr">
        <is>
          <t>BERG</t>
        </is>
      </c>
      <c r="G811" t="n">
        <v>3.8</v>
      </c>
      <c r="H811" t="n">
        <v>0</v>
      </c>
      <c r="I811" t="n">
        <v>0</v>
      </c>
      <c r="J811" t="n">
        <v>0</v>
      </c>
      <c r="K811" t="n">
        <v>0</v>
      </c>
      <c r="L811" t="n">
        <v>0</v>
      </c>
      <c r="M811" t="n">
        <v>0</v>
      </c>
      <c r="N811" t="n">
        <v>0</v>
      </c>
      <c r="O811" t="n">
        <v>0</v>
      </c>
      <c r="P811" t="n">
        <v>0</v>
      </c>
      <c r="Q811" t="n">
        <v>0</v>
      </c>
      <c r="R811" s="2" t="inlineStr"/>
    </row>
    <row r="812" ht="15" customHeight="1">
      <c r="A812" t="inlineStr">
        <is>
          <t>A 59634-2022</t>
        </is>
      </c>
      <c r="B812" s="1" t="n">
        <v>44907.9645949074</v>
      </c>
      <c r="C812" s="1" t="n">
        <v>46048</v>
      </c>
      <c r="D812" t="inlineStr">
        <is>
          <t>JÄMTLANDS LÄN</t>
        </is>
      </c>
      <c r="E812" t="inlineStr">
        <is>
          <t>BERG</t>
        </is>
      </c>
      <c r="G812" t="n">
        <v>1.2</v>
      </c>
      <c r="H812" t="n">
        <v>0</v>
      </c>
      <c r="I812" t="n">
        <v>0</v>
      </c>
      <c r="J812" t="n">
        <v>0</v>
      </c>
      <c r="K812" t="n">
        <v>0</v>
      </c>
      <c r="L812" t="n">
        <v>0</v>
      </c>
      <c r="M812" t="n">
        <v>0</v>
      </c>
      <c r="N812" t="n">
        <v>0</v>
      </c>
      <c r="O812" t="n">
        <v>0</v>
      </c>
      <c r="P812" t="n">
        <v>0</v>
      </c>
      <c r="Q812" t="n">
        <v>0</v>
      </c>
      <c r="R812" s="2" t="inlineStr"/>
    </row>
    <row r="813" ht="15" customHeight="1">
      <c r="A813" t="inlineStr">
        <is>
          <t>A 46816-2023</t>
        </is>
      </c>
      <c r="B813" s="1" t="n">
        <v>45198</v>
      </c>
      <c r="C813" s="1" t="n">
        <v>46048</v>
      </c>
      <c r="D813" t="inlineStr">
        <is>
          <t>JÄMTLANDS LÄN</t>
        </is>
      </c>
      <c r="E813" t="inlineStr">
        <is>
          <t>BERG</t>
        </is>
      </c>
      <c r="F813" t="inlineStr">
        <is>
          <t>SCA</t>
        </is>
      </c>
      <c r="G813" t="n">
        <v>66.2</v>
      </c>
      <c r="H813" t="n">
        <v>0</v>
      </c>
      <c r="I813" t="n">
        <v>0</v>
      </c>
      <c r="J813" t="n">
        <v>0</v>
      </c>
      <c r="K813" t="n">
        <v>0</v>
      </c>
      <c r="L813" t="n">
        <v>0</v>
      </c>
      <c r="M813" t="n">
        <v>0</v>
      </c>
      <c r="N813" t="n">
        <v>0</v>
      </c>
      <c r="O813" t="n">
        <v>0</v>
      </c>
      <c r="P813" t="n">
        <v>0</v>
      </c>
      <c r="Q813" t="n">
        <v>0</v>
      </c>
      <c r="R813" s="2" t="inlineStr"/>
    </row>
    <row r="814" ht="15" customHeight="1">
      <c r="A814" t="inlineStr">
        <is>
          <t>A 48508-2025</t>
        </is>
      </c>
      <c r="B814" s="1" t="n">
        <v>45936.3859837963</v>
      </c>
      <c r="C814" s="1" t="n">
        <v>46048</v>
      </c>
      <c r="D814" t="inlineStr">
        <is>
          <t>JÄMTLANDS LÄN</t>
        </is>
      </c>
      <c r="E814" t="inlineStr">
        <is>
          <t>BERG</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48511-2025</t>
        </is>
      </c>
      <c r="B815" s="1" t="n">
        <v>45936.3865162037</v>
      </c>
      <c r="C815" s="1" t="n">
        <v>46048</v>
      </c>
      <c r="D815" t="inlineStr">
        <is>
          <t>JÄMTLANDS LÄN</t>
        </is>
      </c>
      <c r="E815" t="inlineStr">
        <is>
          <t>BERG</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48704-2025</t>
        </is>
      </c>
      <c r="B816" s="1" t="n">
        <v>45936.6222337963</v>
      </c>
      <c r="C816" s="1" t="n">
        <v>46048</v>
      </c>
      <c r="D816" t="inlineStr">
        <is>
          <t>JÄMTLANDS LÄN</t>
        </is>
      </c>
      <c r="E816" t="inlineStr">
        <is>
          <t>BERG</t>
        </is>
      </c>
      <c r="G816" t="n">
        <v>2.7</v>
      </c>
      <c r="H816" t="n">
        <v>0</v>
      </c>
      <c r="I816" t="n">
        <v>0</v>
      </c>
      <c r="J816" t="n">
        <v>0</v>
      </c>
      <c r="K816" t="n">
        <v>0</v>
      </c>
      <c r="L816" t="n">
        <v>0</v>
      </c>
      <c r="M816" t="n">
        <v>0</v>
      </c>
      <c r="N816" t="n">
        <v>0</v>
      </c>
      <c r="O816" t="n">
        <v>0</v>
      </c>
      <c r="P816" t="n">
        <v>0</v>
      </c>
      <c r="Q816" t="n">
        <v>0</v>
      </c>
      <c r="R816" s="2" t="inlineStr"/>
    </row>
    <row r="817" ht="15" customHeight="1">
      <c r="A817" t="inlineStr">
        <is>
          <t>A 48865-2025</t>
        </is>
      </c>
      <c r="B817" s="1" t="n">
        <v>45937.44760416666</v>
      </c>
      <c r="C817" s="1" t="n">
        <v>46048</v>
      </c>
      <c r="D817" t="inlineStr">
        <is>
          <t>JÄMTLANDS LÄN</t>
        </is>
      </c>
      <c r="E817" t="inlineStr">
        <is>
          <t>BERG</t>
        </is>
      </c>
      <c r="G817" t="n">
        <v>5.8</v>
      </c>
      <c r="H817" t="n">
        <v>0</v>
      </c>
      <c r="I817" t="n">
        <v>0</v>
      </c>
      <c r="J817" t="n">
        <v>0</v>
      </c>
      <c r="K817" t="n">
        <v>0</v>
      </c>
      <c r="L817" t="n">
        <v>0</v>
      </c>
      <c r="M817" t="n">
        <v>0</v>
      </c>
      <c r="N817" t="n">
        <v>0</v>
      </c>
      <c r="O817" t="n">
        <v>0</v>
      </c>
      <c r="P817" t="n">
        <v>0</v>
      </c>
      <c r="Q817" t="n">
        <v>0</v>
      </c>
      <c r="R817" s="2" t="inlineStr"/>
    </row>
    <row r="818" ht="15" customHeight="1">
      <c r="A818" t="inlineStr">
        <is>
          <t>A 48968-2025</t>
        </is>
      </c>
      <c r="B818" s="1" t="n">
        <v>45937.56285879629</v>
      </c>
      <c r="C818" s="1" t="n">
        <v>46048</v>
      </c>
      <c r="D818" t="inlineStr">
        <is>
          <t>JÄMTLANDS LÄN</t>
        </is>
      </c>
      <c r="E818" t="inlineStr">
        <is>
          <t>BERG</t>
        </is>
      </c>
      <c r="G818" t="n">
        <v>20</v>
      </c>
      <c r="H818" t="n">
        <v>0</v>
      </c>
      <c r="I818" t="n">
        <v>0</v>
      </c>
      <c r="J818" t="n">
        <v>0</v>
      </c>
      <c r="K818" t="n">
        <v>0</v>
      </c>
      <c r="L818" t="n">
        <v>0</v>
      </c>
      <c r="M818" t="n">
        <v>0</v>
      </c>
      <c r="N818" t="n">
        <v>0</v>
      </c>
      <c r="O818" t="n">
        <v>0</v>
      </c>
      <c r="P818" t="n">
        <v>0</v>
      </c>
      <c r="Q818" t="n">
        <v>0</v>
      </c>
      <c r="R818" s="2" t="inlineStr"/>
    </row>
    <row r="819" ht="15" customHeight="1">
      <c r="A819" t="inlineStr">
        <is>
          <t>A 48770-2025</t>
        </is>
      </c>
      <c r="B819" s="1" t="n">
        <v>45936.91108796297</v>
      </c>
      <c r="C819" s="1" t="n">
        <v>46048</v>
      </c>
      <c r="D819" t="inlineStr">
        <is>
          <t>JÄMTLANDS LÄN</t>
        </is>
      </c>
      <c r="E819" t="inlineStr">
        <is>
          <t>BERG</t>
        </is>
      </c>
      <c r="G819" t="n">
        <v>1.7</v>
      </c>
      <c r="H819" t="n">
        <v>0</v>
      </c>
      <c r="I819" t="n">
        <v>0</v>
      </c>
      <c r="J819" t="n">
        <v>0</v>
      </c>
      <c r="K819" t="n">
        <v>0</v>
      </c>
      <c r="L819" t="n">
        <v>0</v>
      </c>
      <c r="M819" t="n">
        <v>0</v>
      </c>
      <c r="N819" t="n">
        <v>0</v>
      </c>
      <c r="O819" t="n">
        <v>0</v>
      </c>
      <c r="P819" t="n">
        <v>0</v>
      </c>
      <c r="Q819" t="n">
        <v>0</v>
      </c>
      <c r="R819" s="2" t="inlineStr"/>
    </row>
    <row r="820" ht="15" customHeight="1">
      <c r="A820" t="inlineStr">
        <is>
          <t>A 49391-2025</t>
        </is>
      </c>
      <c r="B820" s="1" t="n">
        <v>45938.65011574074</v>
      </c>
      <c r="C820" s="1" t="n">
        <v>46048</v>
      </c>
      <c r="D820" t="inlineStr">
        <is>
          <t>JÄMTLANDS LÄN</t>
        </is>
      </c>
      <c r="E820" t="inlineStr">
        <is>
          <t>BERG</t>
        </is>
      </c>
      <c r="G820" t="n">
        <v>3.7</v>
      </c>
      <c r="H820" t="n">
        <v>0</v>
      </c>
      <c r="I820" t="n">
        <v>0</v>
      </c>
      <c r="J820" t="n">
        <v>0</v>
      </c>
      <c r="K820" t="n">
        <v>0</v>
      </c>
      <c r="L820" t="n">
        <v>0</v>
      </c>
      <c r="M820" t="n">
        <v>0</v>
      </c>
      <c r="N820" t="n">
        <v>0</v>
      </c>
      <c r="O820" t="n">
        <v>0</v>
      </c>
      <c r="P820" t="n">
        <v>0</v>
      </c>
      <c r="Q820" t="n">
        <v>0</v>
      </c>
      <c r="R820" s="2" t="inlineStr"/>
    </row>
    <row r="821" ht="15" customHeight="1">
      <c r="A821" t="inlineStr">
        <is>
          <t>A 49041-2025</t>
        </is>
      </c>
      <c r="B821" s="1" t="n">
        <v>45937.63592592593</v>
      </c>
      <c r="C821" s="1" t="n">
        <v>46048</v>
      </c>
      <c r="D821" t="inlineStr">
        <is>
          <t>JÄMTLANDS LÄN</t>
        </is>
      </c>
      <c r="E821" t="inlineStr">
        <is>
          <t>BERG</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49573-2025</t>
        </is>
      </c>
      <c r="B822" s="1" t="n">
        <v>45939.49037037037</v>
      </c>
      <c r="C822" s="1" t="n">
        <v>46048</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49349-2025</t>
        </is>
      </c>
      <c r="B823" s="1" t="n">
        <v>45938.61060185185</v>
      </c>
      <c r="C823" s="1" t="n">
        <v>46048</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49604-2025</t>
        </is>
      </c>
      <c r="B824" s="1" t="n">
        <v>45939.55241898148</v>
      </c>
      <c r="C824" s="1" t="n">
        <v>46048</v>
      </c>
      <c r="D824" t="inlineStr">
        <is>
          <t>JÄMTLANDS LÄN</t>
        </is>
      </c>
      <c r="E824" t="inlineStr">
        <is>
          <t>BERG</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49918-2025</t>
        </is>
      </c>
      <c r="B825" s="1" t="n">
        <v>45940.6290625</v>
      </c>
      <c r="C825" s="1" t="n">
        <v>46048</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50024-2025</t>
        </is>
      </c>
      <c r="B826" s="1" t="n">
        <v>45943.37563657408</v>
      </c>
      <c r="C826" s="1" t="n">
        <v>46048</v>
      </c>
      <c r="D826" t="inlineStr">
        <is>
          <t>JÄMTLANDS LÄN</t>
        </is>
      </c>
      <c r="E826" t="inlineStr">
        <is>
          <t>BERG</t>
        </is>
      </c>
      <c r="G826" t="n">
        <v>2.7</v>
      </c>
      <c r="H826" t="n">
        <v>0</v>
      </c>
      <c r="I826" t="n">
        <v>0</v>
      </c>
      <c r="J826" t="n">
        <v>0</v>
      </c>
      <c r="K826" t="n">
        <v>0</v>
      </c>
      <c r="L826" t="n">
        <v>0</v>
      </c>
      <c r="M826" t="n">
        <v>0</v>
      </c>
      <c r="N826" t="n">
        <v>0</v>
      </c>
      <c r="O826" t="n">
        <v>0</v>
      </c>
      <c r="P826" t="n">
        <v>0</v>
      </c>
      <c r="Q826" t="n">
        <v>0</v>
      </c>
      <c r="R826" s="2" t="inlineStr"/>
    </row>
    <row r="827" ht="15" customHeight="1">
      <c r="A827" t="inlineStr">
        <is>
          <t>A 50094-2025</t>
        </is>
      </c>
      <c r="B827" s="1" t="n">
        <v>45943.49340277778</v>
      </c>
      <c r="C827" s="1" t="n">
        <v>46048</v>
      </c>
      <c r="D827" t="inlineStr">
        <is>
          <t>JÄMTLANDS LÄN</t>
        </is>
      </c>
      <c r="E827" t="inlineStr">
        <is>
          <t>BERG</t>
        </is>
      </c>
      <c r="G827" t="n">
        <v>3</v>
      </c>
      <c r="H827" t="n">
        <v>0</v>
      </c>
      <c r="I827" t="n">
        <v>0</v>
      </c>
      <c r="J827" t="n">
        <v>0</v>
      </c>
      <c r="K827" t="n">
        <v>0</v>
      </c>
      <c r="L827" t="n">
        <v>0</v>
      </c>
      <c r="M827" t="n">
        <v>0</v>
      </c>
      <c r="N827" t="n">
        <v>0</v>
      </c>
      <c r="O827" t="n">
        <v>0</v>
      </c>
      <c r="P827" t="n">
        <v>0</v>
      </c>
      <c r="Q827" t="n">
        <v>0</v>
      </c>
      <c r="R827" s="2" t="inlineStr"/>
    </row>
    <row r="828" ht="15" customHeight="1">
      <c r="A828" t="inlineStr">
        <is>
          <t>A 49749-2025</t>
        </is>
      </c>
      <c r="B828" s="1" t="n">
        <v>45940.34486111111</v>
      </c>
      <c r="C828" s="1" t="n">
        <v>46048</v>
      </c>
      <c r="D828" t="inlineStr">
        <is>
          <t>JÄMTLANDS LÄN</t>
        </is>
      </c>
      <c r="E828" t="inlineStr">
        <is>
          <t>BERG</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50020-2025</t>
        </is>
      </c>
      <c r="B829" s="1" t="n">
        <v>45943.36899305556</v>
      </c>
      <c r="C829" s="1" t="n">
        <v>46048</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50231-2025</t>
        </is>
      </c>
      <c r="B830" s="1" t="n">
        <v>45943.70643518519</v>
      </c>
      <c r="C830" s="1" t="n">
        <v>46048</v>
      </c>
      <c r="D830" t="inlineStr">
        <is>
          <t>JÄMTLANDS LÄN</t>
        </is>
      </c>
      <c r="E830" t="inlineStr">
        <is>
          <t>BERG</t>
        </is>
      </c>
      <c r="G830" t="n">
        <v>4.6</v>
      </c>
      <c r="H830" t="n">
        <v>0</v>
      </c>
      <c r="I830" t="n">
        <v>0</v>
      </c>
      <c r="J830" t="n">
        <v>0</v>
      </c>
      <c r="K830" t="n">
        <v>0</v>
      </c>
      <c r="L830" t="n">
        <v>0</v>
      </c>
      <c r="M830" t="n">
        <v>0</v>
      </c>
      <c r="N830" t="n">
        <v>0</v>
      </c>
      <c r="O830" t="n">
        <v>0</v>
      </c>
      <c r="P830" t="n">
        <v>0</v>
      </c>
      <c r="Q830" t="n">
        <v>0</v>
      </c>
      <c r="R830" s="2" t="inlineStr"/>
    </row>
    <row r="831" ht="15" customHeight="1">
      <c r="A831" t="inlineStr">
        <is>
          <t>A 50233-2025</t>
        </is>
      </c>
      <c r="B831" s="1" t="n">
        <v>45943.71228009259</v>
      </c>
      <c r="C831" s="1" t="n">
        <v>46048</v>
      </c>
      <c r="D831" t="inlineStr">
        <is>
          <t>JÄMTLANDS LÄN</t>
        </is>
      </c>
      <c r="E831" t="inlineStr">
        <is>
          <t>BERG</t>
        </is>
      </c>
      <c r="G831" t="n">
        <v>1.4</v>
      </c>
      <c r="H831" t="n">
        <v>0</v>
      </c>
      <c r="I831" t="n">
        <v>0</v>
      </c>
      <c r="J831" t="n">
        <v>0</v>
      </c>
      <c r="K831" t="n">
        <v>0</v>
      </c>
      <c r="L831" t="n">
        <v>0</v>
      </c>
      <c r="M831" t="n">
        <v>0</v>
      </c>
      <c r="N831" t="n">
        <v>0</v>
      </c>
      <c r="O831" t="n">
        <v>0</v>
      </c>
      <c r="P831" t="n">
        <v>0</v>
      </c>
      <c r="Q831" t="n">
        <v>0</v>
      </c>
      <c r="R831" s="2" t="inlineStr"/>
    </row>
    <row r="832" ht="15" customHeight="1">
      <c r="A832" t="inlineStr">
        <is>
          <t>A 50227-2025</t>
        </is>
      </c>
      <c r="B832" s="1" t="n">
        <v>45943.69686342592</v>
      </c>
      <c r="C832" s="1" t="n">
        <v>46048</v>
      </c>
      <c r="D832" t="inlineStr">
        <is>
          <t>JÄMTLANDS LÄN</t>
        </is>
      </c>
      <c r="E832" t="inlineStr">
        <is>
          <t>BERG</t>
        </is>
      </c>
      <c r="G832" t="n">
        <v>1.5</v>
      </c>
      <c r="H832" t="n">
        <v>0</v>
      </c>
      <c r="I832" t="n">
        <v>0</v>
      </c>
      <c r="J832" t="n">
        <v>0</v>
      </c>
      <c r="K832" t="n">
        <v>0</v>
      </c>
      <c r="L832" t="n">
        <v>0</v>
      </c>
      <c r="M832" t="n">
        <v>0</v>
      </c>
      <c r="N832" t="n">
        <v>0</v>
      </c>
      <c r="O832" t="n">
        <v>0</v>
      </c>
      <c r="P832" t="n">
        <v>0</v>
      </c>
      <c r="Q832" t="n">
        <v>0</v>
      </c>
      <c r="R832" s="2" t="inlineStr"/>
    </row>
    <row r="833" ht="15" customHeight="1">
      <c r="A833" t="inlineStr">
        <is>
          <t>A 50230-2025</t>
        </is>
      </c>
      <c r="B833" s="1" t="n">
        <v>45943.70216435185</v>
      </c>
      <c r="C833" s="1" t="n">
        <v>46048</v>
      </c>
      <c r="D833" t="inlineStr">
        <is>
          <t>JÄMTLANDS LÄN</t>
        </is>
      </c>
      <c r="E833" t="inlineStr">
        <is>
          <t>BERG</t>
        </is>
      </c>
      <c r="G833" t="n">
        <v>6.3</v>
      </c>
      <c r="H833" t="n">
        <v>0</v>
      </c>
      <c r="I833" t="n">
        <v>0</v>
      </c>
      <c r="J833" t="n">
        <v>0</v>
      </c>
      <c r="K833" t="n">
        <v>0</v>
      </c>
      <c r="L833" t="n">
        <v>0</v>
      </c>
      <c r="M833" t="n">
        <v>0</v>
      </c>
      <c r="N833" t="n">
        <v>0</v>
      </c>
      <c r="O833" t="n">
        <v>0</v>
      </c>
      <c r="P833" t="n">
        <v>0</v>
      </c>
      <c r="Q833" t="n">
        <v>0</v>
      </c>
      <c r="R833" s="2" t="inlineStr"/>
    </row>
    <row r="834" ht="15" customHeight="1">
      <c r="A834" t="inlineStr">
        <is>
          <t>A 50435-2025</t>
        </is>
      </c>
      <c r="B834" s="1" t="n">
        <v>45944.6984837963</v>
      </c>
      <c r="C834" s="1" t="n">
        <v>46048</v>
      </c>
      <c r="D834" t="inlineStr">
        <is>
          <t>JÄMTLANDS LÄN</t>
        </is>
      </c>
      <c r="E834" t="inlineStr">
        <is>
          <t>BERG</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50273-2025</t>
        </is>
      </c>
      <c r="B835" s="1" t="n">
        <v>45944.36600694444</v>
      </c>
      <c r="C835" s="1" t="n">
        <v>46048</v>
      </c>
      <c r="D835" t="inlineStr">
        <is>
          <t>JÄMTLANDS LÄN</t>
        </is>
      </c>
      <c r="E835" t="inlineStr">
        <is>
          <t>BERG</t>
        </is>
      </c>
      <c r="G835" t="n">
        <v>5.7</v>
      </c>
      <c r="H835" t="n">
        <v>0</v>
      </c>
      <c r="I835" t="n">
        <v>0</v>
      </c>
      <c r="J835" t="n">
        <v>0</v>
      </c>
      <c r="K835" t="n">
        <v>0</v>
      </c>
      <c r="L835" t="n">
        <v>0</v>
      </c>
      <c r="M835" t="n">
        <v>0</v>
      </c>
      <c r="N835" t="n">
        <v>0</v>
      </c>
      <c r="O835" t="n">
        <v>0</v>
      </c>
      <c r="P835" t="n">
        <v>0</v>
      </c>
      <c r="Q835" t="n">
        <v>0</v>
      </c>
      <c r="R835" s="2" t="inlineStr"/>
    </row>
    <row r="836" ht="15" customHeight="1">
      <c r="A836" t="inlineStr">
        <is>
          <t>A 50408-2025</t>
        </is>
      </c>
      <c r="B836" s="1" t="n">
        <v>45944.64006944445</v>
      </c>
      <c r="C836" s="1" t="n">
        <v>46048</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43458-2025</t>
        </is>
      </c>
      <c r="B837" s="1" t="n">
        <v>45911.46315972223</v>
      </c>
      <c r="C837" s="1" t="n">
        <v>46048</v>
      </c>
      <c r="D837" t="inlineStr">
        <is>
          <t>JÄMTLANDS LÄN</t>
        </is>
      </c>
      <c r="E837" t="inlineStr">
        <is>
          <t>BERG</t>
        </is>
      </c>
      <c r="G837" t="n">
        <v>11.2</v>
      </c>
      <c r="H837" t="n">
        <v>0</v>
      </c>
      <c r="I837" t="n">
        <v>0</v>
      </c>
      <c r="J837" t="n">
        <v>0</v>
      </c>
      <c r="K837" t="n">
        <v>0</v>
      </c>
      <c r="L837" t="n">
        <v>0</v>
      </c>
      <c r="M837" t="n">
        <v>0</v>
      </c>
      <c r="N837" t="n">
        <v>0</v>
      </c>
      <c r="O837" t="n">
        <v>0</v>
      </c>
      <c r="P837" t="n">
        <v>0</v>
      </c>
      <c r="Q837" t="n">
        <v>0</v>
      </c>
      <c r="R837" s="2" t="inlineStr"/>
    </row>
    <row r="838" ht="15" customHeight="1">
      <c r="A838" t="inlineStr">
        <is>
          <t>A 50562-2025</t>
        </is>
      </c>
      <c r="B838" s="1" t="n">
        <v>45945.55256944444</v>
      </c>
      <c r="C838" s="1" t="n">
        <v>46048</v>
      </c>
      <c r="D838" t="inlineStr">
        <is>
          <t>JÄMTLANDS LÄN</t>
        </is>
      </c>
      <c r="E838" t="inlineStr">
        <is>
          <t>BERG</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50531-2025</t>
        </is>
      </c>
      <c r="B839" s="1" t="n">
        <v>45945.47693287037</v>
      </c>
      <c r="C839" s="1" t="n">
        <v>46048</v>
      </c>
      <c r="D839" t="inlineStr">
        <is>
          <t>JÄMTLANDS LÄN</t>
        </is>
      </c>
      <c r="E839" t="inlineStr">
        <is>
          <t>BERG</t>
        </is>
      </c>
      <c r="G839" t="n">
        <v>13.9</v>
      </c>
      <c r="H839" t="n">
        <v>0</v>
      </c>
      <c r="I839" t="n">
        <v>0</v>
      </c>
      <c r="J839" t="n">
        <v>0</v>
      </c>
      <c r="K839" t="n">
        <v>0</v>
      </c>
      <c r="L839" t="n">
        <v>0</v>
      </c>
      <c r="M839" t="n">
        <v>0</v>
      </c>
      <c r="N839" t="n">
        <v>0</v>
      </c>
      <c r="O839" t="n">
        <v>0</v>
      </c>
      <c r="P839" t="n">
        <v>0</v>
      </c>
      <c r="Q839" t="n">
        <v>0</v>
      </c>
      <c r="R839" s="2" t="inlineStr"/>
    </row>
    <row r="840" ht="15" customHeight="1">
      <c r="A840" t="inlineStr">
        <is>
          <t>A 50547-2025</t>
        </is>
      </c>
      <c r="B840" s="1" t="n">
        <v>45945.51104166666</v>
      </c>
      <c r="C840" s="1" t="n">
        <v>46048</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50458-2025</t>
        </is>
      </c>
      <c r="B841" s="1" t="n">
        <v>45945</v>
      </c>
      <c r="C841" s="1" t="n">
        <v>46048</v>
      </c>
      <c r="D841" t="inlineStr">
        <is>
          <t>JÄMTLANDS LÄN</t>
        </is>
      </c>
      <c r="E841" t="inlineStr">
        <is>
          <t>BERG</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51203-2025</t>
        </is>
      </c>
      <c r="B842" s="1" t="n">
        <v>45947.63592592593</v>
      </c>
      <c r="C842" s="1" t="n">
        <v>46048</v>
      </c>
      <c r="D842" t="inlineStr">
        <is>
          <t>JÄMTLANDS LÄN</t>
        </is>
      </c>
      <c r="E842" t="inlineStr">
        <is>
          <t>BERG</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50698-2025</t>
        </is>
      </c>
      <c r="B843" s="1" t="n">
        <v>45945.91894675926</v>
      </c>
      <c r="C843" s="1" t="n">
        <v>46048</v>
      </c>
      <c r="D843" t="inlineStr">
        <is>
          <t>JÄMTLANDS LÄN</t>
        </is>
      </c>
      <c r="E843" t="inlineStr">
        <is>
          <t>BERG</t>
        </is>
      </c>
      <c r="G843" t="n">
        <v>1</v>
      </c>
      <c r="H843" t="n">
        <v>0</v>
      </c>
      <c r="I843" t="n">
        <v>0</v>
      </c>
      <c r="J843" t="n">
        <v>0</v>
      </c>
      <c r="K843" t="n">
        <v>0</v>
      </c>
      <c r="L843" t="n">
        <v>0</v>
      </c>
      <c r="M843" t="n">
        <v>0</v>
      </c>
      <c r="N843" t="n">
        <v>0</v>
      </c>
      <c r="O843" t="n">
        <v>0</v>
      </c>
      <c r="P843" t="n">
        <v>0</v>
      </c>
      <c r="Q843" t="n">
        <v>0</v>
      </c>
      <c r="R843" s="2" t="inlineStr"/>
    </row>
    <row r="844" ht="15" customHeight="1">
      <c r="A844" t="inlineStr">
        <is>
          <t>A 51083-2025</t>
        </is>
      </c>
      <c r="B844" s="1" t="n">
        <v>45947.4678587963</v>
      </c>
      <c r="C844" s="1" t="n">
        <v>46048</v>
      </c>
      <c r="D844" t="inlineStr">
        <is>
          <t>JÄMTLANDS LÄN</t>
        </is>
      </c>
      <c r="E844" t="inlineStr">
        <is>
          <t>BERG</t>
        </is>
      </c>
      <c r="F844" t="inlineStr">
        <is>
          <t>Övriga Aktiebolag</t>
        </is>
      </c>
      <c r="G844" t="n">
        <v>10.4</v>
      </c>
      <c r="H844" t="n">
        <v>0</v>
      </c>
      <c r="I844" t="n">
        <v>0</v>
      </c>
      <c r="J844" t="n">
        <v>0</v>
      </c>
      <c r="K844" t="n">
        <v>0</v>
      </c>
      <c r="L844" t="n">
        <v>0</v>
      </c>
      <c r="M844" t="n">
        <v>0</v>
      </c>
      <c r="N844" t="n">
        <v>0</v>
      </c>
      <c r="O844" t="n">
        <v>0</v>
      </c>
      <c r="P844" t="n">
        <v>0</v>
      </c>
      <c r="Q844" t="n">
        <v>0</v>
      </c>
      <c r="R844" s="2" t="inlineStr"/>
    </row>
    <row r="845" ht="15" customHeight="1">
      <c r="A845" t="inlineStr">
        <is>
          <t>A 51079-2025</t>
        </is>
      </c>
      <c r="B845" s="1" t="n">
        <v>45947.465</v>
      </c>
      <c r="C845" s="1" t="n">
        <v>46048</v>
      </c>
      <c r="D845" t="inlineStr">
        <is>
          <t>JÄMTLANDS LÄN</t>
        </is>
      </c>
      <c r="E845" t="inlineStr">
        <is>
          <t>BERG</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51080-2025</t>
        </is>
      </c>
      <c r="B846" s="1" t="n">
        <v>45947.46655092593</v>
      </c>
      <c r="C846" s="1" t="n">
        <v>46048</v>
      </c>
      <c r="D846" t="inlineStr">
        <is>
          <t>JÄMTLANDS LÄN</t>
        </is>
      </c>
      <c r="E846" t="inlineStr">
        <is>
          <t>BERG</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51301-2025</t>
        </is>
      </c>
      <c r="B847" s="1" t="n">
        <v>45950.36480324074</v>
      </c>
      <c r="C847" s="1" t="n">
        <v>46048</v>
      </c>
      <c r="D847" t="inlineStr">
        <is>
          <t>JÄMTLANDS LÄN</t>
        </is>
      </c>
      <c r="E847" t="inlineStr">
        <is>
          <t>BERG</t>
        </is>
      </c>
      <c r="G847" t="n">
        <v>3.1</v>
      </c>
      <c r="H847" t="n">
        <v>0</v>
      </c>
      <c r="I847" t="n">
        <v>0</v>
      </c>
      <c r="J847" t="n">
        <v>0</v>
      </c>
      <c r="K847" t="n">
        <v>0</v>
      </c>
      <c r="L847" t="n">
        <v>0</v>
      </c>
      <c r="M847" t="n">
        <v>0</v>
      </c>
      <c r="N847" t="n">
        <v>0</v>
      </c>
      <c r="O847" t="n">
        <v>0</v>
      </c>
      <c r="P847" t="n">
        <v>0</v>
      </c>
      <c r="Q847" t="n">
        <v>0</v>
      </c>
      <c r="R847" s="2" t="inlineStr"/>
    </row>
    <row r="848" ht="15" customHeight="1">
      <c r="A848" t="inlineStr">
        <is>
          <t>A 51675-2025</t>
        </is>
      </c>
      <c r="B848" s="1" t="n">
        <v>45951.50565972222</v>
      </c>
      <c r="C848" s="1" t="n">
        <v>46048</v>
      </c>
      <c r="D848" t="inlineStr">
        <is>
          <t>JÄMTLANDS LÄN</t>
        </is>
      </c>
      <c r="E848" t="inlineStr">
        <is>
          <t>BERG</t>
        </is>
      </c>
      <c r="G848" t="n">
        <v>1</v>
      </c>
      <c r="H848" t="n">
        <v>0</v>
      </c>
      <c r="I848" t="n">
        <v>0</v>
      </c>
      <c r="J848" t="n">
        <v>0</v>
      </c>
      <c r="K848" t="n">
        <v>0</v>
      </c>
      <c r="L848" t="n">
        <v>0</v>
      </c>
      <c r="M848" t="n">
        <v>0</v>
      </c>
      <c r="N848" t="n">
        <v>0</v>
      </c>
      <c r="O848" t="n">
        <v>0</v>
      </c>
      <c r="P848" t="n">
        <v>0</v>
      </c>
      <c r="Q848" t="n">
        <v>0</v>
      </c>
      <c r="R848" s="2" t="inlineStr"/>
    </row>
    <row r="849" ht="15" customHeight="1">
      <c r="A849" t="inlineStr">
        <is>
          <t>A 51495-2025</t>
        </is>
      </c>
      <c r="B849" s="1" t="n">
        <v>45950.6366550926</v>
      </c>
      <c r="C849" s="1" t="n">
        <v>46048</v>
      </c>
      <c r="D849" t="inlineStr">
        <is>
          <t>JÄMTLANDS LÄN</t>
        </is>
      </c>
      <c r="E849" t="inlineStr">
        <is>
          <t>BERG</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18775-2024</t>
        </is>
      </c>
      <c r="B850" s="1" t="n">
        <v>45426</v>
      </c>
      <c r="C850" s="1" t="n">
        <v>46048</v>
      </c>
      <c r="D850" t="inlineStr">
        <is>
          <t>JÄMTLANDS LÄN</t>
        </is>
      </c>
      <c r="E850" t="inlineStr">
        <is>
          <t>BERG</t>
        </is>
      </c>
      <c r="G850" t="n">
        <v>13.9</v>
      </c>
      <c r="H850" t="n">
        <v>0</v>
      </c>
      <c r="I850" t="n">
        <v>0</v>
      </c>
      <c r="J850" t="n">
        <v>0</v>
      </c>
      <c r="K850" t="n">
        <v>0</v>
      </c>
      <c r="L850" t="n">
        <v>0</v>
      </c>
      <c r="M850" t="n">
        <v>0</v>
      </c>
      <c r="N850" t="n">
        <v>0</v>
      </c>
      <c r="O850" t="n">
        <v>0</v>
      </c>
      <c r="P850" t="n">
        <v>0</v>
      </c>
      <c r="Q850" t="n">
        <v>0</v>
      </c>
      <c r="R850" s="2" t="inlineStr"/>
    </row>
    <row r="851" ht="15" customHeight="1">
      <c r="A851" t="inlineStr">
        <is>
          <t>A 4527-2025</t>
        </is>
      </c>
      <c r="B851" s="1" t="n">
        <v>45686</v>
      </c>
      <c r="C851" s="1" t="n">
        <v>46048</v>
      </c>
      <c r="D851" t="inlineStr">
        <is>
          <t>JÄMTLANDS LÄN</t>
        </is>
      </c>
      <c r="E851" t="inlineStr">
        <is>
          <t>BERG</t>
        </is>
      </c>
      <c r="G851" t="n">
        <v>17.8</v>
      </c>
      <c r="H851" t="n">
        <v>0</v>
      </c>
      <c r="I851" t="n">
        <v>0</v>
      </c>
      <c r="J851" t="n">
        <v>0</v>
      </c>
      <c r="K851" t="n">
        <v>0</v>
      </c>
      <c r="L851" t="n">
        <v>0</v>
      </c>
      <c r="M851" t="n">
        <v>0</v>
      </c>
      <c r="N851" t="n">
        <v>0</v>
      </c>
      <c r="O851" t="n">
        <v>0</v>
      </c>
      <c r="P851" t="n">
        <v>0</v>
      </c>
      <c r="Q851" t="n">
        <v>0</v>
      </c>
      <c r="R851" s="2" t="inlineStr"/>
    </row>
    <row r="852" ht="15" customHeight="1">
      <c r="A852" t="inlineStr">
        <is>
          <t>A 52341-2025</t>
        </is>
      </c>
      <c r="B852" s="1" t="n">
        <v>45953.71564814815</v>
      </c>
      <c r="C852" s="1" t="n">
        <v>46048</v>
      </c>
      <c r="D852" t="inlineStr">
        <is>
          <t>JÄMTLANDS LÄN</t>
        </is>
      </c>
      <c r="E852" t="inlineStr">
        <is>
          <t>BERG</t>
        </is>
      </c>
      <c r="G852" t="n">
        <v>12.2</v>
      </c>
      <c r="H852" t="n">
        <v>0</v>
      </c>
      <c r="I852" t="n">
        <v>0</v>
      </c>
      <c r="J852" t="n">
        <v>0</v>
      </c>
      <c r="K852" t="n">
        <v>0</v>
      </c>
      <c r="L852" t="n">
        <v>0</v>
      </c>
      <c r="M852" t="n">
        <v>0</v>
      </c>
      <c r="N852" t="n">
        <v>0</v>
      </c>
      <c r="O852" t="n">
        <v>0</v>
      </c>
      <c r="P852" t="n">
        <v>0</v>
      </c>
      <c r="Q852" t="n">
        <v>0</v>
      </c>
      <c r="R852" s="2" t="inlineStr"/>
    </row>
    <row r="853" ht="15" customHeight="1">
      <c r="A853" t="inlineStr">
        <is>
          <t>A 52128-2025</t>
        </is>
      </c>
      <c r="B853" s="1" t="n">
        <v>45952.72754629629</v>
      </c>
      <c r="C853" s="1" t="n">
        <v>46048</v>
      </c>
      <c r="D853" t="inlineStr">
        <is>
          <t>JÄMTLANDS LÄN</t>
        </is>
      </c>
      <c r="E853" t="inlineStr">
        <is>
          <t>BERG</t>
        </is>
      </c>
      <c r="G853" t="n">
        <v>2.1</v>
      </c>
      <c r="H853" t="n">
        <v>0</v>
      </c>
      <c r="I853" t="n">
        <v>0</v>
      </c>
      <c r="J853" t="n">
        <v>0</v>
      </c>
      <c r="K853" t="n">
        <v>0</v>
      </c>
      <c r="L853" t="n">
        <v>0</v>
      </c>
      <c r="M853" t="n">
        <v>0</v>
      </c>
      <c r="N853" t="n">
        <v>0</v>
      </c>
      <c r="O853" t="n">
        <v>0</v>
      </c>
      <c r="P853" t="n">
        <v>0</v>
      </c>
      <c r="Q853" t="n">
        <v>0</v>
      </c>
      <c r="R853" s="2" t="inlineStr"/>
    </row>
    <row r="854" ht="15" customHeight="1">
      <c r="A854" t="inlineStr">
        <is>
          <t>A 52256-2025</t>
        </is>
      </c>
      <c r="B854" s="1" t="n">
        <v>45953.50086805555</v>
      </c>
      <c r="C854" s="1" t="n">
        <v>46048</v>
      </c>
      <c r="D854" t="inlineStr">
        <is>
          <t>JÄMTLANDS LÄN</t>
        </is>
      </c>
      <c r="E854" t="inlineStr">
        <is>
          <t>BERG</t>
        </is>
      </c>
      <c r="G854" t="n">
        <v>3.9</v>
      </c>
      <c r="H854" t="n">
        <v>0</v>
      </c>
      <c r="I854" t="n">
        <v>0</v>
      </c>
      <c r="J854" t="n">
        <v>0</v>
      </c>
      <c r="K854" t="n">
        <v>0</v>
      </c>
      <c r="L854" t="n">
        <v>0</v>
      </c>
      <c r="M854" t="n">
        <v>0</v>
      </c>
      <c r="N854" t="n">
        <v>0</v>
      </c>
      <c r="O854" t="n">
        <v>0</v>
      </c>
      <c r="P854" t="n">
        <v>0</v>
      </c>
      <c r="Q854" t="n">
        <v>0</v>
      </c>
      <c r="R854" s="2" t="inlineStr"/>
    </row>
    <row r="855" ht="15" customHeight="1">
      <c r="A855" t="inlineStr">
        <is>
          <t>A 52340-2025</t>
        </is>
      </c>
      <c r="B855" s="1" t="n">
        <v>45953.70571759259</v>
      </c>
      <c r="C855" s="1" t="n">
        <v>46048</v>
      </c>
      <c r="D855" t="inlineStr">
        <is>
          <t>JÄMTLANDS LÄN</t>
        </is>
      </c>
      <c r="E855" t="inlineStr">
        <is>
          <t>BERG</t>
        </is>
      </c>
      <c r="G855" t="n">
        <v>6.7</v>
      </c>
      <c r="H855" t="n">
        <v>0</v>
      </c>
      <c r="I855" t="n">
        <v>0</v>
      </c>
      <c r="J855" t="n">
        <v>0</v>
      </c>
      <c r="K855" t="n">
        <v>0</v>
      </c>
      <c r="L855" t="n">
        <v>0</v>
      </c>
      <c r="M855" t="n">
        <v>0</v>
      </c>
      <c r="N855" t="n">
        <v>0</v>
      </c>
      <c r="O855" t="n">
        <v>0</v>
      </c>
      <c r="P855" t="n">
        <v>0</v>
      </c>
      <c r="Q855" t="n">
        <v>0</v>
      </c>
      <c r="R855" s="2" t="inlineStr"/>
    </row>
    <row r="856" ht="15" customHeight="1">
      <c r="A856" t="inlineStr">
        <is>
          <t>A 52260-2025</t>
        </is>
      </c>
      <c r="B856" s="1" t="n">
        <v>45953.51113425926</v>
      </c>
      <c r="C856" s="1" t="n">
        <v>46048</v>
      </c>
      <c r="D856" t="inlineStr">
        <is>
          <t>JÄMTLANDS LÄN</t>
        </is>
      </c>
      <c r="E856" t="inlineStr">
        <is>
          <t>BERG</t>
        </is>
      </c>
      <c r="G856" t="n">
        <v>0.8</v>
      </c>
      <c r="H856" t="n">
        <v>0</v>
      </c>
      <c r="I856" t="n">
        <v>0</v>
      </c>
      <c r="J856" t="n">
        <v>0</v>
      </c>
      <c r="K856" t="n">
        <v>0</v>
      </c>
      <c r="L856" t="n">
        <v>0</v>
      </c>
      <c r="M856" t="n">
        <v>0</v>
      </c>
      <c r="N856" t="n">
        <v>0</v>
      </c>
      <c r="O856" t="n">
        <v>0</v>
      </c>
      <c r="P856" t="n">
        <v>0</v>
      </c>
      <c r="Q856" t="n">
        <v>0</v>
      </c>
      <c r="R856" s="2" t="inlineStr"/>
    </row>
    <row r="857" ht="15" customHeight="1">
      <c r="A857" t="inlineStr">
        <is>
          <t>A 51883-2025</t>
        </is>
      </c>
      <c r="B857" s="1" t="n">
        <v>45952.40701388889</v>
      </c>
      <c r="C857" s="1" t="n">
        <v>46048</v>
      </c>
      <c r="D857" t="inlineStr">
        <is>
          <t>JÄMTLANDS LÄN</t>
        </is>
      </c>
      <c r="E857" t="inlineStr">
        <is>
          <t>BERG</t>
        </is>
      </c>
      <c r="G857" t="n">
        <v>0.9</v>
      </c>
      <c r="H857" t="n">
        <v>0</v>
      </c>
      <c r="I857" t="n">
        <v>0</v>
      </c>
      <c r="J857" t="n">
        <v>0</v>
      </c>
      <c r="K857" t="n">
        <v>0</v>
      </c>
      <c r="L857" t="n">
        <v>0</v>
      </c>
      <c r="M857" t="n">
        <v>0</v>
      </c>
      <c r="N857" t="n">
        <v>0</v>
      </c>
      <c r="O857" t="n">
        <v>0</v>
      </c>
      <c r="P857" t="n">
        <v>0</v>
      </c>
      <c r="Q857" t="n">
        <v>0</v>
      </c>
      <c r="R857" s="2" t="inlineStr"/>
    </row>
    <row r="858" ht="15" customHeight="1">
      <c r="A858" t="inlineStr">
        <is>
          <t>A 52348-2025</t>
        </is>
      </c>
      <c r="B858" s="1" t="n">
        <v>45953.72064814815</v>
      </c>
      <c r="C858" s="1" t="n">
        <v>46048</v>
      </c>
      <c r="D858" t="inlineStr">
        <is>
          <t>JÄMTLANDS LÄN</t>
        </is>
      </c>
      <c r="E858" t="inlineStr">
        <is>
          <t>BERG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52062-2025</t>
        </is>
      </c>
      <c r="B859" s="1" t="n">
        <v>45952.63679398148</v>
      </c>
      <c r="C859" s="1" t="n">
        <v>46048</v>
      </c>
      <c r="D859" t="inlineStr">
        <is>
          <t>JÄMTLANDS LÄN</t>
        </is>
      </c>
      <c r="E859" t="inlineStr">
        <is>
          <t>BERG</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52225-2025</t>
        </is>
      </c>
      <c r="B860" s="1" t="n">
        <v>45953.44831018519</v>
      </c>
      <c r="C860" s="1" t="n">
        <v>46048</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52562-2025</t>
        </is>
      </c>
      <c r="B861" s="1" t="n">
        <v>45954.57357638889</v>
      </c>
      <c r="C861" s="1" t="n">
        <v>46048</v>
      </c>
      <c r="D861" t="inlineStr">
        <is>
          <t>JÄMTLANDS LÄN</t>
        </is>
      </c>
      <c r="E861" t="inlineStr">
        <is>
          <t>BERG</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52933-2025</t>
        </is>
      </c>
      <c r="B862" s="1" t="n">
        <v>45957.62528935185</v>
      </c>
      <c r="C862" s="1" t="n">
        <v>46048</v>
      </c>
      <c r="D862" t="inlineStr">
        <is>
          <t>JÄMTLANDS LÄN</t>
        </is>
      </c>
      <c r="E862" t="inlineStr">
        <is>
          <t>BERG</t>
        </is>
      </c>
      <c r="G862" t="n">
        <v>10.1</v>
      </c>
      <c r="H862" t="n">
        <v>0</v>
      </c>
      <c r="I862" t="n">
        <v>0</v>
      </c>
      <c r="J862" t="n">
        <v>0</v>
      </c>
      <c r="K862" t="n">
        <v>0</v>
      </c>
      <c r="L862" t="n">
        <v>0</v>
      </c>
      <c r="M862" t="n">
        <v>0</v>
      </c>
      <c r="N862" t="n">
        <v>0</v>
      </c>
      <c r="O862" t="n">
        <v>0</v>
      </c>
      <c r="P862" t="n">
        <v>0</v>
      </c>
      <c r="Q862" t="n">
        <v>0</v>
      </c>
      <c r="R862" s="2" t="inlineStr"/>
    </row>
    <row r="863" ht="15" customHeight="1">
      <c r="A863" t="inlineStr">
        <is>
          <t>A 52938-2025</t>
        </is>
      </c>
      <c r="B863" s="1" t="n">
        <v>45957.63680555556</v>
      </c>
      <c r="C863" s="1" t="n">
        <v>46048</v>
      </c>
      <c r="D863" t="inlineStr">
        <is>
          <t>JÄMTLANDS LÄN</t>
        </is>
      </c>
      <c r="E863" t="inlineStr">
        <is>
          <t>BERG</t>
        </is>
      </c>
      <c r="G863" t="n">
        <v>3.6</v>
      </c>
      <c r="H863" t="n">
        <v>0</v>
      </c>
      <c r="I863" t="n">
        <v>0</v>
      </c>
      <c r="J863" t="n">
        <v>0</v>
      </c>
      <c r="K863" t="n">
        <v>0</v>
      </c>
      <c r="L863" t="n">
        <v>0</v>
      </c>
      <c r="M863" t="n">
        <v>0</v>
      </c>
      <c r="N863" t="n">
        <v>0</v>
      </c>
      <c r="O863" t="n">
        <v>0</v>
      </c>
      <c r="P863" t="n">
        <v>0</v>
      </c>
      <c r="Q863" t="n">
        <v>0</v>
      </c>
      <c r="R863" s="2" t="inlineStr"/>
    </row>
    <row r="864" ht="15" customHeight="1">
      <c r="A864" t="inlineStr">
        <is>
          <t>A 53155-2025</t>
        </is>
      </c>
      <c r="B864" s="1" t="n">
        <v>45958.49011574074</v>
      </c>
      <c r="C864" s="1" t="n">
        <v>46048</v>
      </c>
      <c r="D864" t="inlineStr">
        <is>
          <t>JÄMTLANDS LÄN</t>
        </is>
      </c>
      <c r="E864" t="inlineStr">
        <is>
          <t>BERG</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53157-2025</t>
        </is>
      </c>
      <c r="B865" s="1" t="n">
        <v>45958.49056712963</v>
      </c>
      <c r="C865" s="1" t="n">
        <v>46048</v>
      </c>
      <c r="D865" t="inlineStr">
        <is>
          <t>JÄMTLANDS LÄN</t>
        </is>
      </c>
      <c r="E865" t="inlineStr">
        <is>
          <t>BERG</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53349-2025</t>
        </is>
      </c>
      <c r="B866" s="1" t="n">
        <v>45959.43579861111</v>
      </c>
      <c r="C866" s="1" t="n">
        <v>46048</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53085-2025</t>
        </is>
      </c>
      <c r="B867" s="1" t="n">
        <v>45958.40675925926</v>
      </c>
      <c r="C867" s="1" t="n">
        <v>46048</v>
      </c>
      <c r="D867" t="inlineStr">
        <is>
          <t>JÄMTLANDS LÄN</t>
        </is>
      </c>
      <c r="E867" t="inlineStr">
        <is>
          <t>BERG</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53625-2025</t>
        </is>
      </c>
      <c r="B868" s="1" t="n">
        <v>45960.49020833334</v>
      </c>
      <c r="C868" s="1" t="n">
        <v>46048</v>
      </c>
      <c r="D868" t="inlineStr">
        <is>
          <t>JÄMTLANDS LÄN</t>
        </is>
      </c>
      <c r="E868" t="inlineStr">
        <is>
          <t>BERG</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53610-2025</t>
        </is>
      </c>
      <c r="B869" s="1" t="n">
        <v>45960.46951388889</v>
      </c>
      <c r="C869" s="1" t="n">
        <v>46048</v>
      </c>
      <c r="D869" t="inlineStr">
        <is>
          <t>JÄMTLANDS LÄN</t>
        </is>
      </c>
      <c r="E869" t="inlineStr">
        <is>
          <t>BERG</t>
        </is>
      </c>
      <c r="F869" t="inlineStr">
        <is>
          <t>SCA</t>
        </is>
      </c>
      <c r="G869" t="n">
        <v>30.7</v>
      </c>
      <c r="H869" t="n">
        <v>0</v>
      </c>
      <c r="I869" t="n">
        <v>0</v>
      </c>
      <c r="J869" t="n">
        <v>0</v>
      </c>
      <c r="K869" t="n">
        <v>0</v>
      </c>
      <c r="L869" t="n">
        <v>0</v>
      </c>
      <c r="M869" t="n">
        <v>0</v>
      </c>
      <c r="N869" t="n">
        <v>0</v>
      </c>
      <c r="O869" t="n">
        <v>0</v>
      </c>
      <c r="P869" t="n">
        <v>0</v>
      </c>
      <c r="Q869" t="n">
        <v>0</v>
      </c>
      <c r="R869" s="2" t="inlineStr"/>
    </row>
    <row r="870" ht="15" customHeight="1">
      <c r="A870" t="inlineStr">
        <is>
          <t>A 53680-2025</t>
        </is>
      </c>
      <c r="B870" s="1" t="n">
        <v>45960.57361111111</v>
      </c>
      <c r="C870" s="1" t="n">
        <v>46048</v>
      </c>
      <c r="D870" t="inlineStr">
        <is>
          <t>JÄMTLANDS LÄN</t>
        </is>
      </c>
      <c r="E870" t="inlineStr">
        <is>
          <t>BERG</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53778-2025</t>
        </is>
      </c>
      <c r="B871" s="1" t="n">
        <v>45960.69841435185</v>
      </c>
      <c r="C871" s="1" t="n">
        <v>46048</v>
      </c>
      <c r="D871" t="inlineStr">
        <is>
          <t>JÄMTLANDS LÄN</t>
        </is>
      </c>
      <c r="E871" t="inlineStr">
        <is>
          <t>BERG</t>
        </is>
      </c>
      <c r="F871" t="inlineStr">
        <is>
          <t>SCA</t>
        </is>
      </c>
      <c r="G871" t="n">
        <v>18.7</v>
      </c>
      <c r="H871" t="n">
        <v>0</v>
      </c>
      <c r="I871" t="n">
        <v>0</v>
      </c>
      <c r="J871" t="n">
        <v>0</v>
      </c>
      <c r="K871" t="n">
        <v>0</v>
      </c>
      <c r="L871" t="n">
        <v>0</v>
      </c>
      <c r="M871" t="n">
        <v>0</v>
      </c>
      <c r="N871" t="n">
        <v>0</v>
      </c>
      <c r="O871" t="n">
        <v>0</v>
      </c>
      <c r="P871" t="n">
        <v>0</v>
      </c>
      <c r="Q871" t="n">
        <v>0</v>
      </c>
      <c r="R871" s="2" t="inlineStr"/>
      <c r="U871">
        <f>HYPERLINK("https://klasma.github.io/Logging_2326/knärot/A 53778-2025 karta knärot.png", "A 53778-2025")</f>
        <v/>
      </c>
      <c r="V871">
        <f>HYPERLINK("https://klasma.github.io/Logging_2326/klagomål/A 53778-2025 FSC-klagomål.docx", "A 53778-2025")</f>
        <v/>
      </c>
      <c r="W871">
        <f>HYPERLINK("https://klasma.github.io/Logging_2326/klagomålsmail/A 53778-2025 FSC-klagomål mail.docx", "A 53778-2025")</f>
        <v/>
      </c>
      <c r="X871">
        <f>HYPERLINK("https://klasma.github.io/Logging_2326/tillsyn/A 53778-2025 tillsynsbegäran.docx", "A 53778-2025")</f>
        <v/>
      </c>
      <c r="Y871">
        <f>HYPERLINK("https://klasma.github.io/Logging_2326/tillsynsmail/A 53778-2025 tillsynsbegäran mail.docx", "A 53778-2025")</f>
        <v/>
      </c>
    </row>
    <row r="872" ht="15" customHeight="1">
      <c r="A872" t="inlineStr">
        <is>
          <t>A 53712-2025</t>
        </is>
      </c>
      <c r="B872" s="1" t="n">
        <v>45960.61547453704</v>
      </c>
      <c r="C872" s="1" t="n">
        <v>46048</v>
      </c>
      <c r="D872" t="inlineStr">
        <is>
          <t>JÄMTLANDS LÄN</t>
        </is>
      </c>
      <c r="E872" t="inlineStr">
        <is>
          <t>BERG</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53859-2025</t>
        </is>
      </c>
      <c r="B873" s="1" t="n">
        <v>45961</v>
      </c>
      <c r="C873" s="1" t="n">
        <v>46048</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62158-2025</t>
        </is>
      </c>
      <c r="B874" s="1" t="n">
        <v>46006.490625</v>
      </c>
      <c r="C874" s="1" t="n">
        <v>46048</v>
      </c>
      <c r="D874" t="inlineStr">
        <is>
          <t>JÄMTLANDS LÄN</t>
        </is>
      </c>
      <c r="E874" t="inlineStr">
        <is>
          <t>BERG</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62052-2025</t>
        </is>
      </c>
      <c r="B875" s="1" t="n">
        <v>46006.32145833333</v>
      </c>
      <c r="C875" s="1" t="n">
        <v>46048</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54852-2025</t>
        </is>
      </c>
      <c r="B876" s="1" t="n">
        <v>45966.71946759259</v>
      </c>
      <c r="C876" s="1" t="n">
        <v>46048</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54720-2025</t>
        </is>
      </c>
      <c r="B877" s="1" t="n">
        <v>45966.53177083333</v>
      </c>
      <c r="C877" s="1" t="n">
        <v>46048</v>
      </c>
      <c r="D877" t="inlineStr">
        <is>
          <t>JÄMTLANDS LÄN</t>
        </is>
      </c>
      <c r="E877" t="inlineStr">
        <is>
          <t>BERG</t>
        </is>
      </c>
      <c r="G877" t="n">
        <v>0.6</v>
      </c>
      <c r="H877" t="n">
        <v>0</v>
      </c>
      <c r="I877" t="n">
        <v>0</v>
      </c>
      <c r="J877" t="n">
        <v>0</v>
      </c>
      <c r="K877" t="n">
        <v>0</v>
      </c>
      <c r="L877" t="n">
        <v>0</v>
      </c>
      <c r="M877" t="n">
        <v>0</v>
      </c>
      <c r="N877" t="n">
        <v>0</v>
      </c>
      <c r="O877" t="n">
        <v>0</v>
      </c>
      <c r="P877" t="n">
        <v>0</v>
      </c>
      <c r="Q877" t="n">
        <v>0</v>
      </c>
      <c r="R877" s="2" t="inlineStr"/>
    </row>
    <row r="878" ht="15" customHeight="1">
      <c r="A878" t="inlineStr">
        <is>
          <t>A 62826-2025</t>
        </is>
      </c>
      <c r="B878" s="1" t="n">
        <v>46008.65883101852</v>
      </c>
      <c r="C878" s="1" t="n">
        <v>46048</v>
      </c>
      <c r="D878" t="inlineStr">
        <is>
          <t>JÄMTLANDS LÄN</t>
        </is>
      </c>
      <c r="E878" t="inlineStr">
        <is>
          <t>BERG</t>
        </is>
      </c>
      <c r="G878" t="n">
        <v>4</v>
      </c>
      <c r="H878" t="n">
        <v>0</v>
      </c>
      <c r="I878" t="n">
        <v>0</v>
      </c>
      <c r="J878" t="n">
        <v>0</v>
      </c>
      <c r="K878" t="n">
        <v>0</v>
      </c>
      <c r="L878" t="n">
        <v>0</v>
      </c>
      <c r="M878" t="n">
        <v>0</v>
      </c>
      <c r="N878" t="n">
        <v>0</v>
      </c>
      <c r="O878" t="n">
        <v>0</v>
      </c>
      <c r="P878" t="n">
        <v>0</v>
      </c>
      <c r="Q878" t="n">
        <v>0</v>
      </c>
      <c r="R878" s="2" t="inlineStr"/>
    </row>
    <row r="879" ht="15" customHeight="1">
      <c r="A879" t="inlineStr">
        <is>
          <t>A 54825-2025</t>
        </is>
      </c>
      <c r="B879" s="1" t="n">
        <v>45966.66768518519</v>
      </c>
      <c r="C879" s="1" t="n">
        <v>46048</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32178-2024</t>
        </is>
      </c>
      <c r="B880" s="1" t="n">
        <v>45511</v>
      </c>
      <c r="C880" s="1" t="n">
        <v>46048</v>
      </c>
      <c r="D880" t="inlineStr">
        <is>
          <t>JÄMTLANDS LÄN</t>
        </is>
      </c>
      <c r="E880" t="inlineStr">
        <is>
          <t>BERG</t>
        </is>
      </c>
      <c r="G880" t="n">
        <v>11.4</v>
      </c>
      <c r="H880" t="n">
        <v>0</v>
      </c>
      <c r="I880" t="n">
        <v>0</v>
      </c>
      <c r="J880" t="n">
        <v>0</v>
      </c>
      <c r="K880" t="n">
        <v>0</v>
      </c>
      <c r="L880" t="n">
        <v>0</v>
      </c>
      <c r="M880" t="n">
        <v>0</v>
      </c>
      <c r="N880" t="n">
        <v>0</v>
      </c>
      <c r="O880" t="n">
        <v>0</v>
      </c>
      <c r="P880" t="n">
        <v>0</v>
      </c>
      <c r="Q880" t="n">
        <v>0</v>
      </c>
      <c r="R880" s="2" t="inlineStr"/>
    </row>
    <row r="881" ht="15" customHeight="1">
      <c r="A881" t="inlineStr">
        <is>
          <t>A 55022-2025</t>
        </is>
      </c>
      <c r="B881" s="1" t="n">
        <v>45967.62862268519</v>
      </c>
      <c r="C881" s="1" t="n">
        <v>46048</v>
      </c>
      <c r="D881" t="inlineStr">
        <is>
          <t>JÄMTLANDS LÄN</t>
        </is>
      </c>
      <c r="E881" t="inlineStr">
        <is>
          <t>BERG</t>
        </is>
      </c>
      <c r="G881" t="n">
        <v>0.5</v>
      </c>
      <c r="H881" t="n">
        <v>0</v>
      </c>
      <c r="I881" t="n">
        <v>0</v>
      </c>
      <c r="J881" t="n">
        <v>0</v>
      </c>
      <c r="K881" t="n">
        <v>0</v>
      </c>
      <c r="L881" t="n">
        <v>0</v>
      </c>
      <c r="M881" t="n">
        <v>0</v>
      </c>
      <c r="N881" t="n">
        <v>0</v>
      </c>
      <c r="O881" t="n">
        <v>0</v>
      </c>
      <c r="P881" t="n">
        <v>0</v>
      </c>
      <c r="Q881" t="n">
        <v>0</v>
      </c>
      <c r="R881" s="2" t="inlineStr"/>
    </row>
    <row r="882" ht="15" customHeight="1">
      <c r="A882" t="inlineStr">
        <is>
          <t>A 55043-2025</t>
        </is>
      </c>
      <c r="B882" s="1" t="n">
        <v>45967.65983796296</v>
      </c>
      <c r="C882" s="1" t="n">
        <v>46048</v>
      </c>
      <c r="D882" t="inlineStr">
        <is>
          <t>JÄMTLANDS LÄN</t>
        </is>
      </c>
      <c r="E882" t="inlineStr">
        <is>
          <t>BERG</t>
        </is>
      </c>
      <c r="G882" t="n">
        <v>3</v>
      </c>
      <c r="H882" t="n">
        <v>0</v>
      </c>
      <c r="I882" t="n">
        <v>0</v>
      </c>
      <c r="J882" t="n">
        <v>0</v>
      </c>
      <c r="K882" t="n">
        <v>0</v>
      </c>
      <c r="L882" t="n">
        <v>0</v>
      </c>
      <c r="M882" t="n">
        <v>0</v>
      </c>
      <c r="N882" t="n">
        <v>0</v>
      </c>
      <c r="O882" t="n">
        <v>0</v>
      </c>
      <c r="P882" t="n">
        <v>0</v>
      </c>
      <c r="Q882" t="n">
        <v>0</v>
      </c>
      <c r="R882" s="2" t="inlineStr"/>
    </row>
    <row r="883" ht="15" customHeight="1">
      <c r="A883" t="inlineStr">
        <is>
          <t>A 43616-2024</t>
        </is>
      </c>
      <c r="B883" s="1" t="n">
        <v>45569</v>
      </c>
      <c r="C883" s="1" t="n">
        <v>46048</v>
      </c>
      <c r="D883" t="inlineStr">
        <is>
          <t>JÄMTLANDS LÄN</t>
        </is>
      </c>
      <c r="E883" t="inlineStr">
        <is>
          <t>BERG</t>
        </is>
      </c>
      <c r="G883" t="n">
        <v>12.3</v>
      </c>
      <c r="H883" t="n">
        <v>0</v>
      </c>
      <c r="I883" t="n">
        <v>0</v>
      </c>
      <c r="J883" t="n">
        <v>0</v>
      </c>
      <c r="K883" t="n">
        <v>0</v>
      </c>
      <c r="L883" t="n">
        <v>0</v>
      </c>
      <c r="M883" t="n">
        <v>0</v>
      </c>
      <c r="N883" t="n">
        <v>0</v>
      </c>
      <c r="O883" t="n">
        <v>0</v>
      </c>
      <c r="P883" t="n">
        <v>0</v>
      </c>
      <c r="Q883" t="n">
        <v>0</v>
      </c>
      <c r="R883" s="2" t="inlineStr"/>
    </row>
    <row r="884" ht="15" customHeight="1">
      <c r="A884" t="inlineStr">
        <is>
          <t>A 62814-2025</t>
        </is>
      </c>
      <c r="B884" s="1" t="n">
        <v>46008.6502662037</v>
      </c>
      <c r="C884" s="1" t="n">
        <v>46048</v>
      </c>
      <c r="D884" t="inlineStr">
        <is>
          <t>JÄMTLANDS LÄN</t>
        </is>
      </c>
      <c r="E884" t="inlineStr">
        <is>
          <t>BERG</t>
        </is>
      </c>
      <c r="G884" t="n">
        <v>7.8</v>
      </c>
      <c r="H884" t="n">
        <v>0</v>
      </c>
      <c r="I884" t="n">
        <v>0</v>
      </c>
      <c r="J884" t="n">
        <v>0</v>
      </c>
      <c r="K884" t="n">
        <v>0</v>
      </c>
      <c r="L884" t="n">
        <v>0</v>
      </c>
      <c r="M884" t="n">
        <v>0</v>
      </c>
      <c r="N884" t="n">
        <v>0</v>
      </c>
      <c r="O884" t="n">
        <v>0</v>
      </c>
      <c r="P884" t="n">
        <v>0</v>
      </c>
      <c r="Q884" t="n">
        <v>0</v>
      </c>
      <c r="R884" s="2" t="inlineStr"/>
    </row>
    <row r="885" ht="15" customHeight="1">
      <c r="A885" t="inlineStr">
        <is>
          <t>A 55553-2025</t>
        </is>
      </c>
      <c r="B885" s="1" t="n">
        <v>45971.64445601852</v>
      </c>
      <c r="C885" s="1" t="n">
        <v>46048</v>
      </c>
      <c r="D885" t="inlineStr">
        <is>
          <t>JÄMTLANDS LÄN</t>
        </is>
      </c>
      <c r="E885" t="inlineStr">
        <is>
          <t>BERG</t>
        </is>
      </c>
      <c r="G885" t="n">
        <v>2.9</v>
      </c>
      <c r="H885" t="n">
        <v>0</v>
      </c>
      <c r="I885" t="n">
        <v>0</v>
      </c>
      <c r="J885" t="n">
        <v>0</v>
      </c>
      <c r="K885" t="n">
        <v>0</v>
      </c>
      <c r="L885" t="n">
        <v>0</v>
      </c>
      <c r="M885" t="n">
        <v>0</v>
      </c>
      <c r="N885" t="n">
        <v>0</v>
      </c>
      <c r="O885" t="n">
        <v>0</v>
      </c>
      <c r="P885" t="n">
        <v>0</v>
      </c>
      <c r="Q885" t="n">
        <v>0</v>
      </c>
      <c r="R885" s="2" t="inlineStr"/>
    </row>
    <row r="886" ht="15" customHeight="1">
      <c r="A886" t="inlineStr">
        <is>
          <t>A 63559-2025</t>
        </is>
      </c>
      <c r="B886" s="1" t="n">
        <v>46013.61951388889</v>
      </c>
      <c r="C886" s="1" t="n">
        <v>46048</v>
      </c>
      <c r="D886" t="inlineStr">
        <is>
          <t>JÄMTLANDS LÄN</t>
        </is>
      </c>
      <c r="E886" t="inlineStr">
        <is>
          <t>BERG</t>
        </is>
      </c>
      <c r="G886" t="n">
        <v>0.6</v>
      </c>
      <c r="H886" t="n">
        <v>0</v>
      </c>
      <c r="I886" t="n">
        <v>0</v>
      </c>
      <c r="J886" t="n">
        <v>0</v>
      </c>
      <c r="K886" t="n">
        <v>0</v>
      </c>
      <c r="L886" t="n">
        <v>0</v>
      </c>
      <c r="M886" t="n">
        <v>0</v>
      </c>
      <c r="N886" t="n">
        <v>0</v>
      </c>
      <c r="O886" t="n">
        <v>0</v>
      </c>
      <c r="P886" t="n">
        <v>0</v>
      </c>
      <c r="Q886" t="n">
        <v>0</v>
      </c>
      <c r="R886" s="2" t="inlineStr"/>
    </row>
    <row r="887" ht="15" customHeight="1">
      <c r="A887" t="inlineStr">
        <is>
          <t>A 55472-2025</t>
        </is>
      </c>
      <c r="B887" s="1" t="n">
        <v>45971.54526620371</v>
      </c>
      <c r="C887" s="1" t="n">
        <v>46048</v>
      </c>
      <c r="D887" t="inlineStr">
        <is>
          <t>JÄMTLANDS LÄN</t>
        </is>
      </c>
      <c r="E887" t="inlineStr">
        <is>
          <t>BERG</t>
        </is>
      </c>
      <c r="G887" t="n">
        <v>3.2</v>
      </c>
      <c r="H887" t="n">
        <v>0</v>
      </c>
      <c r="I887" t="n">
        <v>0</v>
      </c>
      <c r="J887" t="n">
        <v>0</v>
      </c>
      <c r="K887" t="n">
        <v>0</v>
      </c>
      <c r="L887" t="n">
        <v>0</v>
      </c>
      <c r="M887" t="n">
        <v>0</v>
      </c>
      <c r="N887" t="n">
        <v>0</v>
      </c>
      <c r="O887" t="n">
        <v>0</v>
      </c>
      <c r="P887" t="n">
        <v>0</v>
      </c>
      <c r="Q887" t="n">
        <v>0</v>
      </c>
      <c r="R887" s="2" t="inlineStr"/>
    </row>
    <row r="888" ht="15" customHeight="1">
      <c r="A888" t="inlineStr">
        <is>
          <t>A 55497-2025</t>
        </is>
      </c>
      <c r="B888" s="1" t="n">
        <v>45971.58337962963</v>
      </c>
      <c r="C888" s="1" t="n">
        <v>46048</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55237-2025</t>
        </is>
      </c>
      <c r="B889" s="1" t="n">
        <v>45968</v>
      </c>
      <c r="C889" s="1" t="n">
        <v>46048</v>
      </c>
      <c r="D889" t="inlineStr">
        <is>
          <t>JÄMTLANDS LÄN</t>
        </is>
      </c>
      <c r="E889" t="inlineStr">
        <is>
          <t>BERG</t>
        </is>
      </c>
      <c r="G889" t="n">
        <v>11.9</v>
      </c>
      <c r="H889" t="n">
        <v>0</v>
      </c>
      <c r="I889" t="n">
        <v>0</v>
      </c>
      <c r="J889" t="n">
        <v>0</v>
      </c>
      <c r="K889" t="n">
        <v>0</v>
      </c>
      <c r="L889" t="n">
        <v>0</v>
      </c>
      <c r="M889" t="n">
        <v>0</v>
      </c>
      <c r="N889" t="n">
        <v>0</v>
      </c>
      <c r="O889" t="n">
        <v>0</v>
      </c>
      <c r="P889" t="n">
        <v>0</v>
      </c>
      <c r="Q889" t="n">
        <v>0</v>
      </c>
      <c r="R889" s="2" t="inlineStr"/>
    </row>
    <row r="890" ht="15" customHeight="1">
      <c r="A890" t="inlineStr">
        <is>
          <t>A 55267-2025</t>
        </is>
      </c>
      <c r="B890" s="1" t="n">
        <v>45968.66726851852</v>
      </c>
      <c r="C890" s="1" t="n">
        <v>46048</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55239-2025</t>
        </is>
      </c>
      <c r="B891" s="1" t="n">
        <v>45968</v>
      </c>
      <c r="C891" s="1" t="n">
        <v>46048</v>
      </c>
      <c r="D891" t="inlineStr">
        <is>
          <t>JÄMTLANDS LÄN</t>
        </is>
      </c>
      <c r="E891" t="inlineStr">
        <is>
          <t>BERG</t>
        </is>
      </c>
      <c r="G891" t="n">
        <v>6.3</v>
      </c>
      <c r="H891" t="n">
        <v>0</v>
      </c>
      <c r="I891" t="n">
        <v>0</v>
      </c>
      <c r="J891" t="n">
        <v>0</v>
      </c>
      <c r="K891" t="n">
        <v>0</v>
      </c>
      <c r="L891" t="n">
        <v>0</v>
      </c>
      <c r="M891" t="n">
        <v>0</v>
      </c>
      <c r="N891" t="n">
        <v>0</v>
      </c>
      <c r="O891" t="n">
        <v>0</v>
      </c>
      <c r="P891" t="n">
        <v>0</v>
      </c>
      <c r="Q891" t="n">
        <v>0</v>
      </c>
      <c r="R891" s="2" t="inlineStr"/>
    </row>
    <row r="892" ht="15" customHeight="1">
      <c r="A892" t="inlineStr">
        <is>
          <t>A 55240-2025</t>
        </is>
      </c>
      <c r="B892" s="1" t="n">
        <v>45968</v>
      </c>
      <c r="C892" s="1" t="n">
        <v>46048</v>
      </c>
      <c r="D892" t="inlineStr">
        <is>
          <t>JÄMTLANDS LÄN</t>
        </is>
      </c>
      <c r="E892" t="inlineStr">
        <is>
          <t>BERG</t>
        </is>
      </c>
      <c r="G892" t="n">
        <v>11.2</v>
      </c>
      <c r="H892" t="n">
        <v>0</v>
      </c>
      <c r="I892" t="n">
        <v>0</v>
      </c>
      <c r="J892" t="n">
        <v>0</v>
      </c>
      <c r="K892" t="n">
        <v>0</v>
      </c>
      <c r="L892" t="n">
        <v>0</v>
      </c>
      <c r="M892" t="n">
        <v>0</v>
      </c>
      <c r="N892" t="n">
        <v>0</v>
      </c>
      <c r="O892" t="n">
        <v>0</v>
      </c>
      <c r="P892" t="n">
        <v>0</v>
      </c>
      <c r="Q892" t="n">
        <v>0</v>
      </c>
      <c r="R892" s="2" t="inlineStr"/>
    </row>
    <row r="893" ht="15" customHeight="1">
      <c r="A893" t="inlineStr">
        <is>
          <t>A 55224-2025</t>
        </is>
      </c>
      <c r="B893" s="1" t="n">
        <v>45968.59447916667</v>
      </c>
      <c r="C893" s="1" t="n">
        <v>46048</v>
      </c>
      <c r="D893" t="inlineStr">
        <is>
          <t>JÄMTLANDS LÄN</t>
        </is>
      </c>
      <c r="E893" t="inlineStr">
        <is>
          <t>BERG</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63332-2025</t>
        </is>
      </c>
      <c r="B894" s="1" t="n">
        <v>46010.64340277778</v>
      </c>
      <c r="C894" s="1" t="n">
        <v>46048</v>
      </c>
      <c r="D894" t="inlineStr">
        <is>
          <t>JÄMTLANDS LÄN</t>
        </is>
      </c>
      <c r="E894" t="inlineStr">
        <is>
          <t>BERG</t>
        </is>
      </c>
      <c r="G894" t="n">
        <v>5.4</v>
      </c>
      <c r="H894" t="n">
        <v>0</v>
      </c>
      <c r="I894" t="n">
        <v>0</v>
      </c>
      <c r="J894" t="n">
        <v>0</v>
      </c>
      <c r="K894" t="n">
        <v>0</v>
      </c>
      <c r="L894" t="n">
        <v>0</v>
      </c>
      <c r="M894" t="n">
        <v>0</v>
      </c>
      <c r="N894" t="n">
        <v>0</v>
      </c>
      <c r="O894" t="n">
        <v>0</v>
      </c>
      <c r="P894" t="n">
        <v>0</v>
      </c>
      <c r="Q894" t="n">
        <v>0</v>
      </c>
      <c r="R894" s="2" t="inlineStr"/>
    </row>
    <row r="895" ht="15" customHeight="1">
      <c r="A895" t="inlineStr">
        <is>
          <t>A 55575-2025</t>
        </is>
      </c>
      <c r="B895" s="1" t="n">
        <v>45971.66145833334</v>
      </c>
      <c r="C895" s="1" t="n">
        <v>46048</v>
      </c>
      <c r="D895" t="inlineStr">
        <is>
          <t>JÄMTLANDS LÄN</t>
        </is>
      </c>
      <c r="E895" t="inlineStr">
        <is>
          <t>BERG</t>
        </is>
      </c>
      <c r="G895" t="n">
        <v>3.5</v>
      </c>
      <c r="H895" t="n">
        <v>0</v>
      </c>
      <c r="I895" t="n">
        <v>0</v>
      </c>
      <c r="J895" t="n">
        <v>0</v>
      </c>
      <c r="K895" t="n">
        <v>0</v>
      </c>
      <c r="L895" t="n">
        <v>0</v>
      </c>
      <c r="M895" t="n">
        <v>0</v>
      </c>
      <c r="N895" t="n">
        <v>0</v>
      </c>
      <c r="O895" t="n">
        <v>0</v>
      </c>
      <c r="P895" t="n">
        <v>0</v>
      </c>
      <c r="Q895" t="n">
        <v>0</v>
      </c>
      <c r="R895" s="2" t="inlineStr"/>
    </row>
    <row r="896" ht="15" customHeight="1">
      <c r="A896" t="inlineStr">
        <is>
          <t>A 55223-2025</t>
        </is>
      </c>
      <c r="B896" s="1" t="n">
        <v>45968.59439814815</v>
      </c>
      <c r="C896" s="1" t="n">
        <v>46048</v>
      </c>
      <c r="D896" t="inlineStr">
        <is>
          <t>JÄMTLANDS LÄN</t>
        </is>
      </c>
      <c r="E896" t="inlineStr">
        <is>
          <t>BERG</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63345-2025</t>
        </is>
      </c>
      <c r="B897" s="1" t="n">
        <v>46010.65959490741</v>
      </c>
      <c r="C897" s="1" t="n">
        <v>46048</v>
      </c>
      <c r="D897" t="inlineStr">
        <is>
          <t>JÄMTLANDS LÄN</t>
        </is>
      </c>
      <c r="E897" t="inlineStr">
        <is>
          <t>BERG</t>
        </is>
      </c>
      <c r="G897" t="n">
        <v>15</v>
      </c>
      <c r="H897" t="n">
        <v>0</v>
      </c>
      <c r="I897" t="n">
        <v>0</v>
      </c>
      <c r="J897" t="n">
        <v>0</v>
      </c>
      <c r="K897" t="n">
        <v>0</v>
      </c>
      <c r="L897" t="n">
        <v>0</v>
      </c>
      <c r="M897" t="n">
        <v>0</v>
      </c>
      <c r="N897" t="n">
        <v>0</v>
      </c>
      <c r="O897" t="n">
        <v>0</v>
      </c>
      <c r="P897" t="n">
        <v>0</v>
      </c>
      <c r="Q897" t="n">
        <v>0</v>
      </c>
      <c r="R897" s="2" t="inlineStr"/>
    </row>
    <row r="898" ht="15" customHeight="1">
      <c r="A898" t="inlineStr">
        <is>
          <t>A 63381-2025</t>
        </is>
      </c>
      <c r="B898" s="1" t="n">
        <v>46010.89377314815</v>
      </c>
      <c r="C898" s="1" t="n">
        <v>46048</v>
      </c>
      <c r="D898" t="inlineStr">
        <is>
          <t>JÄMTLANDS LÄN</t>
        </is>
      </c>
      <c r="E898" t="inlineStr">
        <is>
          <t>BERG</t>
        </is>
      </c>
      <c r="G898" t="n">
        <v>3.6</v>
      </c>
      <c r="H898" t="n">
        <v>0</v>
      </c>
      <c r="I898" t="n">
        <v>0</v>
      </c>
      <c r="J898" t="n">
        <v>0</v>
      </c>
      <c r="K898" t="n">
        <v>0</v>
      </c>
      <c r="L898" t="n">
        <v>0</v>
      </c>
      <c r="M898" t="n">
        <v>0</v>
      </c>
      <c r="N898" t="n">
        <v>0</v>
      </c>
      <c r="O898" t="n">
        <v>0</v>
      </c>
      <c r="P898" t="n">
        <v>0</v>
      </c>
      <c r="Q898" t="n">
        <v>0</v>
      </c>
      <c r="R898" s="2" t="inlineStr"/>
    </row>
    <row r="899" ht="15" customHeight="1">
      <c r="A899" t="inlineStr">
        <is>
          <t>A 63562-2025</t>
        </is>
      </c>
      <c r="B899" s="1" t="n">
        <v>46013.62353009259</v>
      </c>
      <c r="C899" s="1" t="n">
        <v>46048</v>
      </c>
      <c r="D899" t="inlineStr">
        <is>
          <t>JÄMTLANDS LÄN</t>
        </is>
      </c>
      <c r="E899" t="inlineStr">
        <is>
          <t>BERG</t>
        </is>
      </c>
      <c r="G899" t="n">
        <v>1.1</v>
      </c>
      <c r="H899" t="n">
        <v>0</v>
      </c>
      <c r="I899" t="n">
        <v>0</v>
      </c>
      <c r="J899" t="n">
        <v>0</v>
      </c>
      <c r="K899" t="n">
        <v>0</v>
      </c>
      <c r="L899" t="n">
        <v>0</v>
      </c>
      <c r="M899" t="n">
        <v>0</v>
      </c>
      <c r="N899" t="n">
        <v>0</v>
      </c>
      <c r="O899" t="n">
        <v>0</v>
      </c>
      <c r="P899" t="n">
        <v>0</v>
      </c>
      <c r="Q899" t="n">
        <v>0</v>
      </c>
      <c r="R899" s="2" t="inlineStr"/>
    </row>
    <row r="900" ht="15" customHeight="1">
      <c r="A900" t="inlineStr">
        <is>
          <t>A 63597-2025</t>
        </is>
      </c>
      <c r="B900" s="1" t="n">
        <v>46014.28792824074</v>
      </c>
      <c r="C900" s="1" t="n">
        <v>46048</v>
      </c>
      <c r="D900" t="inlineStr">
        <is>
          <t>JÄMTLANDS LÄN</t>
        </is>
      </c>
      <c r="E900" t="inlineStr">
        <is>
          <t>BERG</t>
        </is>
      </c>
      <c r="G900" t="n">
        <v>1.4</v>
      </c>
      <c r="H900" t="n">
        <v>0</v>
      </c>
      <c r="I900" t="n">
        <v>0</v>
      </c>
      <c r="J900" t="n">
        <v>0</v>
      </c>
      <c r="K900" t="n">
        <v>0</v>
      </c>
      <c r="L900" t="n">
        <v>0</v>
      </c>
      <c r="M900" t="n">
        <v>0</v>
      </c>
      <c r="N900" t="n">
        <v>0</v>
      </c>
      <c r="O900" t="n">
        <v>0</v>
      </c>
      <c r="P900" t="n">
        <v>0</v>
      </c>
      <c r="Q900" t="n">
        <v>0</v>
      </c>
      <c r="R900" s="2" t="inlineStr"/>
    </row>
    <row r="901" ht="15" customHeight="1">
      <c r="A901" t="inlineStr">
        <is>
          <t>A 55770-2025</t>
        </is>
      </c>
      <c r="B901" s="1" t="n">
        <v>45972</v>
      </c>
      <c r="C901" s="1" t="n">
        <v>46048</v>
      </c>
      <c r="D901" t="inlineStr">
        <is>
          <t>JÄMTLANDS LÄN</t>
        </is>
      </c>
      <c r="E901" t="inlineStr">
        <is>
          <t>BERG</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56199-2025</t>
        </is>
      </c>
      <c r="B902" s="1" t="n">
        <v>45974.45790509259</v>
      </c>
      <c r="C902" s="1" t="n">
        <v>46048</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56457-2025</t>
        </is>
      </c>
      <c r="B903" s="1" t="n">
        <v>45975.36277777778</v>
      </c>
      <c r="C903" s="1" t="n">
        <v>46048</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56234-2025</t>
        </is>
      </c>
      <c r="B904" s="1" t="n">
        <v>45974.53696759259</v>
      </c>
      <c r="C904" s="1" t="n">
        <v>46048</v>
      </c>
      <c r="D904" t="inlineStr">
        <is>
          <t>JÄMTLANDS LÄN</t>
        </is>
      </c>
      <c r="E904" t="inlineStr">
        <is>
          <t>BERG</t>
        </is>
      </c>
      <c r="G904" t="n">
        <v>11.7</v>
      </c>
      <c r="H904" t="n">
        <v>0</v>
      </c>
      <c r="I904" t="n">
        <v>0</v>
      </c>
      <c r="J904" t="n">
        <v>0</v>
      </c>
      <c r="K904" t="n">
        <v>0</v>
      </c>
      <c r="L904" t="n">
        <v>0</v>
      </c>
      <c r="M904" t="n">
        <v>0</v>
      </c>
      <c r="N904" t="n">
        <v>0</v>
      </c>
      <c r="O904" t="n">
        <v>0</v>
      </c>
      <c r="P904" t="n">
        <v>0</v>
      </c>
      <c r="Q904" t="n">
        <v>0</v>
      </c>
      <c r="R904" s="2" t="inlineStr"/>
    </row>
    <row r="905" ht="15" customHeight="1">
      <c r="A905" t="inlineStr">
        <is>
          <t>A 57046-2025</t>
        </is>
      </c>
      <c r="B905" s="1" t="n">
        <v>45979.34672453703</v>
      </c>
      <c r="C905" s="1" t="n">
        <v>46048</v>
      </c>
      <c r="D905" t="inlineStr">
        <is>
          <t>JÄMTLANDS LÄN</t>
        </is>
      </c>
      <c r="E905" t="inlineStr">
        <is>
          <t>BERG</t>
        </is>
      </c>
      <c r="F905" t="inlineStr">
        <is>
          <t>SCA</t>
        </is>
      </c>
      <c r="G905" t="n">
        <v>10.8</v>
      </c>
      <c r="H905" t="n">
        <v>0</v>
      </c>
      <c r="I905" t="n">
        <v>0</v>
      </c>
      <c r="J905" t="n">
        <v>0</v>
      </c>
      <c r="K905" t="n">
        <v>0</v>
      </c>
      <c r="L905" t="n">
        <v>0</v>
      </c>
      <c r="M905" t="n">
        <v>0</v>
      </c>
      <c r="N905" t="n">
        <v>0</v>
      </c>
      <c r="O905" t="n">
        <v>0</v>
      </c>
      <c r="P905" t="n">
        <v>0</v>
      </c>
      <c r="Q905" t="n">
        <v>0</v>
      </c>
      <c r="R905" s="2" t="inlineStr"/>
    </row>
    <row r="906" ht="15" customHeight="1">
      <c r="A906" t="inlineStr">
        <is>
          <t>A 57271-2025</t>
        </is>
      </c>
      <c r="B906" s="1" t="n">
        <v>45979.67789351852</v>
      </c>
      <c r="C906" s="1" t="n">
        <v>46048</v>
      </c>
      <c r="D906" t="inlineStr">
        <is>
          <t>JÄMTLANDS LÄN</t>
        </is>
      </c>
      <c r="E906" t="inlineStr">
        <is>
          <t>BERG</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57039-2025</t>
        </is>
      </c>
      <c r="B907" s="1" t="n">
        <v>45979.34543981482</v>
      </c>
      <c r="C907" s="1" t="n">
        <v>46048</v>
      </c>
      <c r="D907" t="inlineStr">
        <is>
          <t>JÄMTLANDS LÄN</t>
        </is>
      </c>
      <c r="E907" t="inlineStr">
        <is>
          <t>BERG</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57192-2025</t>
        </is>
      </c>
      <c r="B908" s="1" t="n">
        <v>45979.57696759259</v>
      </c>
      <c r="C908" s="1" t="n">
        <v>46048</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57602-2025</t>
        </is>
      </c>
      <c r="B909" s="1" t="n">
        <v>45981.31667824074</v>
      </c>
      <c r="C909" s="1" t="n">
        <v>46048</v>
      </c>
      <c r="D909" t="inlineStr">
        <is>
          <t>JÄMTLANDS LÄN</t>
        </is>
      </c>
      <c r="E909" t="inlineStr">
        <is>
          <t>BERG</t>
        </is>
      </c>
      <c r="G909" t="n">
        <v>2.7</v>
      </c>
      <c r="H909" t="n">
        <v>0</v>
      </c>
      <c r="I909" t="n">
        <v>0</v>
      </c>
      <c r="J909" t="n">
        <v>0</v>
      </c>
      <c r="K909" t="n">
        <v>0</v>
      </c>
      <c r="L909" t="n">
        <v>0</v>
      </c>
      <c r="M909" t="n">
        <v>0</v>
      </c>
      <c r="N909" t="n">
        <v>0</v>
      </c>
      <c r="O909" t="n">
        <v>0</v>
      </c>
      <c r="P909" t="n">
        <v>0</v>
      </c>
      <c r="Q909" t="n">
        <v>0</v>
      </c>
      <c r="R909" s="2" t="inlineStr"/>
    </row>
    <row r="910" ht="15" customHeight="1">
      <c r="A910" t="inlineStr">
        <is>
          <t>A 57763-2025</t>
        </is>
      </c>
      <c r="B910" s="1" t="n">
        <v>45981.55693287037</v>
      </c>
      <c r="C910" s="1" t="n">
        <v>46048</v>
      </c>
      <c r="D910" t="inlineStr">
        <is>
          <t>JÄMTLANDS LÄN</t>
        </is>
      </c>
      <c r="E910" t="inlineStr">
        <is>
          <t>BERG</t>
        </is>
      </c>
      <c r="F910" t="inlineStr">
        <is>
          <t>Övriga Aktiebolag</t>
        </is>
      </c>
      <c r="G910" t="n">
        <v>13.1</v>
      </c>
      <c r="H910" t="n">
        <v>0</v>
      </c>
      <c r="I910" t="n">
        <v>0</v>
      </c>
      <c r="J910" t="n">
        <v>0</v>
      </c>
      <c r="K910" t="n">
        <v>0</v>
      </c>
      <c r="L910" t="n">
        <v>0</v>
      </c>
      <c r="M910" t="n">
        <v>0</v>
      </c>
      <c r="N910" t="n">
        <v>0</v>
      </c>
      <c r="O910" t="n">
        <v>0</v>
      </c>
      <c r="P910" t="n">
        <v>0</v>
      </c>
      <c r="Q910" t="n">
        <v>0</v>
      </c>
      <c r="R910" s="2" t="inlineStr"/>
    </row>
    <row r="911" ht="15" customHeight="1">
      <c r="A911" t="inlineStr">
        <is>
          <t>A 57861-2025</t>
        </is>
      </c>
      <c r="B911" s="1" t="n">
        <v>45981.64236111111</v>
      </c>
      <c r="C911" s="1" t="n">
        <v>46048</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57503-2025</t>
        </is>
      </c>
      <c r="B912" s="1" t="n">
        <v>45980.59431712963</v>
      </c>
      <c r="C912" s="1" t="n">
        <v>46048</v>
      </c>
      <c r="D912" t="inlineStr">
        <is>
          <t>JÄMTLANDS LÄN</t>
        </is>
      </c>
      <c r="E912" t="inlineStr">
        <is>
          <t>BERG</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57849-2025</t>
        </is>
      </c>
      <c r="B913" s="1" t="n">
        <v>45981.63472222222</v>
      </c>
      <c r="C913" s="1" t="n">
        <v>46048</v>
      </c>
      <c r="D913" t="inlineStr">
        <is>
          <t>JÄMTLANDS LÄN</t>
        </is>
      </c>
      <c r="E913" t="inlineStr">
        <is>
          <t>BERG</t>
        </is>
      </c>
      <c r="G913" t="n">
        <v>1.8</v>
      </c>
      <c r="H913" t="n">
        <v>0</v>
      </c>
      <c r="I913" t="n">
        <v>0</v>
      </c>
      <c r="J913" t="n">
        <v>0</v>
      </c>
      <c r="K913" t="n">
        <v>0</v>
      </c>
      <c r="L913" t="n">
        <v>0</v>
      </c>
      <c r="M913" t="n">
        <v>0</v>
      </c>
      <c r="N913" t="n">
        <v>0</v>
      </c>
      <c r="O913" t="n">
        <v>0</v>
      </c>
      <c r="P913" t="n">
        <v>0</v>
      </c>
      <c r="Q913" t="n">
        <v>0</v>
      </c>
      <c r="R913" s="2" t="inlineStr"/>
    </row>
    <row r="914" ht="15" customHeight="1">
      <c r="A914" t="inlineStr">
        <is>
          <t>A 58237-2025</t>
        </is>
      </c>
      <c r="B914" s="1" t="n">
        <v>45985.38751157407</v>
      </c>
      <c r="C914" s="1" t="n">
        <v>46048</v>
      </c>
      <c r="D914" t="inlineStr">
        <is>
          <t>JÄMTLANDS LÄN</t>
        </is>
      </c>
      <c r="E914" t="inlineStr">
        <is>
          <t>BERG</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58413-2025</t>
        </is>
      </c>
      <c r="B915" s="1" t="n">
        <v>45985.57662037037</v>
      </c>
      <c r="C915" s="1" t="n">
        <v>46048</v>
      </c>
      <c r="D915" t="inlineStr">
        <is>
          <t>JÄMTLANDS LÄN</t>
        </is>
      </c>
      <c r="E915" t="inlineStr">
        <is>
          <t>BERG</t>
        </is>
      </c>
      <c r="G915" t="n">
        <v>4.2</v>
      </c>
      <c r="H915" t="n">
        <v>0</v>
      </c>
      <c r="I915" t="n">
        <v>0</v>
      </c>
      <c r="J915" t="n">
        <v>0</v>
      </c>
      <c r="K915" t="n">
        <v>0</v>
      </c>
      <c r="L915" t="n">
        <v>0</v>
      </c>
      <c r="M915" t="n">
        <v>0</v>
      </c>
      <c r="N915" t="n">
        <v>0</v>
      </c>
      <c r="O915" t="n">
        <v>0</v>
      </c>
      <c r="P915" t="n">
        <v>0</v>
      </c>
      <c r="Q915" t="n">
        <v>0</v>
      </c>
      <c r="R915" s="2" t="inlineStr"/>
    </row>
    <row r="916" ht="15" customHeight="1">
      <c r="A916" t="inlineStr">
        <is>
          <t>A 58438-2025</t>
        </is>
      </c>
      <c r="B916" s="1" t="n">
        <v>45985.61513888889</v>
      </c>
      <c r="C916" s="1" t="n">
        <v>46048</v>
      </c>
      <c r="D916" t="inlineStr">
        <is>
          <t>JÄMTLANDS LÄN</t>
        </is>
      </c>
      <c r="E916" t="inlineStr">
        <is>
          <t>BERG</t>
        </is>
      </c>
      <c r="G916" t="n">
        <v>5.1</v>
      </c>
      <c r="H916" t="n">
        <v>0</v>
      </c>
      <c r="I916" t="n">
        <v>0</v>
      </c>
      <c r="J916" t="n">
        <v>0</v>
      </c>
      <c r="K916" t="n">
        <v>0</v>
      </c>
      <c r="L916" t="n">
        <v>0</v>
      </c>
      <c r="M916" t="n">
        <v>0</v>
      </c>
      <c r="N916" t="n">
        <v>0</v>
      </c>
      <c r="O916" t="n">
        <v>0</v>
      </c>
      <c r="P916" t="n">
        <v>0</v>
      </c>
      <c r="Q916" t="n">
        <v>0</v>
      </c>
      <c r="R916" s="2" t="inlineStr"/>
    </row>
    <row r="917" ht="15" customHeight="1">
      <c r="A917" t="inlineStr">
        <is>
          <t>A 58436-2025</t>
        </is>
      </c>
      <c r="B917" s="1" t="n">
        <v>45985.61510416667</v>
      </c>
      <c r="C917" s="1" t="n">
        <v>46048</v>
      </c>
      <c r="D917" t="inlineStr">
        <is>
          <t>JÄMTLANDS LÄN</t>
        </is>
      </c>
      <c r="E917" t="inlineStr">
        <is>
          <t>BERG</t>
        </is>
      </c>
      <c r="G917" t="n">
        <v>1.7</v>
      </c>
      <c r="H917" t="n">
        <v>0</v>
      </c>
      <c r="I917" t="n">
        <v>0</v>
      </c>
      <c r="J917" t="n">
        <v>0</v>
      </c>
      <c r="K917" t="n">
        <v>0</v>
      </c>
      <c r="L917" t="n">
        <v>0</v>
      </c>
      <c r="M917" t="n">
        <v>0</v>
      </c>
      <c r="N917" t="n">
        <v>0</v>
      </c>
      <c r="O917" t="n">
        <v>0</v>
      </c>
      <c r="P917" t="n">
        <v>0</v>
      </c>
      <c r="Q917" t="n">
        <v>0</v>
      </c>
      <c r="R917" s="2" t="inlineStr"/>
    </row>
    <row r="918" ht="15" customHeight="1">
      <c r="A918" t="inlineStr">
        <is>
          <t>A 58470-2025</t>
        </is>
      </c>
      <c r="B918" s="1" t="n">
        <v>45985.63704861111</v>
      </c>
      <c r="C918" s="1" t="n">
        <v>46048</v>
      </c>
      <c r="D918" t="inlineStr">
        <is>
          <t>JÄMTLANDS LÄN</t>
        </is>
      </c>
      <c r="E918" t="inlineStr">
        <is>
          <t>BERG</t>
        </is>
      </c>
      <c r="G918" t="n">
        <v>3.6</v>
      </c>
      <c r="H918" t="n">
        <v>0</v>
      </c>
      <c r="I918" t="n">
        <v>0</v>
      </c>
      <c r="J918" t="n">
        <v>0</v>
      </c>
      <c r="K918" t="n">
        <v>0</v>
      </c>
      <c r="L918" t="n">
        <v>0</v>
      </c>
      <c r="M918" t="n">
        <v>0</v>
      </c>
      <c r="N918" t="n">
        <v>0</v>
      </c>
      <c r="O918" t="n">
        <v>0</v>
      </c>
      <c r="P918" t="n">
        <v>0</v>
      </c>
      <c r="Q918" t="n">
        <v>0</v>
      </c>
      <c r="R918" s="2" t="inlineStr"/>
    </row>
    <row r="919" ht="15" customHeight="1">
      <c r="A919" t="inlineStr">
        <is>
          <t>A 58437-2025</t>
        </is>
      </c>
      <c r="B919" s="1" t="n">
        <v>45985.61512731481</v>
      </c>
      <c r="C919" s="1" t="n">
        <v>46048</v>
      </c>
      <c r="D919" t="inlineStr">
        <is>
          <t>JÄMTLANDS LÄN</t>
        </is>
      </c>
      <c r="E919" t="inlineStr">
        <is>
          <t>BERG</t>
        </is>
      </c>
      <c r="G919" t="n">
        <v>1.6</v>
      </c>
      <c r="H919" t="n">
        <v>0</v>
      </c>
      <c r="I919" t="n">
        <v>0</v>
      </c>
      <c r="J919" t="n">
        <v>0</v>
      </c>
      <c r="K919" t="n">
        <v>0</v>
      </c>
      <c r="L919" t="n">
        <v>0</v>
      </c>
      <c r="M919" t="n">
        <v>0</v>
      </c>
      <c r="N919" t="n">
        <v>0</v>
      </c>
      <c r="O919" t="n">
        <v>0</v>
      </c>
      <c r="P919" t="n">
        <v>0</v>
      </c>
      <c r="Q919" t="n">
        <v>0</v>
      </c>
      <c r="R919" s="2" t="inlineStr"/>
    </row>
    <row r="920" ht="15" customHeight="1">
      <c r="A920" t="inlineStr">
        <is>
          <t>A 568-2026</t>
        </is>
      </c>
      <c r="B920" s="1" t="n">
        <v>46029.46987268519</v>
      </c>
      <c r="C920" s="1" t="n">
        <v>46048</v>
      </c>
      <c r="D920" t="inlineStr">
        <is>
          <t>JÄMTLANDS LÄN</t>
        </is>
      </c>
      <c r="E920" t="inlineStr">
        <is>
          <t>BERG</t>
        </is>
      </c>
      <c r="G920" t="n">
        <v>2.7</v>
      </c>
      <c r="H920" t="n">
        <v>0</v>
      </c>
      <c r="I920" t="n">
        <v>0</v>
      </c>
      <c r="J920" t="n">
        <v>0</v>
      </c>
      <c r="K920" t="n">
        <v>0</v>
      </c>
      <c r="L920" t="n">
        <v>0</v>
      </c>
      <c r="M920" t="n">
        <v>0</v>
      </c>
      <c r="N920" t="n">
        <v>0</v>
      </c>
      <c r="O920" t="n">
        <v>0</v>
      </c>
      <c r="P920" t="n">
        <v>0</v>
      </c>
      <c r="Q920" t="n">
        <v>0</v>
      </c>
      <c r="R920" s="2" t="inlineStr"/>
    </row>
    <row r="921" ht="15" customHeight="1">
      <c r="A921" t="inlineStr">
        <is>
          <t>A 58581-2025</t>
        </is>
      </c>
      <c r="B921" s="1" t="n">
        <v>45986.38626157407</v>
      </c>
      <c r="C921" s="1" t="n">
        <v>46048</v>
      </c>
      <c r="D921" t="inlineStr">
        <is>
          <t>JÄMTLANDS LÄN</t>
        </is>
      </c>
      <c r="E921" t="inlineStr">
        <is>
          <t>BERG</t>
        </is>
      </c>
      <c r="G921" t="n">
        <v>6.9</v>
      </c>
      <c r="H921" t="n">
        <v>0</v>
      </c>
      <c r="I921" t="n">
        <v>0</v>
      </c>
      <c r="J921" t="n">
        <v>0</v>
      </c>
      <c r="K921" t="n">
        <v>0</v>
      </c>
      <c r="L921" t="n">
        <v>0</v>
      </c>
      <c r="M921" t="n">
        <v>0</v>
      </c>
      <c r="N921" t="n">
        <v>0</v>
      </c>
      <c r="O921" t="n">
        <v>0</v>
      </c>
      <c r="P921" t="n">
        <v>0</v>
      </c>
      <c r="Q921" t="n">
        <v>0</v>
      </c>
      <c r="R921" s="2" t="inlineStr"/>
    </row>
    <row r="922" ht="15" customHeight="1">
      <c r="A922" t="inlineStr">
        <is>
          <t>A 59010-2025</t>
        </is>
      </c>
      <c r="B922" s="1" t="n">
        <v>45987</v>
      </c>
      <c r="C922" s="1" t="n">
        <v>46048</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679-2026</t>
        </is>
      </c>
      <c r="B923" s="1" t="n">
        <v>46029.60032407408</v>
      </c>
      <c r="C923" s="1" t="n">
        <v>46048</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58861-2025</t>
        </is>
      </c>
      <c r="B924" s="1" t="n">
        <v>45987.42820601852</v>
      </c>
      <c r="C924" s="1" t="n">
        <v>46048</v>
      </c>
      <c r="D924" t="inlineStr">
        <is>
          <t>JÄMTLANDS LÄN</t>
        </is>
      </c>
      <c r="E924" t="inlineStr">
        <is>
          <t>BERG</t>
        </is>
      </c>
      <c r="G924" t="n">
        <v>29.3</v>
      </c>
      <c r="H924" t="n">
        <v>0</v>
      </c>
      <c r="I924" t="n">
        <v>0</v>
      </c>
      <c r="J924" t="n">
        <v>0</v>
      </c>
      <c r="K924" t="n">
        <v>0</v>
      </c>
      <c r="L924" t="n">
        <v>0</v>
      </c>
      <c r="M924" t="n">
        <v>0</v>
      </c>
      <c r="N924" t="n">
        <v>0</v>
      </c>
      <c r="O924" t="n">
        <v>0</v>
      </c>
      <c r="P924" t="n">
        <v>0</v>
      </c>
      <c r="Q924" t="n">
        <v>0</v>
      </c>
      <c r="R924" s="2" t="inlineStr"/>
    </row>
    <row r="925" ht="15" customHeight="1">
      <c r="A925" t="inlineStr">
        <is>
          <t>A 58822-2025</t>
        </is>
      </c>
      <c r="B925" s="1" t="n">
        <v>45987.34506944445</v>
      </c>
      <c r="C925" s="1" t="n">
        <v>46048</v>
      </c>
      <c r="D925" t="inlineStr">
        <is>
          <t>JÄMTLANDS LÄN</t>
        </is>
      </c>
      <c r="E925" t="inlineStr">
        <is>
          <t>BERG</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58708-2025</t>
        </is>
      </c>
      <c r="B926" s="1" t="n">
        <v>45986.60412037037</v>
      </c>
      <c r="C926" s="1" t="n">
        <v>46048</v>
      </c>
      <c r="D926" t="inlineStr">
        <is>
          <t>JÄMTLANDS LÄN</t>
        </is>
      </c>
      <c r="E926" t="inlineStr">
        <is>
          <t>BERG</t>
        </is>
      </c>
      <c r="G926" t="n">
        <v>2.5</v>
      </c>
      <c r="H926" t="n">
        <v>0</v>
      </c>
      <c r="I926" t="n">
        <v>0</v>
      </c>
      <c r="J926" t="n">
        <v>0</v>
      </c>
      <c r="K926" t="n">
        <v>0</v>
      </c>
      <c r="L926" t="n">
        <v>0</v>
      </c>
      <c r="M926" t="n">
        <v>0</v>
      </c>
      <c r="N926" t="n">
        <v>0</v>
      </c>
      <c r="O926" t="n">
        <v>0</v>
      </c>
      <c r="P926" t="n">
        <v>0</v>
      </c>
      <c r="Q926" t="n">
        <v>0</v>
      </c>
      <c r="R926" s="2" t="inlineStr"/>
    </row>
    <row r="927" ht="15" customHeight="1">
      <c r="A927" t="inlineStr">
        <is>
          <t>A 59401-2025</t>
        </is>
      </c>
      <c r="B927" s="1" t="n">
        <v>45989.48791666667</v>
      </c>
      <c r="C927" s="1" t="n">
        <v>46048</v>
      </c>
      <c r="D927" t="inlineStr">
        <is>
          <t>JÄMTLANDS LÄN</t>
        </is>
      </c>
      <c r="E927" t="inlineStr">
        <is>
          <t>BERG</t>
        </is>
      </c>
      <c r="G927" t="n">
        <v>4.6</v>
      </c>
      <c r="H927" t="n">
        <v>0</v>
      </c>
      <c r="I927" t="n">
        <v>0</v>
      </c>
      <c r="J927" t="n">
        <v>0</v>
      </c>
      <c r="K927" t="n">
        <v>0</v>
      </c>
      <c r="L927" t="n">
        <v>0</v>
      </c>
      <c r="M927" t="n">
        <v>0</v>
      </c>
      <c r="N927" t="n">
        <v>0</v>
      </c>
      <c r="O927" t="n">
        <v>0</v>
      </c>
      <c r="P927" t="n">
        <v>0</v>
      </c>
      <c r="Q927" t="n">
        <v>0</v>
      </c>
      <c r="R927" s="2" t="inlineStr"/>
    </row>
    <row r="928" ht="15" customHeight="1">
      <c r="A928" t="inlineStr">
        <is>
          <t>A 59411-2025</t>
        </is>
      </c>
      <c r="B928" s="1" t="n">
        <v>45989.49638888889</v>
      </c>
      <c r="C928" s="1" t="n">
        <v>46048</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59415-2025</t>
        </is>
      </c>
      <c r="B929" s="1" t="n">
        <v>45989.50196759259</v>
      </c>
      <c r="C929" s="1" t="n">
        <v>46048</v>
      </c>
      <c r="D929" t="inlineStr">
        <is>
          <t>JÄMTLANDS LÄN</t>
        </is>
      </c>
      <c r="E929" t="inlineStr">
        <is>
          <t>BERG</t>
        </is>
      </c>
      <c r="G929" t="n">
        <v>6.8</v>
      </c>
      <c r="H929" t="n">
        <v>0</v>
      </c>
      <c r="I929" t="n">
        <v>0</v>
      </c>
      <c r="J929" t="n">
        <v>0</v>
      </c>
      <c r="K929" t="n">
        <v>0</v>
      </c>
      <c r="L929" t="n">
        <v>0</v>
      </c>
      <c r="M929" t="n">
        <v>0</v>
      </c>
      <c r="N929" t="n">
        <v>0</v>
      </c>
      <c r="O929" t="n">
        <v>0</v>
      </c>
      <c r="P929" t="n">
        <v>0</v>
      </c>
      <c r="Q929" t="n">
        <v>0</v>
      </c>
      <c r="R929" s="2" t="inlineStr"/>
    </row>
    <row r="930" ht="15" customHeight="1">
      <c r="A930" t="inlineStr">
        <is>
          <t>A 1287-2026</t>
        </is>
      </c>
      <c r="B930" s="1" t="n">
        <v>46031.49944444445</v>
      </c>
      <c r="C930" s="1" t="n">
        <v>46048</v>
      </c>
      <c r="D930" t="inlineStr">
        <is>
          <t>JÄMTLANDS LÄN</t>
        </is>
      </c>
      <c r="E930" t="inlineStr">
        <is>
          <t>BERG</t>
        </is>
      </c>
      <c r="G930" t="n">
        <v>2.2</v>
      </c>
      <c r="H930" t="n">
        <v>0</v>
      </c>
      <c r="I930" t="n">
        <v>0</v>
      </c>
      <c r="J930" t="n">
        <v>0</v>
      </c>
      <c r="K930" t="n">
        <v>0</v>
      </c>
      <c r="L930" t="n">
        <v>0</v>
      </c>
      <c r="M930" t="n">
        <v>0</v>
      </c>
      <c r="N930" t="n">
        <v>0</v>
      </c>
      <c r="O930" t="n">
        <v>0</v>
      </c>
      <c r="P930" t="n">
        <v>0</v>
      </c>
      <c r="Q930" t="n">
        <v>0</v>
      </c>
      <c r="R930" s="2" t="inlineStr"/>
    </row>
    <row r="931" ht="15" customHeight="1">
      <c r="A931" t="inlineStr">
        <is>
          <t>A 59404-2025</t>
        </is>
      </c>
      <c r="B931" s="1" t="n">
        <v>45989.48997685185</v>
      </c>
      <c r="C931" s="1" t="n">
        <v>46048</v>
      </c>
      <c r="D931" t="inlineStr">
        <is>
          <t>JÄMTLANDS LÄN</t>
        </is>
      </c>
      <c r="E931" t="inlineStr">
        <is>
          <t>BERG</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59447-2025</t>
        </is>
      </c>
      <c r="B932" s="1" t="n">
        <v>45989</v>
      </c>
      <c r="C932" s="1" t="n">
        <v>46048</v>
      </c>
      <c r="D932" t="inlineStr">
        <is>
          <t>JÄMTLANDS LÄN</t>
        </is>
      </c>
      <c r="E932" t="inlineStr">
        <is>
          <t>BERG</t>
        </is>
      </c>
      <c r="G932" t="n">
        <v>1.8</v>
      </c>
      <c r="H932" t="n">
        <v>0</v>
      </c>
      <c r="I932" t="n">
        <v>0</v>
      </c>
      <c r="J932" t="n">
        <v>0</v>
      </c>
      <c r="K932" t="n">
        <v>0</v>
      </c>
      <c r="L932" t="n">
        <v>0</v>
      </c>
      <c r="M932" t="n">
        <v>0</v>
      </c>
      <c r="N932" t="n">
        <v>0</v>
      </c>
      <c r="O932" t="n">
        <v>0</v>
      </c>
      <c r="P932" t="n">
        <v>0</v>
      </c>
      <c r="Q932" t="n">
        <v>0</v>
      </c>
      <c r="R932" s="2" t="inlineStr"/>
    </row>
    <row r="933" ht="15" customHeight="1">
      <c r="A933" t="inlineStr">
        <is>
          <t>A 1386-2026</t>
        </is>
      </c>
      <c r="B933" s="1" t="n">
        <v>46031.62633101852</v>
      </c>
      <c r="C933" s="1" t="n">
        <v>46048</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1391-2026</t>
        </is>
      </c>
      <c r="B934" s="1" t="n">
        <v>46031.63359953704</v>
      </c>
      <c r="C934" s="1" t="n">
        <v>46048</v>
      </c>
      <c r="D934" t="inlineStr">
        <is>
          <t>JÄMTLANDS LÄN</t>
        </is>
      </c>
      <c r="E934" t="inlineStr">
        <is>
          <t>BERG</t>
        </is>
      </c>
      <c r="G934" t="n">
        <v>1.5</v>
      </c>
      <c r="H934" t="n">
        <v>0</v>
      </c>
      <c r="I934" t="n">
        <v>0</v>
      </c>
      <c r="J934" t="n">
        <v>0</v>
      </c>
      <c r="K934" t="n">
        <v>0</v>
      </c>
      <c r="L934" t="n">
        <v>0</v>
      </c>
      <c r="M934" t="n">
        <v>0</v>
      </c>
      <c r="N934" t="n">
        <v>0</v>
      </c>
      <c r="O934" t="n">
        <v>0</v>
      </c>
      <c r="P934" t="n">
        <v>0</v>
      </c>
      <c r="Q934" t="n">
        <v>0</v>
      </c>
      <c r="R934" s="2" t="inlineStr"/>
    </row>
    <row r="935" ht="15" customHeight="1">
      <c r="A935" t="inlineStr">
        <is>
          <t>A 1401-2026</t>
        </is>
      </c>
      <c r="B935" s="1" t="n">
        <v>46031.64333333333</v>
      </c>
      <c r="C935" s="1" t="n">
        <v>46048</v>
      </c>
      <c r="D935" t="inlineStr">
        <is>
          <t>JÄMTLANDS LÄN</t>
        </is>
      </c>
      <c r="E935" t="inlineStr">
        <is>
          <t>BERG</t>
        </is>
      </c>
      <c r="G935" t="n">
        <v>2.1</v>
      </c>
      <c r="H935" t="n">
        <v>0</v>
      </c>
      <c r="I935" t="n">
        <v>0</v>
      </c>
      <c r="J935" t="n">
        <v>0</v>
      </c>
      <c r="K935" t="n">
        <v>0</v>
      </c>
      <c r="L935" t="n">
        <v>0</v>
      </c>
      <c r="M935" t="n">
        <v>0</v>
      </c>
      <c r="N935" t="n">
        <v>0</v>
      </c>
      <c r="O935" t="n">
        <v>0</v>
      </c>
      <c r="P935" t="n">
        <v>0</v>
      </c>
      <c r="Q935" t="n">
        <v>0</v>
      </c>
      <c r="R935" s="2" t="inlineStr"/>
    </row>
    <row r="936" ht="15" customHeight="1">
      <c r="A936" t="inlineStr">
        <is>
          <t>A 1407-2026</t>
        </is>
      </c>
      <c r="B936" s="1" t="n">
        <v>46031.64733796296</v>
      </c>
      <c r="C936" s="1" t="n">
        <v>46048</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59210-2025</t>
        </is>
      </c>
      <c r="B937" s="1" t="n">
        <v>45988.61516203704</v>
      </c>
      <c r="C937" s="1" t="n">
        <v>46048</v>
      </c>
      <c r="D937" t="inlineStr">
        <is>
          <t>JÄMTLANDS LÄN</t>
        </is>
      </c>
      <c r="E937" t="inlineStr">
        <is>
          <t>BERG</t>
        </is>
      </c>
      <c r="G937" t="n">
        <v>2</v>
      </c>
      <c r="H937" t="n">
        <v>0</v>
      </c>
      <c r="I937" t="n">
        <v>0</v>
      </c>
      <c r="J937" t="n">
        <v>0</v>
      </c>
      <c r="K937" t="n">
        <v>0</v>
      </c>
      <c r="L937" t="n">
        <v>0</v>
      </c>
      <c r="M937" t="n">
        <v>0</v>
      </c>
      <c r="N937" t="n">
        <v>0</v>
      </c>
      <c r="O937" t="n">
        <v>0</v>
      </c>
      <c r="P937" t="n">
        <v>0</v>
      </c>
      <c r="Q937" t="n">
        <v>0</v>
      </c>
      <c r="R937" s="2" t="inlineStr"/>
    </row>
    <row r="938" ht="15" customHeight="1">
      <c r="A938" t="inlineStr">
        <is>
          <t>A 59253-2025</t>
        </is>
      </c>
      <c r="B938" s="1" t="n">
        <v>45988.65121527778</v>
      </c>
      <c r="C938" s="1" t="n">
        <v>46048</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59267-2025</t>
        </is>
      </c>
      <c r="B939" s="1" t="n">
        <v>45988.66127314815</v>
      </c>
      <c r="C939" s="1" t="n">
        <v>46048</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59281-2025</t>
        </is>
      </c>
      <c r="B940" s="1" t="n">
        <v>45988.7234375</v>
      </c>
      <c r="C940" s="1" t="n">
        <v>46048</v>
      </c>
      <c r="D940" t="inlineStr">
        <is>
          <t>JÄMTLANDS LÄN</t>
        </is>
      </c>
      <c r="E940" t="inlineStr">
        <is>
          <t>BERG</t>
        </is>
      </c>
      <c r="G940" t="n">
        <v>16.7</v>
      </c>
      <c r="H940" t="n">
        <v>0</v>
      </c>
      <c r="I940" t="n">
        <v>0</v>
      </c>
      <c r="J940" t="n">
        <v>0</v>
      </c>
      <c r="K940" t="n">
        <v>0</v>
      </c>
      <c r="L940" t="n">
        <v>0</v>
      </c>
      <c r="M940" t="n">
        <v>0</v>
      </c>
      <c r="N940" t="n">
        <v>0</v>
      </c>
      <c r="O940" t="n">
        <v>0</v>
      </c>
      <c r="P940" t="n">
        <v>0</v>
      </c>
      <c r="Q940" t="n">
        <v>0</v>
      </c>
      <c r="R940" s="2" t="inlineStr"/>
    </row>
    <row r="941" ht="15" customHeight="1">
      <c r="A941" t="inlineStr">
        <is>
          <t>A 59424-2025</t>
        </is>
      </c>
      <c r="B941" s="1" t="n">
        <v>45989.53782407408</v>
      </c>
      <c r="C941" s="1" t="n">
        <v>46048</v>
      </c>
      <c r="D941" t="inlineStr">
        <is>
          <t>JÄMTLANDS LÄN</t>
        </is>
      </c>
      <c r="E941" t="inlineStr">
        <is>
          <t>BERG</t>
        </is>
      </c>
      <c r="G941" t="n">
        <v>3.9</v>
      </c>
      <c r="H941" t="n">
        <v>0</v>
      </c>
      <c r="I941" t="n">
        <v>0</v>
      </c>
      <c r="J941" t="n">
        <v>0</v>
      </c>
      <c r="K941" t="n">
        <v>0</v>
      </c>
      <c r="L941" t="n">
        <v>0</v>
      </c>
      <c r="M941" t="n">
        <v>0</v>
      </c>
      <c r="N941" t="n">
        <v>0</v>
      </c>
      <c r="O941" t="n">
        <v>0</v>
      </c>
      <c r="P941" t="n">
        <v>0</v>
      </c>
      <c r="Q941" t="n">
        <v>0</v>
      </c>
      <c r="R941" s="2" t="inlineStr"/>
    </row>
    <row r="942" ht="15" customHeight="1">
      <c r="A942" t="inlineStr">
        <is>
          <t>A 1282-2026</t>
        </is>
      </c>
      <c r="B942" s="1" t="n">
        <v>46031.49096064815</v>
      </c>
      <c r="C942" s="1" t="n">
        <v>46048</v>
      </c>
      <c r="D942" t="inlineStr">
        <is>
          <t>JÄMTLANDS LÄN</t>
        </is>
      </c>
      <c r="E942" t="inlineStr">
        <is>
          <t>BERG</t>
        </is>
      </c>
      <c r="G942" t="n">
        <v>3.5</v>
      </c>
      <c r="H942" t="n">
        <v>0</v>
      </c>
      <c r="I942" t="n">
        <v>0</v>
      </c>
      <c r="J942" t="n">
        <v>0</v>
      </c>
      <c r="K942" t="n">
        <v>0</v>
      </c>
      <c r="L942" t="n">
        <v>0</v>
      </c>
      <c r="M942" t="n">
        <v>0</v>
      </c>
      <c r="N942" t="n">
        <v>0</v>
      </c>
      <c r="O942" t="n">
        <v>0</v>
      </c>
      <c r="P942" t="n">
        <v>0</v>
      </c>
      <c r="Q942" t="n">
        <v>0</v>
      </c>
      <c r="R942" s="2" t="inlineStr"/>
    </row>
    <row r="943" ht="15" customHeight="1">
      <c r="A943" t="inlineStr">
        <is>
          <t>A 59652-2025</t>
        </is>
      </c>
      <c r="B943" s="1" t="n">
        <v>45992</v>
      </c>
      <c r="C943" s="1" t="n">
        <v>46048</v>
      </c>
      <c r="D943" t="inlineStr">
        <is>
          <t>JÄMTLANDS LÄN</t>
        </is>
      </c>
      <c r="E943" t="inlineStr">
        <is>
          <t>BERG</t>
        </is>
      </c>
      <c r="G943" t="n">
        <v>4</v>
      </c>
      <c r="H943" t="n">
        <v>0</v>
      </c>
      <c r="I943" t="n">
        <v>0</v>
      </c>
      <c r="J943" t="n">
        <v>0</v>
      </c>
      <c r="K943" t="n">
        <v>0</v>
      </c>
      <c r="L943" t="n">
        <v>0</v>
      </c>
      <c r="M943" t="n">
        <v>0</v>
      </c>
      <c r="N943" t="n">
        <v>0</v>
      </c>
      <c r="O943" t="n">
        <v>0</v>
      </c>
      <c r="P943" t="n">
        <v>0</v>
      </c>
      <c r="Q943" t="n">
        <v>0</v>
      </c>
      <c r="R943" s="2" t="inlineStr"/>
    </row>
    <row r="944" ht="15" customHeight="1">
      <c r="A944" t="inlineStr">
        <is>
          <t>A 59824-2025</t>
        </is>
      </c>
      <c r="B944" s="1" t="n">
        <v>45992.65116898148</v>
      </c>
      <c r="C944" s="1" t="n">
        <v>46048</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59890-2025</t>
        </is>
      </c>
      <c r="B945" s="1" t="n">
        <v>45993.33128472222</v>
      </c>
      <c r="C945" s="1" t="n">
        <v>46048</v>
      </c>
      <c r="D945" t="inlineStr">
        <is>
          <t>JÄMTLANDS LÄN</t>
        </is>
      </c>
      <c r="E945" t="inlineStr">
        <is>
          <t>BERG</t>
        </is>
      </c>
      <c r="G945" t="n">
        <v>4</v>
      </c>
      <c r="H945" t="n">
        <v>0</v>
      </c>
      <c r="I945" t="n">
        <v>0</v>
      </c>
      <c r="J945" t="n">
        <v>0</v>
      </c>
      <c r="K945" t="n">
        <v>0</v>
      </c>
      <c r="L945" t="n">
        <v>0</v>
      </c>
      <c r="M945" t="n">
        <v>0</v>
      </c>
      <c r="N945" t="n">
        <v>0</v>
      </c>
      <c r="O945" t="n">
        <v>0</v>
      </c>
      <c r="P945" t="n">
        <v>0</v>
      </c>
      <c r="Q945" t="n">
        <v>0</v>
      </c>
      <c r="R945" s="2" t="inlineStr"/>
    </row>
    <row r="946" ht="15" customHeight="1">
      <c r="A946" t="inlineStr">
        <is>
          <t>A 59763-2025</t>
        </is>
      </c>
      <c r="B946" s="1" t="n">
        <v>45992.59430555555</v>
      </c>
      <c r="C946" s="1" t="n">
        <v>46048</v>
      </c>
      <c r="D946" t="inlineStr">
        <is>
          <t>JÄMTLANDS LÄN</t>
        </is>
      </c>
      <c r="E946" t="inlineStr">
        <is>
          <t>BERG</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1495-2026</t>
        </is>
      </c>
      <c r="B947" s="1" t="n">
        <v>46034.32285879629</v>
      </c>
      <c r="C947" s="1" t="n">
        <v>46048</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59841-2025</t>
        </is>
      </c>
      <c r="B948" s="1" t="n">
        <v>45992</v>
      </c>
      <c r="C948" s="1" t="n">
        <v>46048</v>
      </c>
      <c r="D948" t="inlineStr">
        <is>
          <t>JÄMTLANDS LÄN</t>
        </is>
      </c>
      <c r="E948" t="inlineStr">
        <is>
          <t>BERG</t>
        </is>
      </c>
      <c r="G948" t="n">
        <v>14.9</v>
      </c>
      <c r="H948" t="n">
        <v>0</v>
      </c>
      <c r="I948" t="n">
        <v>0</v>
      </c>
      <c r="J948" t="n">
        <v>0</v>
      </c>
      <c r="K948" t="n">
        <v>0</v>
      </c>
      <c r="L948" t="n">
        <v>0</v>
      </c>
      <c r="M948" t="n">
        <v>0</v>
      </c>
      <c r="N948" t="n">
        <v>0</v>
      </c>
      <c r="O948" t="n">
        <v>0</v>
      </c>
      <c r="P948" t="n">
        <v>0</v>
      </c>
      <c r="Q948" t="n">
        <v>0</v>
      </c>
      <c r="R948" s="2" t="inlineStr"/>
    </row>
    <row r="949" ht="15" customHeight="1">
      <c r="A949" t="inlineStr">
        <is>
          <t>A 60077-2025</t>
        </is>
      </c>
      <c r="B949" s="1" t="n">
        <v>45993.67987268518</v>
      </c>
      <c r="C949" s="1" t="n">
        <v>46048</v>
      </c>
      <c r="D949" t="inlineStr">
        <is>
          <t>JÄMTLANDS LÄN</t>
        </is>
      </c>
      <c r="E949" t="inlineStr">
        <is>
          <t>BERG</t>
        </is>
      </c>
      <c r="G949" t="n">
        <v>0.7</v>
      </c>
      <c r="H949" t="n">
        <v>0</v>
      </c>
      <c r="I949" t="n">
        <v>0</v>
      </c>
      <c r="J949" t="n">
        <v>0</v>
      </c>
      <c r="K949" t="n">
        <v>0</v>
      </c>
      <c r="L949" t="n">
        <v>0</v>
      </c>
      <c r="M949" t="n">
        <v>0</v>
      </c>
      <c r="N949" t="n">
        <v>0</v>
      </c>
      <c r="O949" t="n">
        <v>0</v>
      </c>
      <c r="P949" t="n">
        <v>0</v>
      </c>
      <c r="Q949" t="n">
        <v>0</v>
      </c>
      <c r="R949" s="2" t="inlineStr"/>
    </row>
    <row r="950" ht="15" customHeight="1">
      <c r="A950" t="inlineStr">
        <is>
          <t>A 60051-2025</t>
        </is>
      </c>
      <c r="B950" s="1" t="n">
        <v>45993.6353125</v>
      </c>
      <c r="C950" s="1" t="n">
        <v>46048</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1939-2026</t>
        </is>
      </c>
      <c r="B951" s="1" t="n">
        <v>46035.58862268519</v>
      </c>
      <c r="C951" s="1" t="n">
        <v>46048</v>
      </c>
      <c r="D951" t="inlineStr">
        <is>
          <t>JÄMTLANDS LÄN</t>
        </is>
      </c>
      <c r="E951" t="inlineStr">
        <is>
          <t>BERG</t>
        </is>
      </c>
      <c r="G951" t="n">
        <v>3.9</v>
      </c>
      <c r="H951" t="n">
        <v>0</v>
      </c>
      <c r="I951" t="n">
        <v>0</v>
      </c>
      <c r="J951" t="n">
        <v>0</v>
      </c>
      <c r="K951" t="n">
        <v>0</v>
      </c>
      <c r="L951" t="n">
        <v>0</v>
      </c>
      <c r="M951" t="n">
        <v>0</v>
      </c>
      <c r="N951" t="n">
        <v>0</v>
      </c>
      <c r="O951" t="n">
        <v>0</v>
      </c>
      <c r="P951" t="n">
        <v>0</v>
      </c>
      <c r="Q951" t="n">
        <v>0</v>
      </c>
      <c r="R951" s="2" t="inlineStr"/>
    </row>
    <row r="952" ht="15" customHeight="1">
      <c r="A952" t="inlineStr">
        <is>
          <t>A 1498-2026</t>
        </is>
      </c>
      <c r="B952" s="1" t="n">
        <v>46034.331875</v>
      </c>
      <c r="C952" s="1" t="n">
        <v>46048</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2270-2026</t>
        </is>
      </c>
      <c r="B953" s="1" t="n">
        <v>46029</v>
      </c>
      <c r="C953" s="1" t="n">
        <v>46048</v>
      </c>
      <c r="D953" t="inlineStr">
        <is>
          <t>JÄMTLANDS LÄN</t>
        </is>
      </c>
      <c r="E953" t="inlineStr">
        <is>
          <t>BERG</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60163-2025</t>
        </is>
      </c>
      <c r="B954" s="1" t="n">
        <v>45994.43094907407</v>
      </c>
      <c r="C954" s="1" t="n">
        <v>46048</v>
      </c>
      <c r="D954" t="inlineStr">
        <is>
          <t>JÄMTLANDS LÄN</t>
        </is>
      </c>
      <c r="E954" t="inlineStr">
        <is>
          <t>BERG</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2312-2026</t>
        </is>
      </c>
      <c r="B955" s="1" t="n">
        <v>46036.59519675926</v>
      </c>
      <c r="C955" s="1" t="n">
        <v>46048</v>
      </c>
      <c r="D955" t="inlineStr">
        <is>
          <t>JÄMTLANDS LÄN</t>
        </is>
      </c>
      <c r="E955" t="inlineStr">
        <is>
          <t>BERG</t>
        </is>
      </c>
      <c r="G955" t="n">
        <v>5.4</v>
      </c>
      <c r="H955" t="n">
        <v>0</v>
      </c>
      <c r="I955" t="n">
        <v>0</v>
      </c>
      <c r="J955" t="n">
        <v>0</v>
      </c>
      <c r="K955" t="n">
        <v>0</v>
      </c>
      <c r="L955" t="n">
        <v>0</v>
      </c>
      <c r="M955" t="n">
        <v>0</v>
      </c>
      <c r="N955" t="n">
        <v>0</v>
      </c>
      <c r="O955" t="n">
        <v>0</v>
      </c>
      <c r="P955" t="n">
        <v>0</v>
      </c>
      <c r="Q955" t="n">
        <v>0</v>
      </c>
      <c r="R955" s="2" t="inlineStr"/>
    </row>
    <row r="956" ht="15" customHeight="1">
      <c r="A956" t="inlineStr">
        <is>
          <t>A 2632-2026</t>
        </is>
      </c>
      <c r="B956" s="1" t="n">
        <v>46035</v>
      </c>
      <c r="C956" s="1" t="n">
        <v>46048</v>
      </c>
      <c r="D956" t="inlineStr">
        <is>
          <t>JÄMTLANDS LÄN</t>
        </is>
      </c>
      <c r="E956" t="inlineStr">
        <is>
          <t>BERG</t>
        </is>
      </c>
      <c r="G956" t="n">
        <v>0.9</v>
      </c>
      <c r="H956" t="n">
        <v>0</v>
      </c>
      <c r="I956" t="n">
        <v>0</v>
      </c>
      <c r="J956" t="n">
        <v>0</v>
      </c>
      <c r="K956" t="n">
        <v>0</v>
      </c>
      <c r="L956" t="n">
        <v>0</v>
      </c>
      <c r="M956" t="n">
        <v>0</v>
      </c>
      <c r="N956" t="n">
        <v>0</v>
      </c>
      <c r="O956" t="n">
        <v>0</v>
      </c>
      <c r="P956" t="n">
        <v>0</v>
      </c>
      <c r="Q956" t="n">
        <v>0</v>
      </c>
      <c r="R956" s="2" t="inlineStr"/>
    </row>
    <row r="957" ht="15" customHeight="1">
      <c r="A957" t="inlineStr">
        <is>
          <t>A 39809-2025</t>
        </is>
      </c>
      <c r="B957" s="1" t="n">
        <v>45891</v>
      </c>
      <c r="C957" s="1" t="n">
        <v>46048</v>
      </c>
      <c r="D957" t="inlineStr">
        <is>
          <t>JÄMTLANDS LÄN</t>
        </is>
      </c>
      <c r="E957" t="inlineStr">
        <is>
          <t>BERG</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53427-2025</t>
        </is>
      </c>
      <c r="B958" s="1" t="n">
        <v>45959</v>
      </c>
      <c r="C958" s="1" t="n">
        <v>46048</v>
      </c>
      <c r="D958" t="inlineStr">
        <is>
          <t>JÄMTLANDS LÄN</t>
        </is>
      </c>
      <c r="E958" t="inlineStr">
        <is>
          <t>BERG</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60463-2025</t>
        </is>
      </c>
      <c r="B959" s="1" t="n">
        <v>45995.55276620371</v>
      </c>
      <c r="C959" s="1" t="n">
        <v>46048</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2346-2026</t>
        </is>
      </c>
      <c r="B960" s="1" t="n">
        <v>46036.62737268519</v>
      </c>
      <c r="C960" s="1" t="n">
        <v>46048</v>
      </c>
      <c r="D960" t="inlineStr">
        <is>
          <t>JÄMTLANDS LÄN</t>
        </is>
      </c>
      <c r="E960" t="inlineStr">
        <is>
          <t>BERG</t>
        </is>
      </c>
      <c r="G960" t="n">
        <v>4.2</v>
      </c>
      <c r="H960" t="n">
        <v>0</v>
      </c>
      <c r="I960" t="n">
        <v>0</v>
      </c>
      <c r="J960" t="n">
        <v>0</v>
      </c>
      <c r="K960" t="n">
        <v>0</v>
      </c>
      <c r="L960" t="n">
        <v>0</v>
      </c>
      <c r="M960" t="n">
        <v>0</v>
      </c>
      <c r="N960" t="n">
        <v>0</v>
      </c>
      <c r="O960" t="n">
        <v>0</v>
      </c>
      <c r="P960" t="n">
        <v>0</v>
      </c>
      <c r="Q960" t="n">
        <v>0</v>
      </c>
      <c r="R960" s="2" t="inlineStr"/>
    </row>
    <row r="961" ht="15" customHeight="1">
      <c r="A961" t="inlineStr">
        <is>
          <t>A 60632-2025</t>
        </is>
      </c>
      <c r="B961" s="1" t="n">
        <v>45996.42769675926</v>
      </c>
      <c r="C961" s="1" t="n">
        <v>46048</v>
      </c>
      <c r="D961" t="inlineStr">
        <is>
          <t>JÄMTLANDS LÄN</t>
        </is>
      </c>
      <c r="E961" t="inlineStr">
        <is>
          <t>BERG</t>
        </is>
      </c>
      <c r="F961" t="inlineStr">
        <is>
          <t>SCA</t>
        </is>
      </c>
      <c r="G961" t="n">
        <v>18.2</v>
      </c>
      <c r="H961" t="n">
        <v>0</v>
      </c>
      <c r="I961" t="n">
        <v>0</v>
      </c>
      <c r="J961" t="n">
        <v>0</v>
      </c>
      <c r="K961" t="n">
        <v>0</v>
      </c>
      <c r="L961" t="n">
        <v>0</v>
      </c>
      <c r="M961" t="n">
        <v>0</v>
      </c>
      <c r="N961" t="n">
        <v>0</v>
      </c>
      <c r="O961" t="n">
        <v>0</v>
      </c>
      <c r="P961" t="n">
        <v>0</v>
      </c>
      <c r="Q961" t="n">
        <v>0</v>
      </c>
      <c r="R961" s="2" t="inlineStr"/>
    </row>
    <row r="962" ht="15" customHeight="1">
      <c r="A962" t="inlineStr">
        <is>
          <t>A 60635-2025</t>
        </is>
      </c>
      <c r="B962" s="1" t="n">
        <v>45996.42826388889</v>
      </c>
      <c r="C962" s="1" t="n">
        <v>46048</v>
      </c>
      <c r="D962" t="inlineStr">
        <is>
          <t>JÄMTLANDS LÄN</t>
        </is>
      </c>
      <c r="E962" t="inlineStr">
        <is>
          <t>BERG</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60634-2025</t>
        </is>
      </c>
      <c r="B963" s="1" t="n">
        <v>45996.42805555555</v>
      </c>
      <c r="C963" s="1" t="n">
        <v>46048</v>
      </c>
      <c r="D963" t="inlineStr">
        <is>
          <t>JÄMTLANDS LÄN</t>
        </is>
      </c>
      <c r="E963" t="inlineStr">
        <is>
          <t>BERG</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3241-2026</t>
        </is>
      </c>
      <c r="B964" s="1" t="n">
        <v>46041.56872685185</v>
      </c>
      <c r="C964" s="1" t="n">
        <v>46048</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60831-2025</t>
        </is>
      </c>
      <c r="B965" s="1" t="n">
        <v>45999.46935185185</v>
      </c>
      <c r="C965" s="1" t="n">
        <v>46048</v>
      </c>
      <c r="D965" t="inlineStr">
        <is>
          <t>JÄMTLANDS LÄN</t>
        </is>
      </c>
      <c r="E965" t="inlineStr">
        <is>
          <t>BERG</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3810-2026</t>
        </is>
      </c>
      <c r="B966" s="1" t="n">
        <v>46043.58373842593</v>
      </c>
      <c r="C966" s="1" t="n">
        <v>46048</v>
      </c>
      <c r="D966" t="inlineStr">
        <is>
          <t>JÄMTLANDS LÄN</t>
        </is>
      </c>
      <c r="E966" t="inlineStr">
        <is>
          <t>BERG</t>
        </is>
      </c>
      <c r="G966" t="n">
        <v>2.5</v>
      </c>
      <c r="H966" t="n">
        <v>0</v>
      </c>
      <c r="I966" t="n">
        <v>0</v>
      </c>
      <c r="J966" t="n">
        <v>0</v>
      </c>
      <c r="K966" t="n">
        <v>0</v>
      </c>
      <c r="L966" t="n">
        <v>0</v>
      </c>
      <c r="M966" t="n">
        <v>0</v>
      </c>
      <c r="N966" t="n">
        <v>0</v>
      </c>
      <c r="O966" t="n">
        <v>0</v>
      </c>
      <c r="P966" t="n">
        <v>0</v>
      </c>
      <c r="Q966" t="n">
        <v>0</v>
      </c>
      <c r="R966" s="2" t="inlineStr"/>
    </row>
    <row r="967" ht="15" customHeight="1">
      <c r="A967" t="inlineStr">
        <is>
          <t>A 61501-2025</t>
        </is>
      </c>
      <c r="B967" s="1" t="n">
        <v>46001.65951388889</v>
      </c>
      <c r="C967" s="1" t="n">
        <v>46048</v>
      </c>
      <c r="D967" t="inlineStr">
        <is>
          <t>JÄMTLANDS LÄN</t>
        </is>
      </c>
      <c r="E967" t="inlineStr">
        <is>
          <t>BERG</t>
        </is>
      </c>
      <c r="G967" t="n">
        <v>1.8</v>
      </c>
      <c r="H967" t="n">
        <v>0</v>
      </c>
      <c r="I967" t="n">
        <v>0</v>
      </c>
      <c r="J967" t="n">
        <v>0</v>
      </c>
      <c r="K967" t="n">
        <v>0</v>
      </c>
      <c r="L967" t="n">
        <v>0</v>
      </c>
      <c r="M967" t="n">
        <v>0</v>
      </c>
      <c r="N967" t="n">
        <v>0</v>
      </c>
      <c r="O967" t="n">
        <v>0</v>
      </c>
      <c r="P967" t="n">
        <v>0</v>
      </c>
      <c r="Q967" t="n">
        <v>0</v>
      </c>
      <c r="R967" s="2" t="inlineStr"/>
    </row>
    <row r="968" ht="15" customHeight="1">
      <c r="A968" t="inlineStr">
        <is>
          <t>A 47168-2025</t>
        </is>
      </c>
      <c r="B968" s="1" t="n">
        <v>45929</v>
      </c>
      <c r="C968" s="1" t="n">
        <v>46048</v>
      </c>
      <c r="D968" t="inlineStr">
        <is>
          <t>JÄMTLANDS LÄN</t>
        </is>
      </c>
      <c r="E968" t="inlineStr">
        <is>
          <t>BERG</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3796-2026</t>
        </is>
      </c>
      <c r="B969" s="1" t="n">
        <v>46043.57982638889</v>
      </c>
      <c r="C969" s="1" t="n">
        <v>46048</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14431-2025</t>
        </is>
      </c>
      <c r="B970" s="1" t="n">
        <v>45741</v>
      </c>
      <c r="C970" s="1" t="n">
        <v>46048</v>
      </c>
      <c r="D970" t="inlineStr">
        <is>
          <t>JÄMTLANDS LÄN</t>
        </is>
      </c>
      <c r="E970" t="inlineStr">
        <is>
          <t>BERG</t>
        </is>
      </c>
      <c r="G970" t="n">
        <v>1.7</v>
      </c>
      <c r="H970" t="n">
        <v>0</v>
      </c>
      <c r="I970" t="n">
        <v>0</v>
      </c>
      <c r="J970" t="n">
        <v>0</v>
      </c>
      <c r="K970" t="n">
        <v>0</v>
      </c>
      <c r="L970" t="n">
        <v>0</v>
      </c>
      <c r="M970" t="n">
        <v>0</v>
      </c>
      <c r="N970" t="n">
        <v>0</v>
      </c>
      <c r="O970" t="n">
        <v>0</v>
      </c>
      <c r="P970" t="n">
        <v>0</v>
      </c>
      <c r="Q970" t="n">
        <v>0</v>
      </c>
      <c r="R970" s="2" t="inlineStr"/>
    </row>
    <row r="971" ht="15" customHeight="1">
      <c r="A971" t="inlineStr">
        <is>
          <t>A 61459-2025</t>
        </is>
      </c>
      <c r="B971" s="1" t="n">
        <v>46001.59416666667</v>
      </c>
      <c r="C971" s="1" t="n">
        <v>46048</v>
      </c>
      <c r="D971" t="inlineStr">
        <is>
          <t>JÄMTLANDS LÄN</t>
        </is>
      </c>
      <c r="E971" t="inlineStr">
        <is>
          <t>BERG</t>
        </is>
      </c>
      <c r="G971" t="n">
        <v>2.7</v>
      </c>
      <c r="H971" t="n">
        <v>0</v>
      </c>
      <c r="I971" t="n">
        <v>0</v>
      </c>
      <c r="J971" t="n">
        <v>0</v>
      </c>
      <c r="K971" t="n">
        <v>0</v>
      </c>
      <c r="L971" t="n">
        <v>0</v>
      </c>
      <c r="M971" t="n">
        <v>0</v>
      </c>
      <c r="N971" t="n">
        <v>0</v>
      </c>
      <c r="O971" t="n">
        <v>0</v>
      </c>
      <c r="P971" t="n">
        <v>0</v>
      </c>
      <c r="Q971" t="n">
        <v>0</v>
      </c>
      <c r="R971" s="2" t="inlineStr"/>
    </row>
    <row r="972" ht="15" customHeight="1">
      <c r="A972" t="inlineStr">
        <is>
          <t>A 61460-2025</t>
        </is>
      </c>
      <c r="B972" s="1" t="n">
        <v>46001.59425925926</v>
      </c>
      <c r="C972" s="1" t="n">
        <v>46048</v>
      </c>
      <c r="D972" t="inlineStr">
        <is>
          <t>JÄMTLANDS LÄN</t>
        </is>
      </c>
      <c r="E972" t="inlineStr">
        <is>
          <t>BERG</t>
        </is>
      </c>
      <c r="G972" t="n">
        <v>1.9</v>
      </c>
      <c r="H972" t="n">
        <v>0</v>
      </c>
      <c r="I972" t="n">
        <v>0</v>
      </c>
      <c r="J972" t="n">
        <v>0</v>
      </c>
      <c r="K972" t="n">
        <v>0</v>
      </c>
      <c r="L972" t="n">
        <v>0</v>
      </c>
      <c r="M972" t="n">
        <v>0</v>
      </c>
      <c r="N972" t="n">
        <v>0</v>
      </c>
      <c r="O972" t="n">
        <v>0</v>
      </c>
      <c r="P972" t="n">
        <v>0</v>
      </c>
      <c r="Q972" t="n">
        <v>0</v>
      </c>
      <c r="R972" s="2" t="inlineStr"/>
    </row>
    <row r="973" ht="15" customHeight="1">
      <c r="A973" t="inlineStr">
        <is>
          <t>A 4337-2026</t>
        </is>
      </c>
      <c r="B973" s="1" t="n">
        <v>46045</v>
      </c>
      <c r="C973" s="1" t="n">
        <v>46048</v>
      </c>
      <c r="D973" t="inlineStr">
        <is>
          <t>JÄMTLANDS LÄN</t>
        </is>
      </c>
      <c r="E973" t="inlineStr">
        <is>
          <t>BERG</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31682-2022</t>
        </is>
      </c>
      <c r="B974" s="1" t="n">
        <v>44776</v>
      </c>
      <c r="C974" s="1" t="n">
        <v>46048</v>
      </c>
      <c r="D974" t="inlineStr">
        <is>
          <t>JÄMTLANDS LÄN</t>
        </is>
      </c>
      <c r="E974" t="inlineStr">
        <is>
          <t>BERG</t>
        </is>
      </c>
      <c r="G974" t="n">
        <v>8</v>
      </c>
      <c r="H974" t="n">
        <v>0</v>
      </c>
      <c r="I974" t="n">
        <v>0</v>
      </c>
      <c r="J974" t="n">
        <v>0</v>
      </c>
      <c r="K974" t="n">
        <v>0</v>
      </c>
      <c r="L974" t="n">
        <v>0</v>
      </c>
      <c r="M974" t="n">
        <v>0</v>
      </c>
      <c r="N974" t="n">
        <v>0</v>
      </c>
      <c r="O974" t="n">
        <v>0</v>
      </c>
      <c r="P974" t="n">
        <v>0</v>
      </c>
      <c r="Q974" t="n">
        <v>0</v>
      </c>
      <c r="R974" s="2" t="inlineStr"/>
    </row>
    <row r="975" ht="15" customHeight="1">
      <c r="A975" t="inlineStr">
        <is>
          <t>A 1684-2026</t>
        </is>
      </c>
      <c r="B975" s="1" t="n">
        <v>46034.58386574074</v>
      </c>
      <c r="C975" s="1" t="n">
        <v>46048</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61647-2025</t>
        </is>
      </c>
      <c r="B976" s="1" t="n">
        <v>46002.4403587963</v>
      </c>
      <c r="C976" s="1" t="n">
        <v>46048</v>
      </c>
      <c r="D976" t="inlineStr">
        <is>
          <t>JÄMTLANDS LÄN</t>
        </is>
      </c>
      <c r="E976" t="inlineStr">
        <is>
          <t>BERG</t>
        </is>
      </c>
      <c r="G976" t="n">
        <v>3.2</v>
      </c>
      <c r="H976" t="n">
        <v>0</v>
      </c>
      <c r="I976" t="n">
        <v>0</v>
      </c>
      <c r="J976" t="n">
        <v>0</v>
      </c>
      <c r="K976" t="n">
        <v>0</v>
      </c>
      <c r="L976" t="n">
        <v>0</v>
      </c>
      <c r="M976" t="n">
        <v>0</v>
      </c>
      <c r="N976" t="n">
        <v>0</v>
      </c>
      <c r="O976" t="n">
        <v>0</v>
      </c>
      <c r="P976" t="n">
        <v>0</v>
      </c>
      <c r="Q976" t="n">
        <v>0</v>
      </c>
      <c r="R976" s="2" t="inlineStr"/>
    </row>
    <row r="977" ht="15" customHeight="1">
      <c r="A977" t="inlineStr">
        <is>
          <t>A 61987-2025</t>
        </is>
      </c>
      <c r="B977" s="1" t="n">
        <v>46003.62914351852</v>
      </c>
      <c r="C977" s="1" t="n">
        <v>46048</v>
      </c>
      <c r="D977" t="inlineStr">
        <is>
          <t>JÄMTLANDS LÄN</t>
        </is>
      </c>
      <c r="E977" t="inlineStr">
        <is>
          <t>BERG</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61977-2025</t>
        </is>
      </c>
      <c r="B978" s="1" t="n">
        <v>46003.61158564815</v>
      </c>
      <c r="C978" s="1" t="n">
        <v>46048</v>
      </c>
      <c r="D978" t="inlineStr">
        <is>
          <t>JÄMTLANDS LÄN</t>
        </is>
      </c>
      <c r="E978" t="inlineStr">
        <is>
          <t>BERG</t>
        </is>
      </c>
      <c r="G978" t="n">
        <v>2.7</v>
      </c>
      <c r="H978" t="n">
        <v>0</v>
      </c>
      <c r="I978" t="n">
        <v>0</v>
      </c>
      <c r="J978" t="n">
        <v>0</v>
      </c>
      <c r="K978" t="n">
        <v>0</v>
      </c>
      <c r="L978" t="n">
        <v>0</v>
      </c>
      <c r="M978" t="n">
        <v>0</v>
      </c>
      <c r="N978" t="n">
        <v>0</v>
      </c>
      <c r="O978" t="n">
        <v>0</v>
      </c>
      <c r="P978" t="n">
        <v>0</v>
      </c>
      <c r="Q978" t="n">
        <v>0</v>
      </c>
      <c r="R978" s="2" t="inlineStr"/>
    </row>
    <row r="979" ht="15" customHeight="1">
      <c r="A979" t="inlineStr">
        <is>
          <t>A 61991-2025</t>
        </is>
      </c>
      <c r="B979" s="1" t="n">
        <v>46003.62962962963</v>
      </c>
      <c r="C979" s="1" t="n">
        <v>46048</v>
      </c>
      <c r="D979" t="inlineStr">
        <is>
          <t>JÄMTLANDS LÄN</t>
        </is>
      </c>
      <c r="E979" t="inlineStr">
        <is>
          <t>BERG</t>
        </is>
      </c>
      <c r="F979" t="inlineStr">
        <is>
          <t>SCA</t>
        </is>
      </c>
      <c r="G979" t="n">
        <v>3.1</v>
      </c>
      <c r="H979" t="n">
        <v>0</v>
      </c>
      <c r="I979" t="n">
        <v>0</v>
      </c>
      <c r="J979" t="n">
        <v>0</v>
      </c>
      <c r="K979" t="n">
        <v>0</v>
      </c>
      <c r="L979" t="n">
        <v>0</v>
      </c>
      <c r="M979" t="n">
        <v>0</v>
      </c>
      <c r="N979" t="n">
        <v>0</v>
      </c>
      <c r="O979" t="n">
        <v>0</v>
      </c>
      <c r="P979" t="n">
        <v>0</v>
      </c>
      <c r="Q979" t="n">
        <v>0</v>
      </c>
      <c r="R979" s="2" t="inlineStr"/>
    </row>
    <row r="980">
      <c r="A980" t="inlineStr">
        <is>
          <t>A 4383-2026</t>
        </is>
      </c>
      <c r="B980" s="1" t="n">
        <v>46045.56296296296</v>
      </c>
      <c r="C980" s="1" t="n">
        <v>46048</v>
      </c>
      <c r="D980" t="inlineStr">
        <is>
          <t>JÄMTLANDS LÄN</t>
        </is>
      </c>
      <c r="E980" t="inlineStr">
        <is>
          <t>BERG</t>
        </is>
      </c>
      <c r="G980" t="n">
        <v>0.9</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2026-01-26T11:02:16Z</dcterms:created>
  <dcterms:modified xmlns:dcterms="http://purl.org/dc/terms/" xmlns:xsi="http://www.w3.org/2001/XMLSchema-instance" xsi:type="dcterms:W3CDTF">2026-01-26T11:02:17Z</dcterms:modified>
</cp:coreProperties>
</file>