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45995</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45995</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45995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45995</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45995</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45995</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45995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45995</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45995</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45995</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45995</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45995</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45995</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45995</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45995</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45995</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53455-2024</t>
        </is>
      </c>
      <c r="B29" s="1" t="n">
        <v>45614.54873842592</v>
      </c>
      <c r="C29" s="1" t="n">
        <v>45995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45995</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45995</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45995</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45995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45995</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45995</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7483-2023</t>
        </is>
      </c>
      <c r="B36" s="1" t="n">
        <v>44966</v>
      </c>
      <c r="C36" s="1" t="n">
        <v>45995</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45995</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45995</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43991-2023</t>
        </is>
      </c>
      <c r="B39" s="1" t="n">
        <v>45187</v>
      </c>
      <c r="C39" s="1" t="n">
        <v>45995</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39288-2025</t>
        </is>
      </c>
      <c r="B40" s="1" t="n">
        <v>45889</v>
      </c>
      <c r="C40" s="1" t="n">
        <v>45995</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45995</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45995</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45995</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45995</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45995</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12752-2024</t>
        </is>
      </c>
      <c r="B46" s="1" t="n">
        <v>45384</v>
      </c>
      <c r="C46" s="1" t="n">
        <v>45995</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21519-2025</t>
        </is>
      </c>
      <c r="B47" s="1" t="n">
        <v>45782</v>
      </c>
      <c r="C47" s="1" t="n">
        <v>45995</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39281-2025</t>
        </is>
      </c>
      <c r="B48" s="1" t="n">
        <v>45889</v>
      </c>
      <c r="C48" s="1" t="n">
        <v>45995</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45995</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56364-2024</t>
        </is>
      </c>
      <c r="B50" s="1" t="n">
        <v>45625.32383101852</v>
      </c>
      <c r="C50" s="1" t="n">
        <v>45995</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35538-2025</t>
        </is>
      </c>
      <c r="B51" s="1" t="n">
        <v>45856.4552662037</v>
      </c>
      <c r="C51" s="1" t="n">
        <v>45995</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45995</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45995</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49626-2024</t>
        </is>
      </c>
      <c r="B54" s="1" t="n">
        <v>45596.59109953704</v>
      </c>
      <c r="C54" s="1" t="n">
        <v>45995</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27571-2025</t>
        </is>
      </c>
      <c r="B55" s="1" t="n">
        <v>45813.49040509259</v>
      </c>
      <c r="C55" s="1" t="n">
        <v>45995</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17078-2024</t>
        </is>
      </c>
      <c r="B56" s="1" t="n">
        <v>45412</v>
      </c>
      <c r="C56" s="1" t="n">
        <v>45995</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16508-2021</t>
        </is>
      </c>
      <c r="B57" s="1" t="n">
        <v>44293</v>
      </c>
      <c r="C57" s="1" t="n">
        <v>45995</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24670-2025</t>
        </is>
      </c>
      <c r="B58" s="1" t="n">
        <v>45798.64947916667</v>
      </c>
      <c r="C58" s="1" t="n">
        <v>45995</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54406-2023</t>
        </is>
      </c>
      <c r="B59" s="1" t="n">
        <v>45233.38612268519</v>
      </c>
      <c r="C59" s="1" t="n">
        <v>45995</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27957-2025</t>
        </is>
      </c>
      <c r="B60" s="1" t="n">
        <v>45817.53871527778</v>
      </c>
      <c r="C60" s="1" t="n">
        <v>45995</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12973-2024</t>
        </is>
      </c>
      <c r="B61" s="1" t="n">
        <v>45385.51104166666</v>
      </c>
      <c r="C61" s="1" t="n">
        <v>45995</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45995</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45995</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45995</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12966-2024</t>
        </is>
      </c>
      <c r="B65" s="1" t="n">
        <v>45385</v>
      </c>
      <c r="C65" s="1" t="n">
        <v>45995</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46938-2025</t>
        </is>
      </c>
      <c r="B66" s="1" t="n">
        <v>45929.45290509259</v>
      </c>
      <c r="C66" s="1" t="n">
        <v>45995</v>
      </c>
      <c r="D66" t="inlineStr">
        <is>
          <t>JÄMTLANDS LÄN</t>
        </is>
      </c>
      <c r="E66" t="inlineStr">
        <is>
          <t>BERG</t>
        </is>
      </c>
      <c r="G66" t="n">
        <v>10.7</v>
      </c>
      <c r="H66" t="n">
        <v>2</v>
      </c>
      <c r="I66" t="n">
        <v>3</v>
      </c>
      <c r="J66" t="n">
        <v>2</v>
      </c>
      <c r="K66" t="n">
        <v>0</v>
      </c>
      <c r="L66" t="n">
        <v>0</v>
      </c>
      <c r="M66" t="n">
        <v>0</v>
      </c>
      <c r="N66" t="n">
        <v>0</v>
      </c>
      <c r="O66" t="n">
        <v>2</v>
      </c>
      <c r="P66" t="n">
        <v>0</v>
      </c>
      <c r="Q66" t="n">
        <v>5</v>
      </c>
      <c r="R66" s="2" t="inlineStr">
        <is>
          <t>Harticka
Ullticka
Korallrot
Spindelblomster
Ögonpyrola</t>
        </is>
      </c>
      <c r="S66">
        <f>HYPERLINK("https://klasma.github.io/Logging_2326/artfynd/A 46938-2025 artfynd.xlsx", "A 46938-2025")</f>
        <v/>
      </c>
      <c r="T66">
        <f>HYPERLINK("https://klasma.github.io/Logging_2326/kartor/A 46938-2025 karta.png", "A 46938-2025")</f>
        <v/>
      </c>
      <c r="V66">
        <f>HYPERLINK("https://klasma.github.io/Logging_2326/klagomål/A 46938-2025 FSC-klagomål.docx", "A 46938-2025")</f>
        <v/>
      </c>
      <c r="W66">
        <f>HYPERLINK("https://klasma.github.io/Logging_2326/klagomålsmail/A 46938-2025 FSC-klagomål mail.docx", "A 46938-2025")</f>
        <v/>
      </c>
      <c r="X66">
        <f>HYPERLINK("https://klasma.github.io/Logging_2326/tillsyn/A 46938-2025 tillsynsbegäran.docx", "A 46938-2025")</f>
        <v/>
      </c>
      <c r="Y66">
        <f>HYPERLINK("https://klasma.github.io/Logging_2326/tillsynsmail/A 46938-2025 tillsynsbegäran mail.docx", "A 46938-2025")</f>
        <v/>
      </c>
    </row>
    <row r="67" ht="15" customHeight="1">
      <c r="A67" t="inlineStr">
        <is>
          <t>A 19530-2025</t>
        </is>
      </c>
      <c r="B67" s="1" t="n">
        <v>45770.46903935185</v>
      </c>
      <c r="C67" s="1" t="n">
        <v>45995</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28659-2025</t>
        </is>
      </c>
      <c r="B68" s="1" t="n">
        <v>45819.65783564815</v>
      </c>
      <c r="C68" s="1" t="n">
        <v>45995</v>
      </c>
      <c r="D68" t="inlineStr">
        <is>
          <t>JÄMTLANDS LÄN</t>
        </is>
      </c>
      <c r="E68" t="inlineStr">
        <is>
          <t>BERG</t>
        </is>
      </c>
      <c r="G68" t="n">
        <v>4.8</v>
      </c>
      <c r="H68" t="n">
        <v>2</v>
      </c>
      <c r="I68" t="n">
        <v>2</v>
      </c>
      <c r="J68" t="n">
        <v>3</v>
      </c>
      <c r="K68" t="n">
        <v>0</v>
      </c>
      <c r="L68" t="n">
        <v>0</v>
      </c>
      <c r="M68" t="n">
        <v>0</v>
      </c>
      <c r="N68" t="n">
        <v>0</v>
      </c>
      <c r="O68" t="n">
        <v>3</v>
      </c>
      <c r="P68" t="n">
        <v>0</v>
      </c>
      <c r="Q68" t="n">
        <v>5</v>
      </c>
      <c r="R68" s="2" t="inlineStr">
        <is>
          <t>Garnlav
Lunglav
Vitgrynig nållav
Korallrot
Spindelblomster</t>
        </is>
      </c>
      <c r="S68">
        <f>HYPERLINK("https://klasma.github.io/Logging_2326/artfynd/A 28659-2025 artfynd.xlsx", "A 28659-2025")</f>
        <v/>
      </c>
      <c r="T68">
        <f>HYPERLINK("https://klasma.github.io/Logging_2326/kartor/A 28659-2025 karta.png", "A 28659-2025")</f>
        <v/>
      </c>
      <c r="V68">
        <f>HYPERLINK("https://klasma.github.io/Logging_2326/klagomål/A 28659-2025 FSC-klagomål.docx", "A 28659-2025")</f>
        <v/>
      </c>
      <c r="W68">
        <f>HYPERLINK("https://klasma.github.io/Logging_2326/klagomålsmail/A 28659-2025 FSC-klagomål mail.docx", "A 28659-2025")</f>
        <v/>
      </c>
      <c r="X68">
        <f>HYPERLINK("https://klasma.github.io/Logging_2326/tillsyn/A 28659-2025 tillsynsbegäran.docx", "A 28659-2025")</f>
        <v/>
      </c>
      <c r="Y68">
        <f>HYPERLINK("https://klasma.github.io/Logging_2326/tillsynsmail/A 28659-2025 tillsynsbegäran mail.docx", "A 28659-2025")</f>
        <v/>
      </c>
    </row>
    <row r="69" ht="15" customHeight="1">
      <c r="A69" t="inlineStr">
        <is>
          <t>A 56203-2021</t>
        </is>
      </c>
      <c r="B69" s="1" t="n">
        <v>44477</v>
      </c>
      <c r="C69" s="1" t="n">
        <v>45995</v>
      </c>
      <c r="D69" t="inlineStr">
        <is>
          <t>JÄMTLANDS LÄN</t>
        </is>
      </c>
      <c r="E69" t="inlineStr">
        <is>
          <t>BERG</t>
        </is>
      </c>
      <c r="F69" t="inlineStr">
        <is>
          <t>SCA</t>
        </is>
      </c>
      <c r="G69" t="n">
        <v>3.4</v>
      </c>
      <c r="H69" t="n">
        <v>2</v>
      </c>
      <c r="I69" t="n">
        <v>0</v>
      </c>
      <c r="J69" t="n">
        <v>4</v>
      </c>
      <c r="K69" t="n">
        <v>0</v>
      </c>
      <c r="L69" t="n">
        <v>0</v>
      </c>
      <c r="M69" t="n">
        <v>0</v>
      </c>
      <c r="N69" t="n">
        <v>0</v>
      </c>
      <c r="O69" t="n">
        <v>4</v>
      </c>
      <c r="P69" t="n">
        <v>0</v>
      </c>
      <c r="Q69" t="n">
        <v>5</v>
      </c>
      <c r="R69" s="2" t="inlineStr">
        <is>
          <t>Garnlav
Granticka
Lunglav
Tretåig hackspett
Tjäder</t>
        </is>
      </c>
      <c r="S69">
        <f>HYPERLINK("https://klasma.github.io/Logging_2326/artfynd/A 56203-2021 artfynd.xlsx", "A 56203-2021")</f>
        <v/>
      </c>
      <c r="T69">
        <f>HYPERLINK("https://klasma.github.io/Logging_2326/kartor/A 56203-2021 karta.png", "A 56203-2021")</f>
        <v/>
      </c>
      <c r="V69">
        <f>HYPERLINK("https://klasma.github.io/Logging_2326/klagomål/A 56203-2021 FSC-klagomål.docx", "A 56203-2021")</f>
        <v/>
      </c>
      <c r="W69">
        <f>HYPERLINK("https://klasma.github.io/Logging_2326/klagomålsmail/A 56203-2021 FSC-klagomål mail.docx", "A 56203-2021")</f>
        <v/>
      </c>
      <c r="X69">
        <f>HYPERLINK("https://klasma.github.io/Logging_2326/tillsyn/A 56203-2021 tillsynsbegäran.docx", "A 56203-2021")</f>
        <v/>
      </c>
      <c r="Y69">
        <f>HYPERLINK("https://klasma.github.io/Logging_2326/tillsynsmail/A 56203-2021 tillsynsbegäran mail.docx", "A 56203-2021")</f>
        <v/>
      </c>
      <c r="Z69">
        <f>HYPERLINK("https://klasma.github.io/Logging_2326/fåglar/A 56203-2021 prioriterade fågelarter.docx", "A 56203-2021")</f>
        <v/>
      </c>
    </row>
    <row r="70" ht="15" customHeight="1">
      <c r="A70" t="inlineStr">
        <is>
          <t>A 54979-2021</t>
        </is>
      </c>
      <c r="B70" s="1" t="n">
        <v>44474.53888888889</v>
      </c>
      <c r="C70" s="1" t="n">
        <v>45995</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45995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45995</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12962-2024</t>
        </is>
      </c>
      <c r="B73" s="1" t="n">
        <v>45385.49314814815</v>
      </c>
      <c r="C73" s="1" t="n">
        <v>45995</v>
      </c>
      <c r="D73" t="inlineStr">
        <is>
          <t>JÄMTLANDS LÄN</t>
        </is>
      </c>
      <c r="E73" t="inlineStr">
        <is>
          <t>BERG</t>
        </is>
      </c>
      <c r="G73" t="n">
        <v>7.3</v>
      </c>
      <c r="H73" t="n">
        <v>1</v>
      </c>
      <c r="I73" t="n">
        <v>0</v>
      </c>
      <c r="J73" t="n">
        <v>4</v>
      </c>
      <c r="K73" t="n">
        <v>0</v>
      </c>
      <c r="L73" t="n">
        <v>0</v>
      </c>
      <c r="M73" t="n">
        <v>0</v>
      </c>
      <c r="N73" t="n">
        <v>0</v>
      </c>
      <c r="O73" t="n">
        <v>4</v>
      </c>
      <c r="P73" t="n">
        <v>0</v>
      </c>
      <c r="Q73" t="n">
        <v>4</v>
      </c>
      <c r="R73" s="2" t="inlineStr">
        <is>
          <t>Granticka
Lunglav
Skrovellav
Tretåig hackspett</t>
        </is>
      </c>
      <c r="S73">
        <f>HYPERLINK("https://klasma.github.io/Logging_2326/artfynd/A 12962-2024 artfynd.xlsx", "A 12962-2024")</f>
        <v/>
      </c>
      <c r="T73">
        <f>HYPERLINK("https://klasma.github.io/Logging_2326/kartor/A 12962-2024 karta.png", "A 12962-2024")</f>
        <v/>
      </c>
      <c r="V73">
        <f>HYPERLINK("https://klasma.github.io/Logging_2326/klagomål/A 12962-2024 FSC-klagomål.docx", "A 12962-2024")</f>
        <v/>
      </c>
      <c r="W73">
        <f>HYPERLINK("https://klasma.github.io/Logging_2326/klagomålsmail/A 12962-2024 FSC-klagomål mail.docx", "A 12962-2024")</f>
        <v/>
      </c>
      <c r="X73">
        <f>HYPERLINK("https://klasma.github.io/Logging_2326/tillsyn/A 12962-2024 tillsynsbegäran.docx", "A 12962-2024")</f>
        <v/>
      </c>
      <c r="Y73">
        <f>HYPERLINK("https://klasma.github.io/Logging_2326/tillsynsmail/A 12962-2024 tillsynsbegäran mail.docx", "A 12962-2024")</f>
        <v/>
      </c>
      <c r="Z73">
        <f>HYPERLINK("https://klasma.github.io/Logging_2326/fåglar/A 12962-2024 prioriterade fågelarter.docx", "A 12962-2024")</f>
        <v/>
      </c>
    </row>
    <row r="74" ht="15" customHeight="1">
      <c r="A74" t="inlineStr">
        <is>
          <t>A 40913-2025</t>
        </is>
      </c>
      <c r="B74" s="1" t="n">
        <v>45897.61719907408</v>
      </c>
      <c r="C74" s="1" t="n">
        <v>45995</v>
      </c>
      <c r="D74" t="inlineStr">
        <is>
          <t>JÄMTLANDS LÄN</t>
        </is>
      </c>
      <c r="E74" t="inlineStr">
        <is>
          <t>BERG</t>
        </is>
      </c>
      <c r="F74" t="inlineStr">
        <is>
          <t>SCA</t>
        </is>
      </c>
      <c r="G74" t="n">
        <v>11.3</v>
      </c>
      <c r="H74" t="n">
        <v>0</v>
      </c>
      <c r="I74" t="n">
        <v>0</v>
      </c>
      <c r="J74" t="n">
        <v>3</v>
      </c>
      <c r="K74" t="n">
        <v>1</v>
      </c>
      <c r="L74" t="n">
        <v>0</v>
      </c>
      <c r="M74" t="n">
        <v>0</v>
      </c>
      <c r="N74" t="n">
        <v>0</v>
      </c>
      <c r="O74" t="n">
        <v>4</v>
      </c>
      <c r="P74" t="n">
        <v>1</v>
      </c>
      <c r="Q74" t="n">
        <v>4</v>
      </c>
      <c r="R74" s="2" t="inlineStr">
        <is>
          <t>Gräddporing
Blanksvart spiklav
Dvärgbägarlav
Nordtagging</t>
        </is>
      </c>
      <c r="S74">
        <f>HYPERLINK("https://klasma.github.io/Logging_2326/artfynd/A 40913-2025 artfynd.xlsx", "A 40913-2025")</f>
        <v/>
      </c>
      <c r="T74">
        <f>HYPERLINK("https://klasma.github.io/Logging_2326/kartor/A 40913-2025 karta.png", "A 40913-2025")</f>
        <v/>
      </c>
      <c r="V74">
        <f>HYPERLINK("https://klasma.github.io/Logging_2326/klagomål/A 40913-2025 FSC-klagomål.docx", "A 40913-2025")</f>
        <v/>
      </c>
      <c r="W74">
        <f>HYPERLINK("https://klasma.github.io/Logging_2326/klagomålsmail/A 40913-2025 FSC-klagomål mail.docx", "A 40913-2025")</f>
        <v/>
      </c>
      <c r="X74">
        <f>HYPERLINK("https://klasma.github.io/Logging_2326/tillsyn/A 40913-2025 tillsynsbegäran.docx", "A 40913-2025")</f>
        <v/>
      </c>
      <c r="Y74">
        <f>HYPERLINK("https://klasma.github.io/Logging_2326/tillsynsmail/A 40913-2025 tillsynsbegäran mail.docx", "A 40913-2025")</f>
        <v/>
      </c>
    </row>
    <row r="75" ht="15" customHeight="1">
      <c r="A75" t="inlineStr">
        <is>
          <t>A 59823-2022</t>
        </is>
      </c>
      <c r="B75" s="1" t="n">
        <v>44900</v>
      </c>
      <c r="C75" s="1" t="n">
        <v>45995</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27100-2025</t>
        </is>
      </c>
      <c r="B76" s="1" t="n">
        <v>45811.67803240741</v>
      </c>
      <c r="C76" s="1" t="n">
        <v>45995</v>
      </c>
      <c r="D76" t="inlineStr">
        <is>
          <t>JÄMTLANDS LÄN</t>
        </is>
      </c>
      <c r="E76" t="inlineStr">
        <is>
          <t>BERG</t>
        </is>
      </c>
      <c r="F76" t="inlineStr">
        <is>
          <t>SCA</t>
        </is>
      </c>
      <c r="G76" t="n">
        <v>6.1</v>
      </c>
      <c r="H76" t="n">
        <v>3</v>
      </c>
      <c r="I76" t="n">
        <v>0</v>
      </c>
      <c r="J76" t="n">
        <v>3</v>
      </c>
      <c r="K76" t="n">
        <v>0</v>
      </c>
      <c r="L76" t="n">
        <v>0</v>
      </c>
      <c r="M76" t="n">
        <v>0</v>
      </c>
      <c r="N76" t="n">
        <v>0</v>
      </c>
      <c r="O76" t="n">
        <v>3</v>
      </c>
      <c r="P76" t="n">
        <v>0</v>
      </c>
      <c r="Q76" t="n">
        <v>4</v>
      </c>
      <c r="R76" s="2" t="inlineStr">
        <is>
          <t>Granticka
Kungsörn
Tretåig hackspett
Lavskrika</t>
        </is>
      </c>
      <c r="S76">
        <f>HYPERLINK("https://klasma.github.io/Logging_2326/artfynd/A 27100-2025 artfynd.xlsx", "A 27100-2025")</f>
        <v/>
      </c>
      <c r="T76">
        <f>HYPERLINK("https://klasma.github.io/Logging_2326/kartor/A 27100-2025 karta.png", "A 27100-2025")</f>
        <v/>
      </c>
      <c r="V76">
        <f>HYPERLINK("https://klasma.github.io/Logging_2326/klagomål/A 27100-2025 FSC-klagomål.docx", "A 27100-2025")</f>
        <v/>
      </c>
      <c r="W76">
        <f>HYPERLINK("https://klasma.github.io/Logging_2326/klagomålsmail/A 27100-2025 FSC-klagomål mail.docx", "A 27100-2025")</f>
        <v/>
      </c>
      <c r="X76">
        <f>HYPERLINK("https://klasma.github.io/Logging_2326/tillsyn/A 27100-2025 tillsynsbegäran.docx", "A 27100-2025")</f>
        <v/>
      </c>
      <c r="Y76">
        <f>HYPERLINK("https://klasma.github.io/Logging_2326/tillsynsmail/A 27100-2025 tillsynsbegäran mail.docx", "A 27100-2025")</f>
        <v/>
      </c>
      <c r="Z76">
        <f>HYPERLINK("https://klasma.github.io/Logging_2326/fåglar/A 27100-2025 prioriterade fågelarter.docx", "A 27100-2025")</f>
        <v/>
      </c>
    </row>
    <row r="77" ht="15" customHeight="1">
      <c r="A77" t="inlineStr">
        <is>
          <t>A 45424-2024</t>
        </is>
      </c>
      <c r="B77" s="1" t="n">
        <v>45576.60398148148</v>
      </c>
      <c r="C77" s="1" t="n">
        <v>45995</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46795-2025</t>
        </is>
      </c>
      <c r="B78" s="1" t="n">
        <v>45926.65668981482</v>
      </c>
      <c r="C78" s="1" t="n">
        <v>45995</v>
      </c>
      <c r="D78" t="inlineStr">
        <is>
          <t>JÄMTLANDS LÄN</t>
        </is>
      </c>
      <c r="E78" t="inlineStr">
        <is>
          <t>BERG</t>
        </is>
      </c>
      <c r="F78" t="inlineStr">
        <is>
          <t>SCA</t>
        </is>
      </c>
      <c r="G78" t="n">
        <v>15.1</v>
      </c>
      <c r="H78" t="n">
        <v>0</v>
      </c>
      <c r="I78" t="n">
        <v>0</v>
      </c>
      <c r="J78" t="n">
        <v>4</v>
      </c>
      <c r="K78" t="n">
        <v>0</v>
      </c>
      <c r="L78" t="n">
        <v>0</v>
      </c>
      <c r="M78" t="n">
        <v>0</v>
      </c>
      <c r="N78" t="n">
        <v>0</v>
      </c>
      <c r="O78" t="n">
        <v>4</v>
      </c>
      <c r="P78" t="n">
        <v>0</v>
      </c>
      <c r="Q78" t="n">
        <v>4</v>
      </c>
      <c r="R78" s="2" t="inlineStr">
        <is>
          <t>Gammelgransskål
Lunglav
Skrovellav
Ullticka</t>
        </is>
      </c>
      <c r="S78">
        <f>HYPERLINK("https://klasma.github.io/Logging_2326/artfynd/A 46795-2025 artfynd.xlsx", "A 46795-2025")</f>
        <v/>
      </c>
      <c r="T78">
        <f>HYPERLINK("https://klasma.github.io/Logging_2326/kartor/A 46795-2025 karta.png", "A 46795-2025")</f>
        <v/>
      </c>
      <c r="V78">
        <f>HYPERLINK("https://klasma.github.io/Logging_2326/klagomål/A 46795-2025 FSC-klagomål.docx", "A 46795-2025")</f>
        <v/>
      </c>
      <c r="W78">
        <f>HYPERLINK("https://klasma.github.io/Logging_2326/klagomålsmail/A 46795-2025 FSC-klagomål mail.docx", "A 46795-2025")</f>
        <v/>
      </c>
      <c r="X78">
        <f>HYPERLINK("https://klasma.github.io/Logging_2326/tillsyn/A 46795-2025 tillsynsbegäran.docx", "A 46795-2025")</f>
        <v/>
      </c>
      <c r="Y78">
        <f>HYPERLINK("https://klasma.github.io/Logging_2326/tillsynsmail/A 46795-2025 tillsynsbegäran mail.docx", "A 46795-2025")</f>
        <v/>
      </c>
    </row>
    <row r="79" ht="15" customHeight="1">
      <c r="A79" t="inlineStr">
        <is>
          <t>A 56224-2024</t>
        </is>
      </c>
      <c r="B79" s="1" t="n">
        <v>45624.61491898148</v>
      </c>
      <c r="C79" s="1" t="n">
        <v>45995</v>
      </c>
      <c r="D79" t="inlineStr">
        <is>
          <t>JÄMTLANDS LÄN</t>
        </is>
      </c>
      <c r="E79" t="inlineStr">
        <is>
          <t>BERG</t>
        </is>
      </c>
      <c r="F79" t="inlineStr">
        <is>
          <t>SCA</t>
        </is>
      </c>
      <c r="G79" t="n">
        <v>21</v>
      </c>
      <c r="H79" t="n">
        <v>0</v>
      </c>
      <c r="I79" t="n">
        <v>0</v>
      </c>
      <c r="J79" t="n">
        <v>4</v>
      </c>
      <c r="K79" t="n">
        <v>0</v>
      </c>
      <c r="L79" t="n">
        <v>0</v>
      </c>
      <c r="M79" t="n">
        <v>0</v>
      </c>
      <c r="N79" t="n">
        <v>0</v>
      </c>
      <c r="O79" t="n">
        <v>4</v>
      </c>
      <c r="P79" t="n">
        <v>0</v>
      </c>
      <c r="Q79" t="n">
        <v>4</v>
      </c>
      <c r="R79" s="2" t="inlineStr">
        <is>
          <t>Dvärgbägarlav
Nordtagging
Vedflamlav
Vedskivlav</t>
        </is>
      </c>
      <c r="S79">
        <f>HYPERLINK("https://klasma.github.io/Logging_2326/artfynd/A 56224-2024 artfynd.xlsx", "A 56224-2024")</f>
        <v/>
      </c>
      <c r="T79">
        <f>HYPERLINK("https://klasma.github.io/Logging_2326/kartor/A 56224-2024 karta.png", "A 56224-2024")</f>
        <v/>
      </c>
      <c r="V79">
        <f>HYPERLINK("https://klasma.github.io/Logging_2326/klagomål/A 56224-2024 FSC-klagomål.docx", "A 56224-2024")</f>
        <v/>
      </c>
      <c r="W79">
        <f>HYPERLINK("https://klasma.github.io/Logging_2326/klagomålsmail/A 56224-2024 FSC-klagomål mail.docx", "A 56224-2024")</f>
        <v/>
      </c>
      <c r="X79">
        <f>HYPERLINK("https://klasma.github.io/Logging_2326/tillsyn/A 56224-2024 tillsynsbegäran.docx", "A 56224-2024")</f>
        <v/>
      </c>
      <c r="Y79">
        <f>HYPERLINK("https://klasma.github.io/Logging_2326/tillsynsmail/A 56224-2024 tillsynsbegäran mail.docx", "A 56224-2024")</f>
        <v/>
      </c>
    </row>
    <row r="80" ht="15" customHeight="1">
      <c r="A80" t="inlineStr">
        <is>
          <t>A 13487-2024</t>
        </is>
      </c>
      <c r="B80" s="1" t="n">
        <v>45387</v>
      </c>
      <c r="C80" s="1" t="n">
        <v>45995</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38156-2024</t>
        </is>
      </c>
      <c r="B81" s="1" t="n">
        <v>45545</v>
      </c>
      <c r="C81" s="1" t="n">
        <v>45995</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25871-2025</t>
        </is>
      </c>
      <c r="B82" s="1" t="n">
        <v>45804.4903125</v>
      </c>
      <c r="C82" s="1" t="n">
        <v>45995</v>
      </c>
      <c r="D82" t="inlineStr">
        <is>
          <t>JÄMTLANDS LÄN</t>
        </is>
      </c>
      <c r="E82" t="inlineStr">
        <is>
          <t>BERG</t>
        </is>
      </c>
      <c r="F82" t="inlineStr">
        <is>
          <t>SCA</t>
        </is>
      </c>
      <c r="G82" t="n">
        <v>15.9</v>
      </c>
      <c r="H82" t="n">
        <v>0</v>
      </c>
      <c r="I82" t="n">
        <v>1</v>
      </c>
      <c r="J82" t="n">
        <v>3</v>
      </c>
      <c r="K82" t="n">
        <v>0</v>
      </c>
      <c r="L82" t="n">
        <v>0</v>
      </c>
      <c r="M82" t="n">
        <v>0</v>
      </c>
      <c r="N82" t="n">
        <v>0</v>
      </c>
      <c r="O82" t="n">
        <v>3</v>
      </c>
      <c r="P82" t="n">
        <v>0</v>
      </c>
      <c r="Q82" t="n">
        <v>4</v>
      </c>
      <c r="R82" s="2" t="inlineStr">
        <is>
          <t>Kolflarnlav
Mörk kolflarnlav
Vedflamlav
Skarp dropptaggsvamp</t>
        </is>
      </c>
      <c r="S82">
        <f>HYPERLINK("https://klasma.github.io/Logging_2326/artfynd/A 25871-2025 artfynd.xlsx", "A 25871-2025")</f>
        <v/>
      </c>
      <c r="T82">
        <f>HYPERLINK("https://klasma.github.io/Logging_2326/kartor/A 25871-2025 karta.png", "A 25871-2025")</f>
        <v/>
      </c>
      <c r="V82">
        <f>HYPERLINK("https://klasma.github.io/Logging_2326/klagomål/A 25871-2025 FSC-klagomål.docx", "A 25871-2025")</f>
        <v/>
      </c>
      <c r="W82">
        <f>HYPERLINK("https://klasma.github.io/Logging_2326/klagomålsmail/A 25871-2025 FSC-klagomål mail.docx", "A 25871-2025")</f>
        <v/>
      </c>
      <c r="X82">
        <f>HYPERLINK("https://klasma.github.io/Logging_2326/tillsyn/A 25871-2025 tillsynsbegäran.docx", "A 25871-2025")</f>
        <v/>
      </c>
      <c r="Y82">
        <f>HYPERLINK("https://klasma.github.io/Logging_2326/tillsynsmail/A 25871-2025 tillsynsbegäran mail.docx", "A 25871-2025")</f>
        <v/>
      </c>
    </row>
    <row r="83" ht="15" customHeight="1">
      <c r="A83" t="inlineStr">
        <is>
          <t>A 27574-2025</t>
        </is>
      </c>
      <c r="B83" s="1" t="n">
        <v>45813.49072916667</v>
      </c>
      <c r="C83" s="1" t="n">
        <v>45995</v>
      </c>
      <c r="D83" t="inlineStr">
        <is>
          <t>JÄMTLANDS LÄN</t>
        </is>
      </c>
      <c r="E83" t="inlineStr">
        <is>
          <t>BERG</t>
        </is>
      </c>
      <c r="F83" t="inlineStr">
        <is>
          <t>SCA</t>
        </is>
      </c>
      <c r="G83" t="n">
        <v>23.6</v>
      </c>
      <c r="H83" t="n">
        <v>0</v>
      </c>
      <c r="I83" t="n">
        <v>1</v>
      </c>
      <c r="J83" t="n">
        <v>2</v>
      </c>
      <c r="K83" t="n">
        <v>1</v>
      </c>
      <c r="L83" t="n">
        <v>0</v>
      </c>
      <c r="M83" t="n">
        <v>0</v>
      </c>
      <c r="N83" t="n">
        <v>0</v>
      </c>
      <c r="O83" t="n">
        <v>3</v>
      </c>
      <c r="P83" t="n">
        <v>1</v>
      </c>
      <c r="Q83" t="n">
        <v>4</v>
      </c>
      <c r="R83" s="2" t="inlineStr">
        <is>
          <t>Fläckporing
Dvärgbägarlav
Vedskivlav
Kambräken</t>
        </is>
      </c>
      <c r="S83">
        <f>HYPERLINK("https://klasma.github.io/Logging_2326/artfynd/A 27574-2025 artfynd.xlsx", "A 27574-2025")</f>
        <v/>
      </c>
      <c r="T83">
        <f>HYPERLINK("https://klasma.github.io/Logging_2326/kartor/A 27574-2025 karta.png", "A 27574-2025")</f>
        <v/>
      </c>
      <c r="V83">
        <f>HYPERLINK("https://klasma.github.io/Logging_2326/klagomål/A 27574-2025 FSC-klagomål.docx", "A 27574-2025")</f>
        <v/>
      </c>
      <c r="W83">
        <f>HYPERLINK("https://klasma.github.io/Logging_2326/klagomålsmail/A 27574-2025 FSC-klagomål mail.docx", "A 27574-2025")</f>
        <v/>
      </c>
      <c r="X83">
        <f>HYPERLINK("https://klasma.github.io/Logging_2326/tillsyn/A 27574-2025 tillsynsbegäran.docx", "A 27574-2025")</f>
        <v/>
      </c>
      <c r="Y83">
        <f>HYPERLINK("https://klasma.github.io/Logging_2326/tillsynsmail/A 27574-2025 tillsynsbegäran mail.docx", "A 27574-2025")</f>
        <v/>
      </c>
    </row>
    <row r="84" ht="15" customHeight="1">
      <c r="A84" t="inlineStr">
        <is>
          <t>A 31715-2025</t>
        </is>
      </c>
      <c r="B84" s="1" t="n">
        <v>45834.45671296296</v>
      </c>
      <c r="C84" s="1" t="n">
        <v>45995</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45995</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7891-2022</t>
        </is>
      </c>
      <c r="B86" s="1" t="n">
        <v>44607</v>
      </c>
      <c r="C86" s="1" t="n">
        <v>45995</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45995</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16830-2021</t>
        </is>
      </c>
      <c r="B88" s="1" t="n">
        <v>44293</v>
      </c>
      <c r="C88" s="1" t="n">
        <v>45995</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45995</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68433-2021</t>
        </is>
      </c>
      <c r="B90" s="1" t="n">
        <v>44529</v>
      </c>
      <c r="C90" s="1" t="n">
        <v>45995</v>
      </c>
      <c r="D90" t="inlineStr">
        <is>
          <t>JÄMTLANDS LÄN</t>
        </is>
      </c>
      <c r="E90" t="inlineStr">
        <is>
          <t>BERG</t>
        </is>
      </c>
      <c r="G90" t="n">
        <v>17.9</v>
      </c>
      <c r="H90" t="n">
        <v>0</v>
      </c>
      <c r="I90" t="n">
        <v>0</v>
      </c>
      <c r="J90" t="n">
        <v>3</v>
      </c>
      <c r="K90" t="n">
        <v>0</v>
      </c>
      <c r="L90" t="n">
        <v>0</v>
      </c>
      <c r="M90" t="n">
        <v>0</v>
      </c>
      <c r="N90" t="n">
        <v>0</v>
      </c>
      <c r="O90" t="n">
        <v>3</v>
      </c>
      <c r="P90" t="n">
        <v>0</v>
      </c>
      <c r="Q90" t="n">
        <v>3</v>
      </c>
      <c r="R90" s="2" t="inlineStr">
        <is>
          <t>Doftskinn
Vaddporing
Vedskivlav</t>
        </is>
      </c>
      <c r="S90">
        <f>HYPERLINK("https://klasma.github.io/Logging_2326/artfynd/A 68433-2021 artfynd.xlsx", "A 68433-2021")</f>
        <v/>
      </c>
      <c r="T90">
        <f>HYPERLINK("https://klasma.github.io/Logging_2326/kartor/A 68433-2021 karta.png", "A 68433-2021")</f>
        <v/>
      </c>
      <c r="V90">
        <f>HYPERLINK("https://klasma.github.io/Logging_2326/klagomål/A 68433-2021 FSC-klagomål.docx", "A 68433-2021")</f>
        <v/>
      </c>
      <c r="W90">
        <f>HYPERLINK("https://klasma.github.io/Logging_2326/klagomålsmail/A 68433-2021 FSC-klagomål mail.docx", "A 68433-2021")</f>
        <v/>
      </c>
      <c r="X90">
        <f>HYPERLINK("https://klasma.github.io/Logging_2326/tillsyn/A 68433-2021 tillsynsbegäran.docx", "A 68433-2021")</f>
        <v/>
      </c>
      <c r="Y90">
        <f>HYPERLINK("https://klasma.github.io/Logging_2326/tillsynsmail/A 68433-2021 tillsynsbegäran mail.docx", "A 68433-2021")</f>
        <v/>
      </c>
    </row>
    <row r="91" ht="15" customHeight="1">
      <c r="A91" t="inlineStr">
        <is>
          <t>A 14599-2021</t>
        </is>
      </c>
      <c r="B91" s="1" t="n">
        <v>44279</v>
      </c>
      <c r="C91" s="1" t="n">
        <v>45995</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35925-2024</t>
        </is>
      </c>
      <c r="B92" s="1" t="n">
        <v>45533.43868055556</v>
      </c>
      <c r="C92" s="1" t="n">
        <v>45995</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54802-2021</t>
        </is>
      </c>
      <c r="B93" s="1" t="n">
        <v>44473</v>
      </c>
      <c r="C93" s="1" t="n">
        <v>45995</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19848-2025</t>
        </is>
      </c>
      <c r="B94" s="1" t="n">
        <v>45771.49020833334</v>
      </c>
      <c r="C94" s="1" t="n">
        <v>45995</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47122-2024</t>
        </is>
      </c>
      <c r="B95" s="1" t="n">
        <v>45586.5674074074</v>
      </c>
      <c r="C95" s="1" t="n">
        <v>45995</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52189-2024</t>
        </is>
      </c>
      <c r="B96" s="1" t="n">
        <v>45608</v>
      </c>
      <c r="C96" s="1" t="n">
        <v>45995</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12995-2024</t>
        </is>
      </c>
      <c r="B97" s="1" t="n">
        <v>45385</v>
      </c>
      <c r="C97" s="1" t="n">
        <v>45995</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6784-2022</t>
        </is>
      </c>
      <c r="B98" s="1" t="n">
        <v>44602</v>
      </c>
      <c r="C98" s="1" t="n">
        <v>45995</v>
      </c>
      <c r="D98" t="inlineStr">
        <is>
          <t>JÄMTLANDS LÄN</t>
        </is>
      </c>
      <c r="E98" t="inlineStr">
        <is>
          <t>BERG</t>
        </is>
      </c>
      <c r="G98" t="n">
        <v>4</v>
      </c>
      <c r="H98" t="n">
        <v>2</v>
      </c>
      <c r="I98" t="n">
        <v>0</v>
      </c>
      <c r="J98" t="n">
        <v>1</v>
      </c>
      <c r="K98" t="n">
        <v>0</v>
      </c>
      <c r="L98" t="n">
        <v>0</v>
      </c>
      <c r="M98" t="n">
        <v>0</v>
      </c>
      <c r="N98" t="n">
        <v>0</v>
      </c>
      <c r="O98" t="n">
        <v>1</v>
      </c>
      <c r="P98" t="n">
        <v>0</v>
      </c>
      <c r="Q98" t="n">
        <v>3</v>
      </c>
      <c r="R98" s="2" t="inlineStr">
        <is>
          <t>Brunklöver
Jorduggla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c r="Z98">
        <f>HYPERLINK("https://klasma.github.io/Logging_2326/fåglar/A 6784-2022 prioriterade fågelarter.docx", "A 6784-2022")</f>
        <v/>
      </c>
    </row>
    <row r="99" ht="15" customHeight="1">
      <c r="A99" t="inlineStr">
        <is>
          <t>A 56368-2024</t>
        </is>
      </c>
      <c r="B99" s="1" t="n">
        <v>45625.32978009259</v>
      </c>
      <c r="C99" s="1" t="n">
        <v>45995</v>
      </c>
      <c r="D99" t="inlineStr">
        <is>
          <t>JÄMTLANDS LÄN</t>
        </is>
      </c>
      <c r="E99" t="inlineStr">
        <is>
          <t>BERG</t>
        </is>
      </c>
      <c r="G99" t="n">
        <v>1.9</v>
      </c>
      <c r="H99" t="n">
        <v>1</v>
      </c>
      <c r="I99" t="n">
        <v>0</v>
      </c>
      <c r="J99" t="n">
        <v>2</v>
      </c>
      <c r="K99" t="n">
        <v>0</v>
      </c>
      <c r="L99" t="n">
        <v>0</v>
      </c>
      <c r="M99" t="n">
        <v>0</v>
      </c>
      <c r="N99" t="n">
        <v>0</v>
      </c>
      <c r="O99" t="n">
        <v>2</v>
      </c>
      <c r="P99" t="n">
        <v>0</v>
      </c>
      <c r="Q99" t="n">
        <v>3</v>
      </c>
      <c r="R99" s="2" t="inlineStr">
        <is>
          <t>Garnlav
Vitgrynig nållav
Fläcknycklar</t>
        </is>
      </c>
      <c r="S99">
        <f>HYPERLINK("https://klasma.github.io/Logging_2326/artfynd/A 56368-2024 artfynd.xlsx", "A 56368-2024")</f>
        <v/>
      </c>
      <c r="T99">
        <f>HYPERLINK("https://klasma.github.io/Logging_2326/kartor/A 56368-2024 karta.png", "A 56368-2024")</f>
        <v/>
      </c>
      <c r="V99">
        <f>HYPERLINK("https://klasma.github.io/Logging_2326/klagomål/A 56368-2024 FSC-klagomål.docx", "A 56368-2024")</f>
        <v/>
      </c>
      <c r="W99">
        <f>HYPERLINK("https://klasma.github.io/Logging_2326/klagomålsmail/A 56368-2024 FSC-klagomål mail.docx", "A 56368-2024")</f>
        <v/>
      </c>
      <c r="X99">
        <f>HYPERLINK("https://klasma.github.io/Logging_2326/tillsyn/A 56368-2024 tillsynsbegäran.docx", "A 56368-2024")</f>
        <v/>
      </c>
      <c r="Y99">
        <f>HYPERLINK("https://klasma.github.io/Logging_2326/tillsynsmail/A 56368-2024 tillsynsbegäran mail.docx", "A 56368-2024")</f>
        <v/>
      </c>
    </row>
    <row r="100" ht="15" customHeight="1">
      <c r="A100" t="inlineStr">
        <is>
          <t>A 49611-2025</t>
        </is>
      </c>
      <c r="B100" s="1" t="n">
        <v>45939.5735300926</v>
      </c>
      <c r="C100" s="1" t="n">
        <v>45995</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20242-2025</t>
        </is>
      </c>
      <c r="B101" s="1" t="n">
        <v>45772.69864583333</v>
      </c>
      <c r="C101" s="1" t="n">
        <v>45995</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3062-2025</t>
        </is>
      </c>
      <c r="B102" s="1" t="n">
        <v>45678</v>
      </c>
      <c r="C102" s="1" t="n">
        <v>45995</v>
      </c>
      <c r="D102" t="inlineStr">
        <is>
          <t>JÄMTLANDS LÄN</t>
        </is>
      </c>
      <c r="E102" t="inlineStr">
        <is>
          <t>BERG</t>
        </is>
      </c>
      <c r="G102" t="n">
        <v>2.4</v>
      </c>
      <c r="H102" t="n">
        <v>3</v>
      </c>
      <c r="I102" t="n">
        <v>2</v>
      </c>
      <c r="J102" t="n">
        <v>0</v>
      </c>
      <c r="K102" t="n">
        <v>0</v>
      </c>
      <c r="L102" t="n">
        <v>0</v>
      </c>
      <c r="M102" t="n">
        <v>0</v>
      </c>
      <c r="N102" t="n">
        <v>0</v>
      </c>
      <c r="O102" t="n">
        <v>0</v>
      </c>
      <c r="P102" t="n">
        <v>0</v>
      </c>
      <c r="Q102" t="n">
        <v>3</v>
      </c>
      <c r="R102" s="2" t="inlineStr">
        <is>
          <t>Korallrot
Spindelblomster
Fläcknycklar</t>
        </is>
      </c>
      <c r="S102">
        <f>HYPERLINK("https://klasma.github.io/Logging_2326/artfynd/A 3062-2025 artfynd.xlsx", "A 3062-2025")</f>
        <v/>
      </c>
      <c r="T102">
        <f>HYPERLINK("https://klasma.github.io/Logging_2326/kartor/A 3062-2025 karta.png", "A 3062-2025")</f>
        <v/>
      </c>
      <c r="V102">
        <f>HYPERLINK("https://klasma.github.io/Logging_2326/klagomål/A 3062-2025 FSC-klagomål.docx", "A 3062-2025")</f>
        <v/>
      </c>
      <c r="W102">
        <f>HYPERLINK("https://klasma.github.io/Logging_2326/klagomålsmail/A 3062-2025 FSC-klagomål mail.docx", "A 3062-2025")</f>
        <v/>
      </c>
      <c r="X102">
        <f>HYPERLINK("https://klasma.github.io/Logging_2326/tillsyn/A 3062-2025 tillsynsbegäran.docx", "A 3062-2025")</f>
        <v/>
      </c>
      <c r="Y102">
        <f>HYPERLINK("https://klasma.github.io/Logging_2326/tillsynsmail/A 3062-2025 tillsynsbegäran mail.docx", "A 3062-2025")</f>
        <v/>
      </c>
    </row>
    <row r="103" ht="15" customHeight="1">
      <c r="A103" t="inlineStr">
        <is>
          <t>A 54999-2023</t>
        </is>
      </c>
      <c r="B103" s="1" t="n">
        <v>45236</v>
      </c>
      <c r="C103" s="1" t="n">
        <v>45995</v>
      </c>
      <c r="D103" t="inlineStr">
        <is>
          <t>JÄMTLANDS LÄN</t>
        </is>
      </c>
      <c r="E103" t="inlineStr">
        <is>
          <t>BERG</t>
        </is>
      </c>
      <c r="F103" t="inlineStr">
        <is>
          <t>SCA</t>
        </is>
      </c>
      <c r="G103" t="n">
        <v>2.6</v>
      </c>
      <c r="H103" t="n">
        <v>0</v>
      </c>
      <c r="I103" t="n">
        <v>0</v>
      </c>
      <c r="J103" t="n">
        <v>2</v>
      </c>
      <c r="K103" t="n">
        <v>1</v>
      </c>
      <c r="L103" t="n">
        <v>0</v>
      </c>
      <c r="M103" t="n">
        <v>0</v>
      </c>
      <c r="N103" t="n">
        <v>0</v>
      </c>
      <c r="O103" t="n">
        <v>3</v>
      </c>
      <c r="P103" t="n">
        <v>1</v>
      </c>
      <c r="Q103" t="n">
        <v>3</v>
      </c>
      <c r="R103" s="2" t="inlineStr">
        <is>
          <t>Gräddporing
Blågrå svartspik
Dvärgbägarlav</t>
        </is>
      </c>
      <c r="S103">
        <f>HYPERLINK("https://klasma.github.io/Logging_2326/artfynd/A 54999-2023 artfynd.xlsx", "A 54999-2023")</f>
        <v/>
      </c>
      <c r="T103">
        <f>HYPERLINK("https://klasma.github.io/Logging_2326/kartor/A 54999-2023 karta.png", "A 54999-2023")</f>
        <v/>
      </c>
      <c r="V103">
        <f>HYPERLINK("https://klasma.github.io/Logging_2326/klagomål/A 54999-2023 FSC-klagomål.docx", "A 54999-2023")</f>
        <v/>
      </c>
      <c r="W103">
        <f>HYPERLINK("https://klasma.github.io/Logging_2326/klagomålsmail/A 54999-2023 FSC-klagomål mail.docx", "A 54999-2023")</f>
        <v/>
      </c>
      <c r="X103">
        <f>HYPERLINK("https://klasma.github.io/Logging_2326/tillsyn/A 54999-2023 tillsynsbegäran.docx", "A 54999-2023")</f>
        <v/>
      </c>
      <c r="Y103">
        <f>HYPERLINK("https://klasma.github.io/Logging_2326/tillsynsmail/A 54999-2023 tillsynsbegäran mail.docx", "A 54999-2023")</f>
        <v/>
      </c>
    </row>
    <row r="104" ht="15" customHeight="1">
      <c r="A104" t="inlineStr">
        <is>
          <t>A 52007-2025</t>
        </is>
      </c>
      <c r="B104" s="1" t="n">
        <v>45952.59424768519</v>
      </c>
      <c r="C104" s="1" t="n">
        <v>45995</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14218-2021</t>
        </is>
      </c>
      <c r="B105" s="1" t="n">
        <v>44277</v>
      </c>
      <c r="C105" s="1" t="n">
        <v>45995</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37063-2025</t>
        </is>
      </c>
      <c r="B106" s="1" t="n">
        <v>45875.38596064815</v>
      </c>
      <c r="C106" s="1" t="n">
        <v>45995</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45995</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45995</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45995</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8734-2025</t>
        </is>
      </c>
      <c r="B110" s="1" t="n">
        <v>45712.53209490741</v>
      </c>
      <c r="C110" s="1" t="n">
        <v>45995</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47-2023</t>
        </is>
      </c>
      <c r="B111" s="1" t="n">
        <v>44928</v>
      </c>
      <c r="C111" s="1" t="n">
        <v>45995</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42120-2025</t>
        </is>
      </c>
      <c r="B112" s="1" t="n">
        <v>45904.34236111111</v>
      </c>
      <c r="C112" s="1" t="n">
        <v>45995</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48880-2023</t>
        </is>
      </c>
      <c r="B113" s="1" t="n">
        <v>45209</v>
      </c>
      <c r="C113" s="1" t="n">
        <v>45995</v>
      </c>
      <c r="D113" t="inlineStr">
        <is>
          <t>JÄMTLANDS LÄN</t>
        </is>
      </c>
      <c r="E113" t="inlineStr">
        <is>
          <t>BERG</t>
        </is>
      </c>
      <c r="F113" t="inlineStr">
        <is>
          <t>Naturvårdsverket</t>
        </is>
      </c>
      <c r="G113" t="n">
        <v>5.5</v>
      </c>
      <c r="H113" t="n">
        <v>0</v>
      </c>
      <c r="I113" t="n">
        <v>0</v>
      </c>
      <c r="J113" t="n">
        <v>2</v>
      </c>
      <c r="K113" t="n">
        <v>0</v>
      </c>
      <c r="L113" t="n">
        <v>0</v>
      </c>
      <c r="M113" t="n">
        <v>0</v>
      </c>
      <c r="N113" t="n">
        <v>0</v>
      </c>
      <c r="O113" t="n">
        <v>2</v>
      </c>
      <c r="P113" t="n">
        <v>0</v>
      </c>
      <c r="Q113" t="n">
        <v>2</v>
      </c>
      <c r="R113" s="2" t="inlineStr">
        <is>
          <t>Garnlav
Lunglav</t>
        </is>
      </c>
      <c r="S113">
        <f>HYPERLINK("https://klasma.github.io/Logging_2326/artfynd/A 48880-2023 artfynd.xlsx", "A 48880-2023")</f>
        <v/>
      </c>
      <c r="T113">
        <f>HYPERLINK("https://klasma.github.io/Logging_2326/kartor/A 48880-2023 karta.png", "A 48880-2023")</f>
        <v/>
      </c>
      <c r="U113">
        <f>HYPERLINK("https://klasma.github.io/Logging_2326/knärot/A 48880-2023 karta knärot.png", "A 48880-2023")</f>
        <v/>
      </c>
      <c r="V113">
        <f>HYPERLINK("https://klasma.github.io/Logging_2326/klagomål/A 48880-2023 FSC-klagomål.docx", "A 48880-2023")</f>
        <v/>
      </c>
      <c r="W113">
        <f>HYPERLINK("https://klasma.github.io/Logging_2326/klagomålsmail/A 48880-2023 FSC-klagomål mail.docx", "A 48880-2023")</f>
        <v/>
      </c>
      <c r="X113">
        <f>HYPERLINK("https://klasma.github.io/Logging_2326/tillsyn/A 48880-2023 tillsynsbegäran.docx", "A 48880-2023")</f>
        <v/>
      </c>
      <c r="Y113">
        <f>HYPERLINK("https://klasma.github.io/Logging_2326/tillsynsmail/A 48880-2023 tillsynsbegäran mail.docx", "A 48880-2023")</f>
        <v/>
      </c>
    </row>
    <row r="114" ht="15" customHeight="1">
      <c r="A114" t="inlineStr">
        <is>
          <t>A 33009-2024</t>
        </is>
      </c>
      <c r="B114" s="1" t="n">
        <v>45517.50332175926</v>
      </c>
      <c r="C114" s="1" t="n">
        <v>45995</v>
      </c>
      <c r="D114" t="inlineStr">
        <is>
          <t>JÄMTLANDS LÄN</t>
        </is>
      </c>
      <c r="E114" t="inlineStr">
        <is>
          <t>BERG</t>
        </is>
      </c>
      <c r="G114" t="n">
        <v>2.7</v>
      </c>
      <c r="H114" t="n">
        <v>1</v>
      </c>
      <c r="I114" t="n">
        <v>0</v>
      </c>
      <c r="J114" t="n">
        <v>2</v>
      </c>
      <c r="K114" t="n">
        <v>0</v>
      </c>
      <c r="L114" t="n">
        <v>0</v>
      </c>
      <c r="M114" t="n">
        <v>0</v>
      </c>
      <c r="N114" t="n">
        <v>0</v>
      </c>
      <c r="O114" t="n">
        <v>2</v>
      </c>
      <c r="P114" t="n">
        <v>0</v>
      </c>
      <c r="Q114" t="n">
        <v>2</v>
      </c>
      <c r="R114" s="2" t="inlineStr">
        <is>
          <t>Garnlav
Talltita</t>
        </is>
      </c>
      <c r="S114">
        <f>HYPERLINK("https://klasma.github.io/Logging_2326/artfynd/A 33009-2024 artfynd.xlsx", "A 33009-2024")</f>
        <v/>
      </c>
      <c r="T114">
        <f>HYPERLINK("https://klasma.github.io/Logging_2326/kartor/A 33009-2024 karta.png", "A 33009-2024")</f>
        <v/>
      </c>
      <c r="V114">
        <f>HYPERLINK("https://klasma.github.io/Logging_2326/klagomål/A 33009-2024 FSC-klagomål.docx", "A 33009-2024")</f>
        <v/>
      </c>
      <c r="W114">
        <f>HYPERLINK("https://klasma.github.io/Logging_2326/klagomålsmail/A 33009-2024 FSC-klagomål mail.docx", "A 33009-2024")</f>
        <v/>
      </c>
      <c r="X114">
        <f>HYPERLINK("https://klasma.github.io/Logging_2326/tillsyn/A 33009-2024 tillsynsbegäran.docx", "A 33009-2024")</f>
        <v/>
      </c>
      <c r="Y114">
        <f>HYPERLINK("https://klasma.github.io/Logging_2326/tillsynsmail/A 33009-2024 tillsynsbegäran mail.docx", "A 33009-2024")</f>
        <v/>
      </c>
      <c r="Z114">
        <f>HYPERLINK("https://klasma.github.io/Logging_2326/fåglar/A 33009-2024 prioriterade fågelarter.docx", "A 33009-2024")</f>
        <v/>
      </c>
    </row>
    <row r="115" ht="15" customHeight="1">
      <c r="A115" t="inlineStr">
        <is>
          <t>A 52611-2025</t>
        </is>
      </c>
      <c r="B115" s="1" t="n">
        <v>45954.66971064815</v>
      </c>
      <c r="C115" s="1" t="n">
        <v>45995</v>
      </c>
      <c r="D115" t="inlineStr">
        <is>
          <t>JÄMTLANDS LÄN</t>
        </is>
      </c>
      <c r="E115" t="inlineStr">
        <is>
          <t>BERG</t>
        </is>
      </c>
      <c r="F115" t="inlineStr">
        <is>
          <t>Kyrkan</t>
        </is>
      </c>
      <c r="G115" t="n">
        <v>6.3</v>
      </c>
      <c r="H115" t="n">
        <v>1</v>
      </c>
      <c r="I115" t="n">
        <v>0</v>
      </c>
      <c r="J115" t="n">
        <v>1</v>
      </c>
      <c r="K115" t="n">
        <v>0</v>
      </c>
      <c r="L115" t="n">
        <v>0</v>
      </c>
      <c r="M115" t="n">
        <v>0</v>
      </c>
      <c r="N115" t="n">
        <v>0</v>
      </c>
      <c r="O115" t="n">
        <v>1</v>
      </c>
      <c r="P115" t="n">
        <v>0</v>
      </c>
      <c r="Q115" t="n">
        <v>2</v>
      </c>
      <c r="R115" s="2" t="inlineStr">
        <is>
          <t>Garnlav
Revlummer</t>
        </is>
      </c>
      <c r="S115">
        <f>HYPERLINK("https://klasma.github.io/Logging_2326/artfynd/A 52611-2025 artfynd.xlsx", "A 52611-2025")</f>
        <v/>
      </c>
      <c r="T115">
        <f>HYPERLINK("https://klasma.github.io/Logging_2326/kartor/A 52611-2025 karta.png", "A 52611-2025")</f>
        <v/>
      </c>
      <c r="V115">
        <f>HYPERLINK("https://klasma.github.io/Logging_2326/klagomål/A 52611-2025 FSC-klagomål.docx", "A 52611-2025")</f>
        <v/>
      </c>
      <c r="W115">
        <f>HYPERLINK("https://klasma.github.io/Logging_2326/klagomålsmail/A 52611-2025 FSC-klagomål mail.docx", "A 52611-2025")</f>
        <v/>
      </c>
      <c r="X115">
        <f>HYPERLINK("https://klasma.github.io/Logging_2326/tillsyn/A 52611-2025 tillsynsbegäran.docx", "A 52611-2025")</f>
        <v/>
      </c>
      <c r="Y115">
        <f>HYPERLINK("https://klasma.github.io/Logging_2326/tillsynsmail/A 52611-2025 tillsynsbegäran mail.docx", "A 52611-2025")</f>
        <v/>
      </c>
    </row>
    <row r="116" ht="15" customHeight="1">
      <c r="A116" t="inlineStr">
        <is>
          <t>A 52600-2025</t>
        </is>
      </c>
      <c r="B116" s="1" t="n">
        <v>45954.65657407408</v>
      </c>
      <c r="C116" s="1" t="n">
        <v>45995</v>
      </c>
      <c r="D116" t="inlineStr">
        <is>
          <t>JÄMTLANDS LÄN</t>
        </is>
      </c>
      <c r="E116" t="inlineStr">
        <is>
          <t>BERG</t>
        </is>
      </c>
      <c r="F116" t="inlineStr">
        <is>
          <t>Kyrkan</t>
        </is>
      </c>
      <c r="G116" t="n">
        <v>5.8</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52600-2025 artfynd.xlsx", "A 52600-2025")</f>
        <v/>
      </c>
      <c r="T116">
        <f>HYPERLINK("https://klasma.github.io/Logging_2326/kartor/A 52600-2025 karta.png", "A 52600-2025")</f>
        <v/>
      </c>
      <c r="V116">
        <f>HYPERLINK("https://klasma.github.io/Logging_2326/klagomål/A 52600-2025 FSC-klagomål.docx", "A 52600-2025")</f>
        <v/>
      </c>
      <c r="W116">
        <f>HYPERLINK("https://klasma.github.io/Logging_2326/klagomålsmail/A 52600-2025 FSC-klagomål mail.docx", "A 52600-2025")</f>
        <v/>
      </c>
      <c r="X116">
        <f>HYPERLINK("https://klasma.github.io/Logging_2326/tillsyn/A 52600-2025 tillsynsbegäran.docx", "A 52600-2025")</f>
        <v/>
      </c>
      <c r="Y116">
        <f>HYPERLINK("https://klasma.github.io/Logging_2326/tillsynsmail/A 52600-2025 tillsynsbegäran mail.docx", "A 52600-2025")</f>
        <v/>
      </c>
    </row>
    <row r="117" ht="15" customHeight="1">
      <c r="A117" t="inlineStr">
        <is>
          <t>A 55331-2023</t>
        </is>
      </c>
      <c r="B117" s="1" t="n">
        <v>45237</v>
      </c>
      <c r="C117" s="1" t="n">
        <v>45995</v>
      </c>
      <c r="D117" t="inlineStr">
        <is>
          <t>JÄMTLANDS LÄN</t>
        </is>
      </c>
      <c r="E117" t="inlineStr">
        <is>
          <t>BERG</t>
        </is>
      </c>
      <c r="F117" t="inlineStr">
        <is>
          <t>SCA</t>
        </is>
      </c>
      <c r="G117" t="n">
        <v>8.800000000000001</v>
      </c>
      <c r="H117" t="n">
        <v>1</v>
      </c>
      <c r="I117" t="n">
        <v>1</v>
      </c>
      <c r="J117" t="n">
        <v>0</v>
      </c>
      <c r="K117" t="n">
        <v>0</v>
      </c>
      <c r="L117" t="n">
        <v>0</v>
      </c>
      <c r="M117" t="n">
        <v>0</v>
      </c>
      <c r="N117" t="n">
        <v>0</v>
      </c>
      <c r="O117" t="n">
        <v>0</v>
      </c>
      <c r="P117" t="n">
        <v>0</v>
      </c>
      <c r="Q117" t="n">
        <v>2</v>
      </c>
      <c r="R117" s="2" t="inlineStr">
        <is>
          <t>Tibast
Fläcknycklar</t>
        </is>
      </c>
      <c r="S117">
        <f>HYPERLINK("https://klasma.github.io/Logging_2326/artfynd/A 55331-2023 artfynd.xlsx", "A 55331-2023")</f>
        <v/>
      </c>
      <c r="T117">
        <f>HYPERLINK("https://klasma.github.io/Logging_2326/kartor/A 55331-2023 karta.png", "A 55331-2023")</f>
        <v/>
      </c>
      <c r="V117">
        <f>HYPERLINK("https://klasma.github.io/Logging_2326/klagomål/A 55331-2023 FSC-klagomål.docx", "A 55331-2023")</f>
        <v/>
      </c>
      <c r="W117">
        <f>HYPERLINK("https://klasma.github.io/Logging_2326/klagomålsmail/A 55331-2023 FSC-klagomål mail.docx", "A 55331-2023")</f>
        <v/>
      </c>
      <c r="X117">
        <f>HYPERLINK("https://klasma.github.io/Logging_2326/tillsyn/A 55331-2023 tillsynsbegäran.docx", "A 55331-2023")</f>
        <v/>
      </c>
      <c r="Y117">
        <f>HYPERLINK("https://klasma.github.io/Logging_2326/tillsynsmail/A 55331-2023 tillsynsbegäran mail.docx", "A 55331-2023")</f>
        <v/>
      </c>
    </row>
    <row r="118" ht="15" customHeight="1">
      <c r="A118" t="inlineStr">
        <is>
          <t>A 14344-2025</t>
        </is>
      </c>
      <c r="B118" s="1" t="n">
        <v>45741</v>
      </c>
      <c r="C118" s="1" t="n">
        <v>45995</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12734-2024</t>
        </is>
      </c>
      <c r="B119" s="1" t="n">
        <v>45384</v>
      </c>
      <c r="C119" s="1" t="n">
        <v>45995</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12745-2024</t>
        </is>
      </c>
      <c r="B120" s="1" t="n">
        <v>45384</v>
      </c>
      <c r="C120" s="1" t="n">
        <v>45995</v>
      </c>
      <c r="D120" t="inlineStr">
        <is>
          <t>JÄMTLANDS LÄN</t>
        </is>
      </c>
      <c r="E120" t="inlineStr">
        <is>
          <t>BERG</t>
        </is>
      </c>
      <c r="G120" t="n">
        <v>8.5</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12745-2024 artfynd.xlsx", "A 12745-2024")</f>
        <v/>
      </c>
      <c r="T120">
        <f>HYPERLINK("https://klasma.github.io/Logging_2326/kartor/A 12745-2024 karta.png", "A 12745-2024")</f>
        <v/>
      </c>
      <c r="V120">
        <f>HYPERLINK("https://klasma.github.io/Logging_2326/klagomål/A 12745-2024 FSC-klagomål.docx", "A 12745-2024")</f>
        <v/>
      </c>
      <c r="W120">
        <f>HYPERLINK("https://klasma.github.io/Logging_2326/klagomålsmail/A 12745-2024 FSC-klagomål mail.docx", "A 12745-2024")</f>
        <v/>
      </c>
      <c r="X120">
        <f>HYPERLINK("https://klasma.github.io/Logging_2326/tillsyn/A 12745-2024 tillsynsbegäran.docx", "A 12745-2024")</f>
        <v/>
      </c>
      <c r="Y120">
        <f>HYPERLINK("https://klasma.github.io/Logging_2326/tillsynsmail/A 12745-2024 tillsynsbegäran mail.docx", "A 12745-2024")</f>
        <v/>
      </c>
      <c r="Z120">
        <f>HYPERLINK("https://klasma.github.io/Logging_2326/fåglar/A 12745-2024 prioriterade fågelarter.docx", "A 12745-2024")</f>
        <v/>
      </c>
    </row>
    <row r="121" ht="15" customHeight="1">
      <c r="A121" t="inlineStr">
        <is>
          <t>A 26944-2024</t>
        </is>
      </c>
      <c r="B121" s="1" t="n">
        <v>45470.96880787037</v>
      </c>
      <c r="C121" s="1" t="n">
        <v>45995</v>
      </c>
      <c r="D121" t="inlineStr">
        <is>
          <t>JÄMTLANDS LÄN</t>
        </is>
      </c>
      <c r="E121" t="inlineStr">
        <is>
          <t>BERG</t>
        </is>
      </c>
      <c r="F121" t="inlineStr">
        <is>
          <t>SCA</t>
        </is>
      </c>
      <c r="G121" t="n">
        <v>5.7</v>
      </c>
      <c r="H121" t="n">
        <v>0</v>
      </c>
      <c r="I121" t="n">
        <v>0</v>
      </c>
      <c r="J121" t="n">
        <v>2</v>
      </c>
      <c r="K121" t="n">
        <v>0</v>
      </c>
      <c r="L121" t="n">
        <v>0</v>
      </c>
      <c r="M121" t="n">
        <v>0</v>
      </c>
      <c r="N121" t="n">
        <v>0</v>
      </c>
      <c r="O121" t="n">
        <v>2</v>
      </c>
      <c r="P121" t="n">
        <v>0</v>
      </c>
      <c r="Q121" t="n">
        <v>2</v>
      </c>
      <c r="R121" s="2" t="inlineStr">
        <is>
          <t>Blå taggsvamp
Gammelgransskål</t>
        </is>
      </c>
      <c r="S121">
        <f>HYPERLINK("https://klasma.github.io/Logging_2326/artfynd/A 26944-2024 artfynd.xlsx", "A 26944-2024")</f>
        <v/>
      </c>
      <c r="T121">
        <f>HYPERLINK("https://klasma.github.io/Logging_2326/kartor/A 26944-2024 karta.png", "A 26944-2024")</f>
        <v/>
      </c>
      <c r="V121">
        <f>HYPERLINK("https://klasma.github.io/Logging_2326/klagomål/A 26944-2024 FSC-klagomål.docx", "A 26944-2024")</f>
        <v/>
      </c>
      <c r="W121">
        <f>HYPERLINK("https://klasma.github.io/Logging_2326/klagomålsmail/A 26944-2024 FSC-klagomål mail.docx", "A 26944-2024")</f>
        <v/>
      </c>
      <c r="X121">
        <f>HYPERLINK("https://klasma.github.io/Logging_2326/tillsyn/A 26944-2024 tillsynsbegäran.docx", "A 26944-2024")</f>
        <v/>
      </c>
      <c r="Y121">
        <f>HYPERLINK("https://klasma.github.io/Logging_2326/tillsynsmail/A 26944-2024 tillsynsbegäran mail.docx", "A 26944-2024")</f>
        <v/>
      </c>
    </row>
    <row r="122" ht="15" customHeight="1">
      <c r="A122" t="inlineStr">
        <is>
          <t>A 27919-2024</t>
        </is>
      </c>
      <c r="B122" s="1" t="n">
        <v>45475.94865740741</v>
      </c>
      <c r="C122" s="1" t="n">
        <v>45995</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47858-2025</t>
        </is>
      </c>
      <c r="B123" s="1" t="n">
        <v>45932.40699074074</v>
      </c>
      <c r="C123" s="1" t="n">
        <v>45995</v>
      </c>
      <c r="D123" t="inlineStr">
        <is>
          <t>JÄMTLANDS LÄN</t>
        </is>
      </c>
      <c r="E123" t="inlineStr">
        <is>
          <t>BERG</t>
        </is>
      </c>
      <c r="F123" t="inlineStr">
        <is>
          <t>SCA</t>
        </is>
      </c>
      <c r="G123" t="n">
        <v>1.5</v>
      </c>
      <c r="H123" t="n">
        <v>0</v>
      </c>
      <c r="I123" t="n">
        <v>1</v>
      </c>
      <c r="J123" t="n">
        <v>1</v>
      </c>
      <c r="K123" t="n">
        <v>0</v>
      </c>
      <c r="L123" t="n">
        <v>0</v>
      </c>
      <c r="M123" t="n">
        <v>0</v>
      </c>
      <c r="N123" t="n">
        <v>0</v>
      </c>
      <c r="O123" t="n">
        <v>1</v>
      </c>
      <c r="P123" t="n">
        <v>0</v>
      </c>
      <c r="Q123" t="n">
        <v>2</v>
      </c>
      <c r="R123" s="2" t="inlineStr">
        <is>
          <t>Blanksvart spiklav
Stuplav</t>
        </is>
      </c>
      <c r="S123">
        <f>HYPERLINK("https://klasma.github.io/Logging_2326/artfynd/A 47858-2025 artfynd.xlsx", "A 47858-2025")</f>
        <v/>
      </c>
      <c r="T123">
        <f>HYPERLINK("https://klasma.github.io/Logging_2326/kartor/A 47858-2025 karta.png", "A 47858-2025")</f>
        <v/>
      </c>
      <c r="V123">
        <f>HYPERLINK("https://klasma.github.io/Logging_2326/klagomål/A 47858-2025 FSC-klagomål.docx", "A 47858-2025")</f>
        <v/>
      </c>
      <c r="W123">
        <f>HYPERLINK("https://klasma.github.io/Logging_2326/klagomålsmail/A 47858-2025 FSC-klagomål mail.docx", "A 47858-2025")</f>
        <v/>
      </c>
      <c r="X123">
        <f>HYPERLINK("https://klasma.github.io/Logging_2326/tillsyn/A 47858-2025 tillsynsbegäran.docx", "A 47858-2025")</f>
        <v/>
      </c>
      <c r="Y123">
        <f>HYPERLINK("https://klasma.github.io/Logging_2326/tillsynsmail/A 47858-2025 tillsynsbegäran mail.docx", "A 47858-2025")</f>
        <v/>
      </c>
    </row>
    <row r="124" ht="15" customHeight="1">
      <c r="A124" t="inlineStr">
        <is>
          <t>A 21518-2025</t>
        </is>
      </c>
      <c r="B124" s="1" t="n">
        <v>45782</v>
      </c>
      <c r="C124" s="1" t="n">
        <v>45995</v>
      </c>
      <c r="D124" t="inlineStr">
        <is>
          <t>JÄMTLANDS LÄN</t>
        </is>
      </c>
      <c r="E124" t="inlineStr">
        <is>
          <t>BERG</t>
        </is>
      </c>
      <c r="F124" t="inlineStr">
        <is>
          <t>SCA</t>
        </is>
      </c>
      <c r="G124" t="n">
        <v>3.6</v>
      </c>
      <c r="H124" t="n">
        <v>0</v>
      </c>
      <c r="I124" t="n">
        <v>1</v>
      </c>
      <c r="J124" t="n">
        <v>1</v>
      </c>
      <c r="K124" t="n">
        <v>0</v>
      </c>
      <c r="L124" t="n">
        <v>0</v>
      </c>
      <c r="M124" t="n">
        <v>0</v>
      </c>
      <c r="N124" t="n">
        <v>0</v>
      </c>
      <c r="O124" t="n">
        <v>1</v>
      </c>
      <c r="P124" t="n">
        <v>0</v>
      </c>
      <c r="Q124" t="n">
        <v>2</v>
      </c>
      <c r="R124" s="2" t="inlineStr">
        <is>
          <t>Dvärgbägarlav
Skarp dropptaggsvamp</t>
        </is>
      </c>
      <c r="S124">
        <f>HYPERLINK("https://klasma.github.io/Logging_2326/artfynd/A 21518-2025 artfynd.xlsx", "A 21518-2025")</f>
        <v/>
      </c>
      <c r="T124">
        <f>HYPERLINK("https://klasma.github.io/Logging_2326/kartor/A 21518-2025 karta.png", "A 21518-2025")</f>
        <v/>
      </c>
      <c r="V124">
        <f>HYPERLINK("https://klasma.github.io/Logging_2326/klagomål/A 21518-2025 FSC-klagomål.docx", "A 21518-2025")</f>
        <v/>
      </c>
      <c r="W124">
        <f>HYPERLINK("https://klasma.github.io/Logging_2326/klagomålsmail/A 21518-2025 FSC-klagomål mail.docx", "A 21518-2025")</f>
        <v/>
      </c>
      <c r="X124">
        <f>HYPERLINK("https://klasma.github.io/Logging_2326/tillsyn/A 21518-2025 tillsynsbegäran.docx", "A 21518-2025")</f>
        <v/>
      </c>
      <c r="Y124">
        <f>HYPERLINK("https://klasma.github.io/Logging_2326/tillsynsmail/A 21518-2025 tillsynsbegäran mail.docx", "A 21518-2025")</f>
        <v/>
      </c>
    </row>
    <row r="125" ht="15" customHeight="1">
      <c r="A125" t="inlineStr">
        <is>
          <t>A 60333-2024</t>
        </is>
      </c>
      <c r="B125" s="1" t="n">
        <v>45643</v>
      </c>
      <c r="C125" s="1" t="n">
        <v>45995</v>
      </c>
      <c r="D125" t="inlineStr">
        <is>
          <t>JÄMTLANDS LÄN</t>
        </is>
      </c>
      <c r="E125" t="inlineStr">
        <is>
          <t>BERG</t>
        </is>
      </c>
      <c r="G125" t="n">
        <v>25.5</v>
      </c>
      <c r="H125" t="n">
        <v>0</v>
      </c>
      <c r="I125" t="n">
        <v>2</v>
      </c>
      <c r="J125" t="n">
        <v>0</v>
      </c>
      <c r="K125" t="n">
        <v>0</v>
      </c>
      <c r="L125" t="n">
        <v>0</v>
      </c>
      <c r="M125" t="n">
        <v>0</v>
      </c>
      <c r="N125" t="n">
        <v>0</v>
      </c>
      <c r="O125" t="n">
        <v>0</v>
      </c>
      <c r="P125" t="n">
        <v>0</v>
      </c>
      <c r="Q125" t="n">
        <v>2</v>
      </c>
      <c r="R125" s="2" t="inlineStr">
        <is>
          <t>Honungsvaxing
Ängsvaxskivling</t>
        </is>
      </c>
      <c r="S125">
        <f>HYPERLINK("https://klasma.github.io/Logging_2326/artfynd/A 60333-2024 artfynd.xlsx", "A 60333-2024")</f>
        <v/>
      </c>
      <c r="T125">
        <f>HYPERLINK("https://klasma.github.io/Logging_2326/kartor/A 60333-2024 karta.png", "A 60333-2024")</f>
        <v/>
      </c>
      <c r="V125">
        <f>HYPERLINK("https://klasma.github.io/Logging_2326/klagomål/A 60333-2024 FSC-klagomål.docx", "A 60333-2024")</f>
        <v/>
      </c>
      <c r="W125">
        <f>HYPERLINK("https://klasma.github.io/Logging_2326/klagomålsmail/A 60333-2024 FSC-klagomål mail.docx", "A 60333-2024")</f>
        <v/>
      </c>
      <c r="X125">
        <f>HYPERLINK("https://klasma.github.io/Logging_2326/tillsyn/A 60333-2024 tillsynsbegäran.docx", "A 60333-2024")</f>
        <v/>
      </c>
      <c r="Y125">
        <f>HYPERLINK("https://klasma.github.io/Logging_2326/tillsynsmail/A 60333-2024 tillsynsbegäran mail.docx", "A 60333-2024")</f>
        <v/>
      </c>
    </row>
    <row r="126" ht="15" customHeight="1">
      <c r="A126" t="inlineStr">
        <is>
          <t>A 28769-2024</t>
        </is>
      </c>
      <c r="B126" s="1" t="n">
        <v>45478</v>
      </c>
      <c r="C126" s="1" t="n">
        <v>45995</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19948-2025</t>
        </is>
      </c>
      <c r="B127" s="1" t="n">
        <v>45771.65668981482</v>
      </c>
      <c r="C127" s="1" t="n">
        <v>45995</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50389-2025</t>
        </is>
      </c>
      <c r="B128" s="1" t="n">
        <v>45944.61539351852</v>
      </c>
      <c r="C128" s="1" t="n">
        <v>45995</v>
      </c>
      <c r="D128" t="inlineStr">
        <is>
          <t>JÄMTLANDS LÄN</t>
        </is>
      </c>
      <c r="E128" t="inlineStr">
        <is>
          <t>BERG</t>
        </is>
      </c>
      <c r="F128" t="inlineStr">
        <is>
          <t>SCA</t>
        </is>
      </c>
      <c r="G128" t="n">
        <v>11.4</v>
      </c>
      <c r="H128" t="n">
        <v>1</v>
      </c>
      <c r="I128" t="n">
        <v>0</v>
      </c>
      <c r="J128" t="n">
        <v>0</v>
      </c>
      <c r="K128" t="n">
        <v>0</v>
      </c>
      <c r="L128" t="n">
        <v>0</v>
      </c>
      <c r="M128" t="n">
        <v>0</v>
      </c>
      <c r="N128" t="n">
        <v>0</v>
      </c>
      <c r="O128" t="n">
        <v>1</v>
      </c>
      <c r="P128" t="n">
        <v>0</v>
      </c>
      <c r="Q128" t="n">
        <v>2</v>
      </c>
      <c r="R128" s="2" t="inlineStr">
        <is>
          <t>Halsfibbla
Fläcknycklar</t>
        </is>
      </c>
      <c r="S128">
        <f>HYPERLINK("https://klasma.github.io/Logging_2326/artfynd/A 50389-2025 artfynd.xlsx", "A 50389-2025")</f>
        <v/>
      </c>
      <c r="T128">
        <f>HYPERLINK("https://klasma.github.io/Logging_2326/kartor/A 50389-2025 karta.png", "A 50389-2025")</f>
        <v/>
      </c>
      <c r="V128">
        <f>HYPERLINK("https://klasma.github.io/Logging_2326/klagomål/A 50389-2025 FSC-klagomål.docx", "A 50389-2025")</f>
        <v/>
      </c>
      <c r="W128">
        <f>HYPERLINK("https://klasma.github.io/Logging_2326/klagomålsmail/A 50389-2025 FSC-klagomål mail.docx", "A 50389-2025")</f>
        <v/>
      </c>
      <c r="X128">
        <f>HYPERLINK("https://klasma.github.io/Logging_2326/tillsyn/A 50389-2025 tillsynsbegäran.docx", "A 50389-2025")</f>
        <v/>
      </c>
      <c r="Y128">
        <f>HYPERLINK("https://klasma.github.io/Logging_2326/tillsynsmail/A 50389-2025 tillsynsbegäran mail.docx", "A 50389-2025")</f>
        <v/>
      </c>
    </row>
    <row r="129" ht="15" customHeight="1">
      <c r="A129" t="inlineStr">
        <is>
          <t>A 30334-2024</t>
        </is>
      </c>
      <c r="B129" s="1" t="n">
        <v>45490.95396990741</v>
      </c>
      <c r="C129" s="1" t="n">
        <v>45995</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26748-2025</t>
        </is>
      </c>
      <c r="B130" s="1" t="n">
        <v>45810.53988425926</v>
      </c>
      <c r="C130" s="1" t="n">
        <v>45995</v>
      </c>
      <c r="D130" t="inlineStr">
        <is>
          <t>JÄMTLANDS LÄN</t>
        </is>
      </c>
      <c r="E130" t="inlineStr">
        <is>
          <t>BERG</t>
        </is>
      </c>
      <c r="G130" t="n">
        <v>17.4</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26748-2025 artfynd.xlsx", "A 26748-2025")</f>
        <v/>
      </c>
      <c r="T130">
        <f>HYPERLINK("https://klasma.github.io/Logging_2326/kartor/A 26748-2025 karta.png", "A 26748-2025")</f>
        <v/>
      </c>
      <c r="V130">
        <f>HYPERLINK("https://klasma.github.io/Logging_2326/klagomål/A 26748-2025 FSC-klagomål.docx", "A 26748-2025")</f>
        <v/>
      </c>
      <c r="W130">
        <f>HYPERLINK("https://klasma.github.io/Logging_2326/klagomålsmail/A 26748-2025 FSC-klagomål mail.docx", "A 26748-2025")</f>
        <v/>
      </c>
      <c r="X130">
        <f>HYPERLINK("https://klasma.github.io/Logging_2326/tillsyn/A 26748-2025 tillsynsbegäran.docx", "A 26748-2025")</f>
        <v/>
      </c>
      <c r="Y130">
        <f>HYPERLINK("https://klasma.github.io/Logging_2326/tillsynsmail/A 26748-2025 tillsynsbegäran mail.docx", "A 26748-2025")</f>
        <v/>
      </c>
      <c r="Z130">
        <f>HYPERLINK("https://klasma.github.io/Logging_2326/fåglar/A 26748-2025 prioriterade fågelarter.docx", "A 26748-2025")</f>
        <v/>
      </c>
    </row>
    <row r="131" ht="15" customHeight="1">
      <c r="A131" t="inlineStr">
        <is>
          <t>A 27647-2025</t>
        </is>
      </c>
      <c r="B131" s="1" t="n">
        <v>45813.59454861111</v>
      </c>
      <c r="C131" s="1" t="n">
        <v>45995</v>
      </c>
      <c r="D131" t="inlineStr">
        <is>
          <t>JÄMTLANDS LÄN</t>
        </is>
      </c>
      <c r="E131" t="inlineStr">
        <is>
          <t>BERG</t>
        </is>
      </c>
      <c r="F131" t="inlineStr">
        <is>
          <t>SCA</t>
        </is>
      </c>
      <c r="G131" t="n">
        <v>3.1</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27647-2025 artfynd.xlsx", "A 27647-2025")</f>
        <v/>
      </c>
      <c r="T131">
        <f>HYPERLINK("https://klasma.github.io/Logging_2326/kartor/A 27647-2025 karta.png", "A 27647-2025")</f>
        <v/>
      </c>
      <c r="V131">
        <f>HYPERLINK("https://klasma.github.io/Logging_2326/klagomål/A 27647-2025 FSC-klagomål.docx", "A 27647-2025")</f>
        <v/>
      </c>
      <c r="W131">
        <f>HYPERLINK("https://klasma.github.io/Logging_2326/klagomålsmail/A 27647-2025 FSC-klagomål mail.docx", "A 27647-2025")</f>
        <v/>
      </c>
      <c r="X131">
        <f>HYPERLINK("https://klasma.github.io/Logging_2326/tillsyn/A 27647-2025 tillsynsbegäran.docx", "A 27647-2025")</f>
        <v/>
      </c>
      <c r="Y131">
        <f>HYPERLINK("https://klasma.github.io/Logging_2326/tillsynsmail/A 27647-2025 tillsynsbegäran mail.docx", "A 27647-2025")</f>
        <v/>
      </c>
    </row>
    <row r="132" ht="15" customHeight="1">
      <c r="A132" t="inlineStr">
        <is>
          <t>A 31709-2025</t>
        </is>
      </c>
      <c r="B132" s="1" t="n">
        <v>45834.42543981481</v>
      </c>
      <c r="C132" s="1" t="n">
        <v>45995</v>
      </c>
      <c r="D132" t="inlineStr">
        <is>
          <t>JÄMTLANDS LÄN</t>
        </is>
      </c>
      <c r="E132" t="inlineStr">
        <is>
          <t>BERG</t>
        </is>
      </c>
      <c r="G132" t="n">
        <v>22.2</v>
      </c>
      <c r="H132" t="n">
        <v>1</v>
      </c>
      <c r="I132" t="n">
        <v>0</v>
      </c>
      <c r="J132" t="n">
        <v>1</v>
      </c>
      <c r="K132" t="n">
        <v>0</v>
      </c>
      <c r="L132" t="n">
        <v>1</v>
      </c>
      <c r="M132" t="n">
        <v>0</v>
      </c>
      <c r="N132" t="n">
        <v>0</v>
      </c>
      <c r="O132" t="n">
        <v>2</v>
      </c>
      <c r="P132" t="n">
        <v>1</v>
      </c>
      <c r="Q132" t="n">
        <v>2</v>
      </c>
      <c r="R132" s="2" t="inlineStr">
        <is>
          <t>Mikroskapania
Platt spretmossa</t>
        </is>
      </c>
      <c r="S132">
        <f>HYPERLINK("https://klasma.github.io/Logging_2326/artfynd/A 31709-2025 artfynd.xlsx", "A 31709-2025")</f>
        <v/>
      </c>
      <c r="T132">
        <f>HYPERLINK("https://klasma.github.io/Logging_2326/kartor/A 31709-2025 karta.png", "A 31709-2025")</f>
        <v/>
      </c>
      <c r="V132">
        <f>HYPERLINK("https://klasma.github.io/Logging_2326/klagomål/A 31709-2025 FSC-klagomål.docx", "A 31709-2025")</f>
        <v/>
      </c>
      <c r="W132">
        <f>HYPERLINK("https://klasma.github.io/Logging_2326/klagomålsmail/A 31709-2025 FSC-klagomål mail.docx", "A 31709-2025")</f>
        <v/>
      </c>
      <c r="X132">
        <f>HYPERLINK("https://klasma.github.io/Logging_2326/tillsyn/A 31709-2025 tillsynsbegäran.docx", "A 31709-2025")</f>
        <v/>
      </c>
      <c r="Y132">
        <f>HYPERLINK("https://klasma.github.io/Logging_2326/tillsynsmail/A 31709-2025 tillsynsbegäran mail.docx", "A 31709-2025")</f>
        <v/>
      </c>
    </row>
    <row r="133" ht="15" customHeight="1">
      <c r="A133" t="inlineStr">
        <is>
          <t>A 10133-2023</t>
        </is>
      </c>
      <c r="B133" s="1" t="n">
        <v>44986</v>
      </c>
      <c r="C133" s="1" t="n">
        <v>45995</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37387-2022</t>
        </is>
      </c>
      <c r="B134" s="1" t="n">
        <v>44806</v>
      </c>
      <c r="C134" s="1" t="n">
        <v>45995</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53086-2024</t>
        </is>
      </c>
      <c r="B135" s="1" t="n">
        <v>45611.51084490741</v>
      </c>
      <c r="C135" s="1" t="n">
        <v>45995</v>
      </c>
      <c r="D135" t="inlineStr">
        <is>
          <t>JÄMTLANDS LÄN</t>
        </is>
      </c>
      <c r="E135" t="inlineStr">
        <is>
          <t>BERG</t>
        </is>
      </c>
      <c r="F135" t="inlineStr">
        <is>
          <t>SCA</t>
        </is>
      </c>
      <c r="G135" t="n">
        <v>7.7</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53086-2024 artfynd.xlsx", "A 53086-2024")</f>
        <v/>
      </c>
      <c r="T135">
        <f>HYPERLINK("https://klasma.github.io/Logging_2326/kartor/A 53086-2024 karta.png", "A 53086-2024")</f>
        <v/>
      </c>
      <c r="V135">
        <f>HYPERLINK("https://klasma.github.io/Logging_2326/klagomål/A 53086-2024 FSC-klagomål.docx", "A 53086-2024")</f>
        <v/>
      </c>
      <c r="W135">
        <f>HYPERLINK("https://klasma.github.io/Logging_2326/klagomålsmail/A 53086-2024 FSC-klagomål mail.docx", "A 53086-2024")</f>
        <v/>
      </c>
      <c r="X135">
        <f>HYPERLINK("https://klasma.github.io/Logging_2326/tillsyn/A 53086-2024 tillsynsbegäran.docx", "A 53086-2024")</f>
        <v/>
      </c>
      <c r="Y135">
        <f>HYPERLINK("https://klasma.github.io/Logging_2326/tillsynsmail/A 53086-2024 tillsynsbegäran mail.docx", "A 53086-2024")</f>
        <v/>
      </c>
    </row>
    <row r="136" ht="15" customHeight="1">
      <c r="A136" t="inlineStr">
        <is>
          <t>A 41317-2022</t>
        </is>
      </c>
      <c r="B136" s="1" t="n">
        <v>44826</v>
      </c>
      <c r="C136" s="1" t="n">
        <v>45995</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20444-2025</t>
        </is>
      </c>
      <c r="B137" s="1" t="n">
        <v>45775.48989583334</v>
      </c>
      <c r="C137" s="1" t="n">
        <v>45995</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16834-2021</t>
        </is>
      </c>
      <c r="B138" s="1" t="n">
        <v>44293</v>
      </c>
      <c r="C138" s="1" t="n">
        <v>45995</v>
      </c>
      <c r="D138" t="inlineStr">
        <is>
          <t>JÄMTLANDS LÄN</t>
        </is>
      </c>
      <c r="E138" t="inlineStr">
        <is>
          <t>BERG</t>
        </is>
      </c>
      <c r="G138" t="n">
        <v>18.7</v>
      </c>
      <c r="H138" t="n">
        <v>0</v>
      </c>
      <c r="I138" t="n">
        <v>0</v>
      </c>
      <c r="J138" t="n">
        <v>1</v>
      </c>
      <c r="K138" t="n">
        <v>0</v>
      </c>
      <c r="L138" t="n">
        <v>0</v>
      </c>
      <c r="M138" t="n">
        <v>0</v>
      </c>
      <c r="N138" t="n">
        <v>0</v>
      </c>
      <c r="O138" t="n">
        <v>1</v>
      </c>
      <c r="P138" t="n">
        <v>0</v>
      </c>
      <c r="Q138" t="n">
        <v>1</v>
      </c>
      <c r="R138" s="2" t="inlineStr">
        <is>
          <t>Gränsticka</t>
        </is>
      </c>
      <c r="S138">
        <f>HYPERLINK("https://klasma.github.io/Logging_2326/artfynd/A 16834-2021 artfynd.xlsx", "A 16834-2021")</f>
        <v/>
      </c>
      <c r="T138">
        <f>HYPERLINK("https://klasma.github.io/Logging_2326/kartor/A 16834-2021 karta.png", "A 16834-2021")</f>
        <v/>
      </c>
      <c r="V138">
        <f>HYPERLINK("https://klasma.github.io/Logging_2326/klagomål/A 16834-2021 FSC-klagomål.docx", "A 16834-2021")</f>
        <v/>
      </c>
      <c r="W138">
        <f>HYPERLINK("https://klasma.github.io/Logging_2326/klagomålsmail/A 16834-2021 FSC-klagomål mail.docx", "A 16834-2021")</f>
        <v/>
      </c>
      <c r="X138">
        <f>HYPERLINK("https://klasma.github.io/Logging_2326/tillsyn/A 16834-2021 tillsynsbegäran.docx", "A 16834-2021")</f>
        <v/>
      </c>
      <c r="Y138">
        <f>HYPERLINK("https://klasma.github.io/Logging_2326/tillsynsmail/A 16834-2021 tillsynsbegäran mail.docx", "A 16834-2021")</f>
        <v/>
      </c>
    </row>
    <row r="139" ht="15" customHeight="1">
      <c r="A139" t="inlineStr">
        <is>
          <t>A 32686-2022</t>
        </is>
      </c>
      <c r="B139" s="1" t="n">
        <v>44776</v>
      </c>
      <c r="C139" s="1" t="n">
        <v>45995</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39001-2025</t>
        </is>
      </c>
      <c r="B140" s="1" t="n">
        <v>45888.344375</v>
      </c>
      <c r="C140" s="1" t="n">
        <v>45995</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56202-2021</t>
        </is>
      </c>
      <c r="B141" s="1" t="n">
        <v>44477</v>
      </c>
      <c r="C141" s="1" t="n">
        <v>45995</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9657-2023</t>
        </is>
      </c>
      <c r="B142" s="1" t="n">
        <v>44978</v>
      </c>
      <c r="C142" s="1" t="n">
        <v>45995</v>
      </c>
      <c r="D142" t="inlineStr">
        <is>
          <t>JÄMTLANDS LÄN</t>
        </is>
      </c>
      <c r="E142" t="inlineStr">
        <is>
          <t>BERG</t>
        </is>
      </c>
      <c r="G142" t="n">
        <v>2.7</v>
      </c>
      <c r="H142" t="n">
        <v>0</v>
      </c>
      <c r="I142" t="n">
        <v>0</v>
      </c>
      <c r="J142" t="n">
        <v>1</v>
      </c>
      <c r="K142" t="n">
        <v>0</v>
      </c>
      <c r="L142" t="n">
        <v>0</v>
      </c>
      <c r="M142" t="n">
        <v>0</v>
      </c>
      <c r="N142" t="n">
        <v>0</v>
      </c>
      <c r="O142" t="n">
        <v>1</v>
      </c>
      <c r="P142" t="n">
        <v>0</v>
      </c>
      <c r="Q142" t="n">
        <v>1</v>
      </c>
      <c r="R142" s="2" t="inlineStr">
        <is>
          <t>Garnlav</t>
        </is>
      </c>
      <c r="S142">
        <f>HYPERLINK("https://klasma.github.io/Logging_2326/artfynd/A 9657-2023 artfynd.xlsx", "A 9657-2023")</f>
        <v/>
      </c>
      <c r="T142">
        <f>HYPERLINK("https://klasma.github.io/Logging_2326/kartor/A 9657-2023 karta.png", "A 9657-2023")</f>
        <v/>
      </c>
      <c r="V142">
        <f>HYPERLINK("https://klasma.github.io/Logging_2326/klagomål/A 9657-2023 FSC-klagomål.docx", "A 9657-2023")</f>
        <v/>
      </c>
      <c r="W142">
        <f>HYPERLINK("https://klasma.github.io/Logging_2326/klagomålsmail/A 9657-2023 FSC-klagomål mail.docx", "A 9657-2023")</f>
        <v/>
      </c>
      <c r="X142">
        <f>HYPERLINK("https://klasma.github.io/Logging_2326/tillsyn/A 9657-2023 tillsynsbegäran.docx", "A 9657-2023")</f>
        <v/>
      </c>
      <c r="Y142">
        <f>HYPERLINK("https://klasma.github.io/Logging_2326/tillsynsmail/A 9657-2023 tillsynsbegäran mail.docx", "A 9657-2023")</f>
        <v/>
      </c>
    </row>
    <row r="143" ht="15" customHeight="1">
      <c r="A143" t="inlineStr">
        <is>
          <t>A 68434-2021</t>
        </is>
      </c>
      <c r="B143" s="1" t="n">
        <v>44529</v>
      </c>
      <c r="C143" s="1" t="n">
        <v>45995</v>
      </c>
      <c r="D143" t="inlineStr">
        <is>
          <t>JÄMTLANDS LÄN</t>
        </is>
      </c>
      <c r="E143" t="inlineStr">
        <is>
          <t>BERG</t>
        </is>
      </c>
      <c r="G143" t="n">
        <v>14</v>
      </c>
      <c r="H143" t="n">
        <v>0</v>
      </c>
      <c r="I143" t="n">
        <v>0</v>
      </c>
      <c r="J143" t="n">
        <v>0</v>
      </c>
      <c r="K143" t="n">
        <v>1</v>
      </c>
      <c r="L143" t="n">
        <v>0</v>
      </c>
      <c r="M143" t="n">
        <v>0</v>
      </c>
      <c r="N143" t="n">
        <v>0</v>
      </c>
      <c r="O143" t="n">
        <v>1</v>
      </c>
      <c r="P143" t="n">
        <v>1</v>
      </c>
      <c r="Q143" t="n">
        <v>1</v>
      </c>
      <c r="R143" s="2" t="inlineStr">
        <is>
          <t>Ostticka</t>
        </is>
      </c>
      <c r="S143">
        <f>HYPERLINK("https://klasma.github.io/Logging_2326/artfynd/A 68434-2021 artfynd.xlsx", "A 68434-2021")</f>
        <v/>
      </c>
      <c r="T143">
        <f>HYPERLINK("https://klasma.github.io/Logging_2326/kartor/A 68434-2021 karta.png", "A 68434-2021")</f>
        <v/>
      </c>
      <c r="V143">
        <f>HYPERLINK("https://klasma.github.io/Logging_2326/klagomål/A 68434-2021 FSC-klagomål.docx", "A 68434-2021")</f>
        <v/>
      </c>
      <c r="W143">
        <f>HYPERLINK("https://klasma.github.io/Logging_2326/klagomålsmail/A 68434-2021 FSC-klagomål mail.docx", "A 68434-2021")</f>
        <v/>
      </c>
      <c r="X143">
        <f>HYPERLINK("https://klasma.github.io/Logging_2326/tillsyn/A 68434-2021 tillsynsbegäran.docx", "A 68434-2021")</f>
        <v/>
      </c>
      <c r="Y143">
        <f>HYPERLINK("https://klasma.github.io/Logging_2326/tillsynsmail/A 68434-2021 tillsynsbegäran mail.docx", "A 68434-2021")</f>
        <v/>
      </c>
    </row>
    <row r="144" ht="15" customHeight="1">
      <c r="A144" t="inlineStr">
        <is>
          <t>A 33083-2024</t>
        </is>
      </c>
      <c r="B144" s="1" t="n">
        <v>45517.675</v>
      </c>
      <c r="C144" s="1" t="n">
        <v>45995</v>
      </c>
      <c r="D144" t="inlineStr">
        <is>
          <t>JÄMTLANDS LÄN</t>
        </is>
      </c>
      <c r="E144" t="inlineStr">
        <is>
          <t>BERG</t>
        </is>
      </c>
      <c r="G144" t="n">
        <v>0.2</v>
      </c>
      <c r="H144" t="n">
        <v>0</v>
      </c>
      <c r="I144" t="n">
        <v>0</v>
      </c>
      <c r="J144" t="n">
        <v>1</v>
      </c>
      <c r="K144" t="n">
        <v>0</v>
      </c>
      <c r="L144" t="n">
        <v>0</v>
      </c>
      <c r="M144" t="n">
        <v>0</v>
      </c>
      <c r="N144" t="n">
        <v>0</v>
      </c>
      <c r="O144" t="n">
        <v>1</v>
      </c>
      <c r="P144" t="n">
        <v>0</v>
      </c>
      <c r="Q144" t="n">
        <v>1</v>
      </c>
      <c r="R144" s="2" t="inlineStr">
        <is>
          <t>Garnlav</t>
        </is>
      </c>
      <c r="S144">
        <f>HYPERLINK("https://klasma.github.io/Logging_2326/artfynd/A 33083-2024 artfynd.xlsx", "A 33083-2024")</f>
        <v/>
      </c>
      <c r="T144">
        <f>HYPERLINK("https://klasma.github.io/Logging_2326/kartor/A 33083-2024 karta.png", "A 33083-2024")</f>
        <v/>
      </c>
      <c r="V144">
        <f>HYPERLINK("https://klasma.github.io/Logging_2326/klagomål/A 33083-2024 FSC-klagomål.docx", "A 33083-2024")</f>
        <v/>
      </c>
      <c r="W144">
        <f>HYPERLINK("https://klasma.github.io/Logging_2326/klagomålsmail/A 33083-2024 FSC-klagomål mail.docx", "A 33083-2024")</f>
        <v/>
      </c>
      <c r="X144">
        <f>HYPERLINK("https://klasma.github.io/Logging_2326/tillsyn/A 33083-2024 tillsynsbegäran.docx", "A 33083-2024")</f>
        <v/>
      </c>
      <c r="Y144">
        <f>HYPERLINK("https://klasma.github.io/Logging_2326/tillsynsmail/A 33083-2024 tillsynsbegäran mail.docx", "A 33083-2024")</f>
        <v/>
      </c>
    </row>
    <row r="145" ht="15" customHeight="1">
      <c r="A145" t="inlineStr">
        <is>
          <t>A 53014-2022</t>
        </is>
      </c>
      <c r="B145" s="1" t="n">
        <v>44875</v>
      </c>
      <c r="C145" s="1" t="n">
        <v>45995</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34891-2024</t>
        </is>
      </c>
      <c r="B146" s="1" t="n">
        <v>45527.36498842593</v>
      </c>
      <c r="C146" s="1" t="n">
        <v>45995</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25853-2025</t>
        </is>
      </c>
      <c r="B147" s="1" t="n">
        <v>45804.46908564815</v>
      </c>
      <c r="C147" s="1" t="n">
        <v>45995</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41635-2024</t>
        </is>
      </c>
      <c r="B148" s="1" t="n">
        <v>45560.61601851852</v>
      </c>
      <c r="C148" s="1" t="n">
        <v>45995</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53427-2025</t>
        </is>
      </c>
      <c r="B149" s="1" t="n">
        <v>45959</v>
      </c>
      <c r="C149" s="1" t="n">
        <v>45995</v>
      </c>
      <c r="D149" t="inlineStr">
        <is>
          <t>JÄMTLANDS LÄN</t>
        </is>
      </c>
      <c r="E149" t="inlineStr">
        <is>
          <t>BERG</t>
        </is>
      </c>
      <c r="F149" t="inlineStr">
        <is>
          <t>SCA</t>
        </is>
      </c>
      <c r="G149" t="n">
        <v>16.8</v>
      </c>
      <c r="H149" t="n">
        <v>1</v>
      </c>
      <c r="I149" t="n">
        <v>0</v>
      </c>
      <c r="J149" t="n">
        <v>1</v>
      </c>
      <c r="K149" t="n">
        <v>0</v>
      </c>
      <c r="L149" t="n">
        <v>0</v>
      </c>
      <c r="M149" t="n">
        <v>0</v>
      </c>
      <c r="N149" t="n">
        <v>0</v>
      </c>
      <c r="O149" t="n">
        <v>1</v>
      </c>
      <c r="P149" t="n">
        <v>0</v>
      </c>
      <c r="Q149" t="n">
        <v>1</v>
      </c>
      <c r="R149" s="2" t="inlineStr">
        <is>
          <t>Grönsångare</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c r="Z149">
        <f>HYPERLINK("https://klasma.github.io/Logging_2326/fåglar/A 53427-2025 prioriterade fågelarter.docx", "A 53427-2025")</f>
        <v/>
      </c>
    </row>
    <row r="150" ht="15" customHeight="1">
      <c r="A150" t="inlineStr">
        <is>
          <t>A 54595-2024</t>
        </is>
      </c>
      <c r="B150" s="1" t="n">
        <v>45617.67353009259</v>
      </c>
      <c r="C150" s="1" t="n">
        <v>45995</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47946-2025</t>
        </is>
      </c>
      <c r="B151" s="1" t="n">
        <v>45932.57346064815</v>
      </c>
      <c r="C151" s="1" t="n">
        <v>45995</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47658-2025</t>
        </is>
      </c>
      <c r="B152" s="1" t="n">
        <v>45931.55266203704</v>
      </c>
      <c r="C152" s="1" t="n">
        <v>45995</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20808-2024</t>
        </is>
      </c>
      <c r="B153" s="1" t="n">
        <v>45439</v>
      </c>
      <c r="C153" s="1" t="n">
        <v>45995</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56198-2025</t>
        </is>
      </c>
      <c r="B154" s="1" t="n">
        <v>45974.45760416667</v>
      </c>
      <c r="C154" s="1" t="n">
        <v>45995</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47656-2025</t>
        </is>
      </c>
      <c r="B155" s="1" t="n">
        <v>45931.55247685185</v>
      </c>
      <c r="C155" s="1" t="n">
        <v>45995</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21681-2025</t>
        </is>
      </c>
      <c r="B156" s="1" t="n">
        <v>45783.49015046296</v>
      </c>
      <c r="C156" s="1" t="n">
        <v>45995</v>
      </c>
      <c r="D156" t="inlineStr">
        <is>
          <t>JÄMTLANDS LÄN</t>
        </is>
      </c>
      <c r="E156" t="inlineStr">
        <is>
          <t>BERG</t>
        </is>
      </c>
      <c r="F156" t="inlineStr">
        <is>
          <t>SCA</t>
        </is>
      </c>
      <c r="G156" t="n">
        <v>10.2</v>
      </c>
      <c r="H156" t="n">
        <v>0</v>
      </c>
      <c r="I156" t="n">
        <v>0</v>
      </c>
      <c r="J156" t="n">
        <v>0</v>
      </c>
      <c r="K156" t="n">
        <v>1</v>
      </c>
      <c r="L156" t="n">
        <v>0</v>
      </c>
      <c r="M156" t="n">
        <v>0</v>
      </c>
      <c r="N156" t="n">
        <v>0</v>
      </c>
      <c r="O156" t="n">
        <v>1</v>
      </c>
      <c r="P156" t="n">
        <v>1</v>
      </c>
      <c r="Q156" t="n">
        <v>1</v>
      </c>
      <c r="R156" s="2" t="inlineStr">
        <is>
          <t>Gräddporing</t>
        </is>
      </c>
      <c r="S156">
        <f>HYPERLINK("https://klasma.github.io/Logging_2326/artfynd/A 21681-2025 artfynd.xlsx", "A 21681-2025")</f>
        <v/>
      </c>
      <c r="T156">
        <f>HYPERLINK("https://klasma.github.io/Logging_2326/kartor/A 21681-2025 karta.png", "A 21681-2025")</f>
        <v/>
      </c>
      <c r="V156">
        <f>HYPERLINK("https://klasma.github.io/Logging_2326/klagomål/A 21681-2025 FSC-klagomål.docx", "A 21681-2025")</f>
        <v/>
      </c>
      <c r="W156">
        <f>HYPERLINK("https://klasma.github.io/Logging_2326/klagomålsmail/A 21681-2025 FSC-klagomål mail.docx", "A 21681-2025")</f>
        <v/>
      </c>
      <c r="X156">
        <f>HYPERLINK("https://klasma.github.io/Logging_2326/tillsyn/A 21681-2025 tillsynsbegäran.docx", "A 21681-2025")</f>
        <v/>
      </c>
      <c r="Y156">
        <f>HYPERLINK("https://klasma.github.io/Logging_2326/tillsynsmail/A 21681-2025 tillsynsbegäran mail.docx", "A 21681-2025")</f>
        <v/>
      </c>
    </row>
    <row r="157" ht="15" customHeight="1">
      <c r="A157" t="inlineStr">
        <is>
          <t>A 49049-2024</t>
        </is>
      </c>
      <c r="B157" s="1" t="n">
        <v>45594.5742824074</v>
      </c>
      <c r="C157" s="1" t="n">
        <v>45995</v>
      </c>
      <c r="D157" t="inlineStr">
        <is>
          <t>JÄMTLANDS LÄN</t>
        </is>
      </c>
      <c r="E157" t="inlineStr">
        <is>
          <t>BERG</t>
        </is>
      </c>
      <c r="G157" t="n">
        <v>0.8</v>
      </c>
      <c r="H157" t="n">
        <v>1</v>
      </c>
      <c r="I157" t="n">
        <v>1</v>
      </c>
      <c r="J157" t="n">
        <v>0</v>
      </c>
      <c r="K157" t="n">
        <v>0</v>
      </c>
      <c r="L157" t="n">
        <v>0</v>
      </c>
      <c r="M157" t="n">
        <v>0</v>
      </c>
      <c r="N157" t="n">
        <v>0</v>
      </c>
      <c r="O157" t="n">
        <v>0</v>
      </c>
      <c r="P157" t="n">
        <v>0</v>
      </c>
      <c r="Q157" t="n">
        <v>1</v>
      </c>
      <c r="R157" s="2" t="inlineStr">
        <is>
          <t>Korallrot</t>
        </is>
      </c>
      <c r="S157">
        <f>HYPERLINK("https://klasma.github.io/Logging_2326/artfynd/A 49049-2024 artfynd.xlsx", "A 49049-2024")</f>
        <v/>
      </c>
      <c r="T157">
        <f>HYPERLINK("https://klasma.github.io/Logging_2326/kartor/A 49049-2024 karta.png", "A 49049-2024")</f>
        <v/>
      </c>
      <c r="V157">
        <f>HYPERLINK("https://klasma.github.io/Logging_2326/klagomål/A 49049-2024 FSC-klagomål.docx", "A 49049-2024")</f>
        <v/>
      </c>
      <c r="W157">
        <f>HYPERLINK("https://klasma.github.io/Logging_2326/klagomålsmail/A 49049-2024 FSC-klagomål mail.docx", "A 49049-2024")</f>
        <v/>
      </c>
      <c r="X157">
        <f>HYPERLINK("https://klasma.github.io/Logging_2326/tillsyn/A 49049-2024 tillsynsbegäran.docx", "A 49049-2024")</f>
        <v/>
      </c>
      <c r="Y157">
        <f>HYPERLINK("https://klasma.github.io/Logging_2326/tillsynsmail/A 49049-2024 tillsynsbegäran mail.docx", "A 49049-2024")</f>
        <v/>
      </c>
    </row>
    <row r="158" ht="15" customHeight="1">
      <c r="A158" t="inlineStr">
        <is>
          <t>A 21370-2025</t>
        </is>
      </c>
      <c r="B158" s="1" t="n">
        <v>45782.4484375</v>
      </c>
      <c r="C158" s="1" t="n">
        <v>45995</v>
      </c>
      <c r="D158" t="inlineStr">
        <is>
          <t>JÄMTLANDS LÄN</t>
        </is>
      </c>
      <c r="E158" t="inlineStr">
        <is>
          <t>BERG</t>
        </is>
      </c>
      <c r="F158" t="inlineStr">
        <is>
          <t>SCA</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21370-2025 artfynd.xlsx", "A 21370-2025")</f>
        <v/>
      </c>
      <c r="T158">
        <f>HYPERLINK("https://klasma.github.io/Logging_2326/kartor/A 21370-2025 karta.png", "A 21370-2025")</f>
        <v/>
      </c>
      <c r="V158">
        <f>HYPERLINK("https://klasma.github.io/Logging_2326/klagomål/A 21370-2025 FSC-klagomål.docx", "A 21370-2025")</f>
        <v/>
      </c>
      <c r="W158">
        <f>HYPERLINK("https://klasma.github.io/Logging_2326/klagomålsmail/A 21370-2025 FSC-klagomål mail.docx", "A 21370-2025")</f>
        <v/>
      </c>
      <c r="X158">
        <f>HYPERLINK("https://klasma.github.io/Logging_2326/tillsyn/A 21370-2025 tillsynsbegäran.docx", "A 21370-2025")</f>
        <v/>
      </c>
      <c r="Y158">
        <f>HYPERLINK("https://klasma.github.io/Logging_2326/tillsynsmail/A 21370-2025 tillsynsbegäran mail.docx", "A 21370-2025")</f>
        <v/>
      </c>
      <c r="Z158">
        <f>HYPERLINK("https://klasma.github.io/Logging_2326/fåglar/A 21370-2025 prioriterade fågelarter.docx", "A 21370-2025")</f>
        <v/>
      </c>
    </row>
    <row r="159" ht="15" customHeight="1">
      <c r="A159" t="inlineStr">
        <is>
          <t>A 23177-2024</t>
        </is>
      </c>
      <c r="B159" s="1" t="n">
        <v>45450</v>
      </c>
      <c r="C159" s="1" t="n">
        <v>45995</v>
      </c>
      <c r="D159" t="inlineStr">
        <is>
          <t>JÄMTLANDS LÄN</t>
        </is>
      </c>
      <c r="E159" t="inlineStr">
        <is>
          <t>BERG</t>
        </is>
      </c>
      <c r="F159" t="inlineStr">
        <is>
          <t>SCA</t>
        </is>
      </c>
      <c r="G159" t="n">
        <v>3.2</v>
      </c>
      <c r="H159" t="n">
        <v>0</v>
      </c>
      <c r="I159" t="n">
        <v>1</v>
      </c>
      <c r="J159" t="n">
        <v>0</v>
      </c>
      <c r="K159" t="n">
        <v>0</v>
      </c>
      <c r="L159" t="n">
        <v>0</v>
      </c>
      <c r="M159" t="n">
        <v>0</v>
      </c>
      <c r="N159" t="n">
        <v>0</v>
      </c>
      <c r="O159" t="n">
        <v>0</v>
      </c>
      <c r="P159" t="n">
        <v>0</v>
      </c>
      <c r="Q159" t="n">
        <v>1</v>
      </c>
      <c r="R159" s="2" t="inlineStr">
        <is>
          <t>Stuplav</t>
        </is>
      </c>
      <c r="S159">
        <f>HYPERLINK("https://klasma.github.io/Logging_2326/artfynd/A 23177-2024 artfynd.xlsx", "A 23177-2024")</f>
        <v/>
      </c>
      <c r="T159">
        <f>HYPERLINK("https://klasma.github.io/Logging_2326/kartor/A 23177-2024 karta.png", "A 23177-2024")</f>
        <v/>
      </c>
      <c r="V159">
        <f>HYPERLINK("https://klasma.github.io/Logging_2326/klagomål/A 23177-2024 FSC-klagomål.docx", "A 23177-2024")</f>
        <v/>
      </c>
      <c r="W159">
        <f>HYPERLINK("https://klasma.github.io/Logging_2326/klagomålsmail/A 23177-2024 FSC-klagomål mail.docx", "A 23177-2024")</f>
        <v/>
      </c>
      <c r="X159">
        <f>HYPERLINK("https://klasma.github.io/Logging_2326/tillsyn/A 23177-2024 tillsynsbegäran.docx", "A 23177-2024")</f>
        <v/>
      </c>
      <c r="Y159">
        <f>HYPERLINK("https://klasma.github.io/Logging_2326/tillsynsmail/A 23177-2024 tillsynsbegäran mail.docx", "A 23177-2024")</f>
        <v/>
      </c>
    </row>
    <row r="160" ht="15" customHeight="1">
      <c r="A160" t="inlineStr">
        <is>
          <t>A 50556-2024</t>
        </is>
      </c>
      <c r="B160" s="1" t="n">
        <v>45601.59604166666</v>
      </c>
      <c r="C160" s="1" t="n">
        <v>45995</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53708-2024</t>
        </is>
      </c>
      <c r="B161" s="1" t="n">
        <v>45615.40983796296</v>
      </c>
      <c r="C161" s="1" t="n">
        <v>45995</v>
      </c>
      <c r="D161" t="inlineStr">
        <is>
          <t>JÄMTLANDS LÄN</t>
        </is>
      </c>
      <c r="E161" t="inlineStr">
        <is>
          <t>BERG</t>
        </is>
      </c>
      <c r="G161" t="n">
        <v>8.199999999999999</v>
      </c>
      <c r="H161" t="n">
        <v>0</v>
      </c>
      <c r="I161" t="n">
        <v>0</v>
      </c>
      <c r="J161" t="n">
        <v>1</v>
      </c>
      <c r="K161" t="n">
        <v>0</v>
      </c>
      <c r="L161" t="n">
        <v>0</v>
      </c>
      <c r="M161" t="n">
        <v>0</v>
      </c>
      <c r="N161" t="n">
        <v>0</v>
      </c>
      <c r="O161" t="n">
        <v>1</v>
      </c>
      <c r="P161" t="n">
        <v>0</v>
      </c>
      <c r="Q161" t="n">
        <v>1</v>
      </c>
      <c r="R161" s="2" t="inlineStr">
        <is>
          <t>Lunglav</t>
        </is>
      </c>
      <c r="S161">
        <f>HYPERLINK("https://klasma.github.io/Logging_2326/artfynd/A 53708-2024 artfynd.xlsx", "A 53708-2024")</f>
        <v/>
      </c>
      <c r="T161">
        <f>HYPERLINK("https://klasma.github.io/Logging_2326/kartor/A 53708-2024 karta.png", "A 53708-2024")</f>
        <v/>
      </c>
      <c r="V161">
        <f>HYPERLINK("https://klasma.github.io/Logging_2326/klagomål/A 53708-2024 FSC-klagomål.docx", "A 53708-2024")</f>
        <v/>
      </c>
      <c r="W161">
        <f>HYPERLINK("https://klasma.github.io/Logging_2326/klagomålsmail/A 53708-2024 FSC-klagomål mail.docx", "A 53708-2024")</f>
        <v/>
      </c>
      <c r="X161">
        <f>HYPERLINK("https://klasma.github.io/Logging_2326/tillsyn/A 53708-2024 tillsynsbegäran.docx", "A 53708-2024")</f>
        <v/>
      </c>
      <c r="Y161">
        <f>HYPERLINK("https://klasma.github.io/Logging_2326/tillsynsmail/A 53708-2024 tillsynsbegäran mail.docx", "A 53708-2024")</f>
        <v/>
      </c>
    </row>
    <row r="162" ht="15" customHeight="1">
      <c r="A162" t="inlineStr">
        <is>
          <t>A 33126-2024</t>
        </is>
      </c>
      <c r="B162" s="1" t="n">
        <v>45517.9575462963</v>
      </c>
      <c r="C162" s="1" t="n">
        <v>45995</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50182-2025</t>
        </is>
      </c>
      <c r="B163" s="1" t="n">
        <v>45943.61550925926</v>
      </c>
      <c r="C163" s="1" t="n">
        <v>45995</v>
      </c>
      <c r="D163" t="inlineStr">
        <is>
          <t>JÄMTLANDS LÄN</t>
        </is>
      </c>
      <c r="E163" t="inlineStr">
        <is>
          <t>BERG</t>
        </is>
      </c>
      <c r="F163" t="inlineStr">
        <is>
          <t>SCA</t>
        </is>
      </c>
      <c r="G163" t="n">
        <v>12.8</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50182-2025 artfynd.xlsx", "A 50182-2025")</f>
        <v/>
      </c>
      <c r="T163">
        <f>HYPERLINK("https://klasma.github.io/Logging_2326/kartor/A 50182-2025 karta.png", "A 50182-2025")</f>
        <v/>
      </c>
      <c r="V163">
        <f>HYPERLINK("https://klasma.github.io/Logging_2326/klagomål/A 50182-2025 FSC-klagomål.docx", "A 50182-2025")</f>
        <v/>
      </c>
      <c r="W163">
        <f>HYPERLINK("https://klasma.github.io/Logging_2326/klagomålsmail/A 50182-2025 FSC-klagomål mail.docx", "A 50182-2025")</f>
        <v/>
      </c>
      <c r="X163">
        <f>HYPERLINK("https://klasma.github.io/Logging_2326/tillsyn/A 50182-2025 tillsynsbegäran.docx", "A 50182-2025")</f>
        <v/>
      </c>
      <c r="Y163">
        <f>HYPERLINK("https://klasma.github.io/Logging_2326/tillsynsmail/A 50182-2025 tillsynsbegäran mail.docx", "A 50182-2025")</f>
        <v/>
      </c>
      <c r="Z163">
        <f>HYPERLINK("https://klasma.github.io/Logging_2326/fåglar/A 50182-2025 prioriterade fågelarter.docx", "A 50182-2025")</f>
        <v/>
      </c>
    </row>
    <row r="164" ht="15" customHeight="1">
      <c r="A164" t="inlineStr">
        <is>
          <t>A 21632-2025</t>
        </is>
      </c>
      <c r="B164" s="1" t="n">
        <v>45783.42753472222</v>
      </c>
      <c r="C164" s="1" t="n">
        <v>45995</v>
      </c>
      <c r="D164" t="inlineStr">
        <is>
          <t>JÄMTLANDS LÄN</t>
        </is>
      </c>
      <c r="E164" t="inlineStr">
        <is>
          <t>BERG</t>
        </is>
      </c>
      <c r="F164" t="inlineStr">
        <is>
          <t>SCA</t>
        </is>
      </c>
      <c r="G164" t="n">
        <v>2.9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21632-2025 artfynd.xlsx", "A 21632-2025")</f>
        <v/>
      </c>
      <c r="T164">
        <f>HYPERLINK("https://klasma.github.io/Logging_2326/kartor/A 21632-2025 karta.png", "A 21632-2025")</f>
        <v/>
      </c>
      <c r="V164">
        <f>HYPERLINK("https://klasma.github.io/Logging_2326/klagomål/A 21632-2025 FSC-klagomål.docx", "A 21632-2025")</f>
        <v/>
      </c>
      <c r="W164">
        <f>HYPERLINK("https://klasma.github.io/Logging_2326/klagomålsmail/A 21632-2025 FSC-klagomål mail.docx", "A 21632-2025")</f>
        <v/>
      </c>
      <c r="X164">
        <f>HYPERLINK("https://klasma.github.io/Logging_2326/tillsyn/A 21632-2025 tillsynsbegäran.docx", "A 21632-2025")</f>
        <v/>
      </c>
      <c r="Y164">
        <f>HYPERLINK("https://klasma.github.io/Logging_2326/tillsynsmail/A 21632-2025 tillsynsbegäran mail.docx", "A 21632-2025")</f>
        <v/>
      </c>
      <c r="Z164">
        <f>HYPERLINK("https://klasma.github.io/Logging_2326/fåglar/A 21632-2025 prioriterade fågelarter.docx", "A 21632-2025")</f>
        <v/>
      </c>
    </row>
    <row r="165" ht="15" customHeight="1">
      <c r="A165" t="inlineStr">
        <is>
          <t>A 24309-2023</t>
        </is>
      </c>
      <c r="B165" s="1" t="n">
        <v>45079</v>
      </c>
      <c r="C165" s="1" t="n">
        <v>45995</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52193-2024</t>
        </is>
      </c>
      <c r="B166" s="1" t="n">
        <v>45608</v>
      </c>
      <c r="C166" s="1" t="n">
        <v>45995</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44259-2024</t>
        </is>
      </c>
      <c r="B167" s="1" t="n">
        <v>45573</v>
      </c>
      <c r="C167" s="1" t="n">
        <v>45995</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44259-2024 artfynd.xlsx", "A 44259-2024")</f>
        <v/>
      </c>
      <c r="T167">
        <f>HYPERLINK("https://klasma.github.io/Logging_2326/kartor/A 44259-2024 karta.png", "A 44259-2024")</f>
        <v/>
      </c>
      <c r="V167">
        <f>HYPERLINK("https://klasma.github.io/Logging_2326/klagomål/A 44259-2024 FSC-klagomål.docx", "A 44259-2024")</f>
        <v/>
      </c>
      <c r="W167">
        <f>HYPERLINK("https://klasma.github.io/Logging_2326/klagomålsmail/A 44259-2024 FSC-klagomål mail.docx", "A 44259-2024")</f>
        <v/>
      </c>
      <c r="X167">
        <f>HYPERLINK("https://klasma.github.io/Logging_2326/tillsyn/A 44259-2024 tillsynsbegäran.docx", "A 44259-2024")</f>
        <v/>
      </c>
      <c r="Y167">
        <f>HYPERLINK("https://klasma.github.io/Logging_2326/tillsynsmail/A 44259-2024 tillsynsbegäran mail.docx", "A 44259-2024")</f>
        <v/>
      </c>
      <c r="Z167">
        <f>HYPERLINK("https://klasma.github.io/Logging_2326/fåglar/A 44259-2024 prioriterade fågelarter.docx", "A 44259-2024")</f>
        <v/>
      </c>
    </row>
    <row r="168" ht="15" customHeight="1">
      <c r="A168" t="inlineStr">
        <is>
          <t>A 32171-2024</t>
        </is>
      </c>
      <c r="B168" s="1" t="n">
        <v>45511</v>
      </c>
      <c r="C168" s="1" t="n">
        <v>45995</v>
      </c>
      <c r="D168" t="inlineStr">
        <is>
          <t>JÄMTLANDS LÄN</t>
        </is>
      </c>
      <c r="E168" t="inlineStr">
        <is>
          <t>BERG</t>
        </is>
      </c>
      <c r="G168" t="n">
        <v>9.699999999999999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32171-2024 artfynd.xlsx", "A 32171-2024")</f>
        <v/>
      </c>
      <c r="T168">
        <f>HYPERLINK("https://klasma.github.io/Logging_2326/kartor/A 32171-2024 karta.png", "A 32171-2024")</f>
        <v/>
      </c>
      <c r="V168">
        <f>HYPERLINK("https://klasma.github.io/Logging_2326/klagomål/A 32171-2024 FSC-klagomål.docx", "A 32171-2024")</f>
        <v/>
      </c>
      <c r="W168">
        <f>HYPERLINK("https://klasma.github.io/Logging_2326/klagomålsmail/A 32171-2024 FSC-klagomål mail.docx", "A 32171-2024")</f>
        <v/>
      </c>
      <c r="X168">
        <f>HYPERLINK("https://klasma.github.io/Logging_2326/tillsyn/A 32171-2024 tillsynsbegäran.docx", "A 32171-2024")</f>
        <v/>
      </c>
      <c r="Y168">
        <f>HYPERLINK("https://klasma.github.io/Logging_2326/tillsynsmail/A 32171-2024 tillsynsbegäran mail.docx", "A 32171-2024")</f>
        <v/>
      </c>
      <c r="Z168">
        <f>HYPERLINK("https://klasma.github.io/Logging_2326/fåglar/A 32171-2024 prioriterade fågelarter.docx", "A 32171-2024")</f>
        <v/>
      </c>
    </row>
    <row r="169" ht="15" customHeight="1">
      <c r="A169" t="inlineStr">
        <is>
          <t>A 60150-2025</t>
        </is>
      </c>
      <c r="B169" s="1" t="n">
        <v>45994.38944444444</v>
      </c>
      <c r="C169" s="1" t="n">
        <v>45995</v>
      </c>
      <c r="D169" t="inlineStr">
        <is>
          <t>JÄMTLANDS LÄN</t>
        </is>
      </c>
      <c r="E169" t="inlineStr">
        <is>
          <t>BERG</t>
        </is>
      </c>
      <c r="G169" t="n">
        <v>17.6</v>
      </c>
      <c r="H169" t="n">
        <v>0</v>
      </c>
      <c r="I169" t="n">
        <v>0</v>
      </c>
      <c r="J169" t="n">
        <v>1</v>
      </c>
      <c r="K169" t="n">
        <v>0</v>
      </c>
      <c r="L169" t="n">
        <v>0</v>
      </c>
      <c r="M169" t="n">
        <v>0</v>
      </c>
      <c r="N169" t="n">
        <v>0</v>
      </c>
      <c r="O169" t="n">
        <v>1</v>
      </c>
      <c r="P169" t="n">
        <v>0</v>
      </c>
      <c r="Q169" t="n">
        <v>1</v>
      </c>
      <c r="R169" s="2" t="inlineStr">
        <is>
          <t>Kolflarnlav</t>
        </is>
      </c>
      <c r="S169">
        <f>HYPERLINK("https://klasma.github.io/Logging_2326/artfynd/A 60150-2025 artfynd.xlsx", "A 60150-2025")</f>
        <v/>
      </c>
      <c r="T169">
        <f>HYPERLINK("https://klasma.github.io/Logging_2326/kartor/A 60150-2025 karta.png", "A 60150-2025")</f>
        <v/>
      </c>
      <c r="V169">
        <f>HYPERLINK("https://klasma.github.io/Logging_2326/klagomål/A 60150-2025 FSC-klagomål.docx", "A 60150-2025")</f>
        <v/>
      </c>
      <c r="W169">
        <f>HYPERLINK("https://klasma.github.io/Logging_2326/klagomålsmail/A 60150-2025 FSC-klagomål mail.docx", "A 60150-2025")</f>
        <v/>
      </c>
      <c r="X169">
        <f>HYPERLINK("https://klasma.github.io/Logging_2326/tillsyn/A 60150-2025 tillsynsbegäran.docx", "A 60150-2025")</f>
        <v/>
      </c>
      <c r="Y169">
        <f>HYPERLINK("https://klasma.github.io/Logging_2326/tillsynsmail/A 60150-2025 tillsynsbegäran mail.docx", "A 60150-2025")</f>
        <v/>
      </c>
    </row>
    <row r="170" ht="15" customHeight="1">
      <c r="A170" t="inlineStr">
        <is>
          <t>A 24331-2025</t>
        </is>
      </c>
      <c r="B170" s="1" t="n">
        <v>45797</v>
      </c>
      <c r="C170" s="1" t="n">
        <v>45995</v>
      </c>
      <c r="D170" t="inlineStr">
        <is>
          <t>JÄMTLANDS LÄN</t>
        </is>
      </c>
      <c r="E170" t="inlineStr">
        <is>
          <t>BERG</t>
        </is>
      </c>
      <c r="G170" t="n">
        <v>9</v>
      </c>
      <c r="H170" t="n">
        <v>1</v>
      </c>
      <c r="I170" t="n">
        <v>0</v>
      </c>
      <c r="J170" t="n">
        <v>0</v>
      </c>
      <c r="K170" t="n">
        <v>0</v>
      </c>
      <c r="L170" t="n">
        <v>0</v>
      </c>
      <c r="M170" t="n">
        <v>0</v>
      </c>
      <c r="N170" t="n">
        <v>0</v>
      </c>
      <c r="O170" t="n">
        <v>0</v>
      </c>
      <c r="P170" t="n">
        <v>0</v>
      </c>
      <c r="Q170" t="n">
        <v>1</v>
      </c>
      <c r="R170" s="2" t="inlineStr">
        <is>
          <t>Blåsippa</t>
        </is>
      </c>
      <c r="S170">
        <f>HYPERLINK("https://klasma.github.io/Logging_2326/artfynd/A 24331-2025 artfynd.xlsx", "A 24331-2025")</f>
        <v/>
      </c>
      <c r="T170">
        <f>HYPERLINK("https://klasma.github.io/Logging_2326/kartor/A 24331-2025 karta.png", "A 24331-2025")</f>
        <v/>
      </c>
      <c r="V170">
        <f>HYPERLINK("https://klasma.github.io/Logging_2326/klagomål/A 24331-2025 FSC-klagomål.docx", "A 24331-2025")</f>
        <v/>
      </c>
      <c r="W170">
        <f>HYPERLINK("https://klasma.github.io/Logging_2326/klagomålsmail/A 24331-2025 FSC-klagomål mail.docx", "A 24331-2025")</f>
        <v/>
      </c>
      <c r="X170">
        <f>HYPERLINK("https://klasma.github.io/Logging_2326/tillsyn/A 24331-2025 tillsynsbegäran.docx", "A 24331-2025")</f>
        <v/>
      </c>
      <c r="Y170">
        <f>HYPERLINK("https://klasma.github.io/Logging_2326/tillsynsmail/A 24331-2025 tillsynsbegäran mail.docx", "A 24331-2025")</f>
        <v/>
      </c>
    </row>
    <row r="171" ht="15" customHeight="1">
      <c r="A171" t="inlineStr">
        <is>
          <t>A 25556-2025</t>
        </is>
      </c>
      <c r="B171" s="1" t="n">
        <v>45803.45106481481</v>
      </c>
      <c r="C171" s="1" t="n">
        <v>45995</v>
      </c>
      <c r="D171" t="inlineStr">
        <is>
          <t>JÄMTLANDS LÄN</t>
        </is>
      </c>
      <c r="E171" t="inlineStr">
        <is>
          <t>BERG</t>
        </is>
      </c>
      <c r="G171" t="n">
        <v>6.2</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25556-2025 artfynd.xlsx", "A 25556-2025")</f>
        <v/>
      </c>
      <c r="T171">
        <f>HYPERLINK("https://klasma.github.io/Logging_2326/kartor/A 25556-2025 karta.png", "A 25556-2025")</f>
        <v/>
      </c>
      <c r="V171">
        <f>HYPERLINK("https://klasma.github.io/Logging_2326/klagomål/A 25556-2025 FSC-klagomål.docx", "A 25556-2025")</f>
        <v/>
      </c>
      <c r="W171">
        <f>HYPERLINK("https://klasma.github.io/Logging_2326/klagomålsmail/A 25556-2025 FSC-klagomål mail.docx", "A 25556-2025")</f>
        <v/>
      </c>
      <c r="X171">
        <f>HYPERLINK("https://klasma.github.io/Logging_2326/tillsyn/A 25556-2025 tillsynsbegäran.docx", "A 25556-2025")</f>
        <v/>
      </c>
      <c r="Y171">
        <f>HYPERLINK("https://klasma.github.io/Logging_2326/tillsynsmail/A 25556-2025 tillsynsbegäran mail.docx", "A 25556-2025")</f>
        <v/>
      </c>
      <c r="Z171">
        <f>HYPERLINK("https://klasma.github.io/Logging_2326/fåglar/A 25556-2025 prioriterade fågelarter.docx", "A 25556-2025")</f>
        <v/>
      </c>
    </row>
    <row r="172" ht="15" customHeight="1">
      <c r="A172" t="inlineStr">
        <is>
          <t>A 49276-2024</t>
        </is>
      </c>
      <c r="B172" s="1" t="n">
        <v>45595.50819444445</v>
      </c>
      <c r="C172" s="1" t="n">
        <v>45995</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12733-2024</t>
        </is>
      </c>
      <c r="B173" s="1" t="n">
        <v>45384</v>
      </c>
      <c r="C173" s="1" t="n">
        <v>45995</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40382-2024</t>
        </is>
      </c>
      <c r="B174" s="1" t="n">
        <v>45555.42225694445</v>
      </c>
      <c r="C174" s="1" t="n">
        <v>45995</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31837-2025</t>
        </is>
      </c>
      <c r="B175" s="1" t="n">
        <v>45834.59467592592</v>
      </c>
      <c r="C175" s="1" t="n">
        <v>45995</v>
      </c>
      <c r="D175" t="inlineStr">
        <is>
          <t>JÄMTLANDS LÄN</t>
        </is>
      </c>
      <c r="E175" t="inlineStr">
        <is>
          <t>BERG</t>
        </is>
      </c>
      <c r="F175" t="inlineStr">
        <is>
          <t>SCA</t>
        </is>
      </c>
      <c r="G175" t="n">
        <v>12.2</v>
      </c>
      <c r="H175" t="n">
        <v>0</v>
      </c>
      <c r="I175" t="n">
        <v>0</v>
      </c>
      <c r="J175" t="n">
        <v>0</v>
      </c>
      <c r="K175" t="n">
        <v>1</v>
      </c>
      <c r="L175" t="n">
        <v>0</v>
      </c>
      <c r="M175" t="n">
        <v>0</v>
      </c>
      <c r="N175" t="n">
        <v>0</v>
      </c>
      <c r="O175" t="n">
        <v>1</v>
      </c>
      <c r="P175" t="n">
        <v>1</v>
      </c>
      <c r="Q175" t="n">
        <v>1</v>
      </c>
      <c r="R175" s="2" t="inlineStr">
        <is>
          <t>Gräddporing</t>
        </is>
      </c>
      <c r="S175">
        <f>HYPERLINK("https://klasma.github.io/Logging_2326/artfynd/A 31837-2025 artfynd.xlsx", "A 31837-2025")</f>
        <v/>
      </c>
      <c r="T175">
        <f>HYPERLINK("https://klasma.github.io/Logging_2326/kartor/A 31837-2025 karta.png", "A 31837-2025")</f>
        <v/>
      </c>
      <c r="V175">
        <f>HYPERLINK("https://klasma.github.io/Logging_2326/klagomål/A 31837-2025 FSC-klagomål.docx", "A 31837-2025")</f>
        <v/>
      </c>
      <c r="W175">
        <f>HYPERLINK("https://klasma.github.io/Logging_2326/klagomålsmail/A 31837-2025 FSC-klagomål mail.docx", "A 31837-2025")</f>
        <v/>
      </c>
      <c r="X175">
        <f>HYPERLINK("https://klasma.github.io/Logging_2326/tillsyn/A 31837-2025 tillsynsbegäran.docx", "A 31837-2025")</f>
        <v/>
      </c>
      <c r="Y175">
        <f>HYPERLINK("https://klasma.github.io/Logging_2326/tillsynsmail/A 31837-2025 tillsynsbegäran mail.docx", "A 31837-2025")</f>
        <v/>
      </c>
    </row>
    <row r="176" ht="15" customHeight="1">
      <c r="A176" t="inlineStr">
        <is>
          <t>A 33501-2025</t>
        </is>
      </c>
      <c r="B176" s="1" t="n">
        <v>45841</v>
      </c>
      <c r="C176" s="1" t="n">
        <v>45995</v>
      </c>
      <c r="D176" t="inlineStr">
        <is>
          <t>JÄMTLANDS LÄN</t>
        </is>
      </c>
      <c r="E176" t="inlineStr">
        <is>
          <t>BERG</t>
        </is>
      </c>
      <c r="G176" t="n">
        <v>6.9</v>
      </c>
      <c r="H176" t="n">
        <v>1</v>
      </c>
      <c r="I176" t="n">
        <v>1</v>
      </c>
      <c r="J176" t="n">
        <v>0</v>
      </c>
      <c r="K176" t="n">
        <v>0</v>
      </c>
      <c r="L176" t="n">
        <v>0</v>
      </c>
      <c r="M176" t="n">
        <v>0</v>
      </c>
      <c r="N176" t="n">
        <v>0</v>
      </c>
      <c r="O176" t="n">
        <v>0</v>
      </c>
      <c r="P176" t="n">
        <v>0</v>
      </c>
      <c r="Q176" t="n">
        <v>1</v>
      </c>
      <c r="R176" s="2" t="inlineStr">
        <is>
          <t>Korallrot</t>
        </is>
      </c>
      <c r="S176">
        <f>HYPERLINK("https://klasma.github.io/Logging_2326/artfynd/A 33501-2025 artfynd.xlsx", "A 33501-2025")</f>
        <v/>
      </c>
      <c r="T176">
        <f>HYPERLINK("https://klasma.github.io/Logging_2326/kartor/A 33501-2025 karta.png", "A 33501-2025")</f>
        <v/>
      </c>
      <c r="V176">
        <f>HYPERLINK("https://klasma.github.io/Logging_2326/klagomål/A 33501-2025 FSC-klagomål.docx", "A 33501-2025")</f>
        <v/>
      </c>
      <c r="W176">
        <f>HYPERLINK("https://klasma.github.io/Logging_2326/klagomålsmail/A 33501-2025 FSC-klagomål mail.docx", "A 33501-2025")</f>
        <v/>
      </c>
      <c r="X176">
        <f>HYPERLINK("https://klasma.github.io/Logging_2326/tillsyn/A 33501-2025 tillsynsbegäran.docx", "A 33501-2025")</f>
        <v/>
      </c>
      <c r="Y176">
        <f>HYPERLINK("https://klasma.github.io/Logging_2326/tillsynsmail/A 33501-2025 tillsynsbegäran mail.docx", "A 33501-2025")</f>
        <v/>
      </c>
    </row>
    <row r="177" ht="15" customHeight="1">
      <c r="A177" t="inlineStr">
        <is>
          <t>A 40440-2024</t>
        </is>
      </c>
      <c r="B177" s="1" t="n">
        <v>45555.48267361111</v>
      </c>
      <c r="C177" s="1" t="n">
        <v>45995</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35211-2025</t>
        </is>
      </c>
      <c r="B178" s="1" t="n">
        <v>45853.45060185185</v>
      </c>
      <c r="C178" s="1" t="n">
        <v>45995</v>
      </c>
      <c r="D178" t="inlineStr">
        <is>
          <t>JÄMTLANDS LÄN</t>
        </is>
      </c>
      <c r="E178" t="inlineStr">
        <is>
          <t>BERG</t>
        </is>
      </c>
      <c r="G178" t="n">
        <v>0.8</v>
      </c>
      <c r="H178" t="n">
        <v>1</v>
      </c>
      <c r="I178" t="n">
        <v>0</v>
      </c>
      <c r="J178" t="n">
        <v>0</v>
      </c>
      <c r="K178" t="n">
        <v>1</v>
      </c>
      <c r="L178" t="n">
        <v>0</v>
      </c>
      <c r="M178" t="n">
        <v>0</v>
      </c>
      <c r="N178" t="n">
        <v>0</v>
      </c>
      <c r="O178" t="n">
        <v>1</v>
      </c>
      <c r="P178" t="n">
        <v>1</v>
      </c>
      <c r="Q178" t="n">
        <v>1</v>
      </c>
      <c r="R178" s="2" t="inlineStr">
        <is>
          <t>Knärot</t>
        </is>
      </c>
      <c r="S178">
        <f>HYPERLINK("https://klasma.github.io/Logging_2326/artfynd/A 35211-2025 artfynd.xlsx", "A 35211-2025")</f>
        <v/>
      </c>
      <c r="T178">
        <f>HYPERLINK("https://klasma.github.io/Logging_2326/kartor/A 35211-2025 karta.png", "A 35211-2025")</f>
        <v/>
      </c>
      <c r="U178">
        <f>HYPERLINK("https://klasma.github.io/Logging_2326/knärot/A 35211-2025 karta knärot.png", "A 35211-2025")</f>
        <v/>
      </c>
      <c r="V178">
        <f>HYPERLINK("https://klasma.github.io/Logging_2326/klagomål/A 35211-2025 FSC-klagomål.docx", "A 35211-2025")</f>
        <v/>
      </c>
      <c r="W178">
        <f>HYPERLINK("https://klasma.github.io/Logging_2326/klagomålsmail/A 35211-2025 FSC-klagomål mail.docx", "A 35211-2025")</f>
        <v/>
      </c>
      <c r="X178">
        <f>HYPERLINK("https://klasma.github.io/Logging_2326/tillsyn/A 35211-2025 tillsynsbegäran.docx", "A 35211-2025")</f>
        <v/>
      </c>
      <c r="Y178">
        <f>HYPERLINK("https://klasma.github.io/Logging_2326/tillsynsmail/A 35211-2025 tillsynsbegäran mail.docx", "A 35211-2025")</f>
        <v/>
      </c>
    </row>
    <row r="179" ht="15" customHeight="1">
      <c r="A179" t="inlineStr">
        <is>
          <t>A 35535-2025</t>
        </is>
      </c>
      <c r="B179" s="1" t="n">
        <v>45856.45047453704</v>
      </c>
      <c r="C179" s="1" t="n">
        <v>45995</v>
      </c>
      <c r="D179" t="inlineStr">
        <is>
          <t>JÄMTLANDS LÄN</t>
        </is>
      </c>
      <c r="E179" t="inlineStr">
        <is>
          <t>BERG</t>
        </is>
      </c>
      <c r="F179" t="inlineStr">
        <is>
          <t>Sveaskog</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HYPERLINK("https://klasma.github.io/Logging_2326/artfynd/A 35535-2025 artfynd.xlsx", "A 35535-2025")</f>
        <v/>
      </c>
      <c r="T179">
        <f>HYPERLINK("https://klasma.github.io/Logging_2326/kartor/A 35535-2025 karta.png", "A 35535-2025")</f>
        <v/>
      </c>
      <c r="V179">
        <f>HYPERLINK("https://klasma.github.io/Logging_2326/klagomål/A 35535-2025 FSC-klagomål.docx", "A 35535-2025")</f>
        <v/>
      </c>
      <c r="W179">
        <f>HYPERLINK("https://klasma.github.io/Logging_2326/klagomålsmail/A 35535-2025 FSC-klagomål mail.docx", "A 35535-2025")</f>
        <v/>
      </c>
      <c r="X179">
        <f>HYPERLINK("https://klasma.github.io/Logging_2326/tillsyn/A 35535-2025 tillsynsbegäran.docx", "A 35535-2025")</f>
        <v/>
      </c>
      <c r="Y179">
        <f>HYPERLINK("https://klasma.github.io/Logging_2326/tillsynsmail/A 35535-2025 tillsynsbegäran mail.docx", "A 35535-2025")</f>
        <v/>
      </c>
    </row>
    <row r="180" ht="15" customHeight="1">
      <c r="A180" t="inlineStr">
        <is>
          <t>A 37513-2025</t>
        </is>
      </c>
      <c r="B180" s="1" t="n">
        <v>45877.69828703703</v>
      </c>
      <c r="C180" s="1" t="n">
        <v>45995</v>
      </c>
      <c r="D180" t="inlineStr">
        <is>
          <t>JÄMTLANDS LÄN</t>
        </is>
      </c>
      <c r="E180" t="inlineStr">
        <is>
          <t>BERG</t>
        </is>
      </c>
      <c r="F180" t="inlineStr">
        <is>
          <t>SCA</t>
        </is>
      </c>
      <c r="G180" t="n">
        <v>14.1</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37513-2025 artfynd.xlsx", "A 37513-2025")</f>
        <v/>
      </c>
      <c r="T180">
        <f>HYPERLINK("https://klasma.github.io/Logging_2326/kartor/A 37513-2025 karta.png", "A 37513-2025")</f>
        <v/>
      </c>
      <c r="V180">
        <f>HYPERLINK("https://klasma.github.io/Logging_2326/klagomål/A 37513-2025 FSC-klagomål.docx", "A 37513-2025")</f>
        <v/>
      </c>
      <c r="W180">
        <f>HYPERLINK("https://klasma.github.io/Logging_2326/klagomålsmail/A 37513-2025 FSC-klagomål mail.docx", "A 37513-2025")</f>
        <v/>
      </c>
      <c r="X180">
        <f>HYPERLINK("https://klasma.github.io/Logging_2326/tillsyn/A 37513-2025 tillsynsbegäran.docx", "A 37513-2025")</f>
        <v/>
      </c>
      <c r="Y180">
        <f>HYPERLINK("https://klasma.github.io/Logging_2326/tillsynsmail/A 37513-2025 tillsynsbegäran mail.docx", "A 37513-2025")</f>
        <v/>
      </c>
    </row>
    <row r="181" ht="15" customHeight="1">
      <c r="A181" t="inlineStr">
        <is>
          <t>A 37651-2025</t>
        </is>
      </c>
      <c r="B181" s="1" t="n">
        <v>45880.49006944444</v>
      </c>
      <c r="C181" s="1" t="n">
        <v>45995</v>
      </c>
      <c r="D181" t="inlineStr">
        <is>
          <t>JÄMTLANDS LÄN</t>
        </is>
      </c>
      <c r="E181" t="inlineStr">
        <is>
          <t>BERG</t>
        </is>
      </c>
      <c r="F181" t="inlineStr">
        <is>
          <t>SCA</t>
        </is>
      </c>
      <c r="G181" t="n">
        <v>8.5</v>
      </c>
      <c r="H181" t="n">
        <v>0</v>
      </c>
      <c r="I181" t="n">
        <v>0</v>
      </c>
      <c r="J181" t="n">
        <v>1</v>
      </c>
      <c r="K181" t="n">
        <v>0</v>
      </c>
      <c r="L181" t="n">
        <v>0</v>
      </c>
      <c r="M181" t="n">
        <v>0</v>
      </c>
      <c r="N181" t="n">
        <v>0</v>
      </c>
      <c r="O181" t="n">
        <v>1</v>
      </c>
      <c r="P181" t="n">
        <v>0</v>
      </c>
      <c r="Q181" t="n">
        <v>1</v>
      </c>
      <c r="R181" s="2" t="inlineStr">
        <is>
          <t>Vedflamlav</t>
        </is>
      </c>
      <c r="S181">
        <f>HYPERLINK("https://klasma.github.io/Logging_2326/artfynd/A 37651-2025 artfynd.xlsx", "A 37651-2025")</f>
        <v/>
      </c>
      <c r="T181">
        <f>HYPERLINK("https://klasma.github.io/Logging_2326/kartor/A 37651-2025 karta.png", "A 37651-2025")</f>
        <v/>
      </c>
      <c r="V181">
        <f>HYPERLINK("https://klasma.github.io/Logging_2326/klagomål/A 37651-2025 FSC-klagomål.docx", "A 37651-2025")</f>
        <v/>
      </c>
      <c r="W181">
        <f>HYPERLINK("https://klasma.github.io/Logging_2326/klagomålsmail/A 37651-2025 FSC-klagomål mail.docx", "A 37651-2025")</f>
        <v/>
      </c>
      <c r="X181">
        <f>HYPERLINK("https://klasma.github.io/Logging_2326/tillsyn/A 37651-2025 tillsynsbegäran.docx", "A 37651-2025")</f>
        <v/>
      </c>
      <c r="Y181">
        <f>HYPERLINK("https://klasma.github.io/Logging_2326/tillsynsmail/A 37651-2025 tillsynsbegäran mail.docx", "A 37651-2025")</f>
        <v/>
      </c>
    </row>
    <row r="182" ht="15" customHeight="1">
      <c r="A182" t="inlineStr">
        <is>
          <t>A 49196-2022</t>
        </is>
      </c>
      <c r="B182" s="1" t="n">
        <v>44860.95508101852</v>
      </c>
      <c r="C182" s="1" t="n">
        <v>45995</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45995</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45995</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45995</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45995</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45995</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45995</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45995</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45995</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45995</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45995</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45995</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16828-2021</t>
        </is>
      </c>
      <c r="B194" s="1" t="n">
        <v>44293</v>
      </c>
      <c r="C194" s="1" t="n">
        <v>45995</v>
      </c>
      <c r="D194" t="inlineStr">
        <is>
          <t>JÄMTLANDS LÄN</t>
        </is>
      </c>
      <c r="E194" t="inlineStr">
        <is>
          <t>BERG</t>
        </is>
      </c>
      <c r="G194" t="n">
        <v>2.2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45995</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3870-2022</t>
        </is>
      </c>
      <c r="B196" s="1" t="n">
        <v>44587</v>
      </c>
      <c r="C196" s="1" t="n">
        <v>45995</v>
      </c>
      <c r="D196" t="inlineStr">
        <is>
          <t>JÄMTLANDS LÄN</t>
        </is>
      </c>
      <c r="E196" t="inlineStr">
        <is>
          <t>BERG</t>
        </is>
      </c>
      <c r="G196" t="n">
        <v>2</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45995</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45995</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44443-2022</t>
        </is>
      </c>
      <c r="B199" s="1" t="n">
        <v>44839.95467592592</v>
      </c>
      <c r="C199" s="1" t="n">
        <v>45995</v>
      </c>
      <c r="D199" t="inlineStr">
        <is>
          <t>JÄMTLANDS LÄN</t>
        </is>
      </c>
      <c r="E199" t="inlineStr">
        <is>
          <t>BERG</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25265-2022</t>
        </is>
      </c>
      <c r="B200" s="1" t="n">
        <v>44729.94224537037</v>
      </c>
      <c r="C200" s="1" t="n">
        <v>45995</v>
      </c>
      <c r="D200" t="inlineStr">
        <is>
          <t>JÄMTLANDS LÄN</t>
        </is>
      </c>
      <c r="E200" t="inlineStr">
        <is>
          <t>BERG</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36720-2021</t>
        </is>
      </c>
      <c r="B201" s="1" t="n">
        <v>44392</v>
      </c>
      <c r="C201" s="1" t="n">
        <v>45995</v>
      </c>
      <c r="D201" t="inlineStr">
        <is>
          <t>JÄMTLANDS LÄN</t>
        </is>
      </c>
      <c r="E201" t="inlineStr">
        <is>
          <t>BERG</t>
        </is>
      </c>
      <c r="G201" t="n">
        <v>1.9</v>
      </c>
      <c r="H201" t="n">
        <v>0</v>
      </c>
      <c r="I201" t="n">
        <v>0</v>
      </c>
      <c r="J201" t="n">
        <v>0</v>
      </c>
      <c r="K201" t="n">
        <v>0</v>
      </c>
      <c r="L201" t="n">
        <v>0</v>
      </c>
      <c r="M201" t="n">
        <v>0</v>
      </c>
      <c r="N201" t="n">
        <v>0</v>
      </c>
      <c r="O201" t="n">
        <v>0</v>
      </c>
      <c r="P201" t="n">
        <v>0</v>
      </c>
      <c r="Q201" t="n">
        <v>0</v>
      </c>
      <c r="R201" s="2" t="inlineStr"/>
    </row>
    <row r="202" ht="15" customHeight="1">
      <c r="A202" t="inlineStr">
        <is>
          <t>A 46937-2021</t>
        </is>
      </c>
      <c r="B202" s="1" t="n">
        <v>44446</v>
      </c>
      <c r="C202" s="1" t="n">
        <v>45995</v>
      </c>
      <c r="D202" t="inlineStr">
        <is>
          <t>JÄMTLANDS LÄN</t>
        </is>
      </c>
      <c r="E202" t="inlineStr">
        <is>
          <t>BERG</t>
        </is>
      </c>
      <c r="G202" t="n">
        <v>3</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45995</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45995</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45995</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14224-2021</t>
        </is>
      </c>
      <c r="B206" s="1" t="n">
        <v>44277</v>
      </c>
      <c r="C206" s="1" t="n">
        <v>45995</v>
      </c>
      <c r="D206" t="inlineStr">
        <is>
          <t>JÄMTLANDS LÄN</t>
        </is>
      </c>
      <c r="E206" t="inlineStr">
        <is>
          <t>BERG</t>
        </is>
      </c>
      <c r="G206" t="n">
        <v>24.9</v>
      </c>
      <c r="H206" t="n">
        <v>0</v>
      </c>
      <c r="I206" t="n">
        <v>0</v>
      </c>
      <c r="J206" t="n">
        <v>0</v>
      </c>
      <c r="K206" t="n">
        <v>0</v>
      </c>
      <c r="L206" t="n">
        <v>0</v>
      </c>
      <c r="M206" t="n">
        <v>0</v>
      </c>
      <c r="N206" t="n">
        <v>0</v>
      </c>
      <c r="O206" t="n">
        <v>0</v>
      </c>
      <c r="P206" t="n">
        <v>0</v>
      </c>
      <c r="Q206" t="n">
        <v>0</v>
      </c>
      <c r="R206" s="2" t="inlineStr"/>
    </row>
    <row r="207" ht="15" customHeight="1">
      <c r="A207" t="inlineStr">
        <is>
          <t>A 24136-2021</t>
        </is>
      </c>
      <c r="B207" s="1" t="n">
        <v>44336.540625</v>
      </c>
      <c r="C207" s="1" t="n">
        <v>45995</v>
      </c>
      <c r="D207" t="inlineStr">
        <is>
          <t>JÄMTLANDS LÄN</t>
        </is>
      </c>
      <c r="E207" t="inlineStr">
        <is>
          <t>BERG</t>
        </is>
      </c>
      <c r="G207" t="n">
        <v>12.6</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45995</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33558-2021</t>
        </is>
      </c>
      <c r="B209" s="1" t="n">
        <v>44377</v>
      </c>
      <c r="C209" s="1" t="n">
        <v>45995</v>
      </c>
      <c r="D209" t="inlineStr">
        <is>
          <t>JÄMTLANDS LÄN</t>
        </is>
      </c>
      <c r="E209" t="inlineStr">
        <is>
          <t>BERG</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45995</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41819-2021</t>
        </is>
      </c>
      <c r="B211" s="1" t="n">
        <v>44425.85641203704</v>
      </c>
      <c r="C211" s="1" t="n">
        <v>45995</v>
      </c>
      <c r="D211" t="inlineStr">
        <is>
          <t>JÄMTLANDS LÄN</t>
        </is>
      </c>
      <c r="E211" t="inlineStr">
        <is>
          <t>BERG</t>
        </is>
      </c>
      <c r="G211" t="n">
        <v>1.5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45995</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45995</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45995</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45995</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45995</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45995</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45995</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45995</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45995</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45995</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21629-2021</t>
        </is>
      </c>
      <c r="B222" s="1" t="n">
        <v>44321</v>
      </c>
      <c r="C222" s="1" t="n">
        <v>45995</v>
      </c>
      <c r="D222" t="inlineStr">
        <is>
          <t>JÄMTLANDS LÄN</t>
        </is>
      </c>
      <c r="E222" t="inlineStr">
        <is>
          <t>BERG</t>
        </is>
      </c>
      <c r="G222" t="n">
        <v>15.9</v>
      </c>
      <c r="H222" t="n">
        <v>0</v>
      </c>
      <c r="I222" t="n">
        <v>0</v>
      </c>
      <c r="J222" t="n">
        <v>0</v>
      </c>
      <c r="K222" t="n">
        <v>0</v>
      </c>
      <c r="L222" t="n">
        <v>0</v>
      </c>
      <c r="M222" t="n">
        <v>0</v>
      </c>
      <c r="N222" t="n">
        <v>0</v>
      </c>
      <c r="O222" t="n">
        <v>0</v>
      </c>
      <c r="P222" t="n">
        <v>0</v>
      </c>
      <c r="Q222" t="n">
        <v>0</v>
      </c>
      <c r="R222" s="2" t="inlineStr"/>
    </row>
    <row r="223" ht="15" customHeight="1">
      <c r="A223" t="inlineStr">
        <is>
          <t>A 68854-2021</t>
        </is>
      </c>
      <c r="B223" s="1" t="n">
        <v>44530</v>
      </c>
      <c r="C223" s="1" t="n">
        <v>45995</v>
      </c>
      <c r="D223" t="inlineStr">
        <is>
          <t>JÄMTLANDS LÄN</t>
        </is>
      </c>
      <c r="E223" t="inlineStr">
        <is>
          <t>BERG</t>
        </is>
      </c>
      <c r="G223" t="n">
        <v>3.3</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45995</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5221-2022</t>
        </is>
      </c>
      <c r="B225" s="1" t="n">
        <v>44594.48864583333</v>
      </c>
      <c r="C225" s="1" t="n">
        <v>45995</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5222-2022</t>
        </is>
      </c>
      <c r="B226" s="1" t="n">
        <v>44594.4892824074</v>
      </c>
      <c r="C226" s="1" t="n">
        <v>45995</v>
      </c>
      <c r="D226" t="inlineStr">
        <is>
          <t>JÄMTLANDS LÄN</t>
        </is>
      </c>
      <c r="E226" t="inlineStr">
        <is>
          <t>BERG</t>
        </is>
      </c>
      <c r="G226" t="n">
        <v>12.3</v>
      </c>
      <c r="H226" t="n">
        <v>0</v>
      </c>
      <c r="I226" t="n">
        <v>0</v>
      </c>
      <c r="J226" t="n">
        <v>0</v>
      </c>
      <c r="K226" t="n">
        <v>0</v>
      </c>
      <c r="L226" t="n">
        <v>0</v>
      </c>
      <c r="M226" t="n">
        <v>0</v>
      </c>
      <c r="N226" t="n">
        <v>0</v>
      </c>
      <c r="O226" t="n">
        <v>0</v>
      </c>
      <c r="P226" t="n">
        <v>0</v>
      </c>
      <c r="Q226" t="n">
        <v>0</v>
      </c>
      <c r="R226" s="2" t="inlineStr"/>
    </row>
    <row r="227" ht="15" customHeight="1">
      <c r="A227" t="inlineStr">
        <is>
          <t>A 12342-2023</t>
        </is>
      </c>
      <c r="B227" s="1" t="n">
        <v>44998</v>
      </c>
      <c r="C227" s="1" t="n">
        <v>45995</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13636-2022</t>
        </is>
      </c>
      <c r="B228" s="1" t="n">
        <v>44648</v>
      </c>
      <c r="C228" s="1" t="n">
        <v>45995</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44442-2022</t>
        </is>
      </c>
      <c r="B229" s="1" t="n">
        <v>44839</v>
      </c>
      <c r="C229" s="1" t="n">
        <v>45995</v>
      </c>
      <c r="D229" t="inlineStr">
        <is>
          <t>JÄMTLANDS LÄN</t>
        </is>
      </c>
      <c r="E229" t="inlineStr">
        <is>
          <t>BERG</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46298-2024</t>
        </is>
      </c>
      <c r="B230" s="1" t="n">
        <v>45581.67739583334</v>
      </c>
      <c r="C230" s="1" t="n">
        <v>45995</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12774-2023</t>
        </is>
      </c>
      <c r="B231" s="1" t="n">
        <v>45001</v>
      </c>
      <c r="C231" s="1" t="n">
        <v>45995</v>
      </c>
      <c r="D231" t="inlineStr">
        <is>
          <t>JÄMTLANDS LÄN</t>
        </is>
      </c>
      <c r="E231" t="inlineStr">
        <is>
          <t>BERG</t>
        </is>
      </c>
      <c r="G231" t="n">
        <v>0.7</v>
      </c>
      <c r="H231" t="n">
        <v>0</v>
      </c>
      <c r="I231" t="n">
        <v>0</v>
      </c>
      <c r="J231" t="n">
        <v>0</v>
      </c>
      <c r="K231" t="n">
        <v>0</v>
      </c>
      <c r="L231" t="n">
        <v>0</v>
      </c>
      <c r="M231" t="n">
        <v>0</v>
      </c>
      <c r="N231" t="n">
        <v>0</v>
      </c>
      <c r="O231" t="n">
        <v>0</v>
      </c>
      <c r="P231" t="n">
        <v>0</v>
      </c>
      <c r="Q231" t="n">
        <v>0</v>
      </c>
      <c r="R231" s="2" t="inlineStr"/>
    </row>
    <row r="232" ht="15" customHeight="1">
      <c r="A232" t="inlineStr">
        <is>
          <t>A 9920-2021</t>
        </is>
      </c>
      <c r="B232" s="1" t="n">
        <v>44253</v>
      </c>
      <c r="C232" s="1" t="n">
        <v>45995</v>
      </c>
      <c r="D232" t="inlineStr">
        <is>
          <t>JÄMTLANDS LÄN</t>
        </is>
      </c>
      <c r="E232" t="inlineStr">
        <is>
          <t>BERG</t>
        </is>
      </c>
      <c r="G232" t="n">
        <v>3.5</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45995</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20179-2021</t>
        </is>
      </c>
      <c r="B234" s="1" t="n">
        <v>44314.56744212963</v>
      </c>
      <c r="C234" s="1" t="n">
        <v>45995</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45995</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47289-2023</t>
        </is>
      </c>
      <c r="B236" s="1" t="n">
        <v>45202.46581018518</v>
      </c>
      <c r="C236" s="1" t="n">
        <v>45995</v>
      </c>
      <c r="D236" t="inlineStr">
        <is>
          <t>JÄMTLANDS LÄN</t>
        </is>
      </c>
      <c r="E236" t="inlineStr">
        <is>
          <t>BERG</t>
        </is>
      </c>
      <c r="G236" t="n">
        <v>1.8</v>
      </c>
      <c r="H236" t="n">
        <v>0</v>
      </c>
      <c r="I236" t="n">
        <v>0</v>
      </c>
      <c r="J236" t="n">
        <v>0</v>
      </c>
      <c r="K236" t="n">
        <v>0</v>
      </c>
      <c r="L236" t="n">
        <v>0</v>
      </c>
      <c r="M236" t="n">
        <v>0</v>
      </c>
      <c r="N236" t="n">
        <v>0</v>
      </c>
      <c r="O236" t="n">
        <v>0</v>
      </c>
      <c r="P236" t="n">
        <v>0</v>
      </c>
      <c r="Q236" t="n">
        <v>0</v>
      </c>
      <c r="R236" s="2" t="inlineStr"/>
    </row>
    <row r="237" ht="15" customHeight="1">
      <c r="A237" t="inlineStr">
        <is>
          <t>A 9114-2022</t>
        </is>
      </c>
      <c r="B237" s="1" t="n">
        <v>44615</v>
      </c>
      <c r="C237" s="1" t="n">
        <v>45995</v>
      </c>
      <c r="D237" t="inlineStr">
        <is>
          <t>JÄMTLANDS LÄN</t>
        </is>
      </c>
      <c r="E237" t="inlineStr">
        <is>
          <t>BERG</t>
        </is>
      </c>
      <c r="G237" t="n">
        <v>2.9</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45995</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68896-2020</t>
        </is>
      </c>
      <c r="B239" s="1" t="n">
        <v>44187</v>
      </c>
      <c r="C239" s="1" t="n">
        <v>45995</v>
      </c>
      <c r="D239" t="inlineStr">
        <is>
          <t>JÄMTLANDS LÄN</t>
        </is>
      </c>
      <c r="E239" t="inlineStr">
        <is>
          <t>BERG</t>
        </is>
      </c>
      <c r="G239" t="n">
        <v>9.6</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45995</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46115-2021</t>
        </is>
      </c>
      <c r="B241" s="1" t="n">
        <v>44441</v>
      </c>
      <c r="C241" s="1" t="n">
        <v>45995</v>
      </c>
      <c r="D241" t="inlineStr">
        <is>
          <t>JÄMTLANDS LÄN</t>
        </is>
      </c>
      <c r="E241" t="inlineStr">
        <is>
          <t>BERG</t>
        </is>
      </c>
      <c r="G241" t="n">
        <v>15.1</v>
      </c>
      <c r="H241" t="n">
        <v>0</v>
      </c>
      <c r="I241" t="n">
        <v>0</v>
      </c>
      <c r="J241" t="n">
        <v>0</v>
      </c>
      <c r="K241" t="n">
        <v>0</v>
      </c>
      <c r="L241" t="n">
        <v>0</v>
      </c>
      <c r="M241" t="n">
        <v>0</v>
      </c>
      <c r="N241" t="n">
        <v>0</v>
      </c>
      <c r="O241" t="n">
        <v>0</v>
      </c>
      <c r="P241" t="n">
        <v>0</v>
      </c>
      <c r="Q241" t="n">
        <v>0</v>
      </c>
      <c r="R241" s="2" t="inlineStr"/>
    </row>
    <row r="242" ht="15" customHeight="1">
      <c r="A242" t="inlineStr">
        <is>
          <t>A 19809-2022</t>
        </is>
      </c>
      <c r="B242" s="1" t="n">
        <v>44694</v>
      </c>
      <c r="C242" s="1" t="n">
        <v>45995</v>
      </c>
      <c r="D242" t="inlineStr">
        <is>
          <t>JÄMTLANDS LÄN</t>
        </is>
      </c>
      <c r="E242" t="inlineStr">
        <is>
          <t>BERG</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34803-2022</t>
        </is>
      </c>
      <c r="B243" s="1" t="n">
        <v>44795.94754629629</v>
      </c>
      <c r="C243" s="1" t="n">
        <v>45995</v>
      </c>
      <c r="D243" t="inlineStr">
        <is>
          <t>JÄMTLANDS LÄN</t>
        </is>
      </c>
      <c r="E243" t="inlineStr">
        <is>
          <t>BERG</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45995</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8711-2024</t>
        </is>
      </c>
      <c r="B245" s="1" t="n">
        <v>45356</v>
      </c>
      <c r="C245" s="1" t="n">
        <v>45995</v>
      </c>
      <c r="D245" t="inlineStr">
        <is>
          <t>JÄMTLANDS LÄN</t>
        </is>
      </c>
      <c r="E245" t="inlineStr">
        <is>
          <t>BERG</t>
        </is>
      </c>
      <c r="G245" t="n">
        <v>5.2</v>
      </c>
      <c r="H245" t="n">
        <v>0</v>
      </c>
      <c r="I245" t="n">
        <v>0</v>
      </c>
      <c r="J245" t="n">
        <v>0</v>
      </c>
      <c r="K245" t="n">
        <v>0</v>
      </c>
      <c r="L245" t="n">
        <v>0</v>
      </c>
      <c r="M245" t="n">
        <v>0</v>
      </c>
      <c r="N245" t="n">
        <v>0</v>
      </c>
      <c r="O245" t="n">
        <v>0</v>
      </c>
      <c r="P245" t="n">
        <v>0</v>
      </c>
      <c r="Q245" t="n">
        <v>0</v>
      </c>
      <c r="R245" s="2" t="inlineStr"/>
    </row>
    <row r="246" ht="15" customHeight="1">
      <c r="A246" t="inlineStr">
        <is>
          <t>A 15624-2023</t>
        </is>
      </c>
      <c r="B246" s="1" t="n">
        <v>45020.94496527778</v>
      </c>
      <c r="C246" s="1" t="n">
        <v>45995</v>
      </c>
      <c r="D246" t="inlineStr">
        <is>
          <t>JÄMTLANDS LÄN</t>
        </is>
      </c>
      <c r="E246" t="inlineStr">
        <is>
          <t>BERG</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35636-2023</t>
        </is>
      </c>
      <c r="B247" s="1" t="n">
        <v>45147</v>
      </c>
      <c r="C247" s="1" t="n">
        <v>45995</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45995</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45995</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37726-2022</t>
        </is>
      </c>
      <c r="B250" s="1" t="n">
        <v>44810.56636574074</v>
      </c>
      <c r="C250" s="1" t="n">
        <v>45995</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7447-2022</t>
        </is>
      </c>
      <c r="B251" s="1" t="n">
        <v>44606</v>
      </c>
      <c r="C251" s="1" t="n">
        <v>45995</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2009-2022</t>
        </is>
      </c>
      <c r="B252" s="1" t="n">
        <v>44575</v>
      </c>
      <c r="C252" s="1" t="n">
        <v>45995</v>
      </c>
      <c r="D252" t="inlineStr">
        <is>
          <t>JÄMTLANDS LÄN</t>
        </is>
      </c>
      <c r="E252" t="inlineStr">
        <is>
          <t>BERG</t>
        </is>
      </c>
      <c r="G252" t="n">
        <v>11.9</v>
      </c>
      <c r="H252" t="n">
        <v>0</v>
      </c>
      <c r="I252" t="n">
        <v>0</v>
      </c>
      <c r="J252" t="n">
        <v>0</v>
      </c>
      <c r="K252" t="n">
        <v>0</v>
      </c>
      <c r="L252" t="n">
        <v>0</v>
      </c>
      <c r="M252" t="n">
        <v>0</v>
      </c>
      <c r="N252" t="n">
        <v>0</v>
      </c>
      <c r="O252" t="n">
        <v>0</v>
      </c>
      <c r="P252" t="n">
        <v>0</v>
      </c>
      <c r="Q252" t="n">
        <v>0</v>
      </c>
      <c r="R252" s="2" t="inlineStr"/>
    </row>
    <row r="253" ht="15" customHeight="1">
      <c r="A253" t="inlineStr">
        <is>
          <t>A 33878-2021</t>
        </is>
      </c>
      <c r="B253" s="1" t="n">
        <v>44378.64378472222</v>
      </c>
      <c r="C253" s="1" t="n">
        <v>45995</v>
      </c>
      <c r="D253" t="inlineStr">
        <is>
          <t>JÄMTLANDS LÄN</t>
        </is>
      </c>
      <c r="E253" t="inlineStr">
        <is>
          <t>BERG</t>
        </is>
      </c>
      <c r="G253" t="n">
        <v>6.6</v>
      </c>
      <c r="H253" t="n">
        <v>0</v>
      </c>
      <c r="I253" t="n">
        <v>0</v>
      </c>
      <c r="J253" t="n">
        <v>0</v>
      </c>
      <c r="K253" t="n">
        <v>0</v>
      </c>
      <c r="L253" t="n">
        <v>0</v>
      </c>
      <c r="M253" t="n">
        <v>0</v>
      </c>
      <c r="N253" t="n">
        <v>0</v>
      </c>
      <c r="O253" t="n">
        <v>0</v>
      </c>
      <c r="P253" t="n">
        <v>0</v>
      </c>
      <c r="Q253" t="n">
        <v>0</v>
      </c>
      <c r="R253" s="2" t="inlineStr"/>
    </row>
    <row r="254" ht="15" customHeight="1">
      <c r="A254" t="inlineStr">
        <is>
          <t>A 461-2023</t>
        </is>
      </c>
      <c r="B254" s="1" t="n">
        <v>44929</v>
      </c>
      <c r="C254" s="1" t="n">
        <v>45995</v>
      </c>
      <c r="D254" t="inlineStr">
        <is>
          <t>JÄMTLANDS LÄN</t>
        </is>
      </c>
      <c r="E254" t="inlineStr">
        <is>
          <t>BERG</t>
        </is>
      </c>
      <c r="G254" t="n">
        <v>5.8</v>
      </c>
      <c r="H254" t="n">
        <v>0</v>
      </c>
      <c r="I254" t="n">
        <v>0</v>
      </c>
      <c r="J254" t="n">
        <v>0</v>
      </c>
      <c r="K254" t="n">
        <v>0</v>
      </c>
      <c r="L254" t="n">
        <v>0</v>
      </c>
      <c r="M254" t="n">
        <v>0</v>
      </c>
      <c r="N254" t="n">
        <v>0</v>
      </c>
      <c r="O254" t="n">
        <v>0</v>
      </c>
      <c r="P254" t="n">
        <v>0</v>
      </c>
      <c r="Q254" t="n">
        <v>0</v>
      </c>
      <c r="R254" s="2" t="inlineStr"/>
    </row>
    <row r="255" ht="15" customHeight="1">
      <c r="A255" t="inlineStr">
        <is>
          <t>A 44313-2023</t>
        </is>
      </c>
      <c r="B255" s="1" t="n">
        <v>45188.6505787037</v>
      </c>
      <c r="C255" s="1" t="n">
        <v>45995</v>
      </c>
      <c r="D255" t="inlineStr">
        <is>
          <t>JÄMTLANDS LÄN</t>
        </is>
      </c>
      <c r="E255" t="inlineStr">
        <is>
          <t>BERG</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27395-2021</t>
        </is>
      </c>
      <c r="B256" s="1" t="n">
        <v>44350</v>
      </c>
      <c r="C256" s="1" t="n">
        <v>45995</v>
      </c>
      <c r="D256" t="inlineStr">
        <is>
          <t>JÄMTLANDS LÄN</t>
        </is>
      </c>
      <c r="E256" t="inlineStr">
        <is>
          <t>BERG</t>
        </is>
      </c>
      <c r="G256" t="n">
        <v>4.4</v>
      </c>
      <c r="H256" t="n">
        <v>0</v>
      </c>
      <c r="I256" t="n">
        <v>0</v>
      </c>
      <c r="J256" t="n">
        <v>0</v>
      </c>
      <c r="K256" t="n">
        <v>0</v>
      </c>
      <c r="L256" t="n">
        <v>0</v>
      </c>
      <c r="M256" t="n">
        <v>0</v>
      </c>
      <c r="N256" t="n">
        <v>0</v>
      </c>
      <c r="O256" t="n">
        <v>0</v>
      </c>
      <c r="P256" t="n">
        <v>0</v>
      </c>
      <c r="Q256" t="n">
        <v>0</v>
      </c>
      <c r="R256" s="2" t="inlineStr"/>
    </row>
    <row r="257" ht="15" customHeight="1">
      <c r="A257" t="inlineStr">
        <is>
          <t>A 32248-2024</t>
        </is>
      </c>
      <c r="B257" s="1" t="n">
        <v>45511.95144675926</v>
      </c>
      <c r="C257" s="1" t="n">
        <v>45995</v>
      </c>
      <c r="D257" t="inlineStr">
        <is>
          <t>JÄMTLANDS LÄN</t>
        </is>
      </c>
      <c r="E257" t="inlineStr">
        <is>
          <t>BERG</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64490-2023</t>
        </is>
      </c>
      <c r="B258" s="1" t="n">
        <v>45280</v>
      </c>
      <c r="C258" s="1" t="n">
        <v>45995</v>
      </c>
      <c r="D258" t="inlineStr">
        <is>
          <t>JÄMTLANDS LÄN</t>
        </is>
      </c>
      <c r="E258" t="inlineStr">
        <is>
          <t>BERG</t>
        </is>
      </c>
      <c r="F258" t="inlineStr">
        <is>
          <t>Övriga Aktiebolag</t>
        </is>
      </c>
      <c r="G258" t="n">
        <v>7.7</v>
      </c>
      <c r="H258" t="n">
        <v>0</v>
      </c>
      <c r="I258" t="n">
        <v>0</v>
      </c>
      <c r="J258" t="n">
        <v>0</v>
      </c>
      <c r="K258" t="n">
        <v>0</v>
      </c>
      <c r="L258" t="n">
        <v>0</v>
      </c>
      <c r="M258" t="n">
        <v>0</v>
      </c>
      <c r="N258" t="n">
        <v>0</v>
      </c>
      <c r="O258" t="n">
        <v>0</v>
      </c>
      <c r="P258" t="n">
        <v>0</v>
      </c>
      <c r="Q258" t="n">
        <v>0</v>
      </c>
      <c r="R258" s="2" t="inlineStr"/>
    </row>
    <row r="259" ht="15" customHeight="1">
      <c r="A259" t="inlineStr">
        <is>
          <t>A 38-2024</t>
        </is>
      </c>
      <c r="B259" s="1" t="n">
        <v>45293</v>
      </c>
      <c r="C259" s="1" t="n">
        <v>45995</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21403-2022</t>
        </is>
      </c>
      <c r="B260" s="1" t="n">
        <v>44705.9403125</v>
      </c>
      <c r="C260" s="1" t="n">
        <v>45995</v>
      </c>
      <c r="D260" t="inlineStr">
        <is>
          <t>JÄMTLANDS LÄN</t>
        </is>
      </c>
      <c r="E260" t="inlineStr">
        <is>
          <t>BERG</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8733-2025</t>
        </is>
      </c>
      <c r="B261" s="1" t="n">
        <v>45712.53197916667</v>
      </c>
      <c r="C261" s="1" t="n">
        <v>45995</v>
      </c>
      <c r="D261" t="inlineStr">
        <is>
          <t>JÄMTLANDS LÄN</t>
        </is>
      </c>
      <c r="E261" t="inlineStr">
        <is>
          <t>BERG</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16819-2021</t>
        </is>
      </c>
      <c r="B262" s="1" t="n">
        <v>44293</v>
      </c>
      <c r="C262" s="1" t="n">
        <v>45995</v>
      </c>
      <c r="D262" t="inlineStr">
        <is>
          <t>JÄMTLANDS LÄN</t>
        </is>
      </c>
      <c r="E262" t="inlineStr">
        <is>
          <t>BERG</t>
        </is>
      </c>
      <c r="G262" t="n">
        <v>12</v>
      </c>
      <c r="H262" t="n">
        <v>0</v>
      </c>
      <c r="I262" t="n">
        <v>0</v>
      </c>
      <c r="J262" t="n">
        <v>0</v>
      </c>
      <c r="K262" t="n">
        <v>0</v>
      </c>
      <c r="L262" t="n">
        <v>0</v>
      </c>
      <c r="M262" t="n">
        <v>0</v>
      </c>
      <c r="N262" t="n">
        <v>0</v>
      </c>
      <c r="O262" t="n">
        <v>0</v>
      </c>
      <c r="P262" t="n">
        <v>0</v>
      </c>
      <c r="Q262" t="n">
        <v>0</v>
      </c>
      <c r="R262" s="2" t="inlineStr"/>
    </row>
    <row r="263" ht="15" customHeight="1">
      <c r="A263" t="inlineStr">
        <is>
          <t>A 4522-2024</t>
        </is>
      </c>
      <c r="B263" s="1" t="n">
        <v>45327</v>
      </c>
      <c r="C263" s="1" t="n">
        <v>45995</v>
      </c>
      <c r="D263" t="inlineStr">
        <is>
          <t>JÄMTLANDS LÄN</t>
        </is>
      </c>
      <c r="E263" t="inlineStr">
        <is>
          <t>BERG</t>
        </is>
      </c>
      <c r="G263" t="n">
        <v>0.6</v>
      </c>
      <c r="H263" t="n">
        <v>0</v>
      </c>
      <c r="I263" t="n">
        <v>0</v>
      </c>
      <c r="J263" t="n">
        <v>0</v>
      </c>
      <c r="K263" t="n">
        <v>0</v>
      </c>
      <c r="L263" t="n">
        <v>0</v>
      </c>
      <c r="M263" t="n">
        <v>0</v>
      </c>
      <c r="N263" t="n">
        <v>0</v>
      </c>
      <c r="O263" t="n">
        <v>0</v>
      </c>
      <c r="P263" t="n">
        <v>0</v>
      </c>
      <c r="Q263" t="n">
        <v>0</v>
      </c>
      <c r="R263" s="2" t="inlineStr"/>
    </row>
    <row r="264" ht="15" customHeight="1">
      <c r="A264" t="inlineStr">
        <is>
          <t>A 29019-2021</t>
        </is>
      </c>
      <c r="B264" s="1" t="n">
        <v>44358</v>
      </c>
      <c r="C264" s="1" t="n">
        <v>45995</v>
      </c>
      <c r="D264" t="inlineStr">
        <is>
          <t>JÄMTLANDS LÄN</t>
        </is>
      </c>
      <c r="E264" t="inlineStr">
        <is>
          <t>BERG</t>
        </is>
      </c>
      <c r="F264" t="inlineStr">
        <is>
          <t>Sveaskog</t>
        </is>
      </c>
      <c r="G264" t="n">
        <v>27.1</v>
      </c>
      <c r="H264" t="n">
        <v>0</v>
      </c>
      <c r="I264" t="n">
        <v>0</v>
      </c>
      <c r="J264" t="n">
        <v>0</v>
      </c>
      <c r="K264" t="n">
        <v>0</v>
      </c>
      <c r="L264" t="n">
        <v>0</v>
      </c>
      <c r="M264" t="n">
        <v>0</v>
      </c>
      <c r="N264" t="n">
        <v>0</v>
      </c>
      <c r="O264" t="n">
        <v>0</v>
      </c>
      <c r="P264" t="n">
        <v>0</v>
      </c>
      <c r="Q264" t="n">
        <v>0</v>
      </c>
      <c r="R264" s="2" t="inlineStr"/>
    </row>
    <row r="265" ht="15" customHeight="1">
      <c r="A265" t="inlineStr">
        <is>
          <t>A 22680-2022</t>
        </is>
      </c>
      <c r="B265" s="1" t="n">
        <v>44714</v>
      </c>
      <c r="C265" s="1" t="n">
        <v>45995</v>
      </c>
      <c r="D265" t="inlineStr">
        <is>
          <t>JÄMTLANDS LÄN</t>
        </is>
      </c>
      <c r="E265" t="inlineStr">
        <is>
          <t>BERG</t>
        </is>
      </c>
      <c r="G265" t="n">
        <v>15.4</v>
      </c>
      <c r="H265" t="n">
        <v>0</v>
      </c>
      <c r="I265" t="n">
        <v>0</v>
      </c>
      <c r="J265" t="n">
        <v>0</v>
      </c>
      <c r="K265" t="n">
        <v>0</v>
      </c>
      <c r="L265" t="n">
        <v>0</v>
      </c>
      <c r="M265" t="n">
        <v>0</v>
      </c>
      <c r="N265" t="n">
        <v>0</v>
      </c>
      <c r="O265" t="n">
        <v>0</v>
      </c>
      <c r="P265" t="n">
        <v>0</v>
      </c>
      <c r="Q265" t="n">
        <v>0</v>
      </c>
      <c r="R265" s="2" t="inlineStr"/>
    </row>
    <row r="266" ht="15" customHeight="1">
      <c r="A266" t="inlineStr">
        <is>
          <t>A 47304-2023</t>
        </is>
      </c>
      <c r="B266" s="1" t="n">
        <v>45202.48180555556</v>
      </c>
      <c r="C266" s="1" t="n">
        <v>45995</v>
      </c>
      <c r="D266" t="inlineStr">
        <is>
          <t>JÄMTLANDS LÄN</t>
        </is>
      </c>
      <c r="E266" t="inlineStr">
        <is>
          <t>BERG</t>
        </is>
      </c>
      <c r="G266" t="n">
        <v>3.4</v>
      </c>
      <c r="H266" t="n">
        <v>0</v>
      </c>
      <c r="I266" t="n">
        <v>0</v>
      </c>
      <c r="J266" t="n">
        <v>0</v>
      </c>
      <c r="K266" t="n">
        <v>0</v>
      </c>
      <c r="L266" t="n">
        <v>0</v>
      </c>
      <c r="M266" t="n">
        <v>0</v>
      </c>
      <c r="N266" t="n">
        <v>0</v>
      </c>
      <c r="O266" t="n">
        <v>0</v>
      </c>
      <c r="P266" t="n">
        <v>0</v>
      </c>
      <c r="Q266" t="n">
        <v>0</v>
      </c>
      <c r="R266" s="2" t="inlineStr"/>
    </row>
    <row r="267" ht="15" customHeight="1">
      <c r="A267" t="inlineStr">
        <is>
          <t>A 23877-2024</t>
        </is>
      </c>
      <c r="B267" s="1" t="n">
        <v>45455.63024305556</v>
      </c>
      <c r="C267" s="1" t="n">
        <v>45995</v>
      </c>
      <c r="D267" t="inlineStr">
        <is>
          <t>JÄMTLANDS LÄN</t>
        </is>
      </c>
      <c r="E267" t="inlineStr">
        <is>
          <t>BERG</t>
        </is>
      </c>
      <c r="G267" t="n">
        <v>2</v>
      </c>
      <c r="H267" t="n">
        <v>0</v>
      </c>
      <c r="I267" t="n">
        <v>0</v>
      </c>
      <c r="J267" t="n">
        <v>0</v>
      </c>
      <c r="K267" t="n">
        <v>0</v>
      </c>
      <c r="L267" t="n">
        <v>0</v>
      </c>
      <c r="M267" t="n">
        <v>0</v>
      </c>
      <c r="N267" t="n">
        <v>0</v>
      </c>
      <c r="O267" t="n">
        <v>0</v>
      </c>
      <c r="P267" t="n">
        <v>0</v>
      </c>
      <c r="Q267" t="n">
        <v>0</v>
      </c>
      <c r="R267" s="2" t="inlineStr"/>
    </row>
    <row r="268" ht="15" customHeight="1">
      <c r="A268" t="inlineStr">
        <is>
          <t>A 23880-2024</t>
        </is>
      </c>
      <c r="B268" s="1" t="n">
        <v>45455.63731481481</v>
      </c>
      <c r="C268" s="1" t="n">
        <v>45995</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62299-2023</t>
        </is>
      </c>
      <c r="B269" s="1" t="n">
        <v>45266</v>
      </c>
      <c r="C269" s="1" t="n">
        <v>45995</v>
      </c>
      <c r="D269" t="inlineStr">
        <is>
          <t>JÄMTLANDS LÄN</t>
        </is>
      </c>
      <c r="E269" t="inlineStr">
        <is>
          <t>BERG</t>
        </is>
      </c>
      <c r="G269" t="n">
        <v>2.6</v>
      </c>
      <c r="H269" t="n">
        <v>0</v>
      </c>
      <c r="I269" t="n">
        <v>0</v>
      </c>
      <c r="J269" t="n">
        <v>0</v>
      </c>
      <c r="K269" t="n">
        <v>0</v>
      </c>
      <c r="L269" t="n">
        <v>0</v>
      </c>
      <c r="M269" t="n">
        <v>0</v>
      </c>
      <c r="N269" t="n">
        <v>0</v>
      </c>
      <c r="O269" t="n">
        <v>0</v>
      </c>
      <c r="P269" t="n">
        <v>0</v>
      </c>
      <c r="Q269" t="n">
        <v>0</v>
      </c>
      <c r="R269" s="2" t="inlineStr"/>
    </row>
    <row r="270" ht="15" customHeight="1">
      <c r="A270" t="inlineStr">
        <is>
          <t>A 10861-2024</t>
        </is>
      </c>
      <c r="B270" s="1" t="n">
        <v>45370.01967592593</v>
      </c>
      <c r="C270" s="1" t="n">
        <v>45995</v>
      </c>
      <c r="D270" t="inlineStr">
        <is>
          <t>JÄMTLANDS LÄN</t>
        </is>
      </c>
      <c r="E270" t="inlineStr">
        <is>
          <t>BERG</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31129-2024</t>
        </is>
      </c>
      <c r="B271" s="1" t="n">
        <v>45502</v>
      </c>
      <c r="C271" s="1" t="n">
        <v>45995</v>
      </c>
      <c r="D271" t="inlineStr">
        <is>
          <t>JÄMTLANDS LÄN</t>
        </is>
      </c>
      <c r="E271" t="inlineStr">
        <is>
          <t>BERG</t>
        </is>
      </c>
      <c r="G271" t="n">
        <v>1.3</v>
      </c>
      <c r="H271" t="n">
        <v>0</v>
      </c>
      <c r="I271" t="n">
        <v>0</v>
      </c>
      <c r="J271" t="n">
        <v>0</v>
      </c>
      <c r="K271" t="n">
        <v>0</v>
      </c>
      <c r="L271" t="n">
        <v>0</v>
      </c>
      <c r="M271" t="n">
        <v>0</v>
      </c>
      <c r="N271" t="n">
        <v>0</v>
      </c>
      <c r="O271" t="n">
        <v>0</v>
      </c>
      <c r="P271" t="n">
        <v>0</v>
      </c>
      <c r="Q271" t="n">
        <v>0</v>
      </c>
      <c r="R271" s="2" t="inlineStr"/>
    </row>
    <row r="272" ht="15" customHeight="1">
      <c r="A272" t="inlineStr">
        <is>
          <t>A 50612-2023</t>
        </is>
      </c>
      <c r="B272" s="1" t="n">
        <v>45217.444375</v>
      </c>
      <c r="C272" s="1" t="n">
        <v>45995</v>
      </c>
      <c r="D272" t="inlineStr">
        <is>
          <t>JÄMTLANDS LÄN</t>
        </is>
      </c>
      <c r="E272" t="inlineStr">
        <is>
          <t>BERG</t>
        </is>
      </c>
      <c r="G272" t="n">
        <v>1.4</v>
      </c>
      <c r="H272" t="n">
        <v>0</v>
      </c>
      <c r="I272" t="n">
        <v>0</v>
      </c>
      <c r="J272" t="n">
        <v>0</v>
      </c>
      <c r="K272" t="n">
        <v>0</v>
      </c>
      <c r="L272" t="n">
        <v>0</v>
      </c>
      <c r="M272" t="n">
        <v>0</v>
      </c>
      <c r="N272" t="n">
        <v>0</v>
      </c>
      <c r="O272" t="n">
        <v>0</v>
      </c>
      <c r="P272" t="n">
        <v>0</v>
      </c>
      <c r="Q272" t="n">
        <v>0</v>
      </c>
      <c r="R272" s="2" t="inlineStr"/>
    </row>
    <row r="273" ht="15" customHeight="1">
      <c r="A273" t="inlineStr">
        <is>
          <t>A 54071-2023</t>
        </is>
      </c>
      <c r="B273" s="1" t="n">
        <v>45231</v>
      </c>
      <c r="C273" s="1" t="n">
        <v>45995</v>
      </c>
      <c r="D273" t="inlineStr">
        <is>
          <t>JÄMTLANDS LÄN</t>
        </is>
      </c>
      <c r="E273" t="inlineStr">
        <is>
          <t>BERG</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15785-2021</t>
        </is>
      </c>
      <c r="B274" s="1" t="n">
        <v>44286.58679398148</v>
      </c>
      <c r="C274" s="1" t="n">
        <v>45995</v>
      </c>
      <c r="D274" t="inlineStr">
        <is>
          <t>JÄMTLANDS LÄN</t>
        </is>
      </c>
      <c r="E274" t="inlineStr">
        <is>
          <t>BERG</t>
        </is>
      </c>
      <c r="G274" t="n">
        <v>3.2</v>
      </c>
      <c r="H274" t="n">
        <v>0</v>
      </c>
      <c r="I274" t="n">
        <v>0</v>
      </c>
      <c r="J274" t="n">
        <v>0</v>
      </c>
      <c r="K274" t="n">
        <v>0</v>
      </c>
      <c r="L274" t="n">
        <v>0</v>
      </c>
      <c r="M274" t="n">
        <v>0</v>
      </c>
      <c r="N274" t="n">
        <v>0</v>
      </c>
      <c r="O274" t="n">
        <v>0</v>
      </c>
      <c r="P274" t="n">
        <v>0</v>
      </c>
      <c r="Q274" t="n">
        <v>0</v>
      </c>
      <c r="R274" s="2" t="inlineStr"/>
    </row>
    <row r="275" ht="15" customHeight="1">
      <c r="A275" t="inlineStr">
        <is>
          <t>A 12254-2025</t>
        </is>
      </c>
      <c r="B275" s="1" t="n">
        <v>45729</v>
      </c>
      <c r="C275" s="1" t="n">
        <v>45995</v>
      </c>
      <c r="D275" t="inlineStr">
        <is>
          <t>JÄMTLANDS LÄN</t>
        </is>
      </c>
      <c r="E275" t="inlineStr">
        <is>
          <t>BERG</t>
        </is>
      </c>
      <c r="G275" t="n">
        <v>26.3</v>
      </c>
      <c r="H275" t="n">
        <v>0</v>
      </c>
      <c r="I275" t="n">
        <v>0</v>
      </c>
      <c r="J275" t="n">
        <v>0</v>
      </c>
      <c r="K275" t="n">
        <v>0</v>
      </c>
      <c r="L275" t="n">
        <v>0</v>
      </c>
      <c r="M275" t="n">
        <v>0</v>
      </c>
      <c r="N275" t="n">
        <v>0</v>
      </c>
      <c r="O275" t="n">
        <v>0</v>
      </c>
      <c r="P275" t="n">
        <v>0</v>
      </c>
      <c r="Q275" t="n">
        <v>0</v>
      </c>
      <c r="R275" s="2" t="inlineStr"/>
    </row>
    <row r="276" ht="15" customHeight="1">
      <c r="A276" t="inlineStr">
        <is>
          <t>A 38428-2025</t>
        </is>
      </c>
      <c r="B276" s="1" t="n">
        <v>45883.63628472222</v>
      </c>
      <c r="C276" s="1" t="n">
        <v>45995</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29511-2021</t>
        </is>
      </c>
      <c r="B277" s="1" t="n">
        <v>44361</v>
      </c>
      <c r="C277" s="1" t="n">
        <v>45995</v>
      </c>
      <c r="D277" t="inlineStr">
        <is>
          <t>JÄMTLANDS LÄN</t>
        </is>
      </c>
      <c r="E277" t="inlineStr">
        <is>
          <t>BERG</t>
        </is>
      </c>
      <c r="G277" t="n">
        <v>5.6</v>
      </c>
      <c r="H277" t="n">
        <v>0</v>
      </c>
      <c r="I277" t="n">
        <v>0</v>
      </c>
      <c r="J277" t="n">
        <v>0</v>
      </c>
      <c r="K277" t="n">
        <v>0</v>
      </c>
      <c r="L277" t="n">
        <v>0</v>
      </c>
      <c r="M277" t="n">
        <v>0</v>
      </c>
      <c r="N277" t="n">
        <v>0</v>
      </c>
      <c r="O277" t="n">
        <v>0</v>
      </c>
      <c r="P277" t="n">
        <v>0</v>
      </c>
      <c r="Q277" t="n">
        <v>0</v>
      </c>
      <c r="R277" s="2" t="inlineStr"/>
    </row>
    <row r="278" ht="15" customHeight="1">
      <c r="A278" t="inlineStr">
        <is>
          <t>A 61652-2024</t>
        </is>
      </c>
      <c r="B278" s="1" t="n">
        <v>45646.72293981481</v>
      </c>
      <c r="C278" s="1" t="n">
        <v>45995</v>
      </c>
      <c r="D278" t="inlineStr">
        <is>
          <t>JÄMTLANDS LÄN</t>
        </is>
      </c>
      <c r="E278" t="inlineStr">
        <is>
          <t>BERG</t>
        </is>
      </c>
      <c r="G278" t="n">
        <v>6.4</v>
      </c>
      <c r="H278" t="n">
        <v>0</v>
      </c>
      <c r="I278" t="n">
        <v>0</v>
      </c>
      <c r="J278" t="n">
        <v>0</v>
      </c>
      <c r="K278" t="n">
        <v>0</v>
      </c>
      <c r="L278" t="n">
        <v>0</v>
      </c>
      <c r="M278" t="n">
        <v>0</v>
      </c>
      <c r="N278" t="n">
        <v>0</v>
      </c>
      <c r="O278" t="n">
        <v>0</v>
      </c>
      <c r="P278" t="n">
        <v>0</v>
      </c>
      <c r="Q278" t="n">
        <v>0</v>
      </c>
      <c r="R278" s="2" t="inlineStr"/>
    </row>
    <row r="279" ht="15" customHeight="1">
      <c r="A279" t="inlineStr">
        <is>
          <t>A 17929-2024</t>
        </is>
      </c>
      <c r="B279" s="1" t="n">
        <v>45419.60266203704</v>
      </c>
      <c r="C279" s="1" t="n">
        <v>45995</v>
      </c>
      <c r="D279" t="inlineStr">
        <is>
          <t>JÄMTLANDS LÄN</t>
        </is>
      </c>
      <c r="E279" t="inlineStr">
        <is>
          <t>BERG</t>
        </is>
      </c>
      <c r="F279" t="inlineStr">
        <is>
          <t>Holmen skog AB</t>
        </is>
      </c>
      <c r="G279" t="n">
        <v>3</v>
      </c>
      <c r="H279" t="n">
        <v>0</v>
      </c>
      <c r="I279" t="n">
        <v>0</v>
      </c>
      <c r="J279" t="n">
        <v>0</v>
      </c>
      <c r="K279" t="n">
        <v>0</v>
      </c>
      <c r="L279" t="n">
        <v>0</v>
      </c>
      <c r="M279" t="n">
        <v>0</v>
      </c>
      <c r="N279" t="n">
        <v>0</v>
      </c>
      <c r="O279" t="n">
        <v>0</v>
      </c>
      <c r="P279" t="n">
        <v>0</v>
      </c>
      <c r="Q279" t="n">
        <v>0</v>
      </c>
      <c r="R279" s="2" t="inlineStr"/>
    </row>
    <row r="280" ht="15" customHeight="1">
      <c r="A280" t="inlineStr">
        <is>
          <t>A 21679-2023</t>
        </is>
      </c>
      <c r="B280" s="1" t="n">
        <v>45063.94199074074</v>
      </c>
      <c r="C280" s="1" t="n">
        <v>45995</v>
      </c>
      <c r="D280" t="inlineStr">
        <is>
          <t>JÄMTLANDS LÄN</t>
        </is>
      </c>
      <c r="E280" t="inlineStr">
        <is>
          <t>BERG</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41105-2023</t>
        </is>
      </c>
      <c r="B281" s="1" t="n">
        <v>45170</v>
      </c>
      <c r="C281" s="1" t="n">
        <v>45995</v>
      </c>
      <c r="D281" t="inlineStr">
        <is>
          <t>JÄMTLANDS LÄN</t>
        </is>
      </c>
      <c r="E281" t="inlineStr">
        <is>
          <t>BERG</t>
        </is>
      </c>
      <c r="G281" t="n">
        <v>0.9</v>
      </c>
      <c r="H281" t="n">
        <v>0</v>
      </c>
      <c r="I281" t="n">
        <v>0</v>
      </c>
      <c r="J281" t="n">
        <v>0</v>
      </c>
      <c r="K281" t="n">
        <v>0</v>
      </c>
      <c r="L281" t="n">
        <v>0</v>
      </c>
      <c r="M281" t="n">
        <v>0</v>
      </c>
      <c r="N281" t="n">
        <v>0</v>
      </c>
      <c r="O281" t="n">
        <v>0</v>
      </c>
      <c r="P281" t="n">
        <v>0</v>
      </c>
      <c r="Q281" t="n">
        <v>0</v>
      </c>
      <c r="R281" s="2" t="inlineStr"/>
    </row>
    <row r="282" ht="15" customHeight="1">
      <c r="A282" t="inlineStr">
        <is>
          <t>A 43403-2023</t>
        </is>
      </c>
      <c r="B282" s="1" t="n">
        <v>45183</v>
      </c>
      <c r="C282" s="1" t="n">
        <v>45995</v>
      </c>
      <c r="D282" t="inlineStr">
        <is>
          <t>JÄMTLANDS LÄN</t>
        </is>
      </c>
      <c r="E282" t="inlineStr">
        <is>
          <t>BERG</t>
        </is>
      </c>
      <c r="F282" t="inlineStr">
        <is>
          <t>SCA</t>
        </is>
      </c>
      <c r="G282" t="n">
        <v>0.1</v>
      </c>
      <c r="H282" t="n">
        <v>0</v>
      </c>
      <c r="I282" t="n">
        <v>0</v>
      </c>
      <c r="J282" t="n">
        <v>0</v>
      </c>
      <c r="K282" t="n">
        <v>0</v>
      </c>
      <c r="L282" t="n">
        <v>0</v>
      </c>
      <c r="M282" t="n">
        <v>0</v>
      </c>
      <c r="N282" t="n">
        <v>0</v>
      </c>
      <c r="O282" t="n">
        <v>0</v>
      </c>
      <c r="P282" t="n">
        <v>0</v>
      </c>
      <c r="Q282" t="n">
        <v>0</v>
      </c>
      <c r="R282" s="2" t="inlineStr"/>
    </row>
    <row r="283" ht="15" customHeight="1">
      <c r="A283" t="inlineStr">
        <is>
          <t>A 20268-2024</t>
        </is>
      </c>
      <c r="B283" s="1" t="n">
        <v>45434.94887731481</v>
      </c>
      <c r="C283" s="1" t="n">
        <v>45995</v>
      </c>
      <c r="D283" t="inlineStr">
        <is>
          <t>JÄMTLANDS LÄN</t>
        </is>
      </c>
      <c r="E283" t="inlineStr">
        <is>
          <t>BERG</t>
        </is>
      </c>
      <c r="F283" t="inlineStr">
        <is>
          <t>SCA</t>
        </is>
      </c>
      <c r="G283" t="n">
        <v>4.9</v>
      </c>
      <c r="H283" t="n">
        <v>0</v>
      </c>
      <c r="I283" t="n">
        <v>0</v>
      </c>
      <c r="J283" t="n">
        <v>0</v>
      </c>
      <c r="K283" t="n">
        <v>0</v>
      </c>
      <c r="L283" t="n">
        <v>0</v>
      </c>
      <c r="M283" t="n">
        <v>0</v>
      </c>
      <c r="N283" t="n">
        <v>0</v>
      </c>
      <c r="O283" t="n">
        <v>0</v>
      </c>
      <c r="P283" t="n">
        <v>0</v>
      </c>
      <c r="Q283" t="n">
        <v>0</v>
      </c>
      <c r="R283" s="2" t="inlineStr"/>
    </row>
    <row r="284" ht="15" customHeight="1">
      <c r="A284" t="inlineStr">
        <is>
          <t>A 46167-2022</t>
        </is>
      </c>
      <c r="B284" s="1" t="n">
        <v>44845</v>
      </c>
      <c r="C284" s="1" t="n">
        <v>45995</v>
      </c>
      <c r="D284" t="inlineStr">
        <is>
          <t>JÄMTLANDS LÄN</t>
        </is>
      </c>
      <c r="E284" t="inlineStr">
        <is>
          <t>BERG</t>
        </is>
      </c>
      <c r="G284" t="n">
        <v>35.2</v>
      </c>
      <c r="H284" t="n">
        <v>0</v>
      </c>
      <c r="I284" t="n">
        <v>0</v>
      </c>
      <c r="J284" t="n">
        <v>0</v>
      </c>
      <c r="K284" t="n">
        <v>0</v>
      </c>
      <c r="L284" t="n">
        <v>0</v>
      </c>
      <c r="M284" t="n">
        <v>0</v>
      </c>
      <c r="N284" t="n">
        <v>0</v>
      </c>
      <c r="O284" t="n">
        <v>0</v>
      </c>
      <c r="P284" t="n">
        <v>0</v>
      </c>
      <c r="Q284" t="n">
        <v>0</v>
      </c>
      <c r="R284" s="2" t="inlineStr"/>
    </row>
    <row r="285" ht="15" customHeight="1">
      <c r="A285" t="inlineStr">
        <is>
          <t>A 6982-2025</t>
        </is>
      </c>
      <c r="B285" s="1" t="n">
        <v>45701.55769675926</v>
      </c>
      <c r="C285" s="1" t="n">
        <v>45995</v>
      </c>
      <c r="D285" t="inlineStr">
        <is>
          <t>JÄMTLANDS LÄN</t>
        </is>
      </c>
      <c r="E285" t="inlineStr">
        <is>
          <t>BERG</t>
        </is>
      </c>
      <c r="G285" t="n">
        <v>6.8</v>
      </c>
      <c r="H285" t="n">
        <v>0</v>
      </c>
      <c r="I285" t="n">
        <v>0</v>
      </c>
      <c r="J285" t="n">
        <v>0</v>
      </c>
      <c r="K285" t="n">
        <v>0</v>
      </c>
      <c r="L285" t="n">
        <v>0</v>
      </c>
      <c r="M285" t="n">
        <v>0</v>
      </c>
      <c r="N285" t="n">
        <v>0</v>
      </c>
      <c r="O285" t="n">
        <v>0</v>
      </c>
      <c r="P285" t="n">
        <v>0</v>
      </c>
      <c r="Q285" t="n">
        <v>0</v>
      </c>
      <c r="R285" s="2" t="inlineStr"/>
    </row>
    <row r="286" ht="15" customHeight="1">
      <c r="A286" t="inlineStr">
        <is>
          <t>A 15156-2024</t>
        </is>
      </c>
      <c r="B286" s="1" t="n">
        <v>45399.94496527778</v>
      </c>
      <c r="C286" s="1" t="n">
        <v>45995</v>
      </c>
      <c r="D286" t="inlineStr">
        <is>
          <t>JÄMTLANDS LÄN</t>
        </is>
      </c>
      <c r="E286" t="inlineStr">
        <is>
          <t>BERG</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38388-2025</t>
        </is>
      </c>
      <c r="B287" s="1" t="n">
        <v>45883.57467592593</v>
      </c>
      <c r="C287" s="1" t="n">
        <v>45995</v>
      </c>
      <c r="D287" t="inlineStr">
        <is>
          <t>JÄMTLANDS LÄN</t>
        </is>
      </c>
      <c r="E287" t="inlineStr">
        <is>
          <t>BERG</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433-2023</t>
        </is>
      </c>
      <c r="B288" s="1" t="n">
        <v>44923</v>
      </c>
      <c r="C288" s="1" t="n">
        <v>45995</v>
      </c>
      <c r="D288" t="inlineStr">
        <is>
          <t>JÄMTLANDS LÄN</t>
        </is>
      </c>
      <c r="E288" t="inlineStr">
        <is>
          <t>BERG</t>
        </is>
      </c>
      <c r="G288" t="n">
        <v>1.5</v>
      </c>
      <c r="H288" t="n">
        <v>0</v>
      </c>
      <c r="I288" t="n">
        <v>0</v>
      </c>
      <c r="J288" t="n">
        <v>0</v>
      </c>
      <c r="K288" t="n">
        <v>0</v>
      </c>
      <c r="L288" t="n">
        <v>0</v>
      </c>
      <c r="M288" t="n">
        <v>0</v>
      </c>
      <c r="N288" t="n">
        <v>0</v>
      </c>
      <c r="O288" t="n">
        <v>0</v>
      </c>
      <c r="P288" t="n">
        <v>0</v>
      </c>
      <c r="Q288" t="n">
        <v>0</v>
      </c>
      <c r="R288" s="2" t="inlineStr"/>
    </row>
    <row r="289" ht="15" customHeight="1">
      <c r="A289" t="inlineStr">
        <is>
          <t>A 38408-2025</t>
        </is>
      </c>
      <c r="B289" s="1" t="n">
        <v>45883.59412037037</v>
      </c>
      <c r="C289" s="1" t="n">
        <v>45995</v>
      </c>
      <c r="D289" t="inlineStr">
        <is>
          <t>JÄMTLANDS LÄN</t>
        </is>
      </c>
      <c r="E289" t="inlineStr">
        <is>
          <t>BERG</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61980-2024</t>
        </is>
      </c>
      <c r="B290" s="1" t="n">
        <v>45653.66269675926</v>
      </c>
      <c r="C290" s="1" t="n">
        <v>45995</v>
      </c>
      <c r="D290" t="inlineStr">
        <is>
          <t>JÄMTLANDS LÄN</t>
        </is>
      </c>
      <c r="E290" t="inlineStr">
        <is>
          <t>BERG</t>
        </is>
      </c>
      <c r="G290" t="n">
        <v>1.3</v>
      </c>
      <c r="H290" t="n">
        <v>0</v>
      </c>
      <c r="I290" t="n">
        <v>0</v>
      </c>
      <c r="J290" t="n">
        <v>0</v>
      </c>
      <c r="K290" t="n">
        <v>0</v>
      </c>
      <c r="L290" t="n">
        <v>0</v>
      </c>
      <c r="M290" t="n">
        <v>0</v>
      </c>
      <c r="N290" t="n">
        <v>0</v>
      </c>
      <c r="O290" t="n">
        <v>0</v>
      </c>
      <c r="P290" t="n">
        <v>0</v>
      </c>
      <c r="Q290" t="n">
        <v>0</v>
      </c>
      <c r="R290" s="2" t="inlineStr"/>
    </row>
    <row r="291" ht="15" customHeight="1">
      <c r="A291" t="inlineStr">
        <is>
          <t>A 18872-2023</t>
        </is>
      </c>
      <c r="B291" s="1" t="n">
        <v>45042</v>
      </c>
      <c r="C291" s="1" t="n">
        <v>45995</v>
      </c>
      <c r="D291" t="inlineStr">
        <is>
          <t>JÄMTLANDS LÄN</t>
        </is>
      </c>
      <c r="E291" t="inlineStr">
        <is>
          <t>BERG</t>
        </is>
      </c>
      <c r="G291" t="n">
        <v>13.2</v>
      </c>
      <c r="H291" t="n">
        <v>0</v>
      </c>
      <c r="I291" t="n">
        <v>0</v>
      </c>
      <c r="J291" t="n">
        <v>0</v>
      </c>
      <c r="K291" t="n">
        <v>0</v>
      </c>
      <c r="L291" t="n">
        <v>0</v>
      </c>
      <c r="M291" t="n">
        <v>0</v>
      </c>
      <c r="N291" t="n">
        <v>0</v>
      </c>
      <c r="O291" t="n">
        <v>0</v>
      </c>
      <c r="P291" t="n">
        <v>0</v>
      </c>
      <c r="Q291" t="n">
        <v>0</v>
      </c>
      <c r="R291" s="2" t="inlineStr"/>
    </row>
    <row r="292" ht="15" customHeight="1">
      <c r="A292" t="inlineStr">
        <is>
          <t>A 8191-2025</t>
        </is>
      </c>
      <c r="B292" s="1" t="n">
        <v>45708.40821759259</v>
      </c>
      <c r="C292" s="1" t="n">
        <v>45995</v>
      </c>
      <c r="D292" t="inlineStr">
        <is>
          <t>JÄMTLANDS LÄN</t>
        </is>
      </c>
      <c r="E292" t="inlineStr">
        <is>
          <t>BERG</t>
        </is>
      </c>
      <c r="G292" t="n">
        <v>1.1</v>
      </c>
      <c r="H292" t="n">
        <v>0</v>
      </c>
      <c r="I292" t="n">
        <v>0</v>
      </c>
      <c r="J292" t="n">
        <v>0</v>
      </c>
      <c r="K292" t="n">
        <v>0</v>
      </c>
      <c r="L292" t="n">
        <v>0</v>
      </c>
      <c r="M292" t="n">
        <v>0</v>
      </c>
      <c r="N292" t="n">
        <v>0</v>
      </c>
      <c r="O292" t="n">
        <v>0</v>
      </c>
      <c r="P292" t="n">
        <v>0</v>
      </c>
      <c r="Q292" t="n">
        <v>0</v>
      </c>
      <c r="R292" s="2" t="inlineStr"/>
    </row>
    <row r="293" ht="15" customHeight="1">
      <c r="A293" t="inlineStr">
        <is>
          <t>A 23165-2024</t>
        </is>
      </c>
      <c r="B293" s="1" t="n">
        <v>45450</v>
      </c>
      <c r="C293" s="1" t="n">
        <v>45995</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18833-2024</t>
        </is>
      </c>
      <c r="B294" s="1" t="n">
        <v>45426.65157407407</v>
      </c>
      <c r="C294" s="1" t="n">
        <v>45995</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56490-2024</t>
        </is>
      </c>
      <c r="B295" s="1" t="n">
        <v>45625.48765046296</v>
      </c>
      <c r="C295" s="1" t="n">
        <v>45995</v>
      </c>
      <c r="D295" t="inlineStr">
        <is>
          <t>JÄMTLANDS LÄN</t>
        </is>
      </c>
      <c r="E295" t="inlineStr">
        <is>
          <t>BERG</t>
        </is>
      </c>
      <c r="G295" t="n">
        <v>5.9</v>
      </c>
      <c r="H295" t="n">
        <v>0</v>
      </c>
      <c r="I295" t="n">
        <v>0</v>
      </c>
      <c r="J295" t="n">
        <v>0</v>
      </c>
      <c r="K295" t="n">
        <v>0</v>
      </c>
      <c r="L295" t="n">
        <v>0</v>
      </c>
      <c r="M295" t="n">
        <v>0</v>
      </c>
      <c r="N295" t="n">
        <v>0</v>
      </c>
      <c r="O295" t="n">
        <v>0</v>
      </c>
      <c r="P295" t="n">
        <v>0</v>
      </c>
      <c r="Q295" t="n">
        <v>0</v>
      </c>
      <c r="R295" s="2" t="inlineStr"/>
    </row>
    <row r="296" ht="15" customHeight="1">
      <c r="A296" t="inlineStr">
        <is>
          <t>A 19428-2025</t>
        </is>
      </c>
      <c r="B296" s="1" t="n">
        <v>45769.79763888889</v>
      </c>
      <c r="C296" s="1" t="n">
        <v>45995</v>
      </c>
      <c r="D296" t="inlineStr">
        <is>
          <t>JÄMTLANDS LÄN</t>
        </is>
      </c>
      <c r="E296" t="inlineStr">
        <is>
          <t>BERG</t>
        </is>
      </c>
      <c r="G296" t="n">
        <v>7.1</v>
      </c>
      <c r="H296" t="n">
        <v>0</v>
      </c>
      <c r="I296" t="n">
        <v>0</v>
      </c>
      <c r="J296" t="n">
        <v>0</v>
      </c>
      <c r="K296" t="n">
        <v>0</v>
      </c>
      <c r="L296" t="n">
        <v>0</v>
      </c>
      <c r="M296" t="n">
        <v>0</v>
      </c>
      <c r="N296" t="n">
        <v>0</v>
      </c>
      <c r="O296" t="n">
        <v>0</v>
      </c>
      <c r="P296" t="n">
        <v>0</v>
      </c>
      <c r="Q296" t="n">
        <v>0</v>
      </c>
      <c r="R296" s="2" t="inlineStr"/>
    </row>
    <row r="297" ht="15" customHeight="1">
      <c r="A297" t="inlineStr">
        <is>
          <t>A 24011-2023</t>
        </is>
      </c>
      <c r="B297" s="1" t="n">
        <v>45078</v>
      </c>
      <c r="C297" s="1" t="n">
        <v>45995</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18007-2024</t>
        </is>
      </c>
      <c r="B298" s="1" t="n">
        <v>45419.94912037037</v>
      </c>
      <c r="C298" s="1" t="n">
        <v>45995</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39809-2025</t>
        </is>
      </c>
      <c r="B299" s="1" t="n">
        <v>45891</v>
      </c>
      <c r="C299" s="1" t="n">
        <v>45995</v>
      </c>
      <c r="D299" t="inlineStr">
        <is>
          <t>JÄMTLANDS LÄN</t>
        </is>
      </c>
      <c r="E299" t="inlineStr">
        <is>
          <t>BERG</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65207-2023</t>
        </is>
      </c>
      <c r="B300" s="1" t="n">
        <v>45289</v>
      </c>
      <c r="C300" s="1" t="n">
        <v>45995</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47168-2025</t>
        </is>
      </c>
      <c r="B301" s="1" t="n">
        <v>45929.86864583333</v>
      </c>
      <c r="C301" s="1" t="n">
        <v>45995</v>
      </c>
      <c r="D301" t="inlineStr">
        <is>
          <t>JÄMTLANDS LÄN</t>
        </is>
      </c>
      <c r="E301" t="inlineStr">
        <is>
          <t>BERG</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22020-2024</t>
        </is>
      </c>
      <c r="B302" s="1" t="n">
        <v>45443.5894675926</v>
      </c>
      <c r="C302" s="1" t="n">
        <v>45995</v>
      </c>
      <c r="D302" t="inlineStr">
        <is>
          <t>JÄMTLANDS LÄN</t>
        </is>
      </c>
      <c r="E302" t="inlineStr">
        <is>
          <t>BERG</t>
        </is>
      </c>
      <c r="G302" t="n">
        <v>4.9</v>
      </c>
      <c r="H302" t="n">
        <v>0</v>
      </c>
      <c r="I302" t="n">
        <v>0</v>
      </c>
      <c r="J302" t="n">
        <v>0</v>
      </c>
      <c r="K302" t="n">
        <v>0</v>
      </c>
      <c r="L302" t="n">
        <v>0</v>
      </c>
      <c r="M302" t="n">
        <v>0</v>
      </c>
      <c r="N302" t="n">
        <v>0</v>
      </c>
      <c r="O302" t="n">
        <v>0</v>
      </c>
      <c r="P302" t="n">
        <v>0</v>
      </c>
      <c r="Q302" t="n">
        <v>0</v>
      </c>
      <c r="R302" s="2" t="inlineStr"/>
    </row>
    <row r="303" ht="15" customHeight="1">
      <c r="A303" t="inlineStr">
        <is>
          <t>A 15013-2025</t>
        </is>
      </c>
      <c r="B303" s="1" t="n">
        <v>45743.62734953704</v>
      </c>
      <c r="C303" s="1" t="n">
        <v>45995</v>
      </c>
      <c r="D303" t="inlineStr">
        <is>
          <t>JÄMTLANDS LÄN</t>
        </is>
      </c>
      <c r="E303" t="inlineStr">
        <is>
          <t>BERG</t>
        </is>
      </c>
      <c r="G303" t="n">
        <v>4.6</v>
      </c>
      <c r="H303" t="n">
        <v>0</v>
      </c>
      <c r="I303" t="n">
        <v>0</v>
      </c>
      <c r="J303" t="n">
        <v>0</v>
      </c>
      <c r="K303" t="n">
        <v>0</v>
      </c>
      <c r="L303" t="n">
        <v>0</v>
      </c>
      <c r="M303" t="n">
        <v>0</v>
      </c>
      <c r="N303" t="n">
        <v>0</v>
      </c>
      <c r="O303" t="n">
        <v>0</v>
      </c>
      <c r="P303" t="n">
        <v>0</v>
      </c>
      <c r="Q303" t="n">
        <v>0</v>
      </c>
      <c r="R303" s="2" t="inlineStr"/>
    </row>
    <row r="304" ht="15" customHeight="1">
      <c r="A304" t="inlineStr">
        <is>
          <t>A 32654-2025</t>
        </is>
      </c>
      <c r="B304" s="1" t="n">
        <v>45838.6778587963</v>
      </c>
      <c r="C304" s="1" t="n">
        <v>45995</v>
      </c>
      <c r="D304" t="inlineStr">
        <is>
          <t>JÄMTLANDS LÄN</t>
        </is>
      </c>
      <c r="E304" t="inlineStr">
        <is>
          <t>BERG</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18153-2024</t>
        </is>
      </c>
      <c r="B305" s="1" t="n">
        <v>45420</v>
      </c>
      <c r="C305" s="1" t="n">
        <v>45995</v>
      </c>
      <c r="D305" t="inlineStr">
        <is>
          <t>JÄMTLANDS LÄN</t>
        </is>
      </c>
      <c r="E305" t="inlineStr">
        <is>
          <t>BERG</t>
        </is>
      </c>
      <c r="F305" t="inlineStr">
        <is>
          <t>Holmen skog AB</t>
        </is>
      </c>
      <c r="G305" t="n">
        <v>2.8</v>
      </c>
      <c r="H305" t="n">
        <v>0</v>
      </c>
      <c r="I305" t="n">
        <v>0</v>
      </c>
      <c r="J305" t="n">
        <v>0</v>
      </c>
      <c r="K305" t="n">
        <v>0</v>
      </c>
      <c r="L305" t="n">
        <v>0</v>
      </c>
      <c r="M305" t="n">
        <v>0</v>
      </c>
      <c r="N305" t="n">
        <v>0</v>
      </c>
      <c r="O305" t="n">
        <v>0</v>
      </c>
      <c r="P305" t="n">
        <v>0</v>
      </c>
      <c r="Q305" t="n">
        <v>0</v>
      </c>
      <c r="R305" s="2" t="inlineStr"/>
    </row>
    <row r="306" ht="15" customHeight="1">
      <c r="A306" t="inlineStr">
        <is>
          <t>A 3419-2025</t>
        </is>
      </c>
      <c r="B306" s="1" t="n">
        <v>45680.4165625</v>
      </c>
      <c r="C306" s="1" t="n">
        <v>45995</v>
      </c>
      <c r="D306" t="inlineStr">
        <is>
          <t>JÄMTLANDS LÄN</t>
        </is>
      </c>
      <c r="E306" t="inlineStr">
        <is>
          <t>BERG</t>
        </is>
      </c>
      <c r="G306" t="n">
        <v>0.8</v>
      </c>
      <c r="H306" t="n">
        <v>0</v>
      </c>
      <c r="I306" t="n">
        <v>0</v>
      </c>
      <c r="J306" t="n">
        <v>0</v>
      </c>
      <c r="K306" t="n">
        <v>0</v>
      </c>
      <c r="L306" t="n">
        <v>0</v>
      </c>
      <c r="M306" t="n">
        <v>0</v>
      </c>
      <c r="N306" t="n">
        <v>0</v>
      </c>
      <c r="O306" t="n">
        <v>0</v>
      </c>
      <c r="P306" t="n">
        <v>0</v>
      </c>
      <c r="Q306" t="n">
        <v>0</v>
      </c>
      <c r="R306" s="2" t="inlineStr"/>
    </row>
    <row r="307" ht="15" customHeight="1">
      <c r="A307" t="inlineStr">
        <is>
          <t>A 39004-2025</t>
        </is>
      </c>
      <c r="B307" s="1" t="n">
        <v>45888.34472222222</v>
      </c>
      <c r="C307" s="1" t="n">
        <v>45995</v>
      </c>
      <c r="D307" t="inlineStr">
        <is>
          <t>JÄMTLANDS LÄN</t>
        </is>
      </c>
      <c r="E307" t="inlineStr">
        <is>
          <t>BERG</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41927-2023</t>
        </is>
      </c>
      <c r="B308" s="1" t="n">
        <v>45176</v>
      </c>
      <c r="C308" s="1" t="n">
        <v>45995</v>
      </c>
      <c r="D308" t="inlineStr">
        <is>
          <t>JÄMTLANDS LÄN</t>
        </is>
      </c>
      <c r="E308" t="inlineStr">
        <is>
          <t>BERG</t>
        </is>
      </c>
      <c r="F308" t="inlineStr">
        <is>
          <t>SCA</t>
        </is>
      </c>
      <c r="G308" t="n">
        <v>0.5</v>
      </c>
      <c r="H308" t="n">
        <v>0</v>
      </c>
      <c r="I308" t="n">
        <v>0</v>
      </c>
      <c r="J308" t="n">
        <v>0</v>
      </c>
      <c r="K308" t="n">
        <v>0</v>
      </c>
      <c r="L308" t="n">
        <v>0</v>
      </c>
      <c r="M308" t="n">
        <v>0</v>
      </c>
      <c r="N308" t="n">
        <v>0</v>
      </c>
      <c r="O308" t="n">
        <v>0</v>
      </c>
      <c r="P308" t="n">
        <v>0</v>
      </c>
      <c r="Q308" t="n">
        <v>0</v>
      </c>
      <c r="R308" s="2" t="inlineStr"/>
    </row>
    <row r="309" ht="15" customHeight="1">
      <c r="A309" t="inlineStr">
        <is>
          <t>A 13373-2024</t>
        </is>
      </c>
      <c r="B309" s="1" t="n">
        <v>45387.37010416666</v>
      </c>
      <c r="C309" s="1" t="n">
        <v>45995</v>
      </c>
      <c r="D309" t="inlineStr">
        <is>
          <t>JÄMTLANDS LÄN</t>
        </is>
      </c>
      <c r="E309" t="inlineStr">
        <is>
          <t>BERG</t>
        </is>
      </c>
      <c r="G309" t="n">
        <v>3.8</v>
      </c>
      <c r="H309" t="n">
        <v>0</v>
      </c>
      <c r="I309" t="n">
        <v>0</v>
      </c>
      <c r="J309" t="n">
        <v>0</v>
      </c>
      <c r="K309" t="n">
        <v>0</v>
      </c>
      <c r="L309" t="n">
        <v>0</v>
      </c>
      <c r="M309" t="n">
        <v>0</v>
      </c>
      <c r="N309" t="n">
        <v>0</v>
      </c>
      <c r="O309" t="n">
        <v>0</v>
      </c>
      <c r="P309" t="n">
        <v>0</v>
      </c>
      <c r="Q309" t="n">
        <v>0</v>
      </c>
      <c r="R309" s="2" t="inlineStr"/>
    </row>
    <row r="310" ht="15" customHeight="1">
      <c r="A310" t="inlineStr">
        <is>
          <t>A 13936-2024</t>
        </is>
      </c>
      <c r="B310" s="1" t="n">
        <v>45391.9533912037</v>
      </c>
      <c r="C310" s="1" t="n">
        <v>45995</v>
      </c>
      <c r="D310" t="inlineStr">
        <is>
          <t>JÄMTLANDS LÄN</t>
        </is>
      </c>
      <c r="E310" t="inlineStr">
        <is>
          <t>BERG</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46991-2024</t>
        </is>
      </c>
      <c r="B311" s="1" t="n">
        <v>45586.365625</v>
      </c>
      <c r="C311" s="1" t="n">
        <v>45995</v>
      </c>
      <c r="D311" t="inlineStr">
        <is>
          <t>JÄMTLANDS LÄN</t>
        </is>
      </c>
      <c r="E311" t="inlineStr">
        <is>
          <t>BERG</t>
        </is>
      </c>
      <c r="G311" t="n">
        <v>2.9</v>
      </c>
      <c r="H311" t="n">
        <v>0</v>
      </c>
      <c r="I311" t="n">
        <v>0</v>
      </c>
      <c r="J311" t="n">
        <v>0</v>
      </c>
      <c r="K311" t="n">
        <v>0</v>
      </c>
      <c r="L311" t="n">
        <v>0</v>
      </c>
      <c r="M311" t="n">
        <v>0</v>
      </c>
      <c r="N311" t="n">
        <v>0</v>
      </c>
      <c r="O311" t="n">
        <v>0</v>
      </c>
      <c r="P311" t="n">
        <v>0</v>
      </c>
      <c r="Q311" t="n">
        <v>0</v>
      </c>
      <c r="R311" s="2" t="inlineStr"/>
    </row>
    <row r="312" ht="15" customHeight="1">
      <c r="A312" t="inlineStr">
        <is>
          <t>A 39544-2025</t>
        </is>
      </c>
      <c r="B312" s="1" t="n">
        <v>45890.45547453704</v>
      </c>
      <c r="C312" s="1" t="n">
        <v>45995</v>
      </c>
      <c r="D312" t="inlineStr">
        <is>
          <t>JÄMTLANDS LÄN</t>
        </is>
      </c>
      <c r="E312" t="inlineStr">
        <is>
          <t>BERG</t>
        </is>
      </c>
      <c r="G312" t="n">
        <v>7.5</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45995</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5187-2025</t>
        </is>
      </c>
      <c r="B314" s="1" t="n">
        <v>45691.64266203704</v>
      </c>
      <c r="C314" s="1" t="n">
        <v>45995</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19891-2025</t>
        </is>
      </c>
      <c r="B315" s="1" t="n">
        <v>45771.5743287037</v>
      </c>
      <c r="C315" s="1" t="n">
        <v>45995</v>
      </c>
      <c r="D315" t="inlineStr">
        <is>
          <t>JÄMTLANDS LÄN</t>
        </is>
      </c>
      <c r="E315" t="inlineStr">
        <is>
          <t>BERG</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35911-2024</t>
        </is>
      </c>
      <c r="B316" s="1" t="n">
        <v>45533.41498842592</v>
      </c>
      <c r="C316" s="1" t="n">
        <v>45995</v>
      </c>
      <c r="D316" t="inlineStr">
        <is>
          <t>JÄMTLANDS LÄN</t>
        </is>
      </c>
      <c r="E316" t="inlineStr">
        <is>
          <t>BERG</t>
        </is>
      </c>
      <c r="G316" t="n">
        <v>4.1</v>
      </c>
      <c r="H316" t="n">
        <v>0</v>
      </c>
      <c r="I316" t="n">
        <v>0</v>
      </c>
      <c r="J316" t="n">
        <v>0</v>
      </c>
      <c r="K316" t="n">
        <v>0</v>
      </c>
      <c r="L316" t="n">
        <v>0</v>
      </c>
      <c r="M316" t="n">
        <v>0</v>
      </c>
      <c r="N316" t="n">
        <v>0</v>
      </c>
      <c r="O316" t="n">
        <v>0</v>
      </c>
      <c r="P316" t="n">
        <v>0</v>
      </c>
      <c r="Q316" t="n">
        <v>0</v>
      </c>
      <c r="R316" s="2" t="inlineStr"/>
    </row>
    <row r="317" ht="15" customHeight="1">
      <c r="A317" t="inlineStr">
        <is>
          <t>A 39418-2025</t>
        </is>
      </c>
      <c r="B317" s="1" t="n">
        <v>45889</v>
      </c>
      <c r="C317" s="1" t="n">
        <v>45995</v>
      </c>
      <c r="D317" t="inlineStr">
        <is>
          <t>JÄMTLANDS LÄN</t>
        </is>
      </c>
      <c r="E317" t="inlineStr">
        <is>
          <t>BERG</t>
        </is>
      </c>
      <c r="G317" t="n">
        <v>19.8</v>
      </c>
      <c r="H317" t="n">
        <v>0</v>
      </c>
      <c r="I317" t="n">
        <v>0</v>
      </c>
      <c r="J317" t="n">
        <v>0</v>
      </c>
      <c r="K317" t="n">
        <v>0</v>
      </c>
      <c r="L317" t="n">
        <v>0</v>
      </c>
      <c r="M317" t="n">
        <v>0</v>
      </c>
      <c r="N317" t="n">
        <v>0</v>
      </c>
      <c r="O317" t="n">
        <v>0</v>
      </c>
      <c r="P317" t="n">
        <v>0</v>
      </c>
      <c r="Q317" t="n">
        <v>0</v>
      </c>
      <c r="R317" s="2" t="inlineStr"/>
    </row>
    <row r="318" ht="15" customHeight="1">
      <c r="A318" t="inlineStr">
        <is>
          <t>A 39698-2025</t>
        </is>
      </c>
      <c r="B318" s="1" t="n">
        <v>45890.69837962963</v>
      </c>
      <c r="C318" s="1" t="n">
        <v>45995</v>
      </c>
      <c r="D318" t="inlineStr">
        <is>
          <t>JÄMTLANDS LÄN</t>
        </is>
      </c>
      <c r="E318" t="inlineStr">
        <is>
          <t>BERG</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61788-2023</t>
        </is>
      </c>
      <c r="B319" s="1" t="n">
        <v>45265.9577199074</v>
      </c>
      <c r="C319" s="1" t="n">
        <v>45995</v>
      </c>
      <c r="D319" t="inlineStr">
        <is>
          <t>JÄMTLANDS LÄN</t>
        </is>
      </c>
      <c r="E319" t="inlineStr">
        <is>
          <t>BERG</t>
        </is>
      </c>
      <c r="G319" t="n">
        <v>2.6</v>
      </c>
      <c r="H319" t="n">
        <v>0</v>
      </c>
      <c r="I319" t="n">
        <v>0</v>
      </c>
      <c r="J319" t="n">
        <v>0</v>
      </c>
      <c r="K319" t="n">
        <v>0</v>
      </c>
      <c r="L319" t="n">
        <v>0</v>
      </c>
      <c r="M319" t="n">
        <v>0</v>
      </c>
      <c r="N319" t="n">
        <v>0</v>
      </c>
      <c r="O319" t="n">
        <v>0</v>
      </c>
      <c r="P319" t="n">
        <v>0</v>
      </c>
      <c r="Q319" t="n">
        <v>0</v>
      </c>
      <c r="R319" s="2" t="inlineStr"/>
    </row>
    <row r="320" ht="15" customHeight="1">
      <c r="A320" t="inlineStr">
        <is>
          <t>A 39539-2025</t>
        </is>
      </c>
      <c r="B320" s="1" t="n">
        <v>45890.4525</v>
      </c>
      <c r="C320" s="1" t="n">
        <v>45995</v>
      </c>
      <c r="D320" t="inlineStr">
        <is>
          <t>JÄMTLANDS LÄN</t>
        </is>
      </c>
      <c r="E320" t="inlineStr">
        <is>
          <t>BERG</t>
        </is>
      </c>
      <c r="G320" t="n">
        <v>7.7</v>
      </c>
      <c r="H320" t="n">
        <v>0</v>
      </c>
      <c r="I320" t="n">
        <v>0</v>
      </c>
      <c r="J320" t="n">
        <v>0</v>
      </c>
      <c r="K320" t="n">
        <v>0</v>
      </c>
      <c r="L320" t="n">
        <v>0</v>
      </c>
      <c r="M320" t="n">
        <v>0</v>
      </c>
      <c r="N320" t="n">
        <v>0</v>
      </c>
      <c r="O320" t="n">
        <v>0</v>
      </c>
      <c r="P320" t="n">
        <v>0</v>
      </c>
      <c r="Q320" t="n">
        <v>0</v>
      </c>
      <c r="R320" s="2" t="inlineStr"/>
    </row>
    <row r="321" ht="15" customHeight="1">
      <c r="A321" t="inlineStr">
        <is>
          <t>A 47982-2022</t>
        </is>
      </c>
      <c r="B321" s="1" t="n">
        <v>44853</v>
      </c>
      <c r="C321" s="1" t="n">
        <v>45995</v>
      </c>
      <c r="D321" t="inlineStr">
        <is>
          <t>JÄMTLANDS LÄN</t>
        </is>
      </c>
      <c r="E321" t="inlineStr">
        <is>
          <t>BERG</t>
        </is>
      </c>
      <c r="G321" t="n">
        <v>5.1</v>
      </c>
      <c r="H321" t="n">
        <v>0</v>
      </c>
      <c r="I321" t="n">
        <v>0</v>
      </c>
      <c r="J321" t="n">
        <v>0</v>
      </c>
      <c r="K321" t="n">
        <v>0</v>
      </c>
      <c r="L321" t="n">
        <v>0</v>
      </c>
      <c r="M321" t="n">
        <v>0</v>
      </c>
      <c r="N321" t="n">
        <v>0</v>
      </c>
      <c r="O321" t="n">
        <v>0</v>
      </c>
      <c r="P321" t="n">
        <v>0</v>
      </c>
      <c r="Q321" t="n">
        <v>0</v>
      </c>
      <c r="R321" s="2" t="inlineStr"/>
    </row>
    <row r="322" ht="15" customHeight="1">
      <c r="A322" t="inlineStr">
        <is>
          <t>A 58157-2021</t>
        </is>
      </c>
      <c r="B322" s="1" t="n">
        <v>44487.60703703704</v>
      </c>
      <c r="C322" s="1" t="n">
        <v>45995</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53894-2023</t>
        </is>
      </c>
      <c r="B323" s="1" t="n">
        <v>45231.53321759259</v>
      </c>
      <c r="C323" s="1" t="n">
        <v>45995</v>
      </c>
      <c r="D323" t="inlineStr">
        <is>
          <t>JÄMTLANDS LÄN</t>
        </is>
      </c>
      <c r="E323" t="inlineStr">
        <is>
          <t>BERG</t>
        </is>
      </c>
      <c r="G323" t="n">
        <v>0.5</v>
      </c>
      <c r="H323" t="n">
        <v>0</v>
      </c>
      <c r="I323" t="n">
        <v>0</v>
      </c>
      <c r="J323" t="n">
        <v>0</v>
      </c>
      <c r="K323" t="n">
        <v>0</v>
      </c>
      <c r="L323" t="n">
        <v>0</v>
      </c>
      <c r="M323" t="n">
        <v>0</v>
      </c>
      <c r="N323" t="n">
        <v>0</v>
      </c>
      <c r="O323" t="n">
        <v>0</v>
      </c>
      <c r="P323" t="n">
        <v>0</v>
      </c>
      <c r="Q323" t="n">
        <v>0</v>
      </c>
      <c r="R323" s="2" t="inlineStr"/>
    </row>
    <row r="324" ht="15" customHeight="1">
      <c r="A324" t="inlineStr">
        <is>
          <t>A 46268-2023</t>
        </is>
      </c>
      <c r="B324" s="1" t="n">
        <v>45196</v>
      </c>
      <c r="C324" s="1" t="n">
        <v>45995</v>
      </c>
      <c r="D324" t="inlineStr">
        <is>
          <t>JÄMTLANDS LÄN</t>
        </is>
      </c>
      <c r="E324" t="inlineStr">
        <is>
          <t>BERG</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33386-2025</t>
        </is>
      </c>
      <c r="B325" s="1" t="n">
        <v>45841.40587962963</v>
      </c>
      <c r="C325" s="1" t="n">
        <v>45995</v>
      </c>
      <c r="D325" t="inlineStr">
        <is>
          <t>JÄMTLANDS LÄN</t>
        </is>
      </c>
      <c r="E325" t="inlineStr">
        <is>
          <t>BERG</t>
        </is>
      </c>
      <c r="G325" t="n">
        <v>37.7</v>
      </c>
      <c r="H325" t="n">
        <v>0</v>
      </c>
      <c r="I325" t="n">
        <v>0</v>
      </c>
      <c r="J325" t="n">
        <v>0</v>
      </c>
      <c r="K325" t="n">
        <v>0</v>
      </c>
      <c r="L325" t="n">
        <v>0</v>
      </c>
      <c r="M325" t="n">
        <v>0</v>
      </c>
      <c r="N325" t="n">
        <v>0</v>
      </c>
      <c r="O325" t="n">
        <v>0</v>
      </c>
      <c r="P325" t="n">
        <v>0</v>
      </c>
      <c r="Q325" t="n">
        <v>0</v>
      </c>
      <c r="R325" s="2" t="inlineStr"/>
    </row>
    <row r="326" ht="15" customHeight="1">
      <c r="A326" t="inlineStr">
        <is>
          <t>A 40060-2025</t>
        </is>
      </c>
      <c r="B326" s="1" t="n">
        <v>45894.42746527777</v>
      </c>
      <c r="C326" s="1" t="n">
        <v>45995</v>
      </c>
      <c r="D326" t="inlineStr">
        <is>
          <t>JÄMTLANDS LÄN</t>
        </is>
      </c>
      <c r="E326" t="inlineStr">
        <is>
          <t>BERG</t>
        </is>
      </c>
      <c r="F326" t="inlineStr">
        <is>
          <t>SCA</t>
        </is>
      </c>
      <c r="G326" t="n">
        <v>8</v>
      </c>
      <c r="H326" t="n">
        <v>0</v>
      </c>
      <c r="I326" t="n">
        <v>0</v>
      </c>
      <c r="J326" t="n">
        <v>0</v>
      </c>
      <c r="K326" t="n">
        <v>0</v>
      </c>
      <c r="L326" t="n">
        <v>0</v>
      </c>
      <c r="M326" t="n">
        <v>0</v>
      </c>
      <c r="N326" t="n">
        <v>0</v>
      </c>
      <c r="O326" t="n">
        <v>0</v>
      </c>
      <c r="P326" t="n">
        <v>0</v>
      </c>
      <c r="Q326" t="n">
        <v>0</v>
      </c>
      <c r="R326" s="2" t="inlineStr"/>
    </row>
    <row r="327" ht="15" customHeight="1">
      <c r="A327" t="inlineStr">
        <is>
          <t>A 6645-2025</t>
        </is>
      </c>
      <c r="B327" s="1" t="n">
        <v>45700.39645833334</v>
      </c>
      <c r="C327" s="1" t="n">
        <v>45995</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44911-2021</t>
        </is>
      </c>
      <c r="B328" s="1" t="n">
        <v>44435</v>
      </c>
      <c r="C328" s="1" t="n">
        <v>45995</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21717-2023</t>
        </is>
      </c>
      <c r="B329" s="1" t="n">
        <v>45063</v>
      </c>
      <c r="C329" s="1" t="n">
        <v>45995</v>
      </c>
      <c r="D329" t="inlineStr">
        <is>
          <t>JÄMTLANDS LÄN</t>
        </is>
      </c>
      <c r="E329" t="inlineStr">
        <is>
          <t>BERG</t>
        </is>
      </c>
      <c r="G329" t="n">
        <v>6</v>
      </c>
      <c r="H329" t="n">
        <v>0</v>
      </c>
      <c r="I329" t="n">
        <v>0</v>
      </c>
      <c r="J329" t="n">
        <v>0</v>
      </c>
      <c r="K329" t="n">
        <v>0</v>
      </c>
      <c r="L329" t="n">
        <v>0</v>
      </c>
      <c r="M329" t="n">
        <v>0</v>
      </c>
      <c r="N329" t="n">
        <v>0</v>
      </c>
      <c r="O329" t="n">
        <v>0</v>
      </c>
      <c r="P329" t="n">
        <v>0</v>
      </c>
      <c r="Q329" t="n">
        <v>0</v>
      </c>
      <c r="R329" s="2" t="inlineStr"/>
    </row>
    <row r="330" ht="15" customHeight="1">
      <c r="A330" t="inlineStr">
        <is>
          <t>A 46858-2023</t>
        </is>
      </c>
      <c r="B330" s="1" t="n">
        <v>45199.97042824074</v>
      </c>
      <c r="C330" s="1" t="n">
        <v>45995</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32465-2024</t>
        </is>
      </c>
      <c r="B331" s="1" t="n">
        <v>45512.96096064815</v>
      </c>
      <c r="C331" s="1" t="n">
        <v>45995</v>
      </c>
      <c r="D331" t="inlineStr">
        <is>
          <t>JÄMTLANDS LÄN</t>
        </is>
      </c>
      <c r="E331" t="inlineStr">
        <is>
          <t>BERG</t>
        </is>
      </c>
      <c r="G331" t="n">
        <v>6.7</v>
      </c>
      <c r="H331" t="n">
        <v>0</v>
      </c>
      <c r="I331" t="n">
        <v>0</v>
      </c>
      <c r="J331" t="n">
        <v>0</v>
      </c>
      <c r="K331" t="n">
        <v>0</v>
      </c>
      <c r="L331" t="n">
        <v>0</v>
      </c>
      <c r="M331" t="n">
        <v>0</v>
      </c>
      <c r="N331" t="n">
        <v>0</v>
      </c>
      <c r="O331" t="n">
        <v>0</v>
      </c>
      <c r="P331" t="n">
        <v>0</v>
      </c>
      <c r="Q331" t="n">
        <v>0</v>
      </c>
      <c r="R331" s="2" t="inlineStr"/>
    </row>
    <row r="332" ht="15" customHeight="1">
      <c r="A332" t="inlineStr">
        <is>
          <t>A 53883-2023</t>
        </is>
      </c>
      <c r="B332" s="1" t="n">
        <v>45231.5221875</v>
      </c>
      <c r="C332" s="1" t="n">
        <v>45995</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49555-2023</t>
        </is>
      </c>
      <c r="B333" s="1" t="n">
        <v>45205</v>
      </c>
      <c r="C333" s="1" t="n">
        <v>45995</v>
      </c>
      <c r="D333" t="inlineStr">
        <is>
          <t>JÄMTLANDS LÄN</t>
        </is>
      </c>
      <c r="E333" t="inlineStr">
        <is>
          <t>BERG</t>
        </is>
      </c>
      <c r="G333" t="n">
        <v>0.6</v>
      </c>
      <c r="H333" t="n">
        <v>0</v>
      </c>
      <c r="I333" t="n">
        <v>0</v>
      </c>
      <c r="J333" t="n">
        <v>0</v>
      </c>
      <c r="K333" t="n">
        <v>0</v>
      </c>
      <c r="L333" t="n">
        <v>0</v>
      </c>
      <c r="M333" t="n">
        <v>0</v>
      </c>
      <c r="N333" t="n">
        <v>0</v>
      </c>
      <c r="O333" t="n">
        <v>0</v>
      </c>
      <c r="P333" t="n">
        <v>0</v>
      </c>
      <c r="Q333" t="n">
        <v>0</v>
      </c>
      <c r="R333" s="2" t="inlineStr"/>
    </row>
    <row r="334" ht="15" customHeight="1">
      <c r="A334" t="inlineStr">
        <is>
          <t>A 40630-2025</t>
        </is>
      </c>
      <c r="B334" s="1" t="n">
        <v>45896</v>
      </c>
      <c r="C334" s="1" t="n">
        <v>45995</v>
      </c>
      <c r="D334" t="inlineStr">
        <is>
          <t>JÄMTLANDS LÄN</t>
        </is>
      </c>
      <c r="E334" t="inlineStr">
        <is>
          <t>BERG</t>
        </is>
      </c>
      <c r="G334" t="n">
        <v>2.1</v>
      </c>
      <c r="H334" t="n">
        <v>0</v>
      </c>
      <c r="I334" t="n">
        <v>0</v>
      </c>
      <c r="J334" t="n">
        <v>0</v>
      </c>
      <c r="K334" t="n">
        <v>0</v>
      </c>
      <c r="L334" t="n">
        <v>0</v>
      </c>
      <c r="M334" t="n">
        <v>0</v>
      </c>
      <c r="N334" t="n">
        <v>0</v>
      </c>
      <c r="O334" t="n">
        <v>0</v>
      </c>
      <c r="P334" t="n">
        <v>0</v>
      </c>
      <c r="Q334" t="n">
        <v>0</v>
      </c>
      <c r="R334" s="2" t="inlineStr"/>
    </row>
    <row r="335" ht="15" customHeight="1">
      <c r="A335" t="inlineStr">
        <is>
          <t>A 49225-2024</t>
        </is>
      </c>
      <c r="B335" s="1" t="n">
        <v>45595.4177662037</v>
      </c>
      <c r="C335" s="1" t="n">
        <v>45995</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40410-2025</t>
        </is>
      </c>
      <c r="B336" s="1" t="n">
        <v>45895.57349537037</v>
      </c>
      <c r="C336" s="1" t="n">
        <v>45995</v>
      </c>
      <c r="D336" t="inlineStr">
        <is>
          <t>JÄMTLANDS LÄN</t>
        </is>
      </c>
      <c r="E336" t="inlineStr">
        <is>
          <t>BERG</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25565-2023</t>
        </is>
      </c>
      <c r="B337" s="1" t="n">
        <v>45082</v>
      </c>
      <c r="C337" s="1" t="n">
        <v>45995</v>
      </c>
      <c r="D337" t="inlineStr">
        <is>
          <t>JÄMTLANDS LÄN</t>
        </is>
      </c>
      <c r="E337" t="inlineStr">
        <is>
          <t>BERG</t>
        </is>
      </c>
      <c r="G337" t="n">
        <v>3.1</v>
      </c>
      <c r="H337" t="n">
        <v>0</v>
      </c>
      <c r="I337" t="n">
        <v>0</v>
      </c>
      <c r="J337" t="n">
        <v>0</v>
      </c>
      <c r="K337" t="n">
        <v>0</v>
      </c>
      <c r="L337" t="n">
        <v>0</v>
      </c>
      <c r="M337" t="n">
        <v>0</v>
      </c>
      <c r="N337" t="n">
        <v>0</v>
      </c>
      <c r="O337" t="n">
        <v>0</v>
      </c>
      <c r="P337" t="n">
        <v>0</v>
      </c>
      <c r="Q337" t="n">
        <v>0</v>
      </c>
      <c r="R337" s="2" t="inlineStr"/>
    </row>
    <row r="338" ht="15" customHeight="1">
      <c r="A338" t="inlineStr">
        <is>
          <t>A 1499-2025</t>
        </is>
      </c>
      <c r="B338" s="1" t="n">
        <v>45670.41112268518</v>
      </c>
      <c r="C338" s="1" t="n">
        <v>45995</v>
      </c>
      <c r="D338" t="inlineStr">
        <is>
          <t>JÄMTLANDS LÄN</t>
        </is>
      </c>
      <c r="E338" t="inlineStr">
        <is>
          <t>BERG</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40266-2025</t>
        </is>
      </c>
      <c r="B339" s="1" t="n">
        <v>45895.34478009259</v>
      </c>
      <c r="C339" s="1" t="n">
        <v>45995</v>
      </c>
      <c r="D339" t="inlineStr">
        <is>
          <t>JÄMTLANDS LÄN</t>
        </is>
      </c>
      <c r="E339" t="inlineStr">
        <is>
          <t>BERG</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40339-2025</t>
        </is>
      </c>
      <c r="B340" s="1" t="n">
        <v>45895</v>
      </c>
      <c r="C340" s="1" t="n">
        <v>45995</v>
      </c>
      <c r="D340" t="inlineStr">
        <is>
          <t>JÄMTLANDS LÄN</t>
        </is>
      </c>
      <c r="E340" t="inlineStr">
        <is>
          <t>BERG</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40340-2025</t>
        </is>
      </c>
      <c r="B341" s="1" t="n">
        <v>45895.46922453704</v>
      </c>
      <c r="C341" s="1" t="n">
        <v>45995</v>
      </c>
      <c r="D341" t="inlineStr">
        <is>
          <t>JÄMTLANDS LÄN</t>
        </is>
      </c>
      <c r="E341" t="inlineStr">
        <is>
          <t>BERG</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64251-2023</t>
        </is>
      </c>
      <c r="B342" s="1" t="n">
        <v>45279.92756944444</v>
      </c>
      <c r="C342" s="1" t="n">
        <v>45995</v>
      </c>
      <c r="D342" t="inlineStr">
        <is>
          <t>JÄMTLANDS LÄN</t>
        </is>
      </c>
      <c r="E342" t="inlineStr">
        <is>
          <t>BERG</t>
        </is>
      </c>
      <c r="G342" t="n">
        <v>0.4</v>
      </c>
      <c r="H342" t="n">
        <v>0</v>
      </c>
      <c r="I342" t="n">
        <v>0</v>
      </c>
      <c r="J342" t="n">
        <v>0</v>
      </c>
      <c r="K342" t="n">
        <v>0</v>
      </c>
      <c r="L342" t="n">
        <v>0</v>
      </c>
      <c r="M342" t="n">
        <v>0</v>
      </c>
      <c r="N342" t="n">
        <v>0</v>
      </c>
      <c r="O342" t="n">
        <v>0</v>
      </c>
      <c r="P342" t="n">
        <v>0</v>
      </c>
      <c r="Q342" t="n">
        <v>0</v>
      </c>
      <c r="R342" s="2" t="inlineStr"/>
    </row>
    <row r="343" ht="15" customHeight="1">
      <c r="A343" t="inlineStr">
        <is>
          <t>A 56226-2024</t>
        </is>
      </c>
      <c r="B343" s="1" t="n">
        <v>45624.61572916667</v>
      </c>
      <c r="C343" s="1" t="n">
        <v>45995</v>
      </c>
      <c r="D343" t="inlineStr">
        <is>
          <t>JÄMTLANDS LÄN</t>
        </is>
      </c>
      <c r="E343" t="inlineStr">
        <is>
          <t>BERG</t>
        </is>
      </c>
      <c r="F343" t="inlineStr">
        <is>
          <t>SCA</t>
        </is>
      </c>
      <c r="G343" t="n">
        <v>7.2</v>
      </c>
      <c r="H343" t="n">
        <v>0</v>
      </c>
      <c r="I343" t="n">
        <v>0</v>
      </c>
      <c r="J343" t="n">
        <v>0</v>
      </c>
      <c r="K343" t="n">
        <v>0</v>
      </c>
      <c r="L343" t="n">
        <v>0</v>
      </c>
      <c r="M343" t="n">
        <v>0</v>
      </c>
      <c r="N343" t="n">
        <v>0</v>
      </c>
      <c r="O343" t="n">
        <v>0</v>
      </c>
      <c r="P343" t="n">
        <v>0</v>
      </c>
      <c r="Q343" t="n">
        <v>0</v>
      </c>
      <c r="R343" s="2" t="inlineStr"/>
    </row>
    <row r="344" ht="15" customHeight="1">
      <c r="A344" t="inlineStr">
        <is>
          <t>A 40341-2025</t>
        </is>
      </c>
      <c r="B344" s="1" t="n">
        <v>45895</v>
      </c>
      <c r="C344" s="1" t="n">
        <v>45995</v>
      </c>
      <c r="D344" t="inlineStr">
        <is>
          <t>JÄMTLANDS LÄN</t>
        </is>
      </c>
      <c r="E344" t="inlineStr">
        <is>
          <t>BERG</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50169-2023</t>
        </is>
      </c>
      <c r="B345" s="1" t="n">
        <v>45208</v>
      </c>
      <c r="C345" s="1" t="n">
        <v>45995</v>
      </c>
      <c r="D345" t="inlineStr">
        <is>
          <t>JÄMTLANDS LÄN</t>
        </is>
      </c>
      <c r="E345" t="inlineStr">
        <is>
          <t>BERG</t>
        </is>
      </c>
      <c r="G345" t="n">
        <v>3.9</v>
      </c>
      <c r="H345" t="n">
        <v>0</v>
      </c>
      <c r="I345" t="n">
        <v>0</v>
      </c>
      <c r="J345" t="n">
        <v>0</v>
      </c>
      <c r="K345" t="n">
        <v>0</v>
      </c>
      <c r="L345" t="n">
        <v>0</v>
      </c>
      <c r="M345" t="n">
        <v>0</v>
      </c>
      <c r="N345" t="n">
        <v>0</v>
      </c>
      <c r="O345" t="n">
        <v>0</v>
      </c>
      <c r="P345" t="n">
        <v>0</v>
      </c>
      <c r="Q345" t="n">
        <v>0</v>
      </c>
      <c r="R345" s="2" t="inlineStr"/>
    </row>
    <row r="346" ht="15" customHeight="1">
      <c r="A346" t="inlineStr">
        <is>
          <t>A 40617-2025</t>
        </is>
      </c>
      <c r="B346" s="1" t="n">
        <v>45896.58326388889</v>
      </c>
      <c r="C346" s="1" t="n">
        <v>45995</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41247-2025</t>
        </is>
      </c>
      <c r="B347" s="1" t="n">
        <v>45898.60109953704</v>
      </c>
      <c r="C347" s="1" t="n">
        <v>45995</v>
      </c>
      <c r="D347" t="inlineStr">
        <is>
          <t>JÄMTLANDS LÄN</t>
        </is>
      </c>
      <c r="E347" t="inlineStr">
        <is>
          <t>BERG</t>
        </is>
      </c>
      <c r="G347" t="n">
        <v>17.5</v>
      </c>
      <c r="H347" t="n">
        <v>0</v>
      </c>
      <c r="I347" t="n">
        <v>0</v>
      </c>
      <c r="J347" t="n">
        <v>0</v>
      </c>
      <c r="K347" t="n">
        <v>0</v>
      </c>
      <c r="L347" t="n">
        <v>0</v>
      </c>
      <c r="M347" t="n">
        <v>0</v>
      </c>
      <c r="N347" t="n">
        <v>0</v>
      </c>
      <c r="O347" t="n">
        <v>0</v>
      </c>
      <c r="P347" t="n">
        <v>0</v>
      </c>
      <c r="Q347" t="n">
        <v>0</v>
      </c>
      <c r="R347" s="2" t="inlineStr"/>
    </row>
    <row r="348" ht="15" customHeight="1">
      <c r="A348" t="inlineStr">
        <is>
          <t>A 54863-2023</t>
        </is>
      </c>
      <c r="B348" s="1" t="n">
        <v>45236</v>
      </c>
      <c r="C348" s="1" t="n">
        <v>45995</v>
      </c>
      <c r="D348" t="inlineStr">
        <is>
          <t>JÄMTLANDS LÄN</t>
        </is>
      </c>
      <c r="E348" t="inlineStr">
        <is>
          <t>BERG</t>
        </is>
      </c>
      <c r="G348" t="n">
        <v>3.3</v>
      </c>
      <c r="H348" t="n">
        <v>0</v>
      </c>
      <c r="I348" t="n">
        <v>0</v>
      </c>
      <c r="J348" t="n">
        <v>0</v>
      </c>
      <c r="K348" t="n">
        <v>0</v>
      </c>
      <c r="L348" t="n">
        <v>0</v>
      </c>
      <c r="M348" t="n">
        <v>0</v>
      </c>
      <c r="N348" t="n">
        <v>0</v>
      </c>
      <c r="O348" t="n">
        <v>0</v>
      </c>
      <c r="P348" t="n">
        <v>0</v>
      </c>
      <c r="Q348" t="n">
        <v>0</v>
      </c>
      <c r="R348" s="2" t="inlineStr"/>
    </row>
    <row r="349" ht="15" customHeight="1">
      <c r="A349" t="inlineStr">
        <is>
          <t>A 48663-2023</t>
        </is>
      </c>
      <c r="B349" s="1" t="n">
        <v>45202</v>
      </c>
      <c r="C349" s="1" t="n">
        <v>45995</v>
      </c>
      <c r="D349" t="inlineStr">
        <is>
          <t>JÄMTLANDS LÄN</t>
        </is>
      </c>
      <c r="E349" t="inlineStr">
        <is>
          <t>BERG</t>
        </is>
      </c>
      <c r="G349" t="n">
        <v>1.6</v>
      </c>
      <c r="H349" t="n">
        <v>0</v>
      </c>
      <c r="I349" t="n">
        <v>0</v>
      </c>
      <c r="J349" t="n">
        <v>0</v>
      </c>
      <c r="K349" t="n">
        <v>0</v>
      </c>
      <c r="L349" t="n">
        <v>0</v>
      </c>
      <c r="M349" t="n">
        <v>0</v>
      </c>
      <c r="N349" t="n">
        <v>0</v>
      </c>
      <c r="O349" t="n">
        <v>0</v>
      </c>
      <c r="P349" t="n">
        <v>0</v>
      </c>
      <c r="Q349" t="n">
        <v>0</v>
      </c>
      <c r="R349" s="2" t="inlineStr"/>
    </row>
    <row r="350" ht="15" customHeight="1">
      <c r="A350" t="inlineStr">
        <is>
          <t>A 4476-2025</t>
        </is>
      </c>
      <c r="B350" s="1" t="n">
        <v>45686.62828703703</v>
      </c>
      <c r="C350" s="1" t="n">
        <v>45995</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24307-2023</t>
        </is>
      </c>
      <c r="B351" s="1" t="n">
        <v>45079.94229166667</v>
      </c>
      <c r="C351" s="1" t="n">
        <v>45995</v>
      </c>
      <c r="D351" t="inlineStr">
        <is>
          <t>JÄMTLANDS LÄN</t>
        </is>
      </c>
      <c r="E351" t="inlineStr">
        <is>
          <t>BERG</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57226-2022</t>
        </is>
      </c>
      <c r="B352" s="1" t="n">
        <v>44895.66629629629</v>
      </c>
      <c r="C352" s="1" t="n">
        <v>45995</v>
      </c>
      <c r="D352" t="inlineStr">
        <is>
          <t>JÄMTLANDS LÄN</t>
        </is>
      </c>
      <c r="E352" t="inlineStr">
        <is>
          <t>BERG</t>
        </is>
      </c>
      <c r="G352" t="n">
        <v>4.6</v>
      </c>
      <c r="H352" t="n">
        <v>0</v>
      </c>
      <c r="I352" t="n">
        <v>0</v>
      </c>
      <c r="J352" t="n">
        <v>0</v>
      </c>
      <c r="K352" t="n">
        <v>0</v>
      </c>
      <c r="L352" t="n">
        <v>0</v>
      </c>
      <c r="M352" t="n">
        <v>0</v>
      </c>
      <c r="N352" t="n">
        <v>0</v>
      </c>
      <c r="O352" t="n">
        <v>0</v>
      </c>
      <c r="P352" t="n">
        <v>0</v>
      </c>
      <c r="Q352" t="n">
        <v>0</v>
      </c>
      <c r="R352" s="2" t="inlineStr"/>
    </row>
    <row r="353" ht="15" customHeight="1">
      <c r="A353" t="inlineStr">
        <is>
          <t>A 12392-2025</t>
        </is>
      </c>
      <c r="B353" s="1" t="n">
        <v>45730.40104166666</v>
      </c>
      <c r="C353" s="1" t="n">
        <v>45995</v>
      </c>
      <c r="D353" t="inlineStr">
        <is>
          <t>JÄMTLANDS LÄN</t>
        </is>
      </c>
      <c r="E353" t="inlineStr">
        <is>
          <t>BERG</t>
        </is>
      </c>
      <c r="G353" t="n">
        <v>5.1</v>
      </c>
      <c r="H353" t="n">
        <v>0</v>
      </c>
      <c r="I353" t="n">
        <v>0</v>
      </c>
      <c r="J353" t="n">
        <v>0</v>
      </c>
      <c r="K353" t="n">
        <v>0</v>
      </c>
      <c r="L353" t="n">
        <v>0</v>
      </c>
      <c r="M353" t="n">
        <v>0</v>
      </c>
      <c r="N353" t="n">
        <v>0</v>
      </c>
      <c r="O353" t="n">
        <v>0</v>
      </c>
      <c r="P353" t="n">
        <v>0</v>
      </c>
      <c r="Q353" t="n">
        <v>0</v>
      </c>
      <c r="R353" s="2" t="inlineStr"/>
    </row>
    <row r="354" ht="15" customHeight="1">
      <c r="A354" t="inlineStr">
        <is>
          <t>A 35792-2024</t>
        </is>
      </c>
      <c r="B354" s="1" t="n">
        <v>45532.62950231481</v>
      </c>
      <c r="C354" s="1" t="n">
        <v>45995</v>
      </c>
      <c r="D354" t="inlineStr">
        <is>
          <t>JÄMTLANDS LÄN</t>
        </is>
      </c>
      <c r="E354" t="inlineStr">
        <is>
          <t>BERG</t>
        </is>
      </c>
      <c r="F354" t="inlineStr">
        <is>
          <t>SCA</t>
        </is>
      </c>
      <c r="G354" t="n">
        <v>6.7</v>
      </c>
      <c r="H354" t="n">
        <v>0</v>
      </c>
      <c r="I354" t="n">
        <v>0</v>
      </c>
      <c r="J354" t="n">
        <v>0</v>
      </c>
      <c r="K354" t="n">
        <v>0</v>
      </c>
      <c r="L354" t="n">
        <v>0</v>
      </c>
      <c r="M354" t="n">
        <v>0</v>
      </c>
      <c r="N354" t="n">
        <v>0</v>
      </c>
      <c r="O354" t="n">
        <v>0</v>
      </c>
      <c r="P354" t="n">
        <v>0</v>
      </c>
      <c r="Q354" t="n">
        <v>0</v>
      </c>
      <c r="R354" s="2" t="inlineStr"/>
    </row>
    <row r="355" ht="15" customHeight="1">
      <c r="A355" t="inlineStr">
        <is>
          <t>A 23560-2024</t>
        </is>
      </c>
      <c r="B355" s="1" t="n">
        <v>45453.95467592592</v>
      </c>
      <c r="C355" s="1" t="n">
        <v>45995</v>
      </c>
      <c r="D355" t="inlineStr">
        <is>
          <t>JÄMTLANDS LÄN</t>
        </is>
      </c>
      <c r="E355" t="inlineStr">
        <is>
          <t>BERG</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35866-2024</t>
        </is>
      </c>
      <c r="B356" s="1" t="n">
        <v>45533.3422337963</v>
      </c>
      <c r="C356" s="1" t="n">
        <v>45995</v>
      </c>
      <c r="D356" t="inlineStr">
        <is>
          <t>JÄMTLANDS LÄN</t>
        </is>
      </c>
      <c r="E356" t="inlineStr">
        <is>
          <t>BERG</t>
        </is>
      </c>
      <c r="G356" t="n">
        <v>2.5</v>
      </c>
      <c r="H356" t="n">
        <v>0</v>
      </c>
      <c r="I356" t="n">
        <v>0</v>
      </c>
      <c r="J356" t="n">
        <v>0</v>
      </c>
      <c r="K356" t="n">
        <v>0</v>
      </c>
      <c r="L356" t="n">
        <v>0</v>
      </c>
      <c r="M356" t="n">
        <v>0</v>
      </c>
      <c r="N356" t="n">
        <v>0</v>
      </c>
      <c r="O356" t="n">
        <v>0</v>
      </c>
      <c r="P356" t="n">
        <v>0</v>
      </c>
      <c r="Q356" t="n">
        <v>0</v>
      </c>
      <c r="R356" s="2" t="inlineStr"/>
    </row>
    <row r="357" ht="15" customHeight="1">
      <c r="A357" t="inlineStr">
        <is>
          <t>A 41295-2025</t>
        </is>
      </c>
      <c r="B357" s="1" t="n">
        <v>45898.65660879629</v>
      </c>
      <c r="C357" s="1" t="n">
        <v>45995</v>
      </c>
      <c r="D357" t="inlineStr">
        <is>
          <t>JÄMTLANDS LÄN</t>
        </is>
      </c>
      <c r="E357" t="inlineStr">
        <is>
          <t>BERG</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17922-2024</t>
        </is>
      </c>
      <c r="B358" s="1" t="n">
        <v>45419.5853587963</v>
      </c>
      <c r="C358" s="1" t="n">
        <v>45995</v>
      </c>
      <c r="D358" t="inlineStr">
        <is>
          <t>JÄMTLANDS LÄN</t>
        </is>
      </c>
      <c r="E358" t="inlineStr">
        <is>
          <t>BERG</t>
        </is>
      </c>
      <c r="F358" t="inlineStr">
        <is>
          <t>Holmen skog AB</t>
        </is>
      </c>
      <c r="G358" t="n">
        <v>6.8</v>
      </c>
      <c r="H358" t="n">
        <v>0</v>
      </c>
      <c r="I358" t="n">
        <v>0</v>
      </c>
      <c r="J358" t="n">
        <v>0</v>
      </c>
      <c r="K358" t="n">
        <v>0</v>
      </c>
      <c r="L358" t="n">
        <v>0</v>
      </c>
      <c r="M358" t="n">
        <v>0</v>
      </c>
      <c r="N358" t="n">
        <v>0</v>
      </c>
      <c r="O358" t="n">
        <v>0</v>
      </c>
      <c r="P358" t="n">
        <v>0</v>
      </c>
      <c r="Q358" t="n">
        <v>0</v>
      </c>
      <c r="R358" s="2" t="inlineStr"/>
    </row>
    <row r="359" ht="15" customHeight="1">
      <c r="A359" t="inlineStr">
        <is>
          <t>A 40918-2025</t>
        </is>
      </c>
      <c r="B359" s="1" t="n">
        <v>45897.6292824074</v>
      </c>
      <c r="C359" s="1" t="n">
        <v>45995</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37093-2024</t>
        </is>
      </c>
      <c r="B360" s="1" t="n">
        <v>45539.50018518518</v>
      </c>
      <c r="C360" s="1" t="n">
        <v>45995</v>
      </c>
      <c r="D360" t="inlineStr">
        <is>
          <t>JÄMTLANDS LÄN</t>
        </is>
      </c>
      <c r="E360" t="inlineStr">
        <is>
          <t>BERG</t>
        </is>
      </c>
      <c r="F360" t="inlineStr">
        <is>
          <t>Övriga Aktiebolag</t>
        </is>
      </c>
      <c r="G360" t="n">
        <v>15.4</v>
      </c>
      <c r="H360" t="n">
        <v>0</v>
      </c>
      <c r="I360" t="n">
        <v>0</v>
      </c>
      <c r="J360" t="n">
        <v>0</v>
      </c>
      <c r="K360" t="n">
        <v>0</v>
      </c>
      <c r="L360" t="n">
        <v>0</v>
      </c>
      <c r="M360" t="n">
        <v>0</v>
      </c>
      <c r="N360" t="n">
        <v>0</v>
      </c>
      <c r="O360" t="n">
        <v>0</v>
      </c>
      <c r="P360" t="n">
        <v>0</v>
      </c>
      <c r="Q360" t="n">
        <v>0</v>
      </c>
      <c r="R360" s="2" t="inlineStr"/>
    </row>
    <row r="361" ht="15" customHeight="1">
      <c r="A361" t="inlineStr">
        <is>
          <t>A 40708-2025</t>
        </is>
      </c>
      <c r="B361" s="1" t="n">
        <v>45897</v>
      </c>
      <c r="C361" s="1" t="n">
        <v>45995</v>
      </c>
      <c r="D361" t="inlineStr">
        <is>
          <t>JÄMTLANDS LÄN</t>
        </is>
      </c>
      <c r="E361" t="inlineStr">
        <is>
          <t>BERG</t>
        </is>
      </c>
      <c r="G361" t="n">
        <v>6.6</v>
      </c>
      <c r="H361" t="n">
        <v>0</v>
      </c>
      <c r="I361" t="n">
        <v>0</v>
      </c>
      <c r="J361" t="n">
        <v>0</v>
      </c>
      <c r="K361" t="n">
        <v>0</v>
      </c>
      <c r="L361" t="n">
        <v>0</v>
      </c>
      <c r="M361" t="n">
        <v>0</v>
      </c>
      <c r="N361" t="n">
        <v>0</v>
      </c>
      <c r="O361" t="n">
        <v>0</v>
      </c>
      <c r="P361" t="n">
        <v>0</v>
      </c>
      <c r="Q361" t="n">
        <v>0</v>
      </c>
      <c r="R361" s="2" t="inlineStr"/>
    </row>
    <row r="362" ht="15" customHeight="1">
      <c r="A362" t="inlineStr">
        <is>
          <t>A 40873-2025</t>
        </is>
      </c>
      <c r="B362" s="1" t="n">
        <v>45897.5744675926</v>
      </c>
      <c r="C362" s="1" t="n">
        <v>45995</v>
      </c>
      <c r="D362" t="inlineStr">
        <is>
          <t>JÄMTLANDS LÄN</t>
        </is>
      </c>
      <c r="E362" t="inlineStr">
        <is>
          <t>BERG</t>
        </is>
      </c>
      <c r="G362" t="n">
        <v>0.6</v>
      </c>
      <c r="H362" t="n">
        <v>0</v>
      </c>
      <c r="I362" t="n">
        <v>0</v>
      </c>
      <c r="J362" t="n">
        <v>0</v>
      </c>
      <c r="K362" t="n">
        <v>0</v>
      </c>
      <c r="L362" t="n">
        <v>0</v>
      </c>
      <c r="M362" t="n">
        <v>0</v>
      </c>
      <c r="N362" t="n">
        <v>0</v>
      </c>
      <c r="O362" t="n">
        <v>0</v>
      </c>
      <c r="P362" t="n">
        <v>0</v>
      </c>
      <c r="Q362" t="n">
        <v>0</v>
      </c>
      <c r="R362" s="2" t="inlineStr"/>
    </row>
    <row r="363" ht="15" customHeight="1">
      <c r="A363" t="inlineStr">
        <is>
          <t>A 54799-2021</t>
        </is>
      </c>
      <c r="B363" s="1" t="n">
        <v>44473</v>
      </c>
      <c r="C363" s="1" t="n">
        <v>45995</v>
      </c>
      <c r="D363" t="inlineStr">
        <is>
          <t>JÄMTLANDS LÄN</t>
        </is>
      </c>
      <c r="E363" t="inlineStr">
        <is>
          <t>BERG</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41265-2025</t>
        </is>
      </c>
      <c r="B364" s="1" t="n">
        <v>45898.6153587963</v>
      </c>
      <c r="C364" s="1" t="n">
        <v>45995</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41263-2025</t>
        </is>
      </c>
      <c r="B365" s="1" t="n">
        <v>45898.61517361111</v>
      </c>
      <c r="C365" s="1" t="n">
        <v>45995</v>
      </c>
      <c r="D365" t="inlineStr">
        <is>
          <t>JÄMTLANDS LÄN</t>
        </is>
      </c>
      <c r="E365" t="inlineStr">
        <is>
          <t>BERG</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40737-2025</t>
        </is>
      </c>
      <c r="B366" s="1" t="n">
        <v>45897.36572916667</v>
      </c>
      <c r="C366" s="1" t="n">
        <v>45995</v>
      </c>
      <c r="D366" t="inlineStr">
        <is>
          <t>JÄMTLANDS LÄN</t>
        </is>
      </c>
      <c r="E366" t="inlineStr">
        <is>
          <t>BERG</t>
        </is>
      </c>
      <c r="G366" t="n">
        <v>2.8</v>
      </c>
      <c r="H366" t="n">
        <v>0</v>
      </c>
      <c r="I366" t="n">
        <v>0</v>
      </c>
      <c r="J366" t="n">
        <v>0</v>
      </c>
      <c r="K366" t="n">
        <v>0</v>
      </c>
      <c r="L366" t="n">
        <v>0</v>
      </c>
      <c r="M366" t="n">
        <v>0</v>
      </c>
      <c r="N366" t="n">
        <v>0</v>
      </c>
      <c r="O366" t="n">
        <v>0</v>
      </c>
      <c r="P366" t="n">
        <v>0</v>
      </c>
      <c r="Q366" t="n">
        <v>0</v>
      </c>
      <c r="R366" s="2" t="inlineStr"/>
    </row>
    <row r="367" ht="15" customHeight="1">
      <c r="A367" t="inlineStr">
        <is>
          <t>A 29540-2024</t>
        </is>
      </c>
      <c r="B367" s="1" t="n">
        <v>45484</v>
      </c>
      <c r="C367" s="1" t="n">
        <v>45995</v>
      </c>
      <c r="D367" t="inlineStr">
        <is>
          <t>JÄMTLANDS LÄN</t>
        </is>
      </c>
      <c r="E367" t="inlineStr">
        <is>
          <t>BERG</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28098-2024</t>
        </is>
      </c>
      <c r="B368" s="1" t="n">
        <v>45476.61347222222</v>
      </c>
      <c r="C368" s="1" t="n">
        <v>45995</v>
      </c>
      <c r="D368" t="inlineStr">
        <is>
          <t>JÄMTLANDS LÄN</t>
        </is>
      </c>
      <c r="E368" t="inlineStr">
        <is>
          <t>BERG</t>
        </is>
      </c>
      <c r="G368" t="n">
        <v>0.4</v>
      </c>
      <c r="H368" t="n">
        <v>0</v>
      </c>
      <c r="I368" t="n">
        <v>0</v>
      </c>
      <c r="J368" t="n">
        <v>0</v>
      </c>
      <c r="K368" t="n">
        <v>0</v>
      </c>
      <c r="L368" t="n">
        <v>0</v>
      </c>
      <c r="M368" t="n">
        <v>0</v>
      </c>
      <c r="N368" t="n">
        <v>0</v>
      </c>
      <c r="O368" t="n">
        <v>0</v>
      </c>
      <c r="P368" t="n">
        <v>0</v>
      </c>
      <c r="Q368" t="n">
        <v>0</v>
      </c>
      <c r="R368" s="2" t="inlineStr"/>
    </row>
    <row r="369" ht="15" customHeight="1">
      <c r="A369" t="inlineStr">
        <is>
          <t>A 38682-2023</t>
        </is>
      </c>
      <c r="B369" s="1" t="n">
        <v>45162</v>
      </c>
      <c r="C369" s="1" t="n">
        <v>45995</v>
      </c>
      <c r="D369" t="inlineStr">
        <is>
          <t>JÄMTLANDS LÄN</t>
        </is>
      </c>
      <c r="E369" t="inlineStr">
        <is>
          <t>BERG</t>
        </is>
      </c>
      <c r="F369" t="inlineStr">
        <is>
          <t>SCA</t>
        </is>
      </c>
      <c r="G369" t="n">
        <v>21.3</v>
      </c>
      <c r="H369" t="n">
        <v>0</v>
      </c>
      <c r="I369" t="n">
        <v>0</v>
      </c>
      <c r="J369" t="n">
        <v>0</v>
      </c>
      <c r="K369" t="n">
        <v>0</v>
      </c>
      <c r="L369" t="n">
        <v>0</v>
      </c>
      <c r="M369" t="n">
        <v>0</v>
      </c>
      <c r="N369" t="n">
        <v>0</v>
      </c>
      <c r="O369" t="n">
        <v>0</v>
      </c>
      <c r="P369" t="n">
        <v>0</v>
      </c>
      <c r="Q369" t="n">
        <v>0</v>
      </c>
      <c r="R369" s="2" t="inlineStr"/>
    </row>
    <row r="370" ht="15" customHeight="1">
      <c r="A370" t="inlineStr">
        <is>
          <t>A 27579-2024</t>
        </is>
      </c>
      <c r="B370" s="1" t="n">
        <v>45474.65244212963</v>
      </c>
      <c r="C370" s="1" t="n">
        <v>45995</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17748-2024</t>
        </is>
      </c>
      <c r="B371" s="1" t="n">
        <v>45418</v>
      </c>
      <c r="C371" s="1" t="n">
        <v>45995</v>
      </c>
      <c r="D371" t="inlineStr">
        <is>
          <t>JÄMTLANDS LÄN</t>
        </is>
      </c>
      <c r="E371" t="inlineStr">
        <is>
          <t>BERG</t>
        </is>
      </c>
      <c r="G371" t="n">
        <v>0.9</v>
      </c>
      <c r="H371" t="n">
        <v>0</v>
      </c>
      <c r="I371" t="n">
        <v>0</v>
      </c>
      <c r="J371" t="n">
        <v>0</v>
      </c>
      <c r="K371" t="n">
        <v>0</v>
      </c>
      <c r="L371" t="n">
        <v>0</v>
      </c>
      <c r="M371" t="n">
        <v>0</v>
      </c>
      <c r="N371" t="n">
        <v>0</v>
      </c>
      <c r="O371" t="n">
        <v>0</v>
      </c>
      <c r="P371" t="n">
        <v>0</v>
      </c>
      <c r="Q371" t="n">
        <v>0</v>
      </c>
      <c r="R371" s="2" t="inlineStr"/>
    </row>
    <row r="372" ht="15" customHeight="1">
      <c r="A372" t="inlineStr">
        <is>
          <t>A 47626-2023</t>
        </is>
      </c>
      <c r="B372" s="1" t="n">
        <v>45203</v>
      </c>
      <c r="C372" s="1" t="n">
        <v>45995</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29424-2024</t>
        </is>
      </c>
      <c r="B373" s="1" t="n">
        <v>45483.71451388889</v>
      </c>
      <c r="C373" s="1" t="n">
        <v>45995</v>
      </c>
      <c r="D373" t="inlineStr">
        <is>
          <t>JÄMTLANDS LÄN</t>
        </is>
      </c>
      <c r="E373" t="inlineStr">
        <is>
          <t>BERG</t>
        </is>
      </c>
      <c r="G373" t="n">
        <v>4</v>
      </c>
      <c r="H373" t="n">
        <v>0</v>
      </c>
      <c r="I373" t="n">
        <v>0</v>
      </c>
      <c r="J373" t="n">
        <v>0</v>
      </c>
      <c r="K373" t="n">
        <v>0</v>
      </c>
      <c r="L373" t="n">
        <v>0</v>
      </c>
      <c r="M373" t="n">
        <v>0</v>
      </c>
      <c r="N373" t="n">
        <v>0</v>
      </c>
      <c r="O373" t="n">
        <v>0</v>
      </c>
      <c r="P373" t="n">
        <v>0</v>
      </c>
      <c r="Q373" t="n">
        <v>0</v>
      </c>
      <c r="R373" s="2" t="inlineStr"/>
    </row>
    <row r="374" ht="15" customHeight="1">
      <c r="A374" t="inlineStr">
        <is>
          <t>A 30917-2024</t>
        </is>
      </c>
      <c r="B374" s="1" t="n">
        <v>45498.66611111111</v>
      </c>
      <c r="C374" s="1" t="n">
        <v>45995</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30992-2024</t>
        </is>
      </c>
      <c r="B375" s="1" t="n">
        <v>45499</v>
      </c>
      <c r="C375" s="1" t="n">
        <v>45995</v>
      </c>
      <c r="D375" t="inlineStr">
        <is>
          <t>JÄMTLANDS LÄN</t>
        </is>
      </c>
      <c r="E375" t="inlineStr">
        <is>
          <t>BERG</t>
        </is>
      </c>
      <c r="F375" t="inlineStr">
        <is>
          <t>Sveaskog</t>
        </is>
      </c>
      <c r="G375" t="n">
        <v>5.1</v>
      </c>
      <c r="H375" t="n">
        <v>0</v>
      </c>
      <c r="I375" t="n">
        <v>0</v>
      </c>
      <c r="J375" t="n">
        <v>0</v>
      </c>
      <c r="K375" t="n">
        <v>0</v>
      </c>
      <c r="L375" t="n">
        <v>0</v>
      </c>
      <c r="M375" t="n">
        <v>0</v>
      </c>
      <c r="N375" t="n">
        <v>0</v>
      </c>
      <c r="O375" t="n">
        <v>0</v>
      </c>
      <c r="P375" t="n">
        <v>0</v>
      </c>
      <c r="Q375" t="n">
        <v>0</v>
      </c>
      <c r="R375" s="2" t="inlineStr"/>
    </row>
    <row r="376" ht="15" customHeight="1">
      <c r="A376" t="inlineStr">
        <is>
          <t>A 45081-2022</t>
        </is>
      </c>
      <c r="B376" s="1" t="n">
        <v>44841</v>
      </c>
      <c r="C376" s="1" t="n">
        <v>45995</v>
      </c>
      <c r="D376" t="inlineStr">
        <is>
          <t>JÄMTLANDS LÄN</t>
        </is>
      </c>
      <c r="E376" t="inlineStr">
        <is>
          <t>BERG</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19258-2025</t>
        </is>
      </c>
      <c r="B377" s="1" t="n">
        <v>45769.49987268518</v>
      </c>
      <c r="C377" s="1" t="n">
        <v>45995</v>
      </c>
      <c r="D377" t="inlineStr">
        <is>
          <t>JÄMTLANDS LÄN</t>
        </is>
      </c>
      <c r="E377" t="inlineStr">
        <is>
          <t>BERG</t>
        </is>
      </c>
      <c r="G377" t="n">
        <v>10.9</v>
      </c>
      <c r="H377" t="n">
        <v>0</v>
      </c>
      <c r="I377" t="n">
        <v>0</v>
      </c>
      <c r="J377" t="n">
        <v>0</v>
      </c>
      <c r="K377" t="n">
        <v>0</v>
      </c>
      <c r="L377" t="n">
        <v>0</v>
      </c>
      <c r="M377" t="n">
        <v>0</v>
      </c>
      <c r="N377" t="n">
        <v>0</v>
      </c>
      <c r="O377" t="n">
        <v>0</v>
      </c>
      <c r="P377" t="n">
        <v>0</v>
      </c>
      <c r="Q377" t="n">
        <v>0</v>
      </c>
      <c r="R377" s="2" t="inlineStr"/>
    </row>
    <row r="378" ht="15" customHeight="1">
      <c r="A378" t="inlineStr">
        <is>
          <t>A 5911-2024</t>
        </is>
      </c>
      <c r="B378" s="1" t="n">
        <v>45335</v>
      </c>
      <c r="C378" s="1" t="n">
        <v>45995</v>
      </c>
      <c r="D378" t="inlineStr">
        <is>
          <t>JÄMTLANDS LÄN</t>
        </is>
      </c>
      <c r="E378" t="inlineStr">
        <is>
          <t>BERG</t>
        </is>
      </c>
      <c r="F378" t="inlineStr">
        <is>
          <t>SCA</t>
        </is>
      </c>
      <c r="G378" t="n">
        <v>28.6</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45995</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45995</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39186-2024</t>
        </is>
      </c>
      <c r="B381" s="1" t="n">
        <v>45548.66489583333</v>
      </c>
      <c r="C381" s="1" t="n">
        <v>45995</v>
      </c>
      <c r="D381" t="inlineStr">
        <is>
          <t>JÄMTLANDS LÄN</t>
        </is>
      </c>
      <c r="E381" t="inlineStr">
        <is>
          <t>BERG</t>
        </is>
      </c>
      <c r="G381" t="n">
        <v>38.4</v>
      </c>
      <c r="H381" t="n">
        <v>0</v>
      </c>
      <c r="I381" t="n">
        <v>0</v>
      </c>
      <c r="J381" t="n">
        <v>0</v>
      </c>
      <c r="K381" t="n">
        <v>0</v>
      </c>
      <c r="L381" t="n">
        <v>0</v>
      </c>
      <c r="M381" t="n">
        <v>0</v>
      </c>
      <c r="N381" t="n">
        <v>0</v>
      </c>
      <c r="O381" t="n">
        <v>0</v>
      </c>
      <c r="P381" t="n">
        <v>0</v>
      </c>
      <c r="Q381" t="n">
        <v>0</v>
      </c>
      <c r="R381" s="2" t="inlineStr"/>
    </row>
    <row r="382" ht="15" customHeight="1">
      <c r="A382" t="inlineStr">
        <is>
          <t>A 9252-2025</t>
        </is>
      </c>
      <c r="B382" s="1" t="n">
        <v>45714.59415509259</v>
      </c>
      <c r="C382" s="1" t="n">
        <v>45995</v>
      </c>
      <c r="D382" t="inlineStr">
        <is>
          <t>JÄMTLANDS LÄN</t>
        </is>
      </c>
      <c r="E382" t="inlineStr">
        <is>
          <t>BERG</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41930-2025</t>
        </is>
      </c>
      <c r="B383" s="1" t="n">
        <v>45903.43454861111</v>
      </c>
      <c r="C383" s="1" t="n">
        <v>45995</v>
      </c>
      <c r="D383" t="inlineStr">
        <is>
          <t>JÄMTLANDS LÄN</t>
        </is>
      </c>
      <c r="E383" t="inlineStr">
        <is>
          <t>BERG</t>
        </is>
      </c>
      <c r="F383" t="inlineStr">
        <is>
          <t>Övriga statliga verk och myndigheter</t>
        </is>
      </c>
      <c r="G383" t="n">
        <v>2.4</v>
      </c>
      <c r="H383" t="n">
        <v>0</v>
      </c>
      <c r="I383" t="n">
        <v>0</v>
      </c>
      <c r="J383" t="n">
        <v>0</v>
      </c>
      <c r="K383" t="n">
        <v>0</v>
      </c>
      <c r="L383" t="n">
        <v>0</v>
      </c>
      <c r="M383" t="n">
        <v>0</v>
      </c>
      <c r="N383" t="n">
        <v>0</v>
      </c>
      <c r="O383" t="n">
        <v>0</v>
      </c>
      <c r="P383" t="n">
        <v>0</v>
      </c>
      <c r="Q383" t="n">
        <v>0</v>
      </c>
      <c r="R383" s="2" t="inlineStr"/>
    </row>
    <row r="384" ht="15" customHeight="1">
      <c r="A384" t="inlineStr">
        <is>
          <t>A 10974-2025</t>
        </is>
      </c>
      <c r="B384" s="1" t="n">
        <v>45723.38790509259</v>
      </c>
      <c r="C384" s="1" t="n">
        <v>45995</v>
      </c>
      <c r="D384" t="inlineStr">
        <is>
          <t>JÄMTLANDS LÄN</t>
        </is>
      </c>
      <c r="E384" t="inlineStr">
        <is>
          <t>BERG</t>
        </is>
      </c>
      <c r="G384" t="n">
        <v>6.9</v>
      </c>
      <c r="H384" t="n">
        <v>0</v>
      </c>
      <c r="I384" t="n">
        <v>0</v>
      </c>
      <c r="J384" t="n">
        <v>0</v>
      </c>
      <c r="K384" t="n">
        <v>0</v>
      </c>
      <c r="L384" t="n">
        <v>0</v>
      </c>
      <c r="M384" t="n">
        <v>0</v>
      </c>
      <c r="N384" t="n">
        <v>0</v>
      </c>
      <c r="O384" t="n">
        <v>0</v>
      </c>
      <c r="P384" t="n">
        <v>0</v>
      </c>
      <c r="Q384" t="n">
        <v>0</v>
      </c>
      <c r="R384" s="2" t="inlineStr"/>
    </row>
    <row r="385" ht="15" customHeight="1">
      <c r="A385" t="inlineStr">
        <is>
          <t>A 40990-2022</t>
        </is>
      </c>
      <c r="B385" s="1" t="n">
        <v>44823</v>
      </c>
      <c r="C385" s="1" t="n">
        <v>45995</v>
      </c>
      <c r="D385" t="inlineStr">
        <is>
          <t>JÄMTLANDS LÄN</t>
        </is>
      </c>
      <c r="E385" t="inlineStr">
        <is>
          <t>BERG</t>
        </is>
      </c>
      <c r="G385" t="n">
        <v>11.7</v>
      </c>
      <c r="H385" t="n">
        <v>0</v>
      </c>
      <c r="I385" t="n">
        <v>0</v>
      </c>
      <c r="J385" t="n">
        <v>0</v>
      </c>
      <c r="K385" t="n">
        <v>0</v>
      </c>
      <c r="L385" t="n">
        <v>0</v>
      </c>
      <c r="M385" t="n">
        <v>0</v>
      </c>
      <c r="N385" t="n">
        <v>0</v>
      </c>
      <c r="O385" t="n">
        <v>0</v>
      </c>
      <c r="P385" t="n">
        <v>0</v>
      </c>
      <c r="Q385" t="n">
        <v>0</v>
      </c>
      <c r="R385" s="2" t="inlineStr"/>
    </row>
    <row r="386" ht="15" customHeight="1">
      <c r="A386" t="inlineStr">
        <is>
          <t>A 42003-2025</t>
        </is>
      </c>
      <c r="B386" s="1" t="n">
        <v>45903.55403935185</v>
      </c>
      <c r="C386" s="1" t="n">
        <v>45995</v>
      </c>
      <c r="D386" t="inlineStr">
        <is>
          <t>JÄMTLANDS LÄN</t>
        </is>
      </c>
      <c r="E386" t="inlineStr">
        <is>
          <t>BERG</t>
        </is>
      </c>
      <c r="F386" t="inlineStr">
        <is>
          <t>Övriga statliga verk och myndigheter</t>
        </is>
      </c>
      <c r="G386" t="n">
        <v>10.5</v>
      </c>
      <c r="H386" t="n">
        <v>0</v>
      </c>
      <c r="I386" t="n">
        <v>0</v>
      </c>
      <c r="J386" t="n">
        <v>0</v>
      </c>
      <c r="K386" t="n">
        <v>0</v>
      </c>
      <c r="L386" t="n">
        <v>0</v>
      </c>
      <c r="M386" t="n">
        <v>0</v>
      </c>
      <c r="N386" t="n">
        <v>0</v>
      </c>
      <c r="O386" t="n">
        <v>0</v>
      </c>
      <c r="P386" t="n">
        <v>0</v>
      </c>
      <c r="Q386" t="n">
        <v>0</v>
      </c>
      <c r="R386" s="2" t="inlineStr"/>
    </row>
    <row r="387" ht="15" customHeight="1">
      <c r="A387" t="inlineStr">
        <is>
          <t>A 32879-2024</t>
        </is>
      </c>
      <c r="B387" s="1" t="n">
        <v>45516.68450231481</v>
      </c>
      <c r="C387" s="1" t="n">
        <v>45995</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19345-2024</t>
        </is>
      </c>
      <c r="B388" s="1" t="n">
        <v>45428.97185185185</v>
      </c>
      <c r="C388" s="1" t="n">
        <v>45995</v>
      </c>
      <c r="D388" t="inlineStr">
        <is>
          <t>JÄMTLANDS LÄN</t>
        </is>
      </c>
      <c r="E388" t="inlineStr">
        <is>
          <t>BERG</t>
        </is>
      </c>
      <c r="F388" t="inlineStr">
        <is>
          <t>SCA</t>
        </is>
      </c>
      <c r="G388" t="n">
        <v>14.7</v>
      </c>
      <c r="H388" t="n">
        <v>0</v>
      </c>
      <c r="I388" t="n">
        <v>0</v>
      </c>
      <c r="J388" t="n">
        <v>0</v>
      </c>
      <c r="K388" t="n">
        <v>0</v>
      </c>
      <c r="L388" t="n">
        <v>0</v>
      </c>
      <c r="M388" t="n">
        <v>0</v>
      </c>
      <c r="N388" t="n">
        <v>0</v>
      </c>
      <c r="O388" t="n">
        <v>0</v>
      </c>
      <c r="P388" t="n">
        <v>0</v>
      </c>
      <c r="Q388" t="n">
        <v>0</v>
      </c>
      <c r="R388" s="2" t="inlineStr"/>
    </row>
    <row r="389" ht="15" customHeight="1">
      <c r="A389" t="inlineStr">
        <is>
          <t>A 53456-2022</t>
        </is>
      </c>
      <c r="B389" s="1" t="n">
        <v>44874</v>
      </c>
      <c r="C389" s="1" t="n">
        <v>45995</v>
      </c>
      <c r="D389" t="inlineStr">
        <is>
          <t>JÄMTLANDS LÄN</t>
        </is>
      </c>
      <c r="E389" t="inlineStr">
        <is>
          <t>BERG</t>
        </is>
      </c>
      <c r="G389" t="n">
        <v>13.3</v>
      </c>
      <c r="H389" t="n">
        <v>0</v>
      </c>
      <c r="I389" t="n">
        <v>0</v>
      </c>
      <c r="J389" t="n">
        <v>0</v>
      </c>
      <c r="K389" t="n">
        <v>0</v>
      </c>
      <c r="L389" t="n">
        <v>0</v>
      </c>
      <c r="M389" t="n">
        <v>0</v>
      </c>
      <c r="N389" t="n">
        <v>0</v>
      </c>
      <c r="O389" t="n">
        <v>0</v>
      </c>
      <c r="P389" t="n">
        <v>0</v>
      </c>
      <c r="Q389" t="n">
        <v>0</v>
      </c>
      <c r="R389" s="2" t="inlineStr"/>
    </row>
    <row r="390" ht="15" customHeight="1">
      <c r="A390" t="inlineStr">
        <is>
          <t>A 41997-2025</t>
        </is>
      </c>
      <c r="B390" s="1" t="n">
        <v>45903.55162037037</v>
      </c>
      <c r="C390" s="1" t="n">
        <v>45995</v>
      </c>
      <c r="D390" t="inlineStr">
        <is>
          <t>JÄMTLANDS LÄN</t>
        </is>
      </c>
      <c r="E390" t="inlineStr">
        <is>
          <t>BERG</t>
        </is>
      </c>
      <c r="F390" t="inlineStr">
        <is>
          <t>Övriga statliga verk och myndigheter</t>
        </is>
      </c>
      <c r="G390" t="n">
        <v>2.2</v>
      </c>
      <c r="H390" t="n">
        <v>0</v>
      </c>
      <c r="I390" t="n">
        <v>0</v>
      </c>
      <c r="J390" t="n">
        <v>0</v>
      </c>
      <c r="K390" t="n">
        <v>0</v>
      </c>
      <c r="L390" t="n">
        <v>0</v>
      </c>
      <c r="M390" t="n">
        <v>0</v>
      </c>
      <c r="N390" t="n">
        <v>0</v>
      </c>
      <c r="O390" t="n">
        <v>0</v>
      </c>
      <c r="P390" t="n">
        <v>0</v>
      </c>
      <c r="Q390" t="n">
        <v>0</v>
      </c>
      <c r="R390" s="2" t="inlineStr"/>
    </row>
    <row r="391" ht="15" customHeight="1">
      <c r="A391" t="inlineStr">
        <is>
          <t>A 8733-2024</t>
        </is>
      </c>
      <c r="B391" s="1" t="n">
        <v>45355</v>
      </c>
      <c r="C391" s="1" t="n">
        <v>45995</v>
      </c>
      <c r="D391" t="inlineStr">
        <is>
          <t>JÄMTLANDS LÄN</t>
        </is>
      </c>
      <c r="E391" t="inlineStr">
        <is>
          <t>BERG</t>
        </is>
      </c>
      <c r="G391" t="n">
        <v>1.9</v>
      </c>
      <c r="H391" t="n">
        <v>0</v>
      </c>
      <c r="I391" t="n">
        <v>0</v>
      </c>
      <c r="J391" t="n">
        <v>0</v>
      </c>
      <c r="K391" t="n">
        <v>0</v>
      </c>
      <c r="L391" t="n">
        <v>0</v>
      </c>
      <c r="M391" t="n">
        <v>0</v>
      </c>
      <c r="N391" t="n">
        <v>0</v>
      </c>
      <c r="O391" t="n">
        <v>0</v>
      </c>
      <c r="P391" t="n">
        <v>0</v>
      </c>
      <c r="Q391" t="n">
        <v>0</v>
      </c>
      <c r="R391" s="2" t="inlineStr"/>
    </row>
    <row r="392" ht="15" customHeight="1">
      <c r="A392" t="inlineStr">
        <is>
          <t>A 171-2022</t>
        </is>
      </c>
      <c r="B392" s="1" t="n">
        <v>44564</v>
      </c>
      <c r="C392" s="1" t="n">
        <v>45995</v>
      </c>
      <c r="D392" t="inlineStr">
        <is>
          <t>JÄMTLANDS LÄN</t>
        </is>
      </c>
      <c r="E392" t="inlineStr">
        <is>
          <t>BERG</t>
        </is>
      </c>
      <c r="G392" t="n">
        <v>2.3</v>
      </c>
      <c r="H392" t="n">
        <v>0</v>
      </c>
      <c r="I392" t="n">
        <v>0</v>
      </c>
      <c r="J392" t="n">
        <v>0</v>
      </c>
      <c r="K392" t="n">
        <v>0</v>
      </c>
      <c r="L392" t="n">
        <v>0</v>
      </c>
      <c r="M392" t="n">
        <v>0</v>
      </c>
      <c r="N392" t="n">
        <v>0</v>
      </c>
      <c r="O392" t="n">
        <v>0</v>
      </c>
      <c r="P392" t="n">
        <v>0</v>
      </c>
      <c r="Q392" t="n">
        <v>0</v>
      </c>
      <c r="R392" s="2" t="inlineStr"/>
    </row>
    <row r="393" ht="15" customHeight="1">
      <c r="A393" t="inlineStr">
        <is>
          <t>A 38962-2024</t>
        </is>
      </c>
      <c r="B393" s="1" t="n">
        <v>45548.36175925926</v>
      </c>
      <c r="C393" s="1" t="n">
        <v>45995</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41069-2022</t>
        </is>
      </c>
      <c r="B394" s="1" t="n">
        <v>44825.60015046296</v>
      </c>
      <c r="C394" s="1" t="n">
        <v>45995</v>
      </c>
      <c r="D394" t="inlineStr">
        <is>
          <t>JÄMTLANDS LÄN</t>
        </is>
      </c>
      <c r="E394" t="inlineStr">
        <is>
          <t>BERG</t>
        </is>
      </c>
      <c r="G394" t="n">
        <v>1.5</v>
      </c>
      <c r="H394" t="n">
        <v>0</v>
      </c>
      <c r="I394" t="n">
        <v>0</v>
      </c>
      <c r="J394" t="n">
        <v>0</v>
      </c>
      <c r="K394" t="n">
        <v>0</v>
      </c>
      <c r="L394" t="n">
        <v>0</v>
      </c>
      <c r="M394" t="n">
        <v>0</v>
      </c>
      <c r="N394" t="n">
        <v>0</v>
      </c>
      <c r="O394" t="n">
        <v>0</v>
      </c>
      <c r="P394" t="n">
        <v>0</v>
      </c>
      <c r="Q394" t="n">
        <v>0</v>
      </c>
      <c r="R394" s="2" t="inlineStr"/>
    </row>
    <row r="395" ht="15" customHeight="1">
      <c r="A395" t="inlineStr">
        <is>
          <t>A 42415-2025</t>
        </is>
      </c>
      <c r="B395" s="1" t="n">
        <v>45905.39195601852</v>
      </c>
      <c r="C395" s="1" t="n">
        <v>45995</v>
      </c>
      <c r="D395" t="inlineStr">
        <is>
          <t>JÄMTLANDS LÄN</t>
        </is>
      </c>
      <c r="E395" t="inlineStr">
        <is>
          <t>BERG</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59968-2024</t>
        </is>
      </c>
      <c r="B396" s="1" t="n">
        <v>45642</v>
      </c>
      <c r="C396" s="1" t="n">
        <v>45995</v>
      </c>
      <c r="D396" t="inlineStr">
        <is>
          <t>JÄMTLANDS LÄN</t>
        </is>
      </c>
      <c r="E396" t="inlineStr">
        <is>
          <t>BERG</t>
        </is>
      </c>
      <c r="G396" t="n">
        <v>4.7</v>
      </c>
      <c r="H396" t="n">
        <v>0</v>
      </c>
      <c r="I396" t="n">
        <v>0</v>
      </c>
      <c r="J396" t="n">
        <v>0</v>
      </c>
      <c r="K396" t="n">
        <v>0</v>
      </c>
      <c r="L396" t="n">
        <v>0</v>
      </c>
      <c r="M396" t="n">
        <v>0</v>
      </c>
      <c r="N396" t="n">
        <v>0</v>
      </c>
      <c r="O396" t="n">
        <v>0</v>
      </c>
      <c r="P396" t="n">
        <v>0</v>
      </c>
      <c r="Q396" t="n">
        <v>0</v>
      </c>
      <c r="R396" s="2" t="inlineStr"/>
    </row>
    <row r="397" ht="15" customHeight="1">
      <c r="A397" t="inlineStr">
        <is>
          <t>A 162-2024</t>
        </is>
      </c>
      <c r="B397" s="1" t="n">
        <v>45294</v>
      </c>
      <c r="C397" s="1" t="n">
        <v>45995</v>
      </c>
      <c r="D397" t="inlineStr">
        <is>
          <t>JÄMTLANDS LÄN</t>
        </is>
      </c>
      <c r="E397" t="inlineStr">
        <is>
          <t>BERG</t>
        </is>
      </c>
      <c r="F397" t="inlineStr">
        <is>
          <t>Kyrkan</t>
        </is>
      </c>
      <c r="G397" t="n">
        <v>2.2</v>
      </c>
      <c r="H397" t="n">
        <v>0</v>
      </c>
      <c r="I397" t="n">
        <v>0</v>
      </c>
      <c r="J397" t="n">
        <v>0</v>
      </c>
      <c r="K397" t="n">
        <v>0</v>
      </c>
      <c r="L397" t="n">
        <v>0</v>
      </c>
      <c r="M397" t="n">
        <v>0</v>
      </c>
      <c r="N397" t="n">
        <v>0</v>
      </c>
      <c r="O397" t="n">
        <v>0</v>
      </c>
      <c r="P397" t="n">
        <v>0</v>
      </c>
      <c r="Q397" t="n">
        <v>0</v>
      </c>
      <c r="R397" s="2" t="inlineStr"/>
    </row>
    <row r="398" ht="15" customHeight="1">
      <c r="A398" t="inlineStr">
        <is>
          <t>A 525-2023</t>
        </is>
      </c>
      <c r="B398" s="1" t="n">
        <v>44924</v>
      </c>
      <c r="C398" s="1" t="n">
        <v>45995</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61239-2022</t>
        </is>
      </c>
      <c r="B399" s="1" t="n">
        <v>44909</v>
      </c>
      <c r="C399" s="1" t="n">
        <v>45995</v>
      </c>
      <c r="D399" t="inlineStr">
        <is>
          <t>JÄMTLANDS LÄN</t>
        </is>
      </c>
      <c r="E399" t="inlineStr">
        <is>
          <t>BERG</t>
        </is>
      </c>
      <c r="G399" t="n">
        <v>13.5</v>
      </c>
      <c r="H399" t="n">
        <v>0</v>
      </c>
      <c r="I399" t="n">
        <v>0</v>
      </c>
      <c r="J399" t="n">
        <v>0</v>
      </c>
      <c r="K399" t="n">
        <v>0</v>
      </c>
      <c r="L399" t="n">
        <v>0</v>
      </c>
      <c r="M399" t="n">
        <v>0</v>
      </c>
      <c r="N399" t="n">
        <v>0</v>
      </c>
      <c r="O399" t="n">
        <v>0</v>
      </c>
      <c r="P399" t="n">
        <v>0</v>
      </c>
      <c r="Q399" t="n">
        <v>0</v>
      </c>
      <c r="R399" s="2" t="inlineStr"/>
    </row>
    <row r="400" ht="15" customHeight="1">
      <c r="A400" t="inlineStr">
        <is>
          <t>A 61251-2022</t>
        </is>
      </c>
      <c r="B400" s="1" t="n">
        <v>44909</v>
      </c>
      <c r="C400" s="1" t="n">
        <v>45995</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61255-2022</t>
        </is>
      </c>
      <c r="B401" s="1" t="n">
        <v>44909</v>
      </c>
      <c r="C401" s="1" t="n">
        <v>45995</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45995</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31024-2025</t>
        </is>
      </c>
      <c r="B403" s="1" t="n">
        <v>45832.52571759259</v>
      </c>
      <c r="C403" s="1" t="n">
        <v>45995</v>
      </c>
      <c r="D403" t="inlineStr">
        <is>
          <t>JÄMTLANDS LÄN</t>
        </is>
      </c>
      <c r="E403" t="inlineStr">
        <is>
          <t>BERG</t>
        </is>
      </c>
      <c r="G403" t="n">
        <v>3.6</v>
      </c>
      <c r="H403" t="n">
        <v>0</v>
      </c>
      <c r="I403" t="n">
        <v>0</v>
      </c>
      <c r="J403" t="n">
        <v>0</v>
      </c>
      <c r="K403" t="n">
        <v>0</v>
      </c>
      <c r="L403" t="n">
        <v>0</v>
      </c>
      <c r="M403" t="n">
        <v>0</v>
      </c>
      <c r="N403" t="n">
        <v>0</v>
      </c>
      <c r="O403" t="n">
        <v>0</v>
      </c>
      <c r="P403" t="n">
        <v>0</v>
      </c>
      <c r="Q403" t="n">
        <v>0</v>
      </c>
      <c r="R403" s="2" t="inlineStr"/>
    </row>
    <row r="404" ht="15" customHeight="1">
      <c r="A404" t="inlineStr">
        <is>
          <t>A 39269-2024</t>
        </is>
      </c>
      <c r="B404" s="1" t="n">
        <v>45551.34488425926</v>
      </c>
      <c r="C404" s="1" t="n">
        <v>45995</v>
      </c>
      <c r="D404" t="inlineStr">
        <is>
          <t>JÄMTLANDS LÄN</t>
        </is>
      </c>
      <c r="E404" t="inlineStr">
        <is>
          <t>BERG</t>
        </is>
      </c>
      <c r="G404" t="n">
        <v>3.1</v>
      </c>
      <c r="H404" t="n">
        <v>0</v>
      </c>
      <c r="I404" t="n">
        <v>0</v>
      </c>
      <c r="J404" t="n">
        <v>0</v>
      </c>
      <c r="K404" t="n">
        <v>0</v>
      </c>
      <c r="L404" t="n">
        <v>0</v>
      </c>
      <c r="M404" t="n">
        <v>0</v>
      </c>
      <c r="N404" t="n">
        <v>0</v>
      </c>
      <c r="O404" t="n">
        <v>0</v>
      </c>
      <c r="P404" t="n">
        <v>0</v>
      </c>
      <c r="Q404" t="n">
        <v>0</v>
      </c>
      <c r="R404" s="2" t="inlineStr"/>
    </row>
    <row r="405" ht="15" customHeight="1">
      <c r="A405" t="inlineStr">
        <is>
          <t>A 18752-2024</t>
        </is>
      </c>
      <c r="B405" s="1" t="n">
        <v>45426.54224537037</v>
      </c>
      <c r="C405" s="1" t="n">
        <v>45995</v>
      </c>
      <c r="D405" t="inlineStr">
        <is>
          <t>JÄMTLANDS LÄN</t>
        </is>
      </c>
      <c r="E405" t="inlineStr">
        <is>
          <t>BERG</t>
        </is>
      </c>
      <c r="G405" t="n">
        <v>0.7</v>
      </c>
      <c r="H405" t="n">
        <v>0</v>
      </c>
      <c r="I405" t="n">
        <v>0</v>
      </c>
      <c r="J405" t="n">
        <v>0</v>
      </c>
      <c r="K405" t="n">
        <v>0</v>
      </c>
      <c r="L405" t="n">
        <v>0</v>
      </c>
      <c r="M405" t="n">
        <v>0</v>
      </c>
      <c r="N405" t="n">
        <v>0</v>
      </c>
      <c r="O405" t="n">
        <v>0</v>
      </c>
      <c r="P405" t="n">
        <v>0</v>
      </c>
      <c r="Q405" t="n">
        <v>0</v>
      </c>
      <c r="R405" s="2" t="inlineStr"/>
    </row>
    <row r="406" ht="15" customHeight="1">
      <c r="A406" t="inlineStr">
        <is>
          <t>A 36287-2024</t>
        </is>
      </c>
      <c r="B406" s="1" t="n">
        <v>45534</v>
      </c>
      <c r="C406" s="1" t="n">
        <v>45995</v>
      </c>
      <c r="D406" t="inlineStr">
        <is>
          <t>JÄMTLANDS LÄN</t>
        </is>
      </c>
      <c r="E406" t="inlineStr">
        <is>
          <t>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37098-2024</t>
        </is>
      </c>
      <c r="B407" s="1" t="n">
        <v>45539.50243055556</v>
      </c>
      <c r="C407" s="1" t="n">
        <v>45995</v>
      </c>
      <c r="D407" t="inlineStr">
        <is>
          <t>JÄMTLANDS LÄN</t>
        </is>
      </c>
      <c r="E407" t="inlineStr">
        <is>
          <t>BERG</t>
        </is>
      </c>
      <c r="F407" t="inlineStr">
        <is>
          <t>Övriga Aktiebolag</t>
        </is>
      </c>
      <c r="G407" t="n">
        <v>4.5</v>
      </c>
      <c r="H407" t="n">
        <v>0</v>
      </c>
      <c r="I407" t="n">
        <v>0</v>
      </c>
      <c r="J407" t="n">
        <v>0</v>
      </c>
      <c r="K407" t="n">
        <v>0</v>
      </c>
      <c r="L407" t="n">
        <v>0</v>
      </c>
      <c r="M407" t="n">
        <v>0</v>
      </c>
      <c r="N407" t="n">
        <v>0</v>
      </c>
      <c r="O407" t="n">
        <v>0</v>
      </c>
      <c r="P407" t="n">
        <v>0</v>
      </c>
      <c r="Q407" t="n">
        <v>0</v>
      </c>
      <c r="R407" s="2" t="inlineStr"/>
    </row>
    <row r="408" ht="15" customHeight="1">
      <c r="A408" t="inlineStr">
        <is>
          <t>A 37101-2024</t>
        </is>
      </c>
      <c r="B408" s="1" t="n">
        <v>45539.5029050926</v>
      </c>
      <c r="C408" s="1" t="n">
        <v>45995</v>
      </c>
      <c r="D408" t="inlineStr">
        <is>
          <t>JÄMTLANDS LÄN</t>
        </is>
      </c>
      <c r="E408" t="inlineStr">
        <is>
          <t>BERG</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42378-2025</t>
        </is>
      </c>
      <c r="B409" s="1" t="n">
        <v>45905.34423611111</v>
      </c>
      <c r="C409" s="1" t="n">
        <v>45995</v>
      </c>
      <c r="D409" t="inlineStr">
        <is>
          <t>JÄMTLANDS LÄN</t>
        </is>
      </c>
      <c r="E409" t="inlineStr">
        <is>
          <t>BERG</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4561-2024</t>
        </is>
      </c>
      <c r="B410" s="1" t="n">
        <v>45327</v>
      </c>
      <c r="C410" s="1" t="n">
        <v>45995</v>
      </c>
      <c r="D410" t="inlineStr">
        <is>
          <t>JÄMTLANDS LÄN</t>
        </is>
      </c>
      <c r="E410" t="inlineStr">
        <is>
          <t>BERG</t>
        </is>
      </c>
      <c r="G410" t="n">
        <v>7.4</v>
      </c>
      <c r="H410" t="n">
        <v>0</v>
      </c>
      <c r="I410" t="n">
        <v>0</v>
      </c>
      <c r="J410" t="n">
        <v>0</v>
      </c>
      <c r="K410" t="n">
        <v>0</v>
      </c>
      <c r="L410" t="n">
        <v>0</v>
      </c>
      <c r="M410" t="n">
        <v>0</v>
      </c>
      <c r="N410" t="n">
        <v>0</v>
      </c>
      <c r="O410" t="n">
        <v>0</v>
      </c>
      <c r="P410" t="n">
        <v>0</v>
      </c>
      <c r="Q410" t="n">
        <v>0</v>
      </c>
      <c r="R410" s="2" t="inlineStr"/>
    </row>
    <row r="411" ht="15" customHeight="1">
      <c r="A411" t="inlineStr">
        <is>
          <t>A 42439-2025</t>
        </is>
      </c>
      <c r="B411" s="1" t="n">
        <v>45905.42969907408</v>
      </c>
      <c r="C411" s="1" t="n">
        <v>45995</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42862-2025</t>
        </is>
      </c>
      <c r="B412" s="1" t="n">
        <v>45908.61515046296</v>
      </c>
      <c r="C412" s="1" t="n">
        <v>45995</v>
      </c>
      <c r="D412" t="inlineStr">
        <is>
          <t>JÄMTLANDS LÄN</t>
        </is>
      </c>
      <c r="E412" t="inlineStr">
        <is>
          <t>BERG</t>
        </is>
      </c>
      <c r="G412" t="n">
        <v>1.8</v>
      </c>
      <c r="H412" t="n">
        <v>0</v>
      </c>
      <c r="I412" t="n">
        <v>0</v>
      </c>
      <c r="J412" t="n">
        <v>0</v>
      </c>
      <c r="K412" t="n">
        <v>0</v>
      </c>
      <c r="L412" t="n">
        <v>0</v>
      </c>
      <c r="M412" t="n">
        <v>0</v>
      </c>
      <c r="N412" t="n">
        <v>0</v>
      </c>
      <c r="O412" t="n">
        <v>0</v>
      </c>
      <c r="P412" t="n">
        <v>0</v>
      </c>
      <c r="Q412" t="n">
        <v>0</v>
      </c>
      <c r="R412" s="2" t="inlineStr"/>
    </row>
    <row r="413" ht="15" customHeight="1">
      <c r="A413" t="inlineStr">
        <is>
          <t>A 511-2025</t>
        </is>
      </c>
      <c r="B413" s="1" t="n">
        <v>45664.47284722222</v>
      </c>
      <c r="C413" s="1" t="n">
        <v>45995</v>
      </c>
      <c r="D413" t="inlineStr">
        <is>
          <t>JÄMTLANDS LÄN</t>
        </is>
      </c>
      <c r="E413" t="inlineStr">
        <is>
          <t>BERG</t>
        </is>
      </c>
      <c r="G413" t="n">
        <v>4.5</v>
      </c>
      <c r="H413" t="n">
        <v>0</v>
      </c>
      <c r="I413" t="n">
        <v>0</v>
      </c>
      <c r="J413" t="n">
        <v>0</v>
      </c>
      <c r="K413" t="n">
        <v>0</v>
      </c>
      <c r="L413" t="n">
        <v>0</v>
      </c>
      <c r="M413" t="n">
        <v>0</v>
      </c>
      <c r="N413" t="n">
        <v>0</v>
      </c>
      <c r="O413" t="n">
        <v>0</v>
      </c>
      <c r="P413" t="n">
        <v>0</v>
      </c>
      <c r="Q413" t="n">
        <v>0</v>
      </c>
      <c r="R413" s="2" t="inlineStr"/>
    </row>
    <row r="414" ht="15" customHeight="1">
      <c r="A414" t="inlineStr">
        <is>
          <t>A 51951-2021</t>
        </is>
      </c>
      <c r="B414" s="1" t="n">
        <v>44462</v>
      </c>
      <c r="C414" s="1" t="n">
        <v>45995</v>
      </c>
      <c r="D414" t="inlineStr">
        <is>
          <t>JÄMTLANDS LÄN</t>
        </is>
      </c>
      <c r="E414" t="inlineStr">
        <is>
          <t>BERG</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18261-2022</t>
        </is>
      </c>
      <c r="B415" s="1" t="n">
        <v>44685.45633101852</v>
      </c>
      <c r="C415" s="1" t="n">
        <v>45995</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16022-2025</t>
        </is>
      </c>
      <c r="B416" s="1" t="n">
        <v>45749.60973379629</v>
      </c>
      <c r="C416" s="1" t="n">
        <v>45995</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61837-2023</t>
        </is>
      </c>
      <c r="B417" s="1" t="n">
        <v>45264</v>
      </c>
      <c r="C417" s="1" t="n">
        <v>45995</v>
      </c>
      <c r="D417" t="inlineStr">
        <is>
          <t>JÄMTLANDS LÄN</t>
        </is>
      </c>
      <c r="E417" t="inlineStr">
        <is>
          <t>BERG</t>
        </is>
      </c>
      <c r="G417" t="n">
        <v>0.6</v>
      </c>
      <c r="H417" t="n">
        <v>0</v>
      </c>
      <c r="I417" t="n">
        <v>0</v>
      </c>
      <c r="J417" t="n">
        <v>0</v>
      </c>
      <c r="K417" t="n">
        <v>0</v>
      </c>
      <c r="L417" t="n">
        <v>0</v>
      </c>
      <c r="M417" t="n">
        <v>0</v>
      </c>
      <c r="N417" t="n">
        <v>0</v>
      </c>
      <c r="O417" t="n">
        <v>0</v>
      </c>
      <c r="P417" t="n">
        <v>0</v>
      </c>
      <c r="Q417" t="n">
        <v>0</v>
      </c>
      <c r="R417" s="2" t="inlineStr"/>
    </row>
    <row r="418" ht="15" customHeight="1">
      <c r="A418" t="inlineStr">
        <is>
          <t>A 43015-2025</t>
        </is>
      </c>
      <c r="B418" s="1" t="n">
        <v>45909.49278935185</v>
      </c>
      <c r="C418" s="1" t="n">
        <v>45995</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52341-2025</t>
        </is>
      </c>
      <c r="B419" s="1" t="n">
        <v>45953.71564814815</v>
      </c>
      <c r="C419" s="1" t="n">
        <v>45995</v>
      </c>
      <c r="D419" t="inlineStr">
        <is>
          <t>JÄMTLANDS LÄN</t>
        </is>
      </c>
      <c r="E419" t="inlineStr">
        <is>
          <t>BERG</t>
        </is>
      </c>
      <c r="G419" t="n">
        <v>12.2</v>
      </c>
      <c r="H419" t="n">
        <v>0</v>
      </c>
      <c r="I419" t="n">
        <v>0</v>
      </c>
      <c r="J419" t="n">
        <v>0</v>
      </c>
      <c r="K419" t="n">
        <v>0</v>
      </c>
      <c r="L419" t="n">
        <v>0</v>
      </c>
      <c r="M419" t="n">
        <v>0</v>
      </c>
      <c r="N419" t="n">
        <v>0</v>
      </c>
      <c r="O419" t="n">
        <v>0</v>
      </c>
      <c r="P419" t="n">
        <v>0</v>
      </c>
      <c r="Q419" t="n">
        <v>0</v>
      </c>
      <c r="R419" s="2" t="inlineStr"/>
    </row>
    <row r="420" ht="15" customHeight="1">
      <c r="A420" t="inlineStr">
        <is>
          <t>A 52348-2025</t>
        </is>
      </c>
      <c r="B420" s="1" t="n">
        <v>45953.72064814815</v>
      </c>
      <c r="C420" s="1" t="n">
        <v>45995</v>
      </c>
      <c r="D420" t="inlineStr">
        <is>
          <t>JÄMTLANDS LÄN</t>
        </is>
      </c>
      <c r="E420" t="inlineStr">
        <is>
          <t>BERG</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14697-2025</t>
        </is>
      </c>
      <c r="B421" s="1" t="n">
        <v>45742.59415509259</v>
      </c>
      <c r="C421" s="1" t="n">
        <v>45995</v>
      </c>
      <c r="D421" t="inlineStr">
        <is>
          <t>JÄMTLANDS LÄN</t>
        </is>
      </c>
      <c r="E421" t="inlineStr">
        <is>
          <t>BERG</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43442-2025</t>
        </is>
      </c>
      <c r="B422" s="1" t="n">
        <v>45911.44244212963</v>
      </c>
      <c r="C422" s="1" t="n">
        <v>45995</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41264-2025</t>
        </is>
      </c>
      <c r="B423" s="1" t="n">
        <v>45898</v>
      </c>
      <c r="C423" s="1" t="n">
        <v>45995</v>
      </c>
      <c r="D423" t="inlineStr">
        <is>
          <t>JÄMTLANDS LÄN</t>
        </is>
      </c>
      <c r="E423" t="inlineStr">
        <is>
          <t>BERG</t>
        </is>
      </c>
      <c r="G423" t="n">
        <v>17.4</v>
      </c>
      <c r="H423" t="n">
        <v>0</v>
      </c>
      <c r="I423" t="n">
        <v>0</v>
      </c>
      <c r="J423" t="n">
        <v>0</v>
      </c>
      <c r="K423" t="n">
        <v>0</v>
      </c>
      <c r="L423" t="n">
        <v>0</v>
      </c>
      <c r="M423" t="n">
        <v>0</v>
      </c>
      <c r="N423" t="n">
        <v>0</v>
      </c>
      <c r="O423" t="n">
        <v>0</v>
      </c>
      <c r="P423" t="n">
        <v>0</v>
      </c>
      <c r="Q423" t="n">
        <v>0</v>
      </c>
      <c r="R423" s="2" t="inlineStr"/>
    </row>
    <row r="424" ht="15" customHeight="1">
      <c r="A424" t="inlineStr">
        <is>
          <t>A 20899-2023</t>
        </is>
      </c>
      <c r="B424" s="1" t="n">
        <v>45060</v>
      </c>
      <c r="C424" s="1" t="n">
        <v>45995</v>
      </c>
      <c r="D424" t="inlineStr">
        <is>
          <t>JÄMTLANDS LÄN</t>
        </is>
      </c>
      <c r="E424" t="inlineStr">
        <is>
          <t>BERG</t>
        </is>
      </c>
      <c r="G424" t="n">
        <v>1.9</v>
      </c>
      <c r="H424" t="n">
        <v>0</v>
      </c>
      <c r="I424" t="n">
        <v>0</v>
      </c>
      <c r="J424" t="n">
        <v>0</v>
      </c>
      <c r="K424" t="n">
        <v>0</v>
      </c>
      <c r="L424" t="n">
        <v>0</v>
      </c>
      <c r="M424" t="n">
        <v>0</v>
      </c>
      <c r="N424" t="n">
        <v>0</v>
      </c>
      <c r="O424" t="n">
        <v>0</v>
      </c>
      <c r="P424" t="n">
        <v>0</v>
      </c>
      <c r="Q424" t="n">
        <v>0</v>
      </c>
      <c r="R424" s="2" t="inlineStr"/>
    </row>
    <row r="425" ht="15" customHeight="1">
      <c r="A425" t="inlineStr">
        <is>
          <t>A 32064-2023</t>
        </is>
      </c>
      <c r="B425" s="1" t="n">
        <v>45119.57108796296</v>
      </c>
      <c r="C425" s="1" t="n">
        <v>45995</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41886-2024</t>
        </is>
      </c>
      <c r="B426" s="1" t="n">
        <v>45561.48825231481</v>
      </c>
      <c r="C426" s="1" t="n">
        <v>45995</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13672-2024</t>
        </is>
      </c>
      <c r="B427" s="1" t="n">
        <v>45390</v>
      </c>
      <c r="C427" s="1" t="n">
        <v>45995</v>
      </c>
      <c r="D427" t="inlineStr">
        <is>
          <t>JÄMTLANDS LÄN</t>
        </is>
      </c>
      <c r="E427" t="inlineStr">
        <is>
          <t>BERG</t>
        </is>
      </c>
      <c r="G427" t="n">
        <v>0.3</v>
      </c>
      <c r="H427" t="n">
        <v>0</v>
      </c>
      <c r="I427" t="n">
        <v>0</v>
      </c>
      <c r="J427" t="n">
        <v>0</v>
      </c>
      <c r="K427" t="n">
        <v>0</v>
      </c>
      <c r="L427" t="n">
        <v>0</v>
      </c>
      <c r="M427" t="n">
        <v>0</v>
      </c>
      <c r="N427" t="n">
        <v>0</v>
      </c>
      <c r="O427" t="n">
        <v>0</v>
      </c>
      <c r="P427" t="n">
        <v>0</v>
      </c>
      <c r="Q427" t="n">
        <v>0</v>
      </c>
      <c r="R427" s="2" t="inlineStr"/>
    </row>
    <row r="428" ht="15" customHeight="1">
      <c r="A428" t="inlineStr">
        <is>
          <t>A 52562-2025</t>
        </is>
      </c>
      <c r="B428" s="1" t="n">
        <v>45954.57357638889</v>
      </c>
      <c r="C428" s="1" t="n">
        <v>45995</v>
      </c>
      <c r="D428" t="inlineStr">
        <is>
          <t>JÄMTLANDS LÄN</t>
        </is>
      </c>
      <c r="E428" t="inlineStr">
        <is>
          <t>BERG</t>
        </is>
      </c>
      <c r="F428" t="inlineStr">
        <is>
          <t>SCA</t>
        </is>
      </c>
      <c r="G428" t="n">
        <v>5.4</v>
      </c>
      <c r="H428" t="n">
        <v>0</v>
      </c>
      <c r="I428" t="n">
        <v>0</v>
      </c>
      <c r="J428" t="n">
        <v>0</v>
      </c>
      <c r="K428" t="n">
        <v>0</v>
      </c>
      <c r="L428" t="n">
        <v>0</v>
      </c>
      <c r="M428" t="n">
        <v>0</v>
      </c>
      <c r="N428" t="n">
        <v>0</v>
      </c>
      <c r="O428" t="n">
        <v>0</v>
      </c>
      <c r="P428" t="n">
        <v>0</v>
      </c>
      <c r="Q428" t="n">
        <v>0</v>
      </c>
      <c r="R428" s="2" t="inlineStr"/>
    </row>
    <row r="429" ht="15" customHeight="1">
      <c r="A429" t="inlineStr">
        <is>
          <t>A 43456-2025</t>
        </is>
      </c>
      <c r="B429" s="1" t="n">
        <v>45911.46148148148</v>
      </c>
      <c r="C429" s="1" t="n">
        <v>45995</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43443-2025</t>
        </is>
      </c>
      <c r="B430" s="1" t="n">
        <v>45911.44350694444</v>
      </c>
      <c r="C430" s="1" t="n">
        <v>45995</v>
      </c>
      <c r="D430" t="inlineStr">
        <is>
          <t>JÄMTLANDS LÄN</t>
        </is>
      </c>
      <c r="E430" t="inlineStr">
        <is>
          <t>BERG</t>
        </is>
      </c>
      <c r="G430" t="n">
        <v>2.7</v>
      </c>
      <c r="H430" t="n">
        <v>0</v>
      </c>
      <c r="I430" t="n">
        <v>0</v>
      </c>
      <c r="J430" t="n">
        <v>0</v>
      </c>
      <c r="K430" t="n">
        <v>0</v>
      </c>
      <c r="L430" t="n">
        <v>0</v>
      </c>
      <c r="M430" t="n">
        <v>0</v>
      </c>
      <c r="N430" t="n">
        <v>0</v>
      </c>
      <c r="O430" t="n">
        <v>0</v>
      </c>
      <c r="P430" t="n">
        <v>0</v>
      </c>
      <c r="Q430" t="n">
        <v>0</v>
      </c>
      <c r="R430" s="2" t="inlineStr"/>
    </row>
    <row r="431" ht="15" customHeight="1">
      <c r="A431" t="inlineStr">
        <is>
          <t>A 52225-2025</t>
        </is>
      </c>
      <c r="B431" s="1" t="n">
        <v>45953.44831018519</v>
      </c>
      <c r="C431" s="1" t="n">
        <v>45995</v>
      </c>
      <c r="D431" t="inlineStr">
        <is>
          <t>JÄMTLANDS LÄN</t>
        </is>
      </c>
      <c r="E431" t="inlineStr">
        <is>
          <t>BERG</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52260-2025</t>
        </is>
      </c>
      <c r="B432" s="1" t="n">
        <v>45953.51113425926</v>
      </c>
      <c r="C432" s="1" t="n">
        <v>45995</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7744-2024</t>
        </is>
      </c>
      <c r="B433" s="1" t="n">
        <v>45349</v>
      </c>
      <c r="C433" s="1" t="n">
        <v>45995</v>
      </c>
      <c r="D433" t="inlineStr">
        <is>
          <t>JÄMTLANDS LÄN</t>
        </is>
      </c>
      <c r="E433" t="inlineStr">
        <is>
          <t>BERG</t>
        </is>
      </c>
      <c r="G433" t="n">
        <v>1.7</v>
      </c>
      <c r="H433" t="n">
        <v>0</v>
      </c>
      <c r="I433" t="n">
        <v>0</v>
      </c>
      <c r="J433" t="n">
        <v>0</v>
      </c>
      <c r="K433" t="n">
        <v>0</v>
      </c>
      <c r="L433" t="n">
        <v>0</v>
      </c>
      <c r="M433" t="n">
        <v>0</v>
      </c>
      <c r="N433" t="n">
        <v>0</v>
      </c>
      <c r="O433" t="n">
        <v>0</v>
      </c>
      <c r="P433" t="n">
        <v>0</v>
      </c>
      <c r="Q433" t="n">
        <v>0</v>
      </c>
      <c r="R433" s="2" t="inlineStr"/>
    </row>
    <row r="434" ht="15" customHeight="1">
      <c r="A434" t="inlineStr">
        <is>
          <t>A 43364-2025</t>
        </is>
      </c>
      <c r="B434" s="1" t="n">
        <v>45911.34483796296</v>
      </c>
      <c r="C434" s="1" t="n">
        <v>45995</v>
      </c>
      <c r="D434" t="inlineStr">
        <is>
          <t>JÄMTLANDS LÄN</t>
        </is>
      </c>
      <c r="E434" t="inlineStr">
        <is>
          <t>BERG</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52256-2025</t>
        </is>
      </c>
      <c r="B435" s="1" t="n">
        <v>45953.50086805555</v>
      </c>
      <c r="C435" s="1" t="n">
        <v>45995</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43567-2025</t>
        </is>
      </c>
      <c r="B436" s="1" t="n">
        <v>45911.6327662037</v>
      </c>
      <c r="C436" s="1" t="n">
        <v>45995</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41875-2024</t>
        </is>
      </c>
      <c r="B437" s="1" t="n">
        <v>45561.47431712963</v>
      </c>
      <c r="C437" s="1" t="n">
        <v>45995</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43560-2025</t>
        </is>
      </c>
      <c r="B438" s="1" t="n">
        <v>45911.62758101852</v>
      </c>
      <c r="C438" s="1" t="n">
        <v>45995</v>
      </c>
      <c r="D438" t="inlineStr">
        <is>
          <t>JÄMTLANDS LÄN</t>
        </is>
      </c>
      <c r="E438" t="inlineStr">
        <is>
          <t>BERG</t>
        </is>
      </c>
      <c r="G438" t="n">
        <v>10</v>
      </c>
      <c r="H438" t="n">
        <v>0</v>
      </c>
      <c r="I438" t="n">
        <v>0</v>
      </c>
      <c r="J438" t="n">
        <v>0</v>
      </c>
      <c r="K438" t="n">
        <v>0</v>
      </c>
      <c r="L438" t="n">
        <v>0</v>
      </c>
      <c r="M438" t="n">
        <v>0</v>
      </c>
      <c r="N438" t="n">
        <v>0</v>
      </c>
      <c r="O438" t="n">
        <v>0</v>
      </c>
      <c r="P438" t="n">
        <v>0</v>
      </c>
      <c r="Q438" t="n">
        <v>0</v>
      </c>
      <c r="R438" s="2" t="inlineStr"/>
    </row>
    <row r="439" ht="15" customHeight="1">
      <c r="A439" t="inlineStr">
        <is>
          <t>A 21521-2024</t>
        </is>
      </c>
      <c r="B439" s="1" t="n">
        <v>45441.58313657407</v>
      </c>
      <c r="C439" s="1" t="n">
        <v>45995</v>
      </c>
      <c r="D439" t="inlineStr">
        <is>
          <t>JÄMTLANDS LÄN</t>
        </is>
      </c>
      <c r="E439" t="inlineStr">
        <is>
          <t>BERG</t>
        </is>
      </c>
      <c r="G439" t="n">
        <v>1.2</v>
      </c>
      <c r="H439" t="n">
        <v>0</v>
      </c>
      <c r="I439" t="n">
        <v>0</v>
      </c>
      <c r="J439" t="n">
        <v>0</v>
      </c>
      <c r="K439" t="n">
        <v>0</v>
      </c>
      <c r="L439" t="n">
        <v>0</v>
      </c>
      <c r="M439" t="n">
        <v>0</v>
      </c>
      <c r="N439" t="n">
        <v>0</v>
      </c>
      <c r="O439" t="n">
        <v>0</v>
      </c>
      <c r="P439" t="n">
        <v>0</v>
      </c>
      <c r="Q439" t="n">
        <v>0</v>
      </c>
      <c r="R439" s="2" t="inlineStr"/>
    </row>
    <row r="440" ht="15" customHeight="1">
      <c r="A440" t="inlineStr">
        <is>
          <t>A 52340-2025</t>
        </is>
      </c>
      <c r="B440" s="1" t="n">
        <v>45953.70571759259</v>
      </c>
      <c r="C440" s="1" t="n">
        <v>45995</v>
      </c>
      <c r="D440" t="inlineStr">
        <is>
          <t>JÄMTLANDS LÄN</t>
        </is>
      </c>
      <c r="E440" t="inlineStr">
        <is>
          <t>BERG</t>
        </is>
      </c>
      <c r="G440" t="n">
        <v>6.7</v>
      </c>
      <c r="H440" t="n">
        <v>0</v>
      </c>
      <c r="I440" t="n">
        <v>0</v>
      </c>
      <c r="J440" t="n">
        <v>0</v>
      </c>
      <c r="K440" t="n">
        <v>0</v>
      </c>
      <c r="L440" t="n">
        <v>0</v>
      </c>
      <c r="M440" t="n">
        <v>0</v>
      </c>
      <c r="N440" t="n">
        <v>0</v>
      </c>
      <c r="O440" t="n">
        <v>0</v>
      </c>
      <c r="P440" t="n">
        <v>0</v>
      </c>
      <c r="Q440" t="n">
        <v>0</v>
      </c>
      <c r="R440" s="2" t="inlineStr"/>
    </row>
    <row r="441" ht="15" customHeight="1">
      <c r="A441" t="inlineStr">
        <is>
          <t>A 43441-2025</t>
        </is>
      </c>
      <c r="B441" s="1" t="n">
        <v>45911.44184027778</v>
      </c>
      <c r="C441" s="1" t="n">
        <v>45995</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18408-2025</t>
        </is>
      </c>
      <c r="B442" s="1" t="n">
        <v>45762.61128472222</v>
      </c>
      <c r="C442" s="1" t="n">
        <v>45995</v>
      </c>
      <c r="D442" t="inlineStr">
        <is>
          <t>JÄMTLANDS LÄN</t>
        </is>
      </c>
      <c r="E442" t="inlineStr">
        <is>
          <t>BERG</t>
        </is>
      </c>
      <c r="G442" t="n">
        <v>5.1</v>
      </c>
      <c r="H442" t="n">
        <v>0</v>
      </c>
      <c r="I442" t="n">
        <v>0</v>
      </c>
      <c r="J442" t="n">
        <v>0</v>
      </c>
      <c r="K442" t="n">
        <v>0</v>
      </c>
      <c r="L442" t="n">
        <v>0</v>
      </c>
      <c r="M442" t="n">
        <v>0</v>
      </c>
      <c r="N442" t="n">
        <v>0</v>
      </c>
      <c r="O442" t="n">
        <v>0</v>
      </c>
      <c r="P442" t="n">
        <v>0</v>
      </c>
      <c r="Q442" t="n">
        <v>0</v>
      </c>
      <c r="R442" s="2" t="inlineStr"/>
    </row>
    <row r="443" ht="15" customHeight="1">
      <c r="A443" t="inlineStr">
        <is>
          <t>A 44110-2022</t>
        </is>
      </c>
      <c r="B443" s="1" t="n">
        <v>44837</v>
      </c>
      <c r="C443" s="1" t="n">
        <v>45995</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44051-2025</t>
        </is>
      </c>
      <c r="B444" s="1" t="n">
        <v>45915.51079861111</v>
      </c>
      <c r="C444" s="1" t="n">
        <v>45995</v>
      </c>
      <c r="D444" t="inlineStr">
        <is>
          <t>JÄMTLANDS LÄN</t>
        </is>
      </c>
      <c r="E444" t="inlineStr">
        <is>
          <t>BERG</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44594.48569444445</v>
      </c>
      <c r="C445" s="1" t="n">
        <v>45995</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43968-2025</t>
        </is>
      </c>
      <c r="B446" s="1" t="n">
        <v>45915</v>
      </c>
      <c r="C446" s="1" t="n">
        <v>45995</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52938-2025</t>
        </is>
      </c>
      <c r="B447" s="1" t="n">
        <v>45957.63680555556</v>
      </c>
      <c r="C447" s="1" t="n">
        <v>45995</v>
      </c>
      <c r="D447" t="inlineStr">
        <is>
          <t>JÄMTLANDS LÄN</t>
        </is>
      </c>
      <c r="E447" t="inlineStr">
        <is>
          <t>BERG</t>
        </is>
      </c>
      <c r="G447" t="n">
        <v>3.6</v>
      </c>
      <c r="H447" t="n">
        <v>0</v>
      </c>
      <c r="I447" t="n">
        <v>0</v>
      </c>
      <c r="J447" t="n">
        <v>0</v>
      </c>
      <c r="K447" t="n">
        <v>0</v>
      </c>
      <c r="L447" t="n">
        <v>0</v>
      </c>
      <c r="M447" t="n">
        <v>0</v>
      </c>
      <c r="N447" t="n">
        <v>0</v>
      </c>
      <c r="O447" t="n">
        <v>0</v>
      </c>
      <c r="P447" t="n">
        <v>0</v>
      </c>
      <c r="Q447" t="n">
        <v>0</v>
      </c>
      <c r="R447" s="2" t="inlineStr"/>
    </row>
    <row r="448" ht="15" customHeight="1">
      <c r="A448" t="inlineStr">
        <is>
          <t>A 44302-2025</t>
        </is>
      </c>
      <c r="B448" s="1" t="n">
        <v>45915</v>
      </c>
      <c r="C448" s="1" t="n">
        <v>45995</v>
      </c>
      <c r="D448" t="inlineStr">
        <is>
          <t>JÄMTLANDS LÄN</t>
        </is>
      </c>
      <c r="E448" t="inlineStr">
        <is>
          <t>BERG</t>
        </is>
      </c>
      <c r="G448" t="n">
        <v>1.6</v>
      </c>
      <c r="H448" t="n">
        <v>0</v>
      </c>
      <c r="I448" t="n">
        <v>0</v>
      </c>
      <c r="J448" t="n">
        <v>0</v>
      </c>
      <c r="K448" t="n">
        <v>0</v>
      </c>
      <c r="L448" t="n">
        <v>0</v>
      </c>
      <c r="M448" t="n">
        <v>0</v>
      </c>
      <c r="N448" t="n">
        <v>0</v>
      </c>
      <c r="O448" t="n">
        <v>0</v>
      </c>
      <c r="P448" t="n">
        <v>0</v>
      </c>
      <c r="Q448" t="n">
        <v>0</v>
      </c>
      <c r="R448" s="2" t="inlineStr"/>
    </row>
    <row r="449" ht="15" customHeight="1">
      <c r="A449" t="inlineStr">
        <is>
          <t>A 44303-2025</t>
        </is>
      </c>
      <c r="B449" s="1" t="n">
        <v>45915</v>
      </c>
      <c r="C449" s="1" t="n">
        <v>45995</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13524-2024</t>
        </is>
      </c>
      <c r="B450" s="1" t="n">
        <v>45387.78174768519</v>
      </c>
      <c r="C450" s="1" t="n">
        <v>45995</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10230-2024</t>
        </is>
      </c>
      <c r="B451" s="1" t="n">
        <v>45365.31883101852</v>
      </c>
      <c r="C451" s="1" t="n">
        <v>45995</v>
      </c>
      <c r="D451" t="inlineStr">
        <is>
          <t>JÄMTLANDS LÄN</t>
        </is>
      </c>
      <c r="E451" t="inlineStr">
        <is>
          <t>BERG</t>
        </is>
      </c>
      <c r="G451" t="n">
        <v>6.3</v>
      </c>
      <c r="H451" t="n">
        <v>0</v>
      </c>
      <c r="I451" t="n">
        <v>0</v>
      </c>
      <c r="J451" t="n">
        <v>0</v>
      </c>
      <c r="K451" t="n">
        <v>0</v>
      </c>
      <c r="L451" t="n">
        <v>0</v>
      </c>
      <c r="M451" t="n">
        <v>0</v>
      </c>
      <c r="N451" t="n">
        <v>0</v>
      </c>
      <c r="O451" t="n">
        <v>0</v>
      </c>
      <c r="P451" t="n">
        <v>0</v>
      </c>
      <c r="Q451" t="n">
        <v>0</v>
      </c>
      <c r="R451" s="2" t="inlineStr"/>
    </row>
    <row r="452" ht="15" customHeight="1">
      <c r="A452" t="inlineStr">
        <is>
          <t>A 53155-2025</t>
        </is>
      </c>
      <c r="B452" s="1" t="n">
        <v>45958.49011574074</v>
      </c>
      <c r="C452" s="1" t="n">
        <v>45995</v>
      </c>
      <c r="D452" t="inlineStr">
        <is>
          <t>JÄMTLANDS LÄN</t>
        </is>
      </c>
      <c r="E452" t="inlineStr">
        <is>
          <t>BERG</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53157-2025</t>
        </is>
      </c>
      <c r="B453" s="1" t="n">
        <v>45958.49056712963</v>
      </c>
      <c r="C453" s="1" t="n">
        <v>45995</v>
      </c>
      <c r="D453" t="inlineStr">
        <is>
          <t>JÄMTLANDS LÄN</t>
        </is>
      </c>
      <c r="E453" t="inlineStr">
        <is>
          <t>BERG</t>
        </is>
      </c>
      <c r="F453" t="inlineStr">
        <is>
          <t>SCA</t>
        </is>
      </c>
      <c r="G453" t="n">
        <v>9.5</v>
      </c>
      <c r="H453" t="n">
        <v>0</v>
      </c>
      <c r="I453" t="n">
        <v>0</v>
      </c>
      <c r="J453" t="n">
        <v>0</v>
      </c>
      <c r="K453" t="n">
        <v>0</v>
      </c>
      <c r="L453" t="n">
        <v>0</v>
      </c>
      <c r="M453" t="n">
        <v>0</v>
      </c>
      <c r="N453" t="n">
        <v>0</v>
      </c>
      <c r="O453" t="n">
        <v>0</v>
      </c>
      <c r="P453" t="n">
        <v>0</v>
      </c>
      <c r="Q453" t="n">
        <v>0</v>
      </c>
      <c r="R453" s="2" t="inlineStr"/>
    </row>
    <row r="454" ht="15" customHeight="1">
      <c r="A454" t="inlineStr">
        <is>
          <t>A 49277-2024</t>
        </is>
      </c>
      <c r="B454" s="1" t="n">
        <v>45595.50820601852</v>
      </c>
      <c r="C454" s="1" t="n">
        <v>45995</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18217-2023</t>
        </is>
      </c>
      <c r="B455" s="1" t="n">
        <v>45040</v>
      </c>
      <c r="C455" s="1" t="n">
        <v>45995</v>
      </c>
      <c r="D455" t="inlineStr">
        <is>
          <t>JÄMTLANDS LÄN</t>
        </is>
      </c>
      <c r="E455" t="inlineStr">
        <is>
          <t>BERG</t>
        </is>
      </c>
      <c r="G455" t="n">
        <v>4.5</v>
      </c>
      <c r="H455" t="n">
        <v>0</v>
      </c>
      <c r="I455" t="n">
        <v>0</v>
      </c>
      <c r="J455" t="n">
        <v>0</v>
      </c>
      <c r="K455" t="n">
        <v>0</v>
      </c>
      <c r="L455" t="n">
        <v>0</v>
      </c>
      <c r="M455" t="n">
        <v>0</v>
      </c>
      <c r="N455" t="n">
        <v>0</v>
      </c>
      <c r="O455" t="n">
        <v>0</v>
      </c>
      <c r="P455" t="n">
        <v>0</v>
      </c>
      <c r="Q455" t="n">
        <v>0</v>
      </c>
      <c r="R455" s="2" t="inlineStr"/>
    </row>
    <row r="456" ht="15" customHeight="1">
      <c r="A456" t="inlineStr">
        <is>
          <t>A 18112-2024</t>
        </is>
      </c>
      <c r="B456" s="1" t="n">
        <v>45420.49851851852</v>
      </c>
      <c r="C456" s="1" t="n">
        <v>45995</v>
      </c>
      <c r="D456" t="inlineStr">
        <is>
          <t>JÄMTLANDS LÄN</t>
        </is>
      </c>
      <c r="E456" t="inlineStr">
        <is>
          <t>BERG</t>
        </is>
      </c>
      <c r="F456" t="inlineStr">
        <is>
          <t>Holmen skog AB</t>
        </is>
      </c>
      <c r="G456" t="n">
        <v>16.6</v>
      </c>
      <c r="H456" t="n">
        <v>0</v>
      </c>
      <c r="I456" t="n">
        <v>0</v>
      </c>
      <c r="J456" t="n">
        <v>0</v>
      </c>
      <c r="K456" t="n">
        <v>0</v>
      </c>
      <c r="L456" t="n">
        <v>0</v>
      </c>
      <c r="M456" t="n">
        <v>0</v>
      </c>
      <c r="N456" t="n">
        <v>0</v>
      </c>
      <c r="O456" t="n">
        <v>0</v>
      </c>
      <c r="P456" t="n">
        <v>0</v>
      </c>
      <c r="Q456" t="n">
        <v>0</v>
      </c>
      <c r="R456" s="2" t="inlineStr"/>
    </row>
    <row r="457" ht="15" customHeight="1">
      <c r="A457" t="inlineStr">
        <is>
          <t>A 44043-2025</t>
        </is>
      </c>
      <c r="B457" s="1" t="n">
        <v>45915.49266203704</v>
      </c>
      <c r="C457" s="1" t="n">
        <v>45995</v>
      </c>
      <c r="D457" t="inlineStr">
        <is>
          <t>JÄMTLANDS LÄN</t>
        </is>
      </c>
      <c r="E457" t="inlineStr">
        <is>
          <t>BERG</t>
        </is>
      </c>
      <c r="G457" t="n">
        <v>3.4</v>
      </c>
      <c r="H457" t="n">
        <v>0</v>
      </c>
      <c r="I457" t="n">
        <v>0</v>
      </c>
      <c r="J457" t="n">
        <v>0</v>
      </c>
      <c r="K457" t="n">
        <v>0</v>
      </c>
      <c r="L457" t="n">
        <v>0</v>
      </c>
      <c r="M457" t="n">
        <v>0</v>
      </c>
      <c r="N457" t="n">
        <v>0</v>
      </c>
      <c r="O457" t="n">
        <v>0</v>
      </c>
      <c r="P457" t="n">
        <v>0</v>
      </c>
      <c r="Q457" t="n">
        <v>0</v>
      </c>
      <c r="R457" s="2" t="inlineStr"/>
    </row>
    <row r="458" ht="15" customHeight="1">
      <c r="A458" t="inlineStr">
        <is>
          <t>A 43982-2025</t>
        </is>
      </c>
      <c r="B458" s="1" t="n">
        <v>45915.42771990741</v>
      </c>
      <c r="C458" s="1" t="n">
        <v>45995</v>
      </c>
      <c r="D458" t="inlineStr">
        <is>
          <t>JÄMTLANDS LÄN</t>
        </is>
      </c>
      <c r="E458" t="inlineStr">
        <is>
          <t>BERG</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3842-2023</t>
        </is>
      </c>
      <c r="B459" s="1" t="n">
        <v>44951</v>
      </c>
      <c r="C459" s="1" t="n">
        <v>45995</v>
      </c>
      <c r="D459" t="inlineStr">
        <is>
          <t>JÄMTLANDS LÄN</t>
        </is>
      </c>
      <c r="E459" t="inlineStr">
        <is>
          <t>BERG</t>
        </is>
      </c>
      <c r="G459" t="n">
        <v>0.3</v>
      </c>
      <c r="H459" t="n">
        <v>0</v>
      </c>
      <c r="I459" t="n">
        <v>0</v>
      </c>
      <c r="J459" t="n">
        <v>0</v>
      </c>
      <c r="K459" t="n">
        <v>0</v>
      </c>
      <c r="L459" t="n">
        <v>0</v>
      </c>
      <c r="M459" t="n">
        <v>0</v>
      </c>
      <c r="N459" t="n">
        <v>0</v>
      </c>
      <c r="O459" t="n">
        <v>0</v>
      </c>
      <c r="P459" t="n">
        <v>0</v>
      </c>
      <c r="Q459" t="n">
        <v>0</v>
      </c>
      <c r="R459" s="2" t="inlineStr"/>
    </row>
    <row r="460" ht="15" customHeight="1">
      <c r="A460" t="inlineStr">
        <is>
          <t>A 60331-2023</t>
        </is>
      </c>
      <c r="B460" s="1" t="n">
        <v>45258</v>
      </c>
      <c r="C460" s="1" t="n">
        <v>45995</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14190-2023</t>
        </is>
      </c>
      <c r="B461" s="1" t="n">
        <v>45009.56106481481</v>
      </c>
      <c r="C461" s="1" t="n">
        <v>45995</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34601-2024</t>
        </is>
      </c>
      <c r="B462" s="1" t="n">
        <v>45526.4034375</v>
      </c>
      <c r="C462" s="1" t="n">
        <v>45995</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53085-2025</t>
        </is>
      </c>
      <c r="B463" s="1" t="n">
        <v>45958.40675925926</v>
      </c>
      <c r="C463" s="1" t="n">
        <v>45995</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44031-2025</t>
        </is>
      </c>
      <c r="B464" s="1" t="n">
        <v>45915.49019675926</v>
      </c>
      <c r="C464" s="1" t="n">
        <v>45995</v>
      </c>
      <c r="D464" t="inlineStr">
        <is>
          <t>JÄMTLANDS LÄN</t>
        </is>
      </c>
      <c r="E464" t="inlineStr">
        <is>
          <t>BERG</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33481-2023</t>
        </is>
      </c>
      <c r="B465" s="1" t="n">
        <v>45131</v>
      </c>
      <c r="C465" s="1" t="n">
        <v>45995</v>
      </c>
      <c r="D465" t="inlineStr">
        <is>
          <t>JÄMTLANDS LÄN</t>
        </is>
      </c>
      <c r="E465" t="inlineStr">
        <is>
          <t>BERG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45208-2024</t>
        </is>
      </c>
      <c r="B466" s="1" t="n">
        <v>45575.7077662037</v>
      </c>
      <c r="C466" s="1" t="n">
        <v>45995</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41634-2024</t>
        </is>
      </c>
      <c r="B467" s="1" t="n">
        <v>45560.61496527777</v>
      </c>
      <c r="C467" s="1" t="n">
        <v>45995</v>
      </c>
      <c r="D467" t="inlineStr">
        <is>
          <t>JÄMTLANDS LÄN</t>
        </is>
      </c>
      <c r="E467" t="inlineStr">
        <is>
          <t>BERG</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8065-2024</t>
        </is>
      </c>
      <c r="B468" s="1" t="n">
        <v>45351.40697916667</v>
      </c>
      <c r="C468" s="1" t="n">
        <v>45995</v>
      </c>
      <c r="D468" t="inlineStr">
        <is>
          <t>JÄMTLANDS LÄN</t>
        </is>
      </c>
      <c r="E468" t="inlineStr">
        <is>
          <t>BERG</t>
        </is>
      </c>
      <c r="G468" t="n">
        <v>6.9</v>
      </c>
      <c r="H468" t="n">
        <v>0</v>
      </c>
      <c r="I468" t="n">
        <v>0</v>
      </c>
      <c r="J468" t="n">
        <v>0</v>
      </c>
      <c r="K468" t="n">
        <v>0</v>
      </c>
      <c r="L468" t="n">
        <v>0</v>
      </c>
      <c r="M468" t="n">
        <v>0</v>
      </c>
      <c r="N468" t="n">
        <v>0</v>
      </c>
      <c r="O468" t="n">
        <v>0</v>
      </c>
      <c r="P468" t="n">
        <v>0</v>
      </c>
      <c r="Q468" t="n">
        <v>0</v>
      </c>
      <c r="R468" s="2" t="inlineStr"/>
    </row>
    <row r="469" ht="15" customHeight="1">
      <c r="A469" t="inlineStr">
        <is>
          <t>A 592-2021</t>
        </is>
      </c>
      <c r="B469" s="1" t="n">
        <v>44201</v>
      </c>
      <c r="C469" s="1" t="n">
        <v>45995</v>
      </c>
      <c r="D469" t="inlineStr">
        <is>
          <t>JÄMTLANDS LÄN</t>
        </is>
      </c>
      <c r="E469" t="inlineStr">
        <is>
          <t>BERG</t>
        </is>
      </c>
      <c r="G469" t="n">
        <v>1</v>
      </c>
      <c r="H469" t="n">
        <v>0</v>
      </c>
      <c r="I469" t="n">
        <v>0</v>
      </c>
      <c r="J469" t="n">
        <v>0</v>
      </c>
      <c r="K469" t="n">
        <v>0</v>
      </c>
      <c r="L469" t="n">
        <v>0</v>
      </c>
      <c r="M469" t="n">
        <v>0</v>
      </c>
      <c r="N469" t="n">
        <v>0</v>
      </c>
      <c r="O469" t="n">
        <v>0</v>
      </c>
      <c r="P469" t="n">
        <v>0</v>
      </c>
      <c r="Q469" t="n">
        <v>0</v>
      </c>
      <c r="R469" s="2" t="inlineStr"/>
    </row>
    <row r="470" ht="15" customHeight="1">
      <c r="A470" t="inlineStr">
        <is>
          <t>A 52933-2025</t>
        </is>
      </c>
      <c r="B470" s="1" t="n">
        <v>45957.62528935185</v>
      </c>
      <c r="C470" s="1" t="n">
        <v>45995</v>
      </c>
      <c r="D470" t="inlineStr">
        <is>
          <t>JÄMTLANDS LÄN</t>
        </is>
      </c>
      <c r="E470" t="inlineStr">
        <is>
          <t>BERG</t>
        </is>
      </c>
      <c r="G470" t="n">
        <v>10.1</v>
      </c>
      <c r="H470" t="n">
        <v>0</v>
      </c>
      <c r="I470" t="n">
        <v>0</v>
      </c>
      <c r="J470" t="n">
        <v>0</v>
      </c>
      <c r="K470" t="n">
        <v>0</v>
      </c>
      <c r="L470" t="n">
        <v>0</v>
      </c>
      <c r="M470" t="n">
        <v>0</v>
      </c>
      <c r="N470" t="n">
        <v>0</v>
      </c>
      <c r="O470" t="n">
        <v>0</v>
      </c>
      <c r="P470" t="n">
        <v>0</v>
      </c>
      <c r="Q470" t="n">
        <v>0</v>
      </c>
      <c r="R470" s="2" t="inlineStr"/>
    </row>
    <row r="471" ht="15" customHeight="1">
      <c r="A471" t="inlineStr">
        <is>
          <t>A 47407-2024</t>
        </is>
      </c>
      <c r="B471" s="1" t="n">
        <v>45587.47828703704</v>
      </c>
      <c r="C471" s="1" t="n">
        <v>45995</v>
      </c>
      <c r="D471" t="inlineStr">
        <is>
          <t>JÄMTLANDS LÄN</t>
        </is>
      </c>
      <c r="E471" t="inlineStr">
        <is>
          <t>BERG</t>
        </is>
      </c>
      <c r="G471" t="n">
        <v>2.7</v>
      </c>
      <c r="H471" t="n">
        <v>0</v>
      </c>
      <c r="I471" t="n">
        <v>0</v>
      </c>
      <c r="J471" t="n">
        <v>0</v>
      </c>
      <c r="K471" t="n">
        <v>0</v>
      </c>
      <c r="L471" t="n">
        <v>0</v>
      </c>
      <c r="M471" t="n">
        <v>0</v>
      </c>
      <c r="N471" t="n">
        <v>0</v>
      </c>
      <c r="O471" t="n">
        <v>0</v>
      </c>
      <c r="P471" t="n">
        <v>0</v>
      </c>
      <c r="Q471" t="n">
        <v>0</v>
      </c>
      <c r="R471" s="2" t="inlineStr"/>
    </row>
    <row r="472" ht="15" customHeight="1">
      <c r="A472" t="inlineStr">
        <is>
          <t>A 47083-2024</t>
        </is>
      </c>
      <c r="B472" s="1" t="n">
        <v>45586.50625</v>
      </c>
      <c r="C472" s="1" t="n">
        <v>45995</v>
      </c>
      <c r="D472" t="inlineStr">
        <is>
          <t>JÄMTLANDS LÄN</t>
        </is>
      </c>
      <c r="E472" t="inlineStr">
        <is>
          <t>BERG</t>
        </is>
      </c>
      <c r="G472" t="n">
        <v>1.9</v>
      </c>
      <c r="H472" t="n">
        <v>0</v>
      </c>
      <c r="I472" t="n">
        <v>0</v>
      </c>
      <c r="J472" t="n">
        <v>0</v>
      </c>
      <c r="K472" t="n">
        <v>0</v>
      </c>
      <c r="L472" t="n">
        <v>0</v>
      </c>
      <c r="M472" t="n">
        <v>0</v>
      </c>
      <c r="N472" t="n">
        <v>0</v>
      </c>
      <c r="O472" t="n">
        <v>0</v>
      </c>
      <c r="P472" t="n">
        <v>0</v>
      </c>
      <c r="Q472" t="n">
        <v>0</v>
      </c>
      <c r="R472" s="2" t="inlineStr"/>
    </row>
    <row r="473" ht="15" customHeight="1">
      <c r="A473" t="inlineStr">
        <is>
          <t>A 47099-2024</t>
        </is>
      </c>
      <c r="B473" s="1" t="n">
        <v>45586.53743055555</v>
      </c>
      <c r="C473" s="1" t="n">
        <v>45995</v>
      </c>
      <c r="D473" t="inlineStr">
        <is>
          <t>JÄMTLANDS LÄN</t>
        </is>
      </c>
      <c r="E473" t="inlineStr">
        <is>
          <t>BERG</t>
        </is>
      </c>
      <c r="G473" t="n">
        <v>5.9</v>
      </c>
      <c r="H473" t="n">
        <v>0</v>
      </c>
      <c r="I473" t="n">
        <v>0</v>
      </c>
      <c r="J473" t="n">
        <v>0</v>
      </c>
      <c r="K473" t="n">
        <v>0</v>
      </c>
      <c r="L473" t="n">
        <v>0</v>
      </c>
      <c r="M473" t="n">
        <v>0</v>
      </c>
      <c r="N473" t="n">
        <v>0</v>
      </c>
      <c r="O473" t="n">
        <v>0</v>
      </c>
      <c r="P473" t="n">
        <v>0</v>
      </c>
      <c r="Q473" t="n">
        <v>0</v>
      </c>
      <c r="R473" s="2" t="inlineStr"/>
    </row>
    <row r="474" ht="15" customHeight="1">
      <c r="A474" t="inlineStr">
        <is>
          <t>A 64486-2023</t>
        </is>
      </c>
      <c r="B474" s="1" t="n">
        <v>45280</v>
      </c>
      <c r="C474" s="1" t="n">
        <v>45995</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64488-2023</t>
        </is>
      </c>
      <c r="B475" s="1" t="n">
        <v>45280.92618055556</v>
      </c>
      <c r="C475" s="1" t="n">
        <v>45995</v>
      </c>
      <c r="D475" t="inlineStr">
        <is>
          <t>JÄMTLANDS LÄN</t>
        </is>
      </c>
      <c r="E475" t="inlineStr">
        <is>
          <t>BERG</t>
        </is>
      </c>
      <c r="F475" t="inlineStr">
        <is>
          <t>Övriga Aktiebolag</t>
        </is>
      </c>
      <c r="G475" t="n">
        <v>7.1</v>
      </c>
      <c r="H475" t="n">
        <v>0</v>
      </c>
      <c r="I475" t="n">
        <v>0</v>
      </c>
      <c r="J475" t="n">
        <v>0</v>
      </c>
      <c r="K475" t="n">
        <v>0</v>
      </c>
      <c r="L475" t="n">
        <v>0</v>
      </c>
      <c r="M475" t="n">
        <v>0</v>
      </c>
      <c r="N475" t="n">
        <v>0</v>
      </c>
      <c r="O475" t="n">
        <v>0</v>
      </c>
      <c r="P475" t="n">
        <v>0</v>
      </c>
      <c r="Q475" t="n">
        <v>0</v>
      </c>
      <c r="R475" s="2" t="inlineStr"/>
    </row>
    <row r="476" ht="15" customHeight="1">
      <c r="A476" t="inlineStr">
        <is>
          <t>A 53610-2025</t>
        </is>
      </c>
      <c r="B476" s="1" t="n">
        <v>45960.46951388889</v>
      </c>
      <c r="C476" s="1" t="n">
        <v>45995</v>
      </c>
      <c r="D476" t="inlineStr">
        <is>
          <t>JÄMTLANDS LÄN</t>
        </is>
      </c>
      <c r="E476" t="inlineStr">
        <is>
          <t>BERG</t>
        </is>
      </c>
      <c r="F476" t="inlineStr">
        <is>
          <t>SCA</t>
        </is>
      </c>
      <c r="G476" t="n">
        <v>30.7</v>
      </c>
      <c r="H476" t="n">
        <v>0</v>
      </c>
      <c r="I476" t="n">
        <v>0</v>
      </c>
      <c r="J476" t="n">
        <v>0</v>
      </c>
      <c r="K476" t="n">
        <v>0</v>
      </c>
      <c r="L476" t="n">
        <v>0</v>
      </c>
      <c r="M476" t="n">
        <v>0</v>
      </c>
      <c r="N476" t="n">
        <v>0</v>
      </c>
      <c r="O476" t="n">
        <v>0</v>
      </c>
      <c r="P476" t="n">
        <v>0</v>
      </c>
      <c r="Q476" t="n">
        <v>0</v>
      </c>
      <c r="R476" s="2" t="inlineStr"/>
    </row>
    <row r="477" ht="15" customHeight="1">
      <c r="A477" t="inlineStr">
        <is>
          <t>A 53349-2025</t>
        </is>
      </c>
      <c r="B477" s="1" t="n">
        <v>45959.43579861111</v>
      </c>
      <c r="C477" s="1" t="n">
        <v>45995</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53778-2025</t>
        </is>
      </c>
      <c r="B478" s="1" t="n">
        <v>45960.69841435185</v>
      </c>
      <c r="C478" s="1" t="n">
        <v>45995</v>
      </c>
      <c r="D478" t="inlineStr">
        <is>
          <t>JÄMTLANDS LÄN</t>
        </is>
      </c>
      <c r="E478" t="inlineStr">
        <is>
          <t>BERG</t>
        </is>
      </c>
      <c r="F478" t="inlineStr">
        <is>
          <t>SCA</t>
        </is>
      </c>
      <c r="G478" t="n">
        <v>18.7</v>
      </c>
      <c r="H478" t="n">
        <v>0</v>
      </c>
      <c r="I478" t="n">
        <v>0</v>
      </c>
      <c r="J478" t="n">
        <v>0</v>
      </c>
      <c r="K478" t="n">
        <v>0</v>
      </c>
      <c r="L478" t="n">
        <v>0</v>
      </c>
      <c r="M478" t="n">
        <v>0</v>
      </c>
      <c r="N478" t="n">
        <v>0</v>
      </c>
      <c r="O478" t="n">
        <v>0</v>
      </c>
      <c r="P478" t="n">
        <v>0</v>
      </c>
      <c r="Q478" t="n">
        <v>0</v>
      </c>
      <c r="R478" s="2" t="inlineStr"/>
      <c r="U478">
        <f>HYPERLINK("https://klasma.github.io/Logging_2326/knärot/A 53778-2025 karta knärot.png", "A 53778-2025")</f>
        <v/>
      </c>
      <c r="V478">
        <f>HYPERLINK("https://klasma.github.io/Logging_2326/klagomål/A 53778-2025 FSC-klagomål.docx", "A 53778-2025")</f>
        <v/>
      </c>
      <c r="W478">
        <f>HYPERLINK("https://klasma.github.io/Logging_2326/klagomålsmail/A 53778-2025 FSC-klagomål mail.docx", "A 53778-2025")</f>
        <v/>
      </c>
      <c r="X478">
        <f>HYPERLINK("https://klasma.github.io/Logging_2326/tillsyn/A 53778-2025 tillsynsbegäran.docx", "A 53778-2025")</f>
        <v/>
      </c>
      <c r="Y478">
        <f>HYPERLINK("https://klasma.github.io/Logging_2326/tillsynsmail/A 53778-2025 tillsynsbegäran mail.docx", "A 53778-2025")</f>
        <v/>
      </c>
    </row>
    <row r="479" ht="15" customHeight="1">
      <c r="A479" t="inlineStr">
        <is>
          <t>A 53680-2025</t>
        </is>
      </c>
      <c r="B479" s="1" t="n">
        <v>45960.57361111111</v>
      </c>
      <c r="C479" s="1" t="n">
        <v>45995</v>
      </c>
      <c r="D479" t="inlineStr">
        <is>
          <t>JÄMTLANDS LÄN</t>
        </is>
      </c>
      <c r="E479" t="inlineStr">
        <is>
          <t>BERG</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53625-2025</t>
        </is>
      </c>
      <c r="B480" s="1" t="n">
        <v>45960.49020833334</v>
      </c>
      <c r="C480" s="1" t="n">
        <v>45995</v>
      </c>
      <c r="D480" t="inlineStr">
        <is>
          <t>JÄMTLANDS LÄN</t>
        </is>
      </c>
      <c r="E480" t="inlineStr">
        <is>
          <t>BERG</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53712-2025</t>
        </is>
      </c>
      <c r="B481" s="1" t="n">
        <v>45960.61547453704</v>
      </c>
      <c r="C481" s="1" t="n">
        <v>45995</v>
      </c>
      <c r="D481" t="inlineStr">
        <is>
          <t>JÄMTLANDS LÄN</t>
        </is>
      </c>
      <c r="E481" t="inlineStr">
        <is>
          <t>BERG</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44572-2025</t>
        </is>
      </c>
      <c r="B482" s="1" t="n">
        <v>45917</v>
      </c>
      <c r="C482" s="1" t="n">
        <v>45995</v>
      </c>
      <c r="D482" t="inlineStr">
        <is>
          <t>JÄMTLANDS LÄN</t>
        </is>
      </c>
      <c r="E482" t="inlineStr">
        <is>
          <t>BERG</t>
        </is>
      </c>
      <c r="G482" t="n">
        <v>1.8</v>
      </c>
      <c r="H482" t="n">
        <v>0</v>
      </c>
      <c r="I482" t="n">
        <v>0</v>
      </c>
      <c r="J482" t="n">
        <v>0</v>
      </c>
      <c r="K482" t="n">
        <v>0</v>
      </c>
      <c r="L482" t="n">
        <v>0</v>
      </c>
      <c r="M482" t="n">
        <v>0</v>
      </c>
      <c r="N482" t="n">
        <v>0</v>
      </c>
      <c r="O482" t="n">
        <v>0</v>
      </c>
      <c r="P482" t="n">
        <v>0</v>
      </c>
      <c r="Q482" t="n">
        <v>0</v>
      </c>
      <c r="R482" s="2" t="inlineStr"/>
    </row>
    <row r="483" ht="15" customHeight="1">
      <c r="A483" t="inlineStr">
        <is>
          <t>A 29581-2024</t>
        </is>
      </c>
      <c r="B483" s="1" t="n">
        <v>45484.5740162037</v>
      </c>
      <c r="C483" s="1" t="n">
        <v>45995</v>
      </c>
      <c r="D483" t="inlineStr">
        <is>
          <t>JÄMTLANDS LÄN</t>
        </is>
      </c>
      <c r="E483" t="inlineStr">
        <is>
          <t>BERG</t>
        </is>
      </c>
      <c r="G483" t="n">
        <v>16.7</v>
      </c>
      <c r="H483" t="n">
        <v>0</v>
      </c>
      <c r="I483" t="n">
        <v>0</v>
      </c>
      <c r="J483" t="n">
        <v>0</v>
      </c>
      <c r="K483" t="n">
        <v>0</v>
      </c>
      <c r="L483" t="n">
        <v>0</v>
      </c>
      <c r="M483" t="n">
        <v>0</v>
      </c>
      <c r="N483" t="n">
        <v>0</v>
      </c>
      <c r="O483" t="n">
        <v>0</v>
      </c>
      <c r="P483" t="n">
        <v>0</v>
      </c>
      <c r="Q483" t="n">
        <v>0</v>
      </c>
      <c r="R483" s="2" t="inlineStr"/>
    </row>
    <row r="484" ht="15" customHeight="1">
      <c r="A484" t="inlineStr">
        <is>
          <t>A 16247-2024</t>
        </is>
      </c>
      <c r="B484" s="1" t="n">
        <v>45407.05797453703</v>
      </c>
      <c r="C484" s="1" t="n">
        <v>45995</v>
      </c>
      <c r="D484" t="inlineStr">
        <is>
          <t>JÄMTLANDS LÄN</t>
        </is>
      </c>
      <c r="E484" t="inlineStr">
        <is>
          <t>BERG</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25306-2023</t>
        </is>
      </c>
      <c r="B485" s="1" t="n">
        <v>45086</v>
      </c>
      <c r="C485" s="1" t="n">
        <v>45995</v>
      </c>
      <c r="D485" t="inlineStr">
        <is>
          <t>JÄMTLANDS LÄN</t>
        </is>
      </c>
      <c r="E485" t="inlineStr">
        <is>
          <t>BERG</t>
        </is>
      </c>
      <c r="G485" t="n">
        <v>23.3</v>
      </c>
      <c r="H485" t="n">
        <v>0</v>
      </c>
      <c r="I485" t="n">
        <v>0</v>
      </c>
      <c r="J485" t="n">
        <v>0</v>
      </c>
      <c r="K485" t="n">
        <v>0</v>
      </c>
      <c r="L485" t="n">
        <v>0</v>
      </c>
      <c r="M485" t="n">
        <v>0</v>
      </c>
      <c r="N485" t="n">
        <v>0</v>
      </c>
      <c r="O485" t="n">
        <v>0</v>
      </c>
      <c r="P485" t="n">
        <v>0</v>
      </c>
      <c r="Q485" t="n">
        <v>0</v>
      </c>
      <c r="R485" s="2" t="inlineStr"/>
    </row>
    <row r="486" ht="15" customHeight="1">
      <c r="A486" t="inlineStr">
        <is>
          <t>A 44811-2025</t>
        </is>
      </c>
      <c r="B486" s="1" t="n">
        <v>45918.37195601852</v>
      </c>
      <c r="C486" s="1" t="n">
        <v>45995</v>
      </c>
      <c r="D486" t="inlineStr">
        <is>
          <t>JÄMTLANDS LÄN</t>
        </is>
      </c>
      <c r="E486" t="inlineStr">
        <is>
          <t>BERG</t>
        </is>
      </c>
      <c r="G486" t="n">
        <v>1.4</v>
      </c>
      <c r="H486" t="n">
        <v>0</v>
      </c>
      <c r="I486" t="n">
        <v>0</v>
      </c>
      <c r="J486" t="n">
        <v>0</v>
      </c>
      <c r="K486" t="n">
        <v>0</v>
      </c>
      <c r="L486" t="n">
        <v>0</v>
      </c>
      <c r="M486" t="n">
        <v>0</v>
      </c>
      <c r="N486" t="n">
        <v>0</v>
      </c>
      <c r="O486" t="n">
        <v>0</v>
      </c>
      <c r="P486" t="n">
        <v>0</v>
      </c>
      <c r="Q486" t="n">
        <v>0</v>
      </c>
      <c r="R486" s="2" t="inlineStr"/>
    </row>
    <row r="487" ht="15" customHeight="1">
      <c r="A487" t="inlineStr">
        <is>
          <t>A 53305-2025</t>
        </is>
      </c>
      <c r="B487" s="1" t="n">
        <v>45959.334375</v>
      </c>
      <c r="C487" s="1" t="n">
        <v>45995</v>
      </c>
      <c r="D487" t="inlineStr">
        <is>
          <t>JÄMTLANDS LÄN</t>
        </is>
      </c>
      <c r="E487" t="inlineStr">
        <is>
          <t>BERG</t>
        </is>
      </c>
      <c r="G487" t="n">
        <v>3.3</v>
      </c>
      <c r="H487" t="n">
        <v>0</v>
      </c>
      <c r="I487" t="n">
        <v>0</v>
      </c>
      <c r="J487" t="n">
        <v>0</v>
      </c>
      <c r="K487" t="n">
        <v>0</v>
      </c>
      <c r="L487" t="n">
        <v>0</v>
      </c>
      <c r="M487" t="n">
        <v>0</v>
      </c>
      <c r="N487" t="n">
        <v>0</v>
      </c>
      <c r="O487" t="n">
        <v>0</v>
      </c>
      <c r="P487" t="n">
        <v>0</v>
      </c>
      <c r="Q487" t="n">
        <v>0</v>
      </c>
      <c r="R487" s="2" t="inlineStr"/>
    </row>
    <row r="488" ht="15" customHeight="1">
      <c r="A488" t="inlineStr">
        <is>
          <t>A 59634-2022</t>
        </is>
      </c>
      <c r="B488" s="1" t="n">
        <v>44907.9645949074</v>
      </c>
      <c r="C488" s="1" t="n">
        <v>45995</v>
      </c>
      <c r="D488" t="inlineStr">
        <is>
          <t>JÄMTLANDS LÄN</t>
        </is>
      </c>
      <c r="E488" t="inlineStr">
        <is>
          <t>BERG</t>
        </is>
      </c>
      <c r="G488" t="n">
        <v>1.2</v>
      </c>
      <c r="H488" t="n">
        <v>0</v>
      </c>
      <c r="I488" t="n">
        <v>0</v>
      </c>
      <c r="J488" t="n">
        <v>0</v>
      </c>
      <c r="K488" t="n">
        <v>0</v>
      </c>
      <c r="L488" t="n">
        <v>0</v>
      </c>
      <c r="M488" t="n">
        <v>0</v>
      </c>
      <c r="N488" t="n">
        <v>0</v>
      </c>
      <c r="O488" t="n">
        <v>0</v>
      </c>
      <c r="P488" t="n">
        <v>0</v>
      </c>
      <c r="Q488" t="n">
        <v>0</v>
      </c>
      <c r="R488" s="2" t="inlineStr"/>
    </row>
    <row r="489" ht="15" customHeight="1">
      <c r="A489" t="inlineStr">
        <is>
          <t>A 10465-2023</t>
        </is>
      </c>
      <c r="B489" s="1" t="n">
        <v>44987.60319444445</v>
      </c>
      <c r="C489" s="1" t="n">
        <v>45995</v>
      </c>
      <c r="D489" t="inlineStr">
        <is>
          <t>JÄMTLANDS LÄN</t>
        </is>
      </c>
      <c r="E489" t="inlineStr">
        <is>
          <t>BERG</t>
        </is>
      </c>
      <c r="G489" t="n">
        <v>3.4</v>
      </c>
      <c r="H489" t="n">
        <v>0</v>
      </c>
      <c r="I489" t="n">
        <v>0</v>
      </c>
      <c r="J489" t="n">
        <v>0</v>
      </c>
      <c r="K489" t="n">
        <v>0</v>
      </c>
      <c r="L489" t="n">
        <v>0</v>
      </c>
      <c r="M489" t="n">
        <v>0</v>
      </c>
      <c r="N489" t="n">
        <v>0</v>
      </c>
      <c r="O489" t="n">
        <v>0</v>
      </c>
      <c r="P489" t="n">
        <v>0</v>
      </c>
      <c r="Q489" t="n">
        <v>0</v>
      </c>
      <c r="R489" s="2" t="inlineStr"/>
    </row>
    <row r="490" ht="15" customHeight="1">
      <c r="A490" t="inlineStr">
        <is>
          <t>A 3625-2024</t>
        </is>
      </c>
      <c r="B490" s="1" t="n">
        <v>45320</v>
      </c>
      <c r="C490" s="1" t="n">
        <v>45995</v>
      </c>
      <c r="D490" t="inlineStr">
        <is>
          <t>JÄMTLANDS LÄN</t>
        </is>
      </c>
      <c r="E490" t="inlineStr">
        <is>
          <t>BERG</t>
        </is>
      </c>
      <c r="F490" t="inlineStr">
        <is>
          <t>SCA</t>
        </is>
      </c>
      <c r="G490" t="n">
        <v>23.7</v>
      </c>
      <c r="H490" t="n">
        <v>0</v>
      </c>
      <c r="I490" t="n">
        <v>0</v>
      </c>
      <c r="J490" t="n">
        <v>0</v>
      </c>
      <c r="K490" t="n">
        <v>0</v>
      </c>
      <c r="L490" t="n">
        <v>0</v>
      </c>
      <c r="M490" t="n">
        <v>0</v>
      </c>
      <c r="N490" t="n">
        <v>0</v>
      </c>
      <c r="O490" t="n">
        <v>0</v>
      </c>
      <c r="P490" t="n">
        <v>0</v>
      </c>
      <c r="Q490" t="n">
        <v>0</v>
      </c>
      <c r="R490" s="2" t="inlineStr"/>
    </row>
    <row r="491" ht="15" customHeight="1">
      <c r="A491" t="inlineStr">
        <is>
          <t>A 9482-2024</t>
        </is>
      </c>
      <c r="B491" s="1" t="n">
        <v>45359.57847222222</v>
      </c>
      <c r="C491" s="1" t="n">
        <v>45995</v>
      </c>
      <c r="D491" t="inlineStr">
        <is>
          <t>JÄMTLANDS LÄN</t>
        </is>
      </c>
      <c r="E491" t="inlineStr">
        <is>
          <t>BERG</t>
        </is>
      </c>
      <c r="G491" t="n">
        <v>3</v>
      </c>
      <c r="H491" t="n">
        <v>0</v>
      </c>
      <c r="I491" t="n">
        <v>0</v>
      </c>
      <c r="J491" t="n">
        <v>0</v>
      </c>
      <c r="K491" t="n">
        <v>0</v>
      </c>
      <c r="L491" t="n">
        <v>0</v>
      </c>
      <c r="M491" t="n">
        <v>0</v>
      </c>
      <c r="N491" t="n">
        <v>0</v>
      </c>
      <c r="O491" t="n">
        <v>0</v>
      </c>
      <c r="P491" t="n">
        <v>0</v>
      </c>
      <c r="Q491" t="n">
        <v>0</v>
      </c>
      <c r="R491" s="2" t="inlineStr"/>
    </row>
    <row r="492" ht="15" customHeight="1">
      <c r="A492" t="inlineStr">
        <is>
          <t>A 14594-2025</t>
        </is>
      </c>
      <c r="B492" s="1" t="n">
        <v>45742.34414351852</v>
      </c>
      <c r="C492" s="1" t="n">
        <v>45995</v>
      </c>
      <c r="D492" t="inlineStr">
        <is>
          <t>JÄMTLANDS LÄN</t>
        </is>
      </c>
      <c r="E492" t="inlineStr">
        <is>
          <t>BERG</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14596-2025</t>
        </is>
      </c>
      <c r="B493" s="1" t="n">
        <v>45742.34449074074</v>
      </c>
      <c r="C493" s="1" t="n">
        <v>45995</v>
      </c>
      <c r="D493" t="inlineStr">
        <is>
          <t>JÄMTLANDS LÄN</t>
        </is>
      </c>
      <c r="E493" t="inlineStr">
        <is>
          <t>BERG</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26959-2022</t>
        </is>
      </c>
      <c r="B494" s="1" t="n">
        <v>44740.66048611111</v>
      </c>
      <c r="C494" s="1" t="n">
        <v>45995</v>
      </c>
      <c r="D494" t="inlineStr">
        <is>
          <t>JÄMTLANDS LÄN</t>
        </is>
      </c>
      <c r="E494" t="inlineStr">
        <is>
          <t>BERG</t>
        </is>
      </c>
      <c r="G494" t="n">
        <v>2.8</v>
      </c>
      <c r="H494" t="n">
        <v>0</v>
      </c>
      <c r="I494" t="n">
        <v>0</v>
      </c>
      <c r="J494" t="n">
        <v>0</v>
      </c>
      <c r="K494" t="n">
        <v>0</v>
      </c>
      <c r="L494" t="n">
        <v>0</v>
      </c>
      <c r="M494" t="n">
        <v>0</v>
      </c>
      <c r="N494" t="n">
        <v>0</v>
      </c>
      <c r="O494" t="n">
        <v>0</v>
      </c>
      <c r="P494" t="n">
        <v>0</v>
      </c>
      <c r="Q494" t="n">
        <v>0</v>
      </c>
      <c r="R494" s="2" t="inlineStr"/>
    </row>
    <row r="495" ht="15" customHeight="1">
      <c r="A495" t="inlineStr">
        <is>
          <t>A 3173-2025</t>
        </is>
      </c>
      <c r="B495" s="1" t="n">
        <v>45679.38309027778</v>
      </c>
      <c r="C495" s="1" t="n">
        <v>45995</v>
      </c>
      <c r="D495" t="inlineStr">
        <is>
          <t>JÄMTLANDS LÄN</t>
        </is>
      </c>
      <c r="E495" t="inlineStr">
        <is>
          <t>BERG</t>
        </is>
      </c>
      <c r="G495" t="n">
        <v>8.9</v>
      </c>
      <c r="H495" t="n">
        <v>0</v>
      </c>
      <c r="I495" t="n">
        <v>0</v>
      </c>
      <c r="J495" t="n">
        <v>0</v>
      </c>
      <c r="K495" t="n">
        <v>0</v>
      </c>
      <c r="L495" t="n">
        <v>0</v>
      </c>
      <c r="M495" t="n">
        <v>0</v>
      </c>
      <c r="N495" t="n">
        <v>0</v>
      </c>
      <c r="O495" t="n">
        <v>0</v>
      </c>
      <c r="P495" t="n">
        <v>0</v>
      </c>
      <c r="Q495" t="n">
        <v>0</v>
      </c>
      <c r="R495" s="2" t="inlineStr"/>
    </row>
    <row r="496" ht="15" customHeight="1">
      <c r="A496" t="inlineStr">
        <is>
          <t>A 13436-2024</t>
        </is>
      </c>
      <c r="B496" s="1" t="n">
        <v>45387.4865625</v>
      </c>
      <c r="C496" s="1" t="n">
        <v>45995</v>
      </c>
      <c r="D496" t="inlineStr">
        <is>
          <t>JÄMTLANDS LÄN</t>
        </is>
      </c>
      <c r="E496" t="inlineStr">
        <is>
          <t>BERG</t>
        </is>
      </c>
      <c r="G496" t="n">
        <v>28.9</v>
      </c>
      <c r="H496" t="n">
        <v>0</v>
      </c>
      <c r="I496" t="n">
        <v>0</v>
      </c>
      <c r="J496" t="n">
        <v>0</v>
      </c>
      <c r="K496" t="n">
        <v>0</v>
      </c>
      <c r="L496" t="n">
        <v>0</v>
      </c>
      <c r="M496" t="n">
        <v>0</v>
      </c>
      <c r="N496" t="n">
        <v>0</v>
      </c>
      <c r="O496" t="n">
        <v>0</v>
      </c>
      <c r="P496" t="n">
        <v>0</v>
      </c>
      <c r="Q496" t="n">
        <v>0</v>
      </c>
      <c r="R496" s="2" t="inlineStr"/>
    </row>
    <row r="497" ht="15" customHeight="1">
      <c r="A497" t="inlineStr">
        <is>
          <t>A 44997-2021</t>
        </is>
      </c>
      <c r="B497" s="1" t="n">
        <v>44438</v>
      </c>
      <c r="C497" s="1" t="n">
        <v>45995</v>
      </c>
      <c r="D497" t="inlineStr">
        <is>
          <t>JÄMTLANDS LÄN</t>
        </is>
      </c>
      <c r="E497" t="inlineStr">
        <is>
          <t>BERG</t>
        </is>
      </c>
      <c r="G497" t="n">
        <v>3.8</v>
      </c>
      <c r="H497" t="n">
        <v>0</v>
      </c>
      <c r="I497" t="n">
        <v>0</v>
      </c>
      <c r="J497" t="n">
        <v>0</v>
      </c>
      <c r="K497" t="n">
        <v>0</v>
      </c>
      <c r="L497" t="n">
        <v>0</v>
      </c>
      <c r="M497" t="n">
        <v>0</v>
      </c>
      <c r="N497" t="n">
        <v>0</v>
      </c>
      <c r="O497" t="n">
        <v>0</v>
      </c>
      <c r="P497" t="n">
        <v>0</v>
      </c>
      <c r="Q497" t="n">
        <v>0</v>
      </c>
      <c r="R497" s="2" t="inlineStr"/>
    </row>
    <row r="498" ht="15" customHeight="1">
      <c r="A498" t="inlineStr">
        <is>
          <t>A 44697-2025</t>
        </is>
      </c>
      <c r="B498" s="1" t="n">
        <v>45917.59888888889</v>
      </c>
      <c r="C498" s="1" t="n">
        <v>45995</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19429-2025</t>
        </is>
      </c>
      <c r="B499" s="1" t="n">
        <v>45769.8025462963</v>
      </c>
      <c r="C499" s="1" t="n">
        <v>45995</v>
      </c>
      <c r="D499" t="inlineStr">
        <is>
          <t>JÄMTLANDS LÄN</t>
        </is>
      </c>
      <c r="E499" t="inlineStr">
        <is>
          <t>BERG</t>
        </is>
      </c>
      <c r="G499" t="n">
        <v>2</v>
      </c>
      <c r="H499" t="n">
        <v>0</v>
      </c>
      <c r="I499" t="n">
        <v>0</v>
      </c>
      <c r="J499" t="n">
        <v>0</v>
      </c>
      <c r="K499" t="n">
        <v>0</v>
      </c>
      <c r="L499" t="n">
        <v>0</v>
      </c>
      <c r="M499" t="n">
        <v>0</v>
      </c>
      <c r="N499" t="n">
        <v>0</v>
      </c>
      <c r="O499" t="n">
        <v>0</v>
      </c>
      <c r="P499" t="n">
        <v>0</v>
      </c>
      <c r="Q499" t="n">
        <v>0</v>
      </c>
      <c r="R499" s="2" t="inlineStr"/>
    </row>
    <row r="500" ht="15" customHeight="1">
      <c r="A500" t="inlineStr">
        <is>
          <t>A 5644-2025</t>
        </is>
      </c>
      <c r="B500" s="1" t="n">
        <v>45693.6833449074</v>
      </c>
      <c r="C500" s="1" t="n">
        <v>45995</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45570-2025</t>
        </is>
      </c>
      <c r="B501" s="1" t="n">
        <v>45922.65715277778</v>
      </c>
      <c r="C501" s="1" t="n">
        <v>45995</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45129-2025</t>
        </is>
      </c>
      <c r="B502" s="1" t="n">
        <v>45919.43584490741</v>
      </c>
      <c r="C502" s="1" t="n">
        <v>45995</v>
      </c>
      <c r="D502" t="inlineStr">
        <is>
          <t>JÄMTLANDS LÄN</t>
        </is>
      </c>
      <c r="E502" t="inlineStr">
        <is>
          <t>BERG</t>
        </is>
      </c>
      <c r="F502" t="inlineStr">
        <is>
          <t>Övriga Aktiebolag</t>
        </is>
      </c>
      <c r="G502" t="n">
        <v>3.3</v>
      </c>
      <c r="H502" t="n">
        <v>0</v>
      </c>
      <c r="I502" t="n">
        <v>0</v>
      </c>
      <c r="J502" t="n">
        <v>0</v>
      </c>
      <c r="K502" t="n">
        <v>0</v>
      </c>
      <c r="L502" t="n">
        <v>0</v>
      </c>
      <c r="M502" t="n">
        <v>0</v>
      </c>
      <c r="N502" t="n">
        <v>0</v>
      </c>
      <c r="O502" t="n">
        <v>0</v>
      </c>
      <c r="P502" t="n">
        <v>0</v>
      </c>
      <c r="Q502" t="n">
        <v>0</v>
      </c>
      <c r="R502" s="2" t="inlineStr"/>
    </row>
    <row r="503" ht="15" customHeight="1">
      <c r="A503" t="inlineStr">
        <is>
          <t>A 45150-2025</t>
        </is>
      </c>
      <c r="B503" s="1" t="n">
        <v>45919.47131944444</v>
      </c>
      <c r="C503" s="1" t="n">
        <v>45995</v>
      </c>
      <c r="D503" t="inlineStr">
        <is>
          <t>JÄMTLANDS LÄN</t>
        </is>
      </c>
      <c r="E503" t="inlineStr">
        <is>
          <t>BERG</t>
        </is>
      </c>
      <c r="F503" t="inlineStr">
        <is>
          <t>Övriga Aktiebolag</t>
        </is>
      </c>
      <c r="G503" t="n">
        <v>9.6</v>
      </c>
      <c r="H503" t="n">
        <v>0</v>
      </c>
      <c r="I503" t="n">
        <v>0</v>
      </c>
      <c r="J503" t="n">
        <v>0</v>
      </c>
      <c r="K503" t="n">
        <v>0</v>
      </c>
      <c r="L503" t="n">
        <v>0</v>
      </c>
      <c r="M503" t="n">
        <v>0</v>
      </c>
      <c r="N503" t="n">
        <v>0</v>
      </c>
      <c r="O503" t="n">
        <v>0</v>
      </c>
      <c r="P503" t="n">
        <v>0</v>
      </c>
      <c r="Q503" t="n">
        <v>0</v>
      </c>
      <c r="R503" s="2" t="inlineStr"/>
    </row>
    <row r="504" ht="15" customHeight="1">
      <c r="A504" t="inlineStr">
        <is>
          <t>A 60076-2024</t>
        </is>
      </c>
      <c r="B504" s="1" t="n">
        <v>45642.53166666667</v>
      </c>
      <c r="C504" s="1" t="n">
        <v>45995</v>
      </c>
      <c r="D504" t="inlineStr">
        <is>
          <t>JÄMTLANDS LÄN</t>
        </is>
      </c>
      <c r="E504" t="inlineStr">
        <is>
          <t>BERG</t>
        </is>
      </c>
      <c r="G504" t="n">
        <v>1.1</v>
      </c>
      <c r="H504" t="n">
        <v>0</v>
      </c>
      <c r="I504" t="n">
        <v>0</v>
      </c>
      <c r="J504" t="n">
        <v>0</v>
      </c>
      <c r="K504" t="n">
        <v>0</v>
      </c>
      <c r="L504" t="n">
        <v>0</v>
      </c>
      <c r="M504" t="n">
        <v>0</v>
      </c>
      <c r="N504" t="n">
        <v>0</v>
      </c>
      <c r="O504" t="n">
        <v>0</v>
      </c>
      <c r="P504" t="n">
        <v>0</v>
      </c>
      <c r="Q504" t="n">
        <v>0</v>
      </c>
      <c r="R504" s="2" t="inlineStr"/>
    </row>
    <row r="505" ht="15" customHeight="1">
      <c r="A505" t="inlineStr">
        <is>
          <t>A 8238-2024</t>
        </is>
      </c>
      <c r="B505" s="1" t="n">
        <v>45351.98450231482</v>
      </c>
      <c r="C505" s="1" t="n">
        <v>45995</v>
      </c>
      <c r="D505" t="inlineStr">
        <is>
          <t>JÄMTLANDS LÄN</t>
        </is>
      </c>
      <c r="E505" t="inlineStr">
        <is>
          <t>BERG</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37589-2021</t>
        </is>
      </c>
      <c r="B506" s="1" t="n">
        <v>44399</v>
      </c>
      <c r="C506" s="1" t="n">
        <v>45995</v>
      </c>
      <c r="D506" t="inlineStr">
        <is>
          <t>JÄMTLANDS LÄN</t>
        </is>
      </c>
      <c r="E506" t="inlineStr">
        <is>
          <t>BERG</t>
        </is>
      </c>
      <c r="G506" t="n">
        <v>8.6</v>
      </c>
      <c r="H506" t="n">
        <v>0</v>
      </c>
      <c r="I506" t="n">
        <v>0</v>
      </c>
      <c r="J506" t="n">
        <v>0</v>
      </c>
      <c r="K506" t="n">
        <v>0</v>
      </c>
      <c r="L506" t="n">
        <v>0</v>
      </c>
      <c r="M506" t="n">
        <v>0</v>
      </c>
      <c r="N506" t="n">
        <v>0</v>
      </c>
      <c r="O506" t="n">
        <v>0</v>
      </c>
      <c r="P506" t="n">
        <v>0</v>
      </c>
      <c r="Q506" t="n">
        <v>0</v>
      </c>
      <c r="R506" s="2" t="inlineStr"/>
    </row>
    <row r="507" ht="15" customHeight="1">
      <c r="A507" t="inlineStr">
        <is>
          <t>A 60249-2022</t>
        </is>
      </c>
      <c r="B507" s="1" t="n">
        <v>44903</v>
      </c>
      <c r="C507" s="1" t="n">
        <v>45995</v>
      </c>
      <c r="D507" t="inlineStr">
        <is>
          <t>JÄMTLANDS LÄN</t>
        </is>
      </c>
      <c r="E507" t="inlineStr">
        <is>
          <t>BERG</t>
        </is>
      </c>
      <c r="G507" t="n">
        <v>6</v>
      </c>
      <c r="H507" t="n">
        <v>0</v>
      </c>
      <c r="I507" t="n">
        <v>0</v>
      </c>
      <c r="J507" t="n">
        <v>0</v>
      </c>
      <c r="K507" t="n">
        <v>0</v>
      </c>
      <c r="L507" t="n">
        <v>0</v>
      </c>
      <c r="M507" t="n">
        <v>0</v>
      </c>
      <c r="N507" t="n">
        <v>0</v>
      </c>
      <c r="O507" t="n">
        <v>0</v>
      </c>
      <c r="P507" t="n">
        <v>0</v>
      </c>
      <c r="Q507" t="n">
        <v>0</v>
      </c>
      <c r="R507" s="2" t="inlineStr"/>
    </row>
    <row r="508" ht="15" customHeight="1">
      <c r="A508" t="inlineStr">
        <is>
          <t>A 45254-2025</t>
        </is>
      </c>
      <c r="B508" s="1" t="n">
        <v>45919.61523148148</v>
      </c>
      <c r="C508" s="1" t="n">
        <v>45995</v>
      </c>
      <c r="D508" t="inlineStr">
        <is>
          <t>JÄMTLANDS LÄN</t>
        </is>
      </c>
      <c r="E508" t="inlineStr">
        <is>
          <t>BERG</t>
        </is>
      </c>
      <c r="G508" t="n">
        <v>0.9</v>
      </c>
      <c r="H508" t="n">
        <v>0</v>
      </c>
      <c r="I508" t="n">
        <v>0</v>
      </c>
      <c r="J508" t="n">
        <v>0</v>
      </c>
      <c r="K508" t="n">
        <v>0</v>
      </c>
      <c r="L508" t="n">
        <v>0</v>
      </c>
      <c r="M508" t="n">
        <v>0</v>
      </c>
      <c r="N508" t="n">
        <v>0</v>
      </c>
      <c r="O508" t="n">
        <v>0</v>
      </c>
      <c r="P508" t="n">
        <v>0</v>
      </c>
      <c r="Q508" t="n">
        <v>0</v>
      </c>
      <c r="R508" s="2" t="inlineStr"/>
    </row>
    <row r="509" ht="15" customHeight="1">
      <c r="A509" t="inlineStr">
        <is>
          <t>A 43279-2024</t>
        </is>
      </c>
      <c r="B509" s="1" t="n">
        <v>45568.3975462963</v>
      </c>
      <c r="C509" s="1" t="n">
        <v>45995</v>
      </c>
      <c r="D509" t="inlineStr">
        <is>
          <t>JÄMTLANDS LÄN</t>
        </is>
      </c>
      <c r="E509" t="inlineStr">
        <is>
          <t>BERG</t>
        </is>
      </c>
      <c r="G509" t="n">
        <v>7.6</v>
      </c>
      <c r="H509" t="n">
        <v>0</v>
      </c>
      <c r="I509" t="n">
        <v>0</v>
      </c>
      <c r="J509" t="n">
        <v>0</v>
      </c>
      <c r="K509" t="n">
        <v>0</v>
      </c>
      <c r="L509" t="n">
        <v>0</v>
      </c>
      <c r="M509" t="n">
        <v>0</v>
      </c>
      <c r="N509" t="n">
        <v>0</v>
      </c>
      <c r="O509" t="n">
        <v>0</v>
      </c>
      <c r="P509" t="n">
        <v>0</v>
      </c>
      <c r="Q509" t="n">
        <v>0</v>
      </c>
      <c r="R509" s="2" t="inlineStr"/>
    </row>
    <row r="510" ht="15" customHeight="1">
      <c r="A510" t="inlineStr">
        <is>
          <t>A 45249-2025</t>
        </is>
      </c>
      <c r="B510" s="1" t="n">
        <v>45919.61225694444</v>
      </c>
      <c r="C510" s="1" t="n">
        <v>45995</v>
      </c>
      <c r="D510" t="inlineStr">
        <is>
          <t>JÄMTLANDS LÄN</t>
        </is>
      </c>
      <c r="E510" t="inlineStr">
        <is>
          <t>BERG</t>
        </is>
      </c>
      <c r="G510" t="n">
        <v>1.3</v>
      </c>
      <c r="H510" t="n">
        <v>0</v>
      </c>
      <c r="I510" t="n">
        <v>0</v>
      </c>
      <c r="J510" t="n">
        <v>0</v>
      </c>
      <c r="K510" t="n">
        <v>0</v>
      </c>
      <c r="L510" t="n">
        <v>0</v>
      </c>
      <c r="M510" t="n">
        <v>0</v>
      </c>
      <c r="N510" t="n">
        <v>0</v>
      </c>
      <c r="O510" t="n">
        <v>0</v>
      </c>
      <c r="P510" t="n">
        <v>0</v>
      </c>
      <c r="Q510" t="n">
        <v>0</v>
      </c>
      <c r="R510" s="2" t="inlineStr"/>
    </row>
    <row r="511" ht="15" customHeight="1">
      <c r="A511" t="inlineStr">
        <is>
          <t>A 62360-2023</t>
        </is>
      </c>
      <c r="B511" s="1" t="n">
        <v>45267</v>
      </c>
      <c r="C511" s="1" t="n">
        <v>45995</v>
      </c>
      <c r="D511" t="inlineStr">
        <is>
          <t>JÄMTLANDS LÄN</t>
        </is>
      </c>
      <c r="E511" t="inlineStr">
        <is>
          <t>BERG</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18685-2024</t>
        </is>
      </c>
      <c r="B512" s="1" t="n">
        <v>45426.38322916667</v>
      </c>
      <c r="C512" s="1" t="n">
        <v>45995</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65209-2023</t>
        </is>
      </c>
      <c r="B513" s="1" t="n">
        <v>45289</v>
      </c>
      <c r="C513" s="1" t="n">
        <v>45995</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45109-2025</t>
        </is>
      </c>
      <c r="B514" s="1" t="n">
        <v>45919.41850694444</v>
      </c>
      <c r="C514" s="1" t="n">
        <v>45995</v>
      </c>
      <c r="D514" t="inlineStr">
        <is>
          <t>JÄMTLANDS LÄN</t>
        </is>
      </c>
      <c r="E514" t="inlineStr">
        <is>
          <t>BERG</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17899-2024</t>
        </is>
      </c>
      <c r="B515" s="1" t="n">
        <v>45419.49334490741</v>
      </c>
      <c r="C515" s="1" t="n">
        <v>45995</v>
      </c>
      <c r="D515" t="inlineStr">
        <is>
          <t>JÄMTLANDS LÄN</t>
        </is>
      </c>
      <c r="E515" t="inlineStr">
        <is>
          <t>BERG</t>
        </is>
      </c>
      <c r="F515" t="inlineStr">
        <is>
          <t>Holmen skog AB</t>
        </is>
      </c>
      <c r="G515" t="n">
        <v>5.2</v>
      </c>
      <c r="H515" t="n">
        <v>0</v>
      </c>
      <c r="I515" t="n">
        <v>0</v>
      </c>
      <c r="J515" t="n">
        <v>0</v>
      </c>
      <c r="K515" t="n">
        <v>0</v>
      </c>
      <c r="L515" t="n">
        <v>0</v>
      </c>
      <c r="M515" t="n">
        <v>0</v>
      </c>
      <c r="N515" t="n">
        <v>0</v>
      </c>
      <c r="O515" t="n">
        <v>0</v>
      </c>
      <c r="P515" t="n">
        <v>0</v>
      </c>
      <c r="Q515" t="n">
        <v>0</v>
      </c>
      <c r="R515" s="2" t="inlineStr"/>
    </row>
    <row r="516" ht="15" customHeight="1">
      <c r="A516" t="inlineStr">
        <is>
          <t>A 45568-2025</t>
        </is>
      </c>
      <c r="B516" s="1" t="n">
        <v>45922.65672453704</v>
      </c>
      <c r="C516" s="1" t="n">
        <v>45995</v>
      </c>
      <c r="D516" t="inlineStr">
        <is>
          <t>JÄMTLANDS LÄN</t>
        </is>
      </c>
      <c r="E516" t="inlineStr">
        <is>
          <t>BERG</t>
        </is>
      </c>
      <c r="F516" t="inlineStr">
        <is>
          <t>SCA</t>
        </is>
      </c>
      <c r="G516" t="n">
        <v>7.8</v>
      </c>
      <c r="H516" t="n">
        <v>0</v>
      </c>
      <c r="I516" t="n">
        <v>0</v>
      </c>
      <c r="J516" t="n">
        <v>0</v>
      </c>
      <c r="K516" t="n">
        <v>0</v>
      </c>
      <c r="L516" t="n">
        <v>0</v>
      </c>
      <c r="M516" t="n">
        <v>0</v>
      </c>
      <c r="N516" t="n">
        <v>0</v>
      </c>
      <c r="O516" t="n">
        <v>0</v>
      </c>
      <c r="P516" t="n">
        <v>0</v>
      </c>
      <c r="Q516" t="n">
        <v>0</v>
      </c>
      <c r="R516" s="2" t="inlineStr"/>
    </row>
    <row r="517" ht="15" customHeight="1">
      <c r="A517" t="inlineStr">
        <is>
          <t>A 45390-2025</t>
        </is>
      </c>
      <c r="B517" s="1" t="n">
        <v>45922.40762731482</v>
      </c>
      <c r="C517" s="1" t="n">
        <v>45995</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19181-2025</t>
        </is>
      </c>
      <c r="B518" s="1" t="n">
        <v>45769.40174768519</v>
      </c>
      <c r="C518" s="1" t="n">
        <v>45995</v>
      </c>
      <c r="D518" t="inlineStr">
        <is>
          <t>JÄMTLANDS LÄN</t>
        </is>
      </c>
      <c r="E518" t="inlineStr">
        <is>
          <t>BERG</t>
        </is>
      </c>
      <c r="G518" t="n">
        <v>4.4</v>
      </c>
      <c r="H518" t="n">
        <v>0</v>
      </c>
      <c r="I518" t="n">
        <v>0</v>
      </c>
      <c r="J518" t="n">
        <v>0</v>
      </c>
      <c r="K518" t="n">
        <v>0</v>
      </c>
      <c r="L518" t="n">
        <v>0</v>
      </c>
      <c r="M518" t="n">
        <v>0</v>
      </c>
      <c r="N518" t="n">
        <v>0</v>
      </c>
      <c r="O518" t="n">
        <v>0</v>
      </c>
      <c r="P518" t="n">
        <v>0</v>
      </c>
      <c r="Q518" t="n">
        <v>0</v>
      </c>
      <c r="R518" s="2" t="inlineStr"/>
    </row>
    <row r="519" ht="15" customHeight="1">
      <c r="A519" t="inlineStr">
        <is>
          <t>A 11704-2023</t>
        </is>
      </c>
      <c r="B519" s="1" t="n">
        <v>44994.54274305556</v>
      </c>
      <c r="C519" s="1" t="n">
        <v>45995</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37067-2023</t>
        </is>
      </c>
      <c r="B520" s="1" t="n">
        <v>45154</v>
      </c>
      <c r="C520" s="1" t="n">
        <v>45995</v>
      </c>
      <c r="D520" t="inlineStr">
        <is>
          <t>JÄMTLANDS LÄN</t>
        </is>
      </c>
      <c r="E520" t="inlineStr">
        <is>
          <t>BERG</t>
        </is>
      </c>
      <c r="G520" t="n">
        <v>7.4</v>
      </c>
      <c r="H520" t="n">
        <v>0</v>
      </c>
      <c r="I520" t="n">
        <v>0</v>
      </c>
      <c r="J520" t="n">
        <v>0</v>
      </c>
      <c r="K520" t="n">
        <v>0</v>
      </c>
      <c r="L520" t="n">
        <v>0</v>
      </c>
      <c r="M520" t="n">
        <v>0</v>
      </c>
      <c r="N520" t="n">
        <v>0</v>
      </c>
      <c r="O520" t="n">
        <v>0</v>
      </c>
      <c r="P520" t="n">
        <v>0</v>
      </c>
      <c r="Q520" t="n">
        <v>0</v>
      </c>
      <c r="R520" s="2" t="inlineStr"/>
    </row>
    <row r="521" ht="15" customHeight="1">
      <c r="A521" t="inlineStr">
        <is>
          <t>A 45459-2025</t>
        </is>
      </c>
      <c r="B521" s="1" t="n">
        <v>45922.49230324074</v>
      </c>
      <c r="C521" s="1" t="n">
        <v>45995</v>
      </c>
      <c r="D521" t="inlineStr">
        <is>
          <t>JÄMTLANDS LÄN</t>
        </is>
      </c>
      <c r="E521" t="inlineStr">
        <is>
          <t>BERG</t>
        </is>
      </c>
      <c r="F521" t="inlineStr">
        <is>
          <t>Kyrkan</t>
        </is>
      </c>
      <c r="G521" t="n">
        <v>8</v>
      </c>
      <c r="H521" t="n">
        <v>0</v>
      </c>
      <c r="I521" t="n">
        <v>0</v>
      </c>
      <c r="J521" t="n">
        <v>0</v>
      </c>
      <c r="K521" t="n">
        <v>0</v>
      </c>
      <c r="L521" t="n">
        <v>0</v>
      </c>
      <c r="M521" t="n">
        <v>0</v>
      </c>
      <c r="N521" t="n">
        <v>0</v>
      </c>
      <c r="O521" t="n">
        <v>0</v>
      </c>
      <c r="P521" t="n">
        <v>0</v>
      </c>
      <c r="Q521" t="n">
        <v>0</v>
      </c>
      <c r="R521" s="2" t="inlineStr"/>
    </row>
    <row r="522" ht="15" customHeight="1">
      <c r="A522" t="inlineStr">
        <is>
          <t>A 15992-2025</t>
        </is>
      </c>
      <c r="B522" s="1" t="n">
        <v>45749.58319444444</v>
      </c>
      <c r="C522" s="1" t="n">
        <v>45995</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45171-2025</t>
        </is>
      </c>
      <c r="B523" s="1" t="n">
        <v>45919.50256944444</v>
      </c>
      <c r="C523" s="1" t="n">
        <v>45995</v>
      </c>
      <c r="D523" t="inlineStr">
        <is>
          <t>JÄMTLANDS LÄN</t>
        </is>
      </c>
      <c r="E523" t="inlineStr">
        <is>
          <t>BERG</t>
        </is>
      </c>
      <c r="F523" t="inlineStr">
        <is>
          <t>Övriga Aktiebolag</t>
        </is>
      </c>
      <c r="G523" t="n">
        <v>10.7</v>
      </c>
      <c r="H523" t="n">
        <v>0</v>
      </c>
      <c r="I523" t="n">
        <v>0</v>
      </c>
      <c r="J523" t="n">
        <v>0</v>
      </c>
      <c r="K523" t="n">
        <v>0</v>
      </c>
      <c r="L523" t="n">
        <v>0</v>
      </c>
      <c r="M523" t="n">
        <v>0</v>
      </c>
      <c r="N523" t="n">
        <v>0</v>
      </c>
      <c r="O523" t="n">
        <v>0</v>
      </c>
      <c r="P523" t="n">
        <v>0</v>
      </c>
      <c r="Q523" t="n">
        <v>0</v>
      </c>
      <c r="R523" s="2" t="inlineStr"/>
    </row>
    <row r="524" ht="15" customHeight="1">
      <c r="A524" t="inlineStr">
        <is>
          <t>A 12611-2025</t>
        </is>
      </c>
      <c r="B524" s="1" t="n">
        <v>45733.33921296296</v>
      </c>
      <c r="C524" s="1" t="n">
        <v>45995</v>
      </c>
      <c r="D524" t="inlineStr">
        <is>
          <t>JÄMTLANDS LÄN</t>
        </is>
      </c>
      <c r="E524" t="inlineStr">
        <is>
          <t>BERG</t>
        </is>
      </c>
      <c r="G524" t="n">
        <v>7.7</v>
      </c>
      <c r="H524" t="n">
        <v>0</v>
      </c>
      <c r="I524" t="n">
        <v>0</v>
      </c>
      <c r="J524" t="n">
        <v>0</v>
      </c>
      <c r="K524" t="n">
        <v>0</v>
      </c>
      <c r="L524" t="n">
        <v>0</v>
      </c>
      <c r="M524" t="n">
        <v>0</v>
      </c>
      <c r="N524" t="n">
        <v>0</v>
      </c>
      <c r="O524" t="n">
        <v>0</v>
      </c>
      <c r="P524" t="n">
        <v>0</v>
      </c>
      <c r="Q524" t="n">
        <v>0</v>
      </c>
      <c r="R524" s="2" t="inlineStr"/>
    </row>
    <row r="525" ht="15" customHeight="1">
      <c r="A525" t="inlineStr">
        <is>
          <t>A 53859-2025</t>
        </is>
      </c>
      <c r="B525" s="1" t="n">
        <v>45961</v>
      </c>
      <c r="C525" s="1" t="n">
        <v>45995</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54852-2025</t>
        </is>
      </c>
      <c r="B526" s="1" t="n">
        <v>45966.71946759259</v>
      </c>
      <c r="C526" s="1" t="n">
        <v>45995</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45640-2025</t>
        </is>
      </c>
      <c r="B527" s="1" t="n">
        <v>45922.961875</v>
      </c>
      <c r="C527" s="1" t="n">
        <v>45995</v>
      </c>
      <c r="D527" t="inlineStr">
        <is>
          <t>JÄMTLANDS LÄN</t>
        </is>
      </c>
      <c r="E527" t="inlineStr">
        <is>
          <t>BERG</t>
        </is>
      </c>
      <c r="G527" t="n">
        <v>2.3</v>
      </c>
      <c r="H527" t="n">
        <v>0</v>
      </c>
      <c r="I527" t="n">
        <v>0</v>
      </c>
      <c r="J527" t="n">
        <v>0</v>
      </c>
      <c r="K527" t="n">
        <v>0</v>
      </c>
      <c r="L527" t="n">
        <v>0</v>
      </c>
      <c r="M527" t="n">
        <v>0</v>
      </c>
      <c r="N527" t="n">
        <v>0</v>
      </c>
      <c r="O527" t="n">
        <v>0</v>
      </c>
      <c r="P527" t="n">
        <v>0</v>
      </c>
      <c r="Q527" t="n">
        <v>0</v>
      </c>
      <c r="R527" s="2" t="inlineStr"/>
    </row>
    <row r="528" ht="15" customHeight="1">
      <c r="A528" t="inlineStr">
        <is>
          <t>A 41868-2024</t>
        </is>
      </c>
      <c r="B528" s="1" t="n">
        <v>45561.46900462963</v>
      </c>
      <c r="C528" s="1" t="n">
        <v>45995</v>
      </c>
      <c r="D528" t="inlineStr">
        <is>
          <t>JÄMTLANDS LÄN</t>
        </is>
      </c>
      <c r="E528" t="inlineStr">
        <is>
          <t>BERG</t>
        </is>
      </c>
      <c r="G528" t="n">
        <v>2.3</v>
      </c>
      <c r="H528" t="n">
        <v>0</v>
      </c>
      <c r="I528" t="n">
        <v>0</v>
      </c>
      <c r="J528" t="n">
        <v>0</v>
      </c>
      <c r="K528" t="n">
        <v>0</v>
      </c>
      <c r="L528" t="n">
        <v>0</v>
      </c>
      <c r="M528" t="n">
        <v>0</v>
      </c>
      <c r="N528" t="n">
        <v>0</v>
      </c>
      <c r="O528" t="n">
        <v>0</v>
      </c>
      <c r="P528" t="n">
        <v>0</v>
      </c>
      <c r="Q528" t="n">
        <v>0</v>
      </c>
      <c r="R528" s="2" t="inlineStr"/>
    </row>
    <row r="529" ht="15" customHeight="1">
      <c r="A529" t="inlineStr">
        <is>
          <t>A 34845-2023</t>
        </is>
      </c>
      <c r="B529" s="1" t="n">
        <v>45141.95964120371</v>
      </c>
      <c r="C529" s="1" t="n">
        <v>45995</v>
      </c>
      <c r="D529" t="inlineStr">
        <is>
          <t>JÄMTLANDS LÄN</t>
        </is>
      </c>
      <c r="E529" t="inlineStr">
        <is>
          <t>BERG</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45206-2024</t>
        </is>
      </c>
      <c r="B530" s="1" t="n">
        <v>45575.69966435185</v>
      </c>
      <c r="C530" s="1" t="n">
        <v>45995</v>
      </c>
      <c r="D530" t="inlineStr">
        <is>
          <t>JÄMTLANDS LÄN</t>
        </is>
      </c>
      <c r="E530" t="inlineStr">
        <is>
          <t>BERG</t>
        </is>
      </c>
      <c r="G530" t="n">
        <v>2.3</v>
      </c>
      <c r="H530" t="n">
        <v>0</v>
      </c>
      <c r="I530" t="n">
        <v>0</v>
      </c>
      <c r="J530" t="n">
        <v>0</v>
      </c>
      <c r="K530" t="n">
        <v>0</v>
      </c>
      <c r="L530" t="n">
        <v>0</v>
      </c>
      <c r="M530" t="n">
        <v>0</v>
      </c>
      <c r="N530" t="n">
        <v>0</v>
      </c>
      <c r="O530" t="n">
        <v>0</v>
      </c>
      <c r="P530" t="n">
        <v>0</v>
      </c>
      <c r="Q530" t="n">
        <v>0</v>
      </c>
      <c r="R530" s="2" t="inlineStr"/>
    </row>
    <row r="531" ht="15" customHeight="1">
      <c r="A531" t="inlineStr">
        <is>
          <t>A 54825-2025</t>
        </is>
      </c>
      <c r="B531" s="1" t="n">
        <v>45966.66768518519</v>
      </c>
      <c r="C531" s="1" t="n">
        <v>45995</v>
      </c>
      <c r="D531" t="inlineStr">
        <is>
          <t>JÄMTLANDS LÄN</t>
        </is>
      </c>
      <c r="E531" t="inlineStr">
        <is>
          <t>BERG</t>
        </is>
      </c>
      <c r="G531" t="n">
        <v>0.7</v>
      </c>
      <c r="H531" t="n">
        <v>0</v>
      </c>
      <c r="I531" t="n">
        <v>0</v>
      </c>
      <c r="J531" t="n">
        <v>0</v>
      </c>
      <c r="K531" t="n">
        <v>0</v>
      </c>
      <c r="L531" t="n">
        <v>0</v>
      </c>
      <c r="M531" t="n">
        <v>0</v>
      </c>
      <c r="N531" t="n">
        <v>0</v>
      </c>
      <c r="O531" t="n">
        <v>0</v>
      </c>
      <c r="P531" t="n">
        <v>0</v>
      </c>
      <c r="Q531" t="n">
        <v>0</v>
      </c>
      <c r="R531" s="2" t="inlineStr"/>
    </row>
    <row r="532" ht="15" customHeight="1">
      <c r="A532" t="inlineStr">
        <is>
          <t>A 45912-2025</t>
        </is>
      </c>
      <c r="B532" s="1" t="n">
        <v>45923</v>
      </c>
      <c r="C532" s="1" t="n">
        <v>45995</v>
      </c>
      <c r="D532" t="inlineStr">
        <is>
          <t>JÄMTLANDS LÄN</t>
        </is>
      </c>
      <c r="E532" t="inlineStr">
        <is>
          <t>BERG</t>
        </is>
      </c>
      <c r="G532" t="n">
        <v>1.1</v>
      </c>
      <c r="H532" t="n">
        <v>0</v>
      </c>
      <c r="I532" t="n">
        <v>0</v>
      </c>
      <c r="J532" t="n">
        <v>0</v>
      </c>
      <c r="K532" t="n">
        <v>0</v>
      </c>
      <c r="L532" t="n">
        <v>0</v>
      </c>
      <c r="M532" t="n">
        <v>0</v>
      </c>
      <c r="N532" t="n">
        <v>0</v>
      </c>
      <c r="O532" t="n">
        <v>0</v>
      </c>
      <c r="P532" t="n">
        <v>0</v>
      </c>
      <c r="Q532" t="n">
        <v>0</v>
      </c>
      <c r="R532" s="2" t="inlineStr"/>
    </row>
    <row r="533" ht="15" customHeight="1">
      <c r="A533" t="inlineStr">
        <is>
          <t>A 60404-2023</t>
        </is>
      </c>
      <c r="B533" s="1" t="n">
        <v>45259.46332175926</v>
      </c>
      <c r="C533" s="1" t="n">
        <v>45995</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31330-2024</t>
        </is>
      </c>
      <c r="B534" s="1" t="n">
        <v>45504</v>
      </c>
      <c r="C534" s="1" t="n">
        <v>45995</v>
      </c>
      <c r="D534" t="inlineStr">
        <is>
          <t>JÄMTLANDS LÄN</t>
        </is>
      </c>
      <c r="E534" t="inlineStr">
        <is>
          <t>BERG</t>
        </is>
      </c>
      <c r="G534" t="n">
        <v>30.5</v>
      </c>
      <c r="H534" t="n">
        <v>0</v>
      </c>
      <c r="I534" t="n">
        <v>0</v>
      </c>
      <c r="J534" t="n">
        <v>0</v>
      </c>
      <c r="K534" t="n">
        <v>0</v>
      </c>
      <c r="L534" t="n">
        <v>0</v>
      </c>
      <c r="M534" t="n">
        <v>0</v>
      </c>
      <c r="N534" t="n">
        <v>0</v>
      </c>
      <c r="O534" t="n">
        <v>0</v>
      </c>
      <c r="P534" t="n">
        <v>0</v>
      </c>
      <c r="Q534" t="n">
        <v>0</v>
      </c>
      <c r="R534" s="2" t="inlineStr"/>
    </row>
    <row r="535" ht="15" customHeight="1">
      <c r="A535" t="inlineStr">
        <is>
          <t>A 60587-2022</t>
        </is>
      </c>
      <c r="B535" s="1" t="n">
        <v>44911.58445601852</v>
      </c>
      <c r="C535" s="1" t="n">
        <v>45995</v>
      </c>
      <c r="D535" t="inlineStr">
        <is>
          <t>JÄMTLANDS LÄN</t>
        </is>
      </c>
      <c r="E535" t="inlineStr">
        <is>
          <t>BERG</t>
        </is>
      </c>
      <c r="G535" t="n">
        <v>4.8</v>
      </c>
      <c r="H535" t="n">
        <v>0</v>
      </c>
      <c r="I535" t="n">
        <v>0</v>
      </c>
      <c r="J535" t="n">
        <v>0</v>
      </c>
      <c r="K535" t="n">
        <v>0</v>
      </c>
      <c r="L535" t="n">
        <v>0</v>
      </c>
      <c r="M535" t="n">
        <v>0</v>
      </c>
      <c r="N535" t="n">
        <v>0</v>
      </c>
      <c r="O535" t="n">
        <v>0</v>
      </c>
      <c r="P535" t="n">
        <v>0</v>
      </c>
      <c r="Q535" t="n">
        <v>0</v>
      </c>
      <c r="R535" s="2" t="inlineStr"/>
    </row>
    <row r="536" ht="15" customHeight="1">
      <c r="A536" t="inlineStr">
        <is>
          <t>A 14153-2023</t>
        </is>
      </c>
      <c r="B536" s="1" t="n">
        <v>45008</v>
      </c>
      <c r="C536" s="1" t="n">
        <v>45995</v>
      </c>
      <c r="D536" t="inlineStr">
        <is>
          <t>JÄMTLANDS LÄN</t>
        </is>
      </c>
      <c r="E536" t="inlineStr">
        <is>
          <t>BERG</t>
        </is>
      </c>
      <c r="G536" t="n">
        <v>1.1</v>
      </c>
      <c r="H536" t="n">
        <v>0</v>
      </c>
      <c r="I536" t="n">
        <v>0</v>
      </c>
      <c r="J536" t="n">
        <v>0</v>
      </c>
      <c r="K536" t="n">
        <v>0</v>
      </c>
      <c r="L536" t="n">
        <v>0</v>
      </c>
      <c r="M536" t="n">
        <v>0</v>
      </c>
      <c r="N536" t="n">
        <v>0</v>
      </c>
      <c r="O536" t="n">
        <v>0</v>
      </c>
      <c r="P536" t="n">
        <v>0</v>
      </c>
      <c r="Q536" t="n">
        <v>0</v>
      </c>
      <c r="R536" s="2" t="inlineStr"/>
    </row>
    <row r="537" ht="15" customHeight="1">
      <c r="A537" t="inlineStr">
        <is>
          <t>A 45657-2025</t>
        </is>
      </c>
      <c r="B537" s="1" t="n">
        <v>45923.34453703704</v>
      </c>
      <c r="C537" s="1" t="n">
        <v>45995</v>
      </c>
      <c r="D537" t="inlineStr">
        <is>
          <t>JÄMTLANDS LÄN</t>
        </is>
      </c>
      <c r="E537" t="inlineStr">
        <is>
          <t>BERG</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54720-2025</t>
        </is>
      </c>
      <c r="B538" s="1" t="n">
        <v>45966.53177083333</v>
      </c>
      <c r="C538" s="1" t="n">
        <v>45995</v>
      </c>
      <c r="D538" t="inlineStr">
        <is>
          <t>JÄMTLANDS LÄN</t>
        </is>
      </c>
      <c r="E538" t="inlineStr">
        <is>
          <t>BERG</t>
        </is>
      </c>
      <c r="G538" t="n">
        <v>0.6</v>
      </c>
      <c r="H538" t="n">
        <v>0</v>
      </c>
      <c r="I538" t="n">
        <v>0</v>
      </c>
      <c r="J538" t="n">
        <v>0</v>
      </c>
      <c r="K538" t="n">
        <v>0</v>
      </c>
      <c r="L538" t="n">
        <v>0</v>
      </c>
      <c r="M538" t="n">
        <v>0</v>
      </c>
      <c r="N538" t="n">
        <v>0</v>
      </c>
      <c r="O538" t="n">
        <v>0</v>
      </c>
      <c r="P538" t="n">
        <v>0</v>
      </c>
      <c r="Q538" t="n">
        <v>0</v>
      </c>
      <c r="R538" s="2" t="inlineStr"/>
    </row>
    <row r="539" ht="15" customHeight="1">
      <c r="A539" t="inlineStr">
        <is>
          <t>A 55223-2025</t>
        </is>
      </c>
      <c r="B539" s="1" t="n">
        <v>45968.59439814815</v>
      </c>
      <c r="C539" s="1" t="n">
        <v>45995</v>
      </c>
      <c r="D539" t="inlineStr">
        <is>
          <t>JÄMTLANDS LÄN</t>
        </is>
      </c>
      <c r="E539" t="inlineStr">
        <is>
          <t>BERG</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55043-2025</t>
        </is>
      </c>
      <c r="B540" s="1" t="n">
        <v>45967.65983796296</v>
      </c>
      <c r="C540" s="1" t="n">
        <v>45995</v>
      </c>
      <c r="D540" t="inlineStr">
        <is>
          <t>JÄMTLANDS LÄN</t>
        </is>
      </c>
      <c r="E540" t="inlineStr">
        <is>
          <t>BERG</t>
        </is>
      </c>
      <c r="G540" t="n">
        <v>3</v>
      </c>
      <c r="H540" t="n">
        <v>0</v>
      </c>
      <c r="I540" t="n">
        <v>0</v>
      </c>
      <c r="J540" t="n">
        <v>0</v>
      </c>
      <c r="K540" t="n">
        <v>0</v>
      </c>
      <c r="L540" t="n">
        <v>0</v>
      </c>
      <c r="M540" t="n">
        <v>0</v>
      </c>
      <c r="N540" t="n">
        <v>0</v>
      </c>
      <c r="O540" t="n">
        <v>0</v>
      </c>
      <c r="P540" t="n">
        <v>0</v>
      </c>
      <c r="Q540" t="n">
        <v>0</v>
      </c>
      <c r="R540" s="2" t="inlineStr"/>
    </row>
    <row r="541" ht="15" customHeight="1">
      <c r="A541" t="inlineStr">
        <is>
          <t>A 34367-2024</t>
        </is>
      </c>
      <c r="B541" s="1" t="n">
        <v>45525.38040509259</v>
      </c>
      <c r="C541" s="1" t="n">
        <v>45995</v>
      </c>
      <c r="D541" t="inlineStr">
        <is>
          <t>JÄMTLANDS LÄN</t>
        </is>
      </c>
      <c r="E541" t="inlineStr">
        <is>
          <t>BERG</t>
        </is>
      </c>
      <c r="G541" t="n">
        <v>0.4</v>
      </c>
      <c r="H541" t="n">
        <v>0</v>
      </c>
      <c r="I541" t="n">
        <v>0</v>
      </c>
      <c r="J541" t="n">
        <v>0</v>
      </c>
      <c r="K541" t="n">
        <v>0</v>
      </c>
      <c r="L541" t="n">
        <v>0</v>
      </c>
      <c r="M541" t="n">
        <v>0</v>
      </c>
      <c r="N541" t="n">
        <v>0</v>
      </c>
      <c r="O541" t="n">
        <v>0</v>
      </c>
      <c r="P541" t="n">
        <v>0</v>
      </c>
      <c r="Q541" t="n">
        <v>0</v>
      </c>
      <c r="R541" s="2" t="inlineStr"/>
    </row>
    <row r="542" ht="15" customHeight="1">
      <c r="A542" t="inlineStr">
        <is>
          <t>A 34369-2024</t>
        </is>
      </c>
      <c r="B542" s="1" t="n">
        <v>45525.38228009259</v>
      </c>
      <c r="C542" s="1" t="n">
        <v>45995</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149-2024</t>
        </is>
      </c>
      <c r="B543" s="1" t="n">
        <v>45294</v>
      </c>
      <c r="C543" s="1" t="n">
        <v>45995</v>
      </c>
      <c r="D543" t="inlineStr">
        <is>
          <t>JÄMTLANDS LÄN</t>
        </is>
      </c>
      <c r="E543" t="inlineStr">
        <is>
          <t>BERG</t>
        </is>
      </c>
      <c r="F543" t="inlineStr">
        <is>
          <t>Kyrkan</t>
        </is>
      </c>
      <c r="G543" t="n">
        <v>3.7</v>
      </c>
      <c r="H543" t="n">
        <v>0</v>
      </c>
      <c r="I543" t="n">
        <v>0</v>
      </c>
      <c r="J543" t="n">
        <v>0</v>
      </c>
      <c r="K543" t="n">
        <v>0</v>
      </c>
      <c r="L543" t="n">
        <v>0</v>
      </c>
      <c r="M543" t="n">
        <v>0</v>
      </c>
      <c r="N543" t="n">
        <v>0</v>
      </c>
      <c r="O543" t="n">
        <v>0</v>
      </c>
      <c r="P543" t="n">
        <v>0</v>
      </c>
      <c r="Q543" t="n">
        <v>0</v>
      </c>
      <c r="R543" s="2" t="inlineStr"/>
    </row>
    <row r="544" ht="15" customHeight="1">
      <c r="A544" t="inlineStr">
        <is>
          <t>A 52774-2023</t>
        </is>
      </c>
      <c r="B544" s="1" t="n">
        <v>45219</v>
      </c>
      <c r="C544" s="1" t="n">
        <v>45995</v>
      </c>
      <c r="D544" t="inlineStr">
        <is>
          <t>JÄMTLANDS LÄN</t>
        </is>
      </c>
      <c r="E544" t="inlineStr">
        <is>
          <t>BERG</t>
        </is>
      </c>
      <c r="G544" t="n">
        <v>1.1</v>
      </c>
      <c r="H544" t="n">
        <v>0</v>
      </c>
      <c r="I544" t="n">
        <v>0</v>
      </c>
      <c r="J544" t="n">
        <v>0</v>
      </c>
      <c r="K544" t="n">
        <v>0</v>
      </c>
      <c r="L544" t="n">
        <v>0</v>
      </c>
      <c r="M544" t="n">
        <v>0</v>
      </c>
      <c r="N544" t="n">
        <v>0</v>
      </c>
      <c r="O544" t="n">
        <v>0</v>
      </c>
      <c r="P544" t="n">
        <v>0</v>
      </c>
      <c r="Q544" t="n">
        <v>0</v>
      </c>
      <c r="R544" s="2" t="inlineStr"/>
    </row>
    <row r="545" ht="15" customHeight="1">
      <c r="A545" t="inlineStr">
        <is>
          <t>A 55267-2025</t>
        </is>
      </c>
      <c r="B545" s="1" t="n">
        <v>45968.66726851852</v>
      </c>
      <c r="C545" s="1" t="n">
        <v>45995</v>
      </c>
      <c r="D545" t="inlineStr">
        <is>
          <t>JÄMTLANDS LÄN</t>
        </is>
      </c>
      <c r="E545" t="inlineStr">
        <is>
          <t>BERG</t>
        </is>
      </c>
      <c r="G545" t="n">
        <v>1.4</v>
      </c>
      <c r="H545" t="n">
        <v>0</v>
      </c>
      <c r="I545" t="n">
        <v>0</v>
      </c>
      <c r="J545" t="n">
        <v>0</v>
      </c>
      <c r="K545" t="n">
        <v>0</v>
      </c>
      <c r="L545" t="n">
        <v>0</v>
      </c>
      <c r="M545" t="n">
        <v>0</v>
      </c>
      <c r="N545" t="n">
        <v>0</v>
      </c>
      <c r="O545" t="n">
        <v>0</v>
      </c>
      <c r="P545" t="n">
        <v>0</v>
      </c>
      <c r="Q545" t="n">
        <v>0</v>
      </c>
      <c r="R545" s="2" t="inlineStr"/>
    </row>
    <row r="546" ht="15" customHeight="1">
      <c r="A546" t="inlineStr">
        <is>
          <t>A 11274-2025</t>
        </is>
      </c>
      <c r="B546" s="1" t="n">
        <v>45726.40868055556</v>
      </c>
      <c r="C546" s="1" t="n">
        <v>45995</v>
      </c>
      <c r="D546" t="inlineStr">
        <is>
          <t>JÄMTLANDS LÄN</t>
        </is>
      </c>
      <c r="E546" t="inlineStr">
        <is>
          <t>BERG</t>
        </is>
      </c>
      <c r="G546" t="n">
        <v>3</v>
      </c>
      <c r="H546" t="n">
        <v>0</v>
      </c>
      <c r="I546" t="n">
        <v>0</v>
      </c>
      <c r="J546" t="n">
        <v>0</v>
      </c>
      <c r="K546" t="n">
        <v>0</v>
      </c>
      <c r="L546" t="n">
        <v>0</v>
      </c>
      <c r="M546" t="n">
        <v>0</v>
      </c>
      <c r="N546" t="n">
        <v>0</v>
      </c>
      <c r="O546" t="n">
        <v>0</v>
      </c>
      <c r="P546" t="n">
        <v>0</v>
      </c>
      <c r="Q546" t="n">
        <v>0</v>
      </c>
      <c r="R546" s="2" t="inlineStr"/>
    </row>
    <row r="547" ht="15" customHeight="1">
      <c r="A547" t="inlineStr">
        <is>
          <t>A 16553-2025</t>
        </is>
      </c>
      <c r="B547" s="1" t="n">
        <v>45751.69967592593</v>
      </c>
      <c r="C547" s="1" t="n">
        <v>45995</v>
      </c>
      <c r="D547" t="inlineStr">
        <is>
          <t>JÄMTLANDS LÄN</t>
        </is>
      </c>
      <c r="E547" t="inlineStr">
        <is>
          <t>BERG</t>
        </is>
      </c>
      <c r="G547" t="n">
        <v>2</v>
      </c>
      <c r="H547" t="n">
        <v>0</v>
      </c>
      <c r="I547" t="n">
        <v>0</v>
      </c>
      <c r="J547" t="n">
        <v>0</v>
      </c>
      <c r="K547" t="n">
        <v>0</v>
      </c>
      <c r="L547" t="n">
        <v>0</v>
      </c>
      <c r="M547" t="n">
        <v>0</v>
      </c>
      <c r="N547" t="n">
        <v>0</v>
      </c>
      <c r="O547" t="n">
        <v>0</v>
      </c>
      <c r="P547" t="n">
        <v>0</v>
      </c>
      <c r="Q547" t="n">
        <v>0</v>
      </c>
      <c r="R547" s="2" t="inlineStr"/>
    </row>
    <row r="548" ht="15" customHeight="1">
      <c r="A548" t="inlineStr">
        <is>
          <t>A 46811-2025</t>
        </is>
      </c>
      <c r="B548" s="1" t="n">
        <v>45926.69831018519</v>
      </c>
      <c r="C548" s="1" t="n">
        <v>45995</v>
      </c>
      <c r="D548" t="inlineStr">
        <is>
          <t>JÄMTLANDS LÄN</t>
        </is>
      </c>
      <c r="E548" t="inlineStr">
        <is>
          <t>BERG</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55022-2025</t>
        </is>
      </c>
      <c r="B549" s="1" t="n">
        <v>45967.62862268519</v>
      </c>
      <c r="C549" s="1" t="n">
        <v>45995</v>
      </c>
      <c r="D549" t="inlineStr">
        <is>
          <t>JÄMTLANDS LÄN</t>
        </is>
      </c>
      <c r="E549" t="inlineStr">
        <is>
          <t>BERG</t>
        </is>
      </c>
      <c r="G549" t="n">
        <v>0.5</v>
      </c>
      <c r="H549" t="n">
        <v>0</v>
      </c>
      <c r="I549" t="n">
        <v>0</v>
      </c>
      <c r="J549" t="n">
        <v>0</v>
      </c>
      <c r="K549" t="n">
        <v>0</v>
      </c>
      <c r="L549" t="n">
        <v>0</v>
      </c>
      <c r="M549" t="n">
        <v>0</v>
      </c>
      <c r="N549" t="n">
        <v>0</v>
      </c>
      <c r="O549" t="n">
        <v>0</v>
      </c>
      <c r="P549" t="n">
        <v>0</v>
      </c>
      <c r="Q549" t="n">
        <v>0</v>
      </c>
      <c r="R549" s="2" t="inlineStr"/>
    </row>
    <row r="550" ht="15" customHeight="1">
      <c r="A550" t="inlineStr">
        <is>
          <t>A 55224-2025</t>
        </is>
      </c>
      <c r="B550" s="1" t="n">
        <v>45968.59447916667</v>
      </c>
      <c r="C550" s="1" t="n">
        <v>45995</v>
      </c>
      <c r="D550" t="inlineStr">
        <is>
          <t>JÄMTLANDS LÄN</t>
        </is>
      </c>
      <c r="E550" t="inlineStr">
        <is>
          <t>BERG</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13108-2025</t>
        </is>
      </c>
      <c r="B551" s="1" t="n">
        <v>45734</v>
      </c>
      <c r="C551" s="1" t="n">
        <v>45995</v>
      </c>
      <c r="D551" t="inlineStr">
        <is>
          <t>JÄMTLANDS LÄN</t>
        </is>
      </c>
      <c r="E551" t="inlineStr">
        <is>
          <t>BERG</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65210-2023</t>
        </is>
      </c>
      <c r="B552" s="1" t="n">
        <v>45289</v>
      </c>
      <c r="C552" s="1" t="n">
        <v>45995</v>
      </c>
      <c r="D552" t="inlineStr">
        <is>
          <t>JÄMTLANDS LÄN</t>
        </is>
      </c>
      <c r="E552" t="inlineStr">
        <is>
          <t>BERG</t>
        </is>
      </c>
      <c r="G552" t="n">
        <v>0.4</v>
      </c>
      <c r="H552" t="n">
        <v>0</v>
      </c>
      <c r="I552" t="n">
        <v>0</v>
      </c>
      <c r="J552" t="n">
        <v>0</v>
      </c>
      <c r="K552" t="n">
        <v>0</v>
      </c>
      <c r="L552" t="n">
        <v>0</v>
      </c>
      <c r="M552" t="n">
        <v>0</v>
      </c>
      <c r="N552" t="n">
        <v>0</v>
      </c>
      <c r="O552" t="n">
        <v>0</v>
      </c>
      <c r="P552" t="n">
        <v>0</v>
      </c>
      <c r="Q552" t="n">
        <v>0</v>
      </c>
      <c r="R552" s="2" t="inlineStr"/>
    </row>
    <row r="553" ht="15" customHeight="1">
      <c r="A553" t="inlineStr">
        <is>
          <t>A 51172-2024</t>
        </is>
      </c>
      <c r="B553" s="1" t="n">
        <v>45603.59056712963</v>
      </c>
      <c r="C553" s="1" t="n">
        <v>45995</v>
      </c>
      <c r="D553" t="inlineStr">
        <is>
          <t>JÄMTLANDS LÄN</t>
        </is>
      </c>
      <c r="E553" t="inlineStr">
        <is>
          <t>BERG</t>
        </is>
      </c>
      <c r="G553" t="n">
        <v>12.2</v>
      </c>
      <c r="H553" t="n">
        <v>0</v>
      </c>
      <c r="I553" t="n">
        <v>0</v>
      </c>
      <c r="J553" t="n">
        <v>0</v>
      </c>
      <c r="K553" t="n">
        <v>0</v>
      </c>
      <c r="L553" t="n">
        <v>0</v>
      </c>
      <c r="M553" t="n">
        <v>0</v>
      </c>
      <c r="N553" t="n">
        <v>0</v>
      </c>
      <c r="O553" t="n">
        <v>0</v>
      </c>
      <c r="P553" t="n">
        <v>0</v>
      </c>
      <c r="Q553" t="n">
        <v>0</v>
      </c>
      <c r="R553" s="2" t="inlineStr"/>
    </row>
    <row r="554" ht="15" customHeight="1">
      <c r="A554" t="inlineStr">
        <is>
          <t>A 9077-2023</t>
        </is>
      </c>
      <c r="B554" s="1" t="n">
        <v>44979</v>
      </c>
      <c r="C554" s="1" t="n">
        <v>45995</v>
      </c>
      <c r="D554" t="inlineStr">
        <is>
          <t>JÄMTLANDS LÄN</t>
        </is>
      </c>
      <c r="E554" t="inlineStr">
        <is>
          <t>BERG</t>
        </is>
      </c>
      <c r="G554" t="n">
        <v>3.6</v>
      </c>
      <c r="H554" t="n">
        <v>0</v>
      </c>
      <c r="I554" t="n">
        <v>0</v>
      </c>
      <c r="J554" t="n">
        <v>0</v>
      </c>
      <c r="K554" t="n">
        <v>0</v>
      </c>
      <c r="L554" t="n">
        <v>0</v>
      </c>
      <c r="M554" t="n">
        <v>0</v>
      </c>
      <c r="N554" t="n">
        <v>0</v>
      </c>
      <c r="O554" t="n">
        <v>0</v>
      </c>
      <c r="P554" t="n">
        <v>0</v>
      </c>
      <c r="Q554" t="n">
        <v>0</v>
      </c>
      <c r="R554" s="2" t="inlineStr"/>
    </row>
    <row r="555" ht="15" customHeight="1">
      <c r="A555" t="inlineStr">
        <is>
          <t>A 47145-2025</t>
        </is>
      </c>
      <c r="B555" s="1" t="n">
        <v>45929.71310185185</v>
      </c>
      <c r="C555" s="1" t="n">
        <v>45995</v>
      </c>
      <c r="D555" t="inlineStr">
        <is>
          <t>JÄMTLANDS LÄN</t>
        </is>
      </c>
      <c r="E555" t="inlineStr">
        <is>
          <t>BERG</t>
        </is>
      </c>
      <c r="G555" t="n">
        <v>3.5</v>
      </c>
      <c r="H555" t="n">
        <v>0</v>
      </c>
      <c r="I555" t="n">
        <v>0</v>
      </c>
      <c r="J555" t="n">
        <v>0</v>
      </c>
      <c r="K555" t="n">
        <v>0</v>
      </c>
      <c r="L555" t="n">
        <v>0</v>
      </c>
      <c r="M555" t="n">
        <v>0</v>
      </c>
      <c r="N555" t="n">
        <v>0</v>
      </c>
      <c r="O555" t="n">
        <v>0</v>
      </c>
      <c r="P555" t="n">
        <v>0</v>
      </c>
      <c r="Q555" t="n">
        <v>0</v>
      </c>
      <c r="R555" s="2" t="inlineStr"/>
    </row>
    <row r="556" ht="15" customHeight="1">
      <c r="A556" t="inlineStr">
        <is>
          <t>A 60028-2022</t>
        </is>
      </c>
      <c r="B556" s="1" t="n">
        <v>44902</v>
      </c>
      <c r="C556" s="1" t="n">
        <v>45995</v>
      </c>
      <c r="D556" t="inlineStr">
        <is>
          <t>JÄMTLANDS LÄN</t>
        </is>
      </c>
      <c r="E556" t="inlineStr">
        <is>
          <t>BERG</t>
        </is>
      </c>
      <c r="G556" t="n">
        <v>20</v>
      </c>
      <c r="H556" t="n">
        <v>0</v>
      </c>
      <c r="I556" t="n">
        <v>0</v>
      </c>
      <c r="J556" t="n">
        <v>0</v>
      </c>
      <c r="K556" t="n">
        <v>0</v>
      </c>
      <c r="L556" t="n">
        <v>0</v>
      </c>
      <c r="M556" t="n">
        <v>0</v>
      </c>
      <c r="N556" t="n">
        <v>0</v>
      </c>
      <c r="O556" t="n">
        <v>0</v>
      </c>
      <c r="P556" t="n">
        <v>0</v>
      </c>
      <c r="Q556" t="n">
        <v>0</v>
      </c>
      <c r="R556" s="2" t="inlineStr"/>
    </row>
    <row r="557" ht="15" customHeight="1">
      <c r="A557" t="inlineStr">
        <is>
          <t>A 46853-2025</t>
        </is>
      </c>
      <c r="B557" s="1" t="n">
        <v>45928.86563657408</v>
      </c>
      <c r="C557" s="1" t="n">
        <v>45995</v>
      </c>
      <c r="D557" t="inlineStr">
        <is>
          <t>JÄMTLANDS LÄN</t>
        </is>
      </c>
      <c r="E557" t="inlineStr">
        <is>
          <t>BERG</t>
        </is>
      </c>
      <c r="F557" t="inlineStr">
        <is>
          <t>Kyrkan</t>
        </is>
      </c>
      <c r="G557" t="n">
        <v>7.9</v>
      </c>
      <c r="H557" t="n">
        <v>0</v>
      </c>
      <c r="I557" t="n">
        <v>0</v>
      </c>
      <c r="J557" t="n">
        <v>0</v>
      </c>
      <c r="K557" t="n">
        <v>0</v>
      </c>
      <c r="L557" t="n">
        <v>0</v>
      </c>
      <c r="M557" t="n">
        <v>0</v>
      </c>
      <c r="N557" t="n">
        <v>0</v>
      </c>
      <c r="O557" t="n">
        <v>0</v>
      </c>
      <c r="P557" t="n">
        <v>0</v>
      </c>
      <c r="Q557" t="n">
        <v>0</v>
      </c>
      <c r="R557" s="2" t="inlineStr"/>
    </row>
    <row r="558" ht="15" customHeight="1">
      <c r="A558" t="inlineStr">
        <is>
          <t>A 50172-2023</t>
        </is>
      </c>
      <c r="B558" s="1" t="n">
        <v>45208</v>
      </c>
      <c r="C558" s="1" t="n">
        <v>45995</v>
      </c>
      <c r="D558" t="inlineStr">
        <is>
          <t>JÄMTLANDS LÄN</t>
        </is>
      </c>
      <c r="E558" t="inlineStr">
        <is>
          <t>BERG</t>
        </is>
      </c>
      <c r="G558" t="n">
        <v>0.9</v>
      </c>
      <c r="H558" t="n">
        <v>0</v>
      </c>
      <c r="I558" t="n">
        <v>0</v>
      </c>
      <c r="J558" t="n">
        <v>0</v>
      </c>
      <c r="K558" t="n">
        <v>0</v>
      </c>
      <c r="L558" t="n">
        <v>0</v>
      </c>
      <c r="M558" t="n">
        <v>0</v>
      </c>
      <c r="N558" t="n">
        <v>0</v>
      </c>
      <c r="O558" t="n">
        <v>0</v>
      </c>
      <c r="P558" t="n">
        <v>0</v>
      </c>
      <c r="Q558" t="n">
        <v>0</v>
      </c>
      <c r="R558" s="2" t="inlineStr"/>
    </row>
    <row r="559" ht="15" customHeight="1">
      <c r="A559" t="inlineStr">
        <is>
          <t>A 47428-2025</t>
        </is>
      </c>
      <c r="B559" s="1" t="n">
        <v>45930</v>
      </c>
      <c r="C559" s="1" t="n">
        <v>45995</v>
      </c>
      <c r="D559" t="inlineStr">
        <is>
          <t>JÄMTLANDS LÄN</t>
        </is>
      </c>
      <c r="E559" t="inlineStr">
        <is>
          <t>BERG</t>
        </is>
      </c>
      <c r="G559" t="n">
        <v>3.4</v>
      </c>
      <c r="H559" t="n">
        <v>0</v>
      </c>
      <c r="I559" t="n">
        <v>0</v>
      </c>
      <c r="J559" t="n">
        <v>0</v>
      </c>
      <c r="K559" t="n">
        <v>0</v>
      </c>
      <c r="L559" t="n">
        <v>0</v>
      </c>
      <c r="M559" t="n">
        <v>0</v>
      </c>
      <c r="N559" t="n">
        <v>0</v>
      </c>
      <c r="O559" t="n">
        <v>0</v>
      </c>
      <c r="P559" t="n">
        <v>0</v>
      </c>
      <c r="Q559" t="n">
        <v>0</v>
      </c>
      <c r="R559" s="2" t="inlineStr"/>
    </row>
    <row r="560" ht="15" customHeight="1">
      <c r="A560" t="inlineStr">
        <is>
          <t>A 27239-2023</t>
        </is>
      </c>
      <c r="B560" s="1" t="n">
        <v>45092</v>
      </c>
      <c r="C560" s="1" t="n">
        <v>45995</v>
      </c>
      <c r="D560" t="inlineStr">
        <is>
          <t>JÄMTLANDS LÄN</t>
        </is>
      </c>
      <c r="E560" t="inlineStr">
        <is>
          <t>BERG</t>
        </is>
      </c>
      <c r="G560" t="n">
        <v>5.3</v>
      </c>
      <c r="H560" t="n">
        <v>0</v>
      </c>
      <c r="I560" t="n">
        <v>0</v>
      </c>
      <c r="J560" t="n">
        <v>0</v>
      </c>
      <c r="K560" t="n">
        <v>0</v>
      </c>
      <c r="L560" t="n">
        <v>0</v>
      </c>
      <c r="M560" t="n">
        <v>0</v>
      </c>
      <c r="N560" t="n">
        <v>0</v>
      </c>
      <c r="O560" t="n">
        <v>0</v>
      </c>
      <c r="P560" t="n">
        <v>0</v>
      </c>
      <c r="Q560" t="n">
        <v>0</v>
      </c>
      <c r="R560" s="2" t="inlineStr"/>
    </row>
    <row r="561" ht="15" customHeight="1">
      <c r="A561" t="inlineStr">
        <is>
          <t>A 47141-2025</t>
        </is>
      </c>
      <c r="B561" s="1" t="n">
        <v>45929.70355324074</v>
      </c>
      <c r="C561" s="1" t="n">
        <v>45995</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47197-2025</t>
        </is>
      </c>
      <c r="B562" s="1" t="n">
        <v>45930.34533564815</v>
      </c>
      <c r="C562" s="1" t="n">
        <v>45995</v>
      </c>
      <c r="D562" t="inlineStr">
        <is>
          <t>JÄMTLANDS LÄN</t>
        </is>
      </c>
      <c r="E562" t="inlineStr">
        <is>
          <t>BERG</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47430-2025</t>
        </is>
      </c>
      <c r="B563" s="1" t="n">
        <v>45930.63619212963</v>
      </c>
      <c r="C563" s="1" t="n">
        <v>45995</v>
      </c>
      <c r="D563" t="inlineStr">
        <is>
          <t>JÄMTLANDS LÄN</t>
        </is>
      </c>
      <c r="E563" t="inlineStr">
        <is>
          <t>BERG</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47431-2025</t>
        </is>
      </c>
      <c r="B564" s="1" t="n">
        <v>45930.63626157407</v>
      </c>
      <c r="C564" s="1" t="n">
        <v>45995</v>
      </c>
      <c r="D564" t="inlineStr">
        <is>
          <t>JÄMTLANDS LÄN</t>
        </is>
      </c>
      <c r="E564" t="inlineStr">
        <is>
          <t>BERG</t>
        </is>
      </c>
      <c r="F564" t="inlineStr">
        <is>
          <t>SCA</t>
        </is>
      </c>
      <c r="G564" t="n">
        <v>9.5</v>
      </c>
      <c r="H564" t="n">
        <v>0</v>
      </c>
      <c r="I564" t="n">
        <v>0</v>
      </c>
      <c r="J564" t="n">
        <v>0</v>
      </c>
      <c r="K564" t="n">
        <v>0</v>
      </c>
      <c r="L564" t="n">
        <v>0</v>
      </c>
      <c r="M564" t="n">
        <v>0</v>
      </c>
      <c r="N564" t="n">
        <v>0</v>
      </c>
      <c r="O564" t="n">
        <v>0</v>
      </c>
      <c r="P564" t="n">
        <v>0</v>
      </c>
      <c r="Q564" t="n">
        <v>0</v>
      </c>
      <c r="R564" s="2" t="inlineStr"/>
    </row>
    <row r="565" ht="15" customHeight="1">
      <c r="A565" t="inlineStr">
        <is>
          <t>A 46584-2025</t>
        </is>
      </c>
      <c r="B565" s="1" t="n">
        <v>45926</v>
      </c>
      <c r="C565" s="1" t="n">
        <v>45995</v>
      </c>
      <c r="D565" t="inlineStr">
        <is>
          <t>JÄMTLANDS LÄN</t>
        </is>
      </c>
      <c r="E565" t="inlineStr">
        <is>
          <t>BERG</t>
        </is>
      </c>
      <c r="G565" t="n">
        <v>17.1</v>
      </c>
      <c r="H565" t="n">
        <v>0</v>
      </c>
      <c r="I565" t="n">
        <v>0</v>
      </c>
      <c r="J565" t="n">
        <v>0</v>
      </c>
      <c r="K565" t="n">
        <v>0</v>
      </c>
      <c r="L565" t="n">
        <v>0</v>
      </c>
      <c r="M565" t="n">
        <v>0</v>
      </c>
      <c r="N565" t="n">
        <v>0</v>
      </c>
      <c r="O565" t="n">
        <v>0</v>
      </c>
      <c r="P565" t="n">
        <v>0</v>
      </c>
      <c r="Q565" t="n">
        <v>0</v>
      </c>
      <c r="R565" s="2" t="inlineStr"/>
    </row>
    <row r="566" ht="15" customHeight="1">
      <c r="A566" t="inlineStr">
        <is>
          <t>A 59498-2024</t>
        </is>
      </c>
      <c r="B566" s="1" t="n">
        <v>45638.54635416667</v>
      </c>
      <c r="C566" s="1" t="n">
        <v>45995</v>
      </c>
      <c r="D566" t="inlineStr">
        <is>
          <t>JÄMTLANDS LÄN</t>
        </is>
      </c>
      <c r="E566" t="inlineStr">
        <is>
          <t>BERG</t>
        </is>
      </c>
      <c r="G566" t="n">
        <v>2.4</v>
      </c>
      <c r="H566" t="n">
        <v>0</v>
      </c>
      <c r="I566" t="n">
        <v>0</v>
      </c>
      <c r="J566" t="n">
        <v>0</v>
      </c>
      <c r="K566" t="n">
        <v>0</v>
      </c>
      <c r="L566" t="n">
        <v>0</v>
      </c>
      <c r="M566" t="n">
        <v>0</v>
      </c>
      <c r="N566" t="n">
        <v>0</v>
      </c>
      <c r="O566" t="n">
        <v>0</v>
      </c>
      <c r="P566" t="n">
        <v>0</v>
      </c>
      <c r="Q566" t="n">
        <v>0</v>
      </c>
      <c r="R566" s="2" t="inlineStr"/>
    </row>
    <row r="567" ht="15" customHeight="1">
      <c r="A567" t="inlineStr">
        <is>
          <t>A 59459-2024</t>
        </is>
      </c>
      <c r="B567" s="1" t="n">
        <v>45638</v>
      </c>
      <c r="C567" s="1" t="n">
        <v>45995</v>
      </c>
      <c r="D567" t="inlineStr">
        <is>
          <t>JÄMTLANDS LÄN</t>
        </is>
      </c>
      <c r="E567" t="inlineStr">
        <is>
          <t>BERG</t>
        </is>
      </c>
      <c r="G567" t="n">
        <v>1.1</v>
      </c>
      <c r="H567" t="n">
        <v>0</v>
      </c>
      <c r="I567" t="n">
        <v>0</v>
      </c>
      <c r="J567" t="n">
        <v>0</v>
      </c>
      <c r="K567" t="n">
        <v>0</v>
      </c>
      <c r="L567" t="n">
        <v>0</v>
      </c>
      <c r="M567" t="n">
        <v>0</v>
      </c>
      <c r="N567" t="n">
        <v>0</v>
      </c>
      <c r="O567" t="n">
        <v>0</v>
      </c>
      <c r="P567" t="n">
        <v>0</v>
      </c>
      <c r="Q567" t="n">
        <v>0</v>
      </c>
      <c r="R567" s="2" t="inlineStr"/>
    </row>
    <row r="568" ht="15" customHeight="1">
      <c r="A568" t="inlineStr">
        <is>
          <t>A 55472-2025</t>
        </is>
      </c>
      <c r="B568" s="1" t="n">
        <v>45971.54526620371</v>
      </c>
      <c r="C568" s="1" t="n">
        <v>45995</v>
      </c>
      <c r="D568" t="inlineStr">
        <is>
          <t>JÄMTLANDS LÄN</t>
        </is>
      </c>
      <c r="E568" t="inlineStr">
        <is>
          <t>BERG</t>
        </is>
      </c>
      <c r="G568" t="n">
        <v>3.2</v>
      </c>
      <c r="H568" t="n">
        <v>0</v>
      </c>
      <c r="I568" t="n">
        <v>0</v>
      </c>
      <c r="J568" t="n">
        <v>0</v>
      </c>
      <c r="K568" t="n">
        <v>0</v>
      </c>
      <c r="L568" t="n">
        <v>0</v>
      </c>
      <c r="M568" t="n">
        <v>0</v>
      </c>
      <c r="N568" t="n">
        <v>0</v>
      </c>
      <c r="O568" t="n">
        <v>0</v>
      </c>
      <c r="P568" t="n">
        <v>0</v>
      </c>
      <c r="Q568" t="n">
        <v>0</v>
      </c>
      <c r="R568" s="2" t="inlineStr"/>
    </row>
    <row r="569" ht="15" customHeight="1">
      <c r="A569" t="inlineStr">
        <is>
          <t>A 46854-2025</t>
        </is>
      </c>
      <c r="B569" s="1" t="n">
        <v>45928.87376157408</v>
      </c>
      <c r="C569" s="1" t="n">
        <v>45995</v>
      </c>
      <c r="D569" t="inlineStr">
        <is>
          <t>JÄMTLANDS LÄN</t>
        </is>
      </c>
      <c r="E569" t="inlineStr">
        <is>
          <t>BERG</t>
        </is>
      </c>
      <c r="F569" t="inlineStr">
        <is>
          <t>Kyrkan</t>
        </is>
      </c>
      <c r="G569" t="n">
        <v>4.8</v>
      </c>
      <c r="H569" t="n">
        <v>0</v>
      </c>
      <c r="I569" t="n">
        <v>0</v>
      </c>
      <c r="J569" t="n">
        <v>0</v>
      </c>
      <c r="K569" t="n">
        <v>0</v>
      </c>
      <c r="L569" t="n">
        <v>0</v>
      </c>
      <c r="M569" t="n">
        <v>0</v>
      </c>
      <c r="N569" t="n">
        <v>0</v>
      </c>
      <c r="O569" t="n">
        <v>0</v>
      </c>
      <c r="P569" t="n">
        <v>0</v>
      </c>
      <c r="Q569" t="n">
        <v>0</v>
      </c>
      <c r="R569" s="2" t="inlineStr"/>
    </row>
    <row r="570" ht="15" customHeight="1">
      <c r="A570" t="inlineStr">
        <is>
          <t>A 46908-2025</t>
        </is>
      </c>
      <c r="B570" s="1" t="n">
        <v>45929.40664351852</v>
      </c>
      <c r="C570" s="1" t="n">
        <v>45995</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33750-2023</t>
        </is>
      </c>
      <c r="B571" s="1" t="n">
        <v>45120</v>
      </c>
      <c r="C571" s="1" t="n">
        <v>45995</v>
      </c>
      <c r="D571" t="inlineStr">
        <is>
          <t>JÄMTLANDS LÄN</t>
        </is>
      </c>
      <c r="E571" t="inlineStr">
        <is>
          <t>BERG</t>
        </is>
      </c>
      <c r="G571" t="n">
        <v>2.6</v>
      </c>
      <c r="H571" t="n">
        <v>0</v>
      </c>
      <c r="I571" t="n">
        <v>0</v>
      </c>
      <c r="J571" t="n">
        <v>0</v>
      </c>
      <c r="K571" t="n">
        <v>0</v>
      </c>
      <c r="L571" t="n">
        <v>0</v>
      </c>
      <c r="M571" t="n">
        <v>0</v>
      </c>
      <c r="N571" t="n">
        <v>0</v>
      </c>
      <c r="O571" t="n">
        <v>0</v>
      </c>
      <c r="P571" t="n">
        <v>0</v>
      </c>
      <c r="Q571" t="n">
        <v>0</v>
      </c>
      <c r="R571" s="2" t="inlineStr"/>
    </row>
    <row r="572" ht="15" customHeight="1">
      <c r="A572" t="inlineStr">
        <is>
          <t>A 11599-2025</t>
        </is>
      </c>
      <c r="B572" s="1" t="n">
        <v>45727.4261574074</v>
      </c>
      <c r="C572" s="1" t="n">
        <v>45995</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55553-2025</t>
        </is>
      </c>
      <c r="B573" s="1" t="n">
        <v>45971.64445601852</v>
      </c>
      <c r="C573" s="1" t="n">
        <v>45995</v>
      </c>
      <c r="D573" t="inlineStr">
        <is>
          <t>JÄMTLANDS LÄN</t>
        </is>
      </c>
      <c r="E573" t="inlineStr">
        <is>
          <t>BERG</t>
        </is>
      </c>
      <c r="G573" t="n">
        <v>2.9</v>
      </c>
      <c r="H573" t="n">
        <v>0</v>
      </c>
      <c r="I573" t="n">
        <v>0</v>
      </c>
      <c r="J573" t="n">
        <v>0</v>
      </c>
      <c r="K573" t="n">
        <v>0</v>
      </c>
      <c r="L573" t="n">
        <v>0</v>
      </c>
      <c r="M573" t="n">
        <v>0</v>
      </c>
      <c r="N573" t="n">
        <v>0</v>
      </c>
      <c r="O573" t="n">
        <v>0</v>
      </c>
      <c r="P573" t="n">
        <v>0</v>
      </c>
      <c r="Q573" t="n">
        <v>0</v>
      </c>
      <c r="R573" s="2" t="inlineStr"/>
    </row>
    <row r="574" ht="15" customHeight="1">
      <c r="A574" t="inlineStr">
        <is>
          <t>A 37086-2024</t>
        </is>
      </c>
      <c r="B574" s="1" t="n">
        <v>45539.49776620371</v>
      </c>
      <c r="C574" s="1" t="n">
        <v>45995</v>
      </c>
      <c r="D574" t="inlineStr">
        <is>
          <t>JÄMTLANDS LÄN</t>
        </is>
      </c>
      <c r="E574" t="inlineStr">
        <is>
          <t>BERG</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43762-2023</t>
        </is>
      </c>
      <c r="B575" s="1" t="n">
        <v>45182</v>
      </c>
      <c r="C575" s="1" t="n">
        <v>45995</v>
      </c>
      <c r="D575" t="inlineStr">
        <is>
          <t>JÄMTLANDS LÄN</t>
        </is>
      </c>
      <c r="E575" t="inlineStr">
        <is>
          <t>BERG</t>
        </is>
      </c>
      <c r="G575" t="n">
        <v>6.4</v>
      </c>
      <c r="H575" t="n">
        <v>0</v>
      </c>
      <c r="I575" t="n">
        <v>0</v>
      </c>
      <c r="J575" t="n">
        <v>0</v>
      </c>
      <c r="K575" t="n">
        <v>0</v>
      </c>
      <c r="L575" t="n">
        <v>0</v>
      </c>
      <c r="M575" t="n">
        <v>0</v>
      </c>
      <c r="N575" t="n">
        <v>0</v>
      </c>
      <c r="O575" t="n">
        <v>0</v>
      </c>
      <c r="P575" t="n">
        <v>0</v>
      </c>
      <c r="Q575" t="n">
        <v>0</v>
      </c>
      <c r="R575" s="2" t="inlineStr"/>
    </row>
    <row r="576" ht="15" customHeight="1">
      <c r="A576" t="inlineStr">
        <is>
          <t>A 55497-2025</t>
        </is>
      </c>
      <c r="B576" s="1" t="n">
        <v>45971.58337962963</v>
      </c>
      <c r="C576" s="1" t="n">
        <v>45995</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47434-2025</t>
        </is>
      </c>
      <c r="B577" s="1" t="n">
        <v>45930.63659722222</v>
      </c>
      <c r="C577" s="1" t="n">
        <v>45995</v>
      </c>
      <c r="D577" t="inlineStr">
        <is>
          <t>JÄMTLANDS LÄN</t>
        </is>
      </c>
      <c r="E577" t="inlineStr">
        <is>
          <t>BERG</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47135-2025</t>
        </is>
      </c>
      <c r="B578" s="1" t="n">
        <v>45929.69799768519</v>
      </c>
      <c r="C578" s="1" t="n">
        <v>45995</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31155-2024</t>
        </is>
      </c>
      <c r="B579" s="1" t="n">
        <v>45503</v>
      </c>
      <c r="C579" s="1" t="n">
        <v>45995</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47137-2025</t>
        </is>
      </c>
      <c r="B580" s="1" t="n">
        <v>45929.69876157407</v>
      </c>
      <c r="C580" s="1" t="n">
        <v>45995</v>
      </c>
      <c r="D580" t="inlineStr">
        <is>
          <t>JÄMTLANDS LÄN</t>
        </is>
      </c>
      <c r="E580" t="inlineStr">
        <is>
          <t>BERG</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55575-2025</t>
        </is>
      </c>
      <c r="B581" s="1" t="n">
        <v>45971.66145833334</v>
      </c>
      <c r="C581" s="1" t="n">
        <v>45995</v>
      </c>
      <c r="D581" t="inlineStr">
        <is>
          <t>JÄMTLANDS LÄN</t>
        </is>
      </c>
      <c r="E581" t="inlineStr">
        <is>
          <t>BERG</t>
        </is>
      </c>
      <c r="G581" t="n">
        <v>3.5</v>
      </c>
      <c r="H581" t="n">
        <v>0</v>
      </c>
      <c r="I581" t="n">
        <v>0</v>
      </c>
      <c r="J581" t="n">
        <v>0</v>
      </c>
      <c r="K581" t="n">
        <v>0</v>
      </c>
      <c r="L581" t="n">
        <v>0</v>
      </c>
      <c r="M581" t="n">
        <v>0</v>
      </c>
      <c r="N581" t="n">
        <v>0</v>
      </c>
      <c r="O581" t="n">
        <v>0</v>
      </c>
      <c r="P581" t="n">
        <v>0</v>
      </c>
      <c r="Q581" t="n">
        <v>0</v>
      </c>
      <c r="R581" s="2" t="inlineStr"/>
    </row>
    <row r="582" ht="15" customHeight="1">
      <c r="A582" t="inlineStr">
        <is>
          <t>A 47193-2025</t>
        </is>
      </c>
      <c r="B582" s="1" t="n">
        <v>45930.34469907408</v>
      </c>
      <c r="C582" s="1" t="n">
        <v>45995</v>
      </c>
      <c r="D582" t="inlineStr">
        <is>
          <t>JÄMTLANDS LÄN</t>
        </is>
      </c>
      <c r="E582" t="inlineStr">
        <is>
          <t>BERG</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35921-2024</t>
        </is>
      </c>
      <c r="B583" s="1" t="n">
        <v>45533.42659722222</v>
      </c>
      <c r="C583" s="1" t="n">
        <v>45995</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14834-2025</t>
        </is>
      </c>
      <c r="B584" s="1" t="n">
        <v>45743.38224537037</v>
      </c>
      <c r="C584" s="1" t="n">
        <v>45995</v>
      </c>
      <c r="D584" t="inlineStr">
        <is>
          <t>JÄMTLANDS LÄN</t>
        </is>
      </c>
      <c r="E584" t="inlineStr">
        <is>
          <t>BERG</t>
        </is>
      </c>
      <c r="G584" t="n">
        <v>3.8</v>
      </c>
      <c r="H584" t="n">
        <v>0</v>
      </c>
      <c r="I584" t="n">
        <v>0</v>
      </c>
      <c r="J584" t="n">
        <v>0</v>
      </c>
      <c r="K584" t="n">
        <v>0</v>
      </c>
      <c r="L584" t="n">
        <v>0</v>
      </c>
      <c r="M584" t="n">
        <v>0</v>
      </c>
      <c r="N584" t="n">
        <v>0</v>
      </c>
      <c r="O584" t="n">
        <v>0</v>
      </c>
      <c r="P584" t="n">
        <v>0</v>
      </c>
      <c r="Q584" t="n">
        <v>0</v>
      </c>
      <c r="R584" s="2" t="inlineStr"/>
    </row>
    <row r="585" ht="15" customHeight="1">
      <c r="A585" t="inlineStr">
        <is>
          <t>A 47534-2025</t>
        </is>
      </c>
      <c r="B585" s="1" t="n">
        <v>45931.3466550926</v>
      </c>
      <c r="C585" s="1" t="n">
        <v>45995</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48056-2025</t>
        </is>
      </c>
      <c r="B586" s="1" t="n">
        <v>45932.67946759259</v>
      </c>
      <c r="C586" s="1" t="n">
        <v>45995</v>
      </c>
      <c r="D586" t="inlineStr">
        <is>
          <t>JÄMTLANDS LÄN</t>
        </is>
      </c>
      <c r="E586" t="inlineStr">
        <is>
          <t>BERG</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4246-2025</t>
        </is>
      </c>
      <c r="B587" s="1" t="n">
        <v>45685.59083333334</v>
      </c>
      <c r="C587" s="1" t="n">
        <v>45995</v>
      </c>
      <c r="D587" t="inlineStr">
        <is>
          <t>JÄMTLANDS LÄN</t>
        </is>
      </c>
      <c r="E587" t="inlineStr">
        <is>
          <t>BERG</t>
        </is>
      </c>
      <c r="G587" t="n">
        <v>2.4</v>
      </c>
      <c r="H587" t="n">
        <v>0</v>
      </c>
      <c r="I587" t="n">
        <v>0</v>
      </c>
      <c r="J587" t="n">
        <v>0</v>
      </c>
      <c r="K587" t="n">
        <v>0</v>
      </c>
      <c r="L587" t="n">
        <v>0</v>
      </c>
      <c r="M587" t="n">
        <v>0</v>
      </c>
      <c r="N587" t="n">
        <v>0</v>
      </c>
      <c r="O587" t="n">
        <v>0</v>
      </c>
      <c r="P587" t="n">
        <v>0</v>
      </c>
      <c r="Q587" t="n">
        <v>0</v>
      </c>
      <c r="R587" s="2" t="inlineStr"/>
    </row>
    <row r="588" ht="15" customHeight="1">
      <c r="A588" t="inlineStr">
        <is>
          <t>A 47674-2024</t>
        </is>
      </c>
      <c r="B588" s="1" t="n">
        <v>45588.40413194444</v>
      </c>
      <c r="C588" s="1" t="n">
        <v>45995</v>
      </c>
      <c r="D588" t="inlineStr">
        <is>
          <t>JÄMTLANDS LÄN</t>
        </is>
      </c>
      <c r="E588" t="inlineStr">
        <is>
          <t>BERG</t>
        </is>
      </c>
      <c r="G588" t="n">
        <v>0.5</v>
      </c>
      <c r="H588" t="n">
        <v>0</v>
      </c>
      <c r="I588" t="n">
        <v>0</v>
      </c>
      <c r="J588" t="n">
        <v>0</v>
      </c>
      <c r="K588" t="n">
        <v>0</v>
      </c>
      <c r="L588" t="n">
        <v>0</v>
      </c>
      <c r="M588" t="n">
        <v>0</v>
      </c>
      <c r="N588" t="n">
        <v>0</v>
      </c>
      <c r="O588" t="n">
        <v>0</v>
      </c>
      <c r="P588" t="n">
        <v>0</v>
      </c>
      <c r="Q588" t="n">
        <v>0</v>
      </c>
      <c r="R588" s="2" t="inlineStr"/>
    </row>
    <row r="589" ht="15" customHeight="1">
      <c r="A589" t="inlineStr">
        <is>
          <t>A 32711-2024</t>
        </is>
      </c>
      <c r="B589" s="1" t="n">
        <v>45516</v>
      </c>
      <c r="C589" s="1" t="n">
        <v>45995</v>
      </c>
      <c r="D589" t="inlineStr">
        <is>
          <t>JÄMTLANDS LÄN</t>
        </is>
      </c>
      <c r="E589" t="inlineStr">
        <is>
          <t>BERG</t>
        </is>
      </c>
      <c r="G589" t="n">
        <v>0</v>
      </c>
      <c r="H589" t="n">
        <v>0</v>
      </c>
      <c r="I589" t="n">
        <v>0</v>
      </c>
      <c r="J589" t="n">
        <v>0</v>
      </c>
      <c r="K589" t="n">
        <v>0</v>
      </c>
      <c r="L589" t="n">
        <v>0</v>
      </c>
      <c r="M589" t="n">
        <v>0</v>
      </c>
      <c r="N589" t="n">
        <v>0</v>
      </c>
      <c r="O589" t="n">
        <v>0</v>
      </c>
      <c r="P589" t="n">
        <v>0</v>
      </c>
      <c r="Q589" t="n">
        <v>0</v>
      </c>
      <c r="R589" s="2" t="inlineStr"/>
    </row>
    <row r="590" ht="15" customHeight="1">
      <c r="A590" t="inlineStr">
        <is>
          <t>A 56199-2025</t>
        </is>
      </c>
      <c r="B590" s="1" t="n">
        <v>45974.45790509259</v>
      </c>
      <c r="C590" s="1" t="n">
        <v>45995</v>
      </c>
      <c r="D590" t="inlineStr">
        <is>
          <t>JÄMTLANDS LÄN</t>
        </is>
      </c>
      <c r="E590" t="inlineStr">
        <is>
          <t>BERG</t>
        </is>
      </c>
      <c r="G590" t="n">
        <v>0.8</v>
      </c>
      <c r="H590" t="n">
        <v>0</v>
      </c>
      <c r="I590" t="n">
        <v>0</v>
      </c>
      <c r="J590" t="n">
        <v>0</v>
      </c>
      <c r="K590" t="n">
        <v>0</v>
      </c>
      <c r="L590" t="n">
        <v>0</v>
      </c>
      <c r="M590" t="n">
        <v>0</v>
      </c>
      <c r="N590" t="n">
        <v>0</v>
      </c>
      <c r="O590" t="n">
        <v>0</v>
      </c>
      <c r="P590" t="n">
        <v>0</v>
      </c>
      <c r="Q590" t="n">
        <v>0</v>
      </c>
      <c r="R590" s="2" t="inlineStr"/>
    </row>
    <row r="591" ht="15" customHeight="1">
      <c r="A591" t="inlineStr">
        <is>
          <t>A 14672-2025</t>
        </is>
      </c>
      <c r="B591" s="1" t="n">
        <v>45742.55269675926</v>
      </c>
      <c r="C591" s="1" t="n">
        <v>45995</v>
      </c>
      <c r="D591" t="inlineStr">
        <is>
          <t>JÄMTLANDS LÄN</t>
        </is>
      </c>
      <c r="E591" t="inlineStr">
        <is>
          <t>BERG</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51201-2023</t>
        </is>
      </c>
      <c r="B592" s="1" t="n">
        <v>45219.42320601852</v>
      </c>
      <c r="C592" s="1" t="n">
        <v>45995</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56234-2025</t>
        </is>
      </c>
      <c r="B593" s="1" t="n">
        <v>45974.53696759259</v>
      </c>
      <c r="C593" s="1" t="n">
        <v>45995</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47821-2025</t>
        </is>
      </c>
      <c r="B594" s="1" t="n">
        <v>45932.34421296296</v>
      </c>
      <c r="C594" s="1" t="n">
        <v>45995</v>
      </c>
      <c r="D594" t="inlineStr">
        <is>
          <t>JÄMTLANDS LÄN</t>
        </is>
      </c>
      <c r="E594" t="inlineStr">
        <is>
          <t>BERG</t>
        </is>
      </c>
      <c r="F594" t="inlineStr">
        <is>
          <t>SCA</t>
        </is>
      </c>
      <c r="G594" t="n">
        <v>7.6</v>
      </c>
      <c r="H594" t="n">
        <v>0</v>
      </c>
      <c r="I594" t="n">
        <v>0</v>
      </c>
      <c r="J594" t="n">
        <v>0</v>
      </c>
      <c r="K594" t="n">
        <v>0</v>
      </c>
      <c r="L594" t="n">
        <v>0</v>
      </c>
      <c r="M594" t="n">
        <v>0</v>
      </c>
      <c r="N594" t="n">
        <v>0</v>
      </c>
      <c r="O594" t="n">
        <v>0</v>
      </c>
      <c r="P594" t="n">
        <v>0</v>
      </c>
      <c r="Q594" t="n">
        <v>0</v>
      </c>
      <c r="R594" s="2" t="inlineStr"/>
    </row>
    <row r="595" ht="15" customHeight="1">
      <c r="A595" t="inlineStr">
        <is>
          <t>A 47533-2025</t>
        </is>
      </c>
      <c r="B595" s="1" t="n">
        <v>45931.34659722223</v>
      </c>
      <c r="C595" s="1" t="n">
        <v>45995</v>
      </c>
      <c r="D595" t="inlineStr">
        <is>
          <t>JÄMTLANDS LÄN</t>
        </is>
      </c>
      <c r="E595" t="inlineStr">
        <is>
          <t>BERG</t>
        </is>
      </c>
      <c r="G595" t="n">
        <v>3.1</v>
      </c>
      <c r="H595" t="n">
        <v>0</v>
      </c>
      <c r="I595" t="n">
        <v>0</v>
      </c>
      <c r="J595" t="n">
        <v>0</v>
      </c>
      <c r="K595" t="n">
        <v>0</v>
      </c>
      <c r="L595" t="n">
        <v>0</v>
      </c>
      <c r="M595" t="n">
        <v>0</v>
      </c>
      <c r="N595" t="n">
        <v>0</v>
      </c>
      <c r="O595" t="n">
        <v>0</v>
      </c>
      <c r="P595" t="n">
        <v>0</v>
      </c>
      <c r="Q595" t="n">
        <v>0</v>
      </c>
      <c r="R595" s="2" t="inlineStr"/>
    </row>
    <row r="596" ht="15" customHeight="1">
      <c r="A596" t="inlineStr">
        <is>
          <t>A 5014-2024</t>
        </is>
      </c>
      <c r="B596" s="1" t="n">
        <v>45329</v>
      </c>
      <c r="C596" s="1" t="n">
        <v>45995</v>
      </c>
      <c r="D596" t="inlineStr">
        <is>
          <t>JÄMTLANDS LÄN</t>
        </is>
      </c>
      <c r="E596" t="inlineStr">
        <is>
          <t>BERG</t>
        </is>
      </c>
      <c r="G596" t="n">
        <v>1.1</v>
      </c>
      <c r="H596" t="n">
        <v>0</v>
      </c>
      <c r="I596" t="n">
        <v>0</v>
      </c>
      <c r="J596" t="n">
        <v>0</v>
      </c>
      <c r="K596" t="n">
        <v>0</v>
      </c>
      <c r="L596" t="n">
        <v>0</v>
      </c>
      <c r="M596" t="n">
        <v>0</v>
      </c>
      <c r="N596" t="n">
        <v>0</v>
      </c>
      <c r="O596" t="n">
        <v>0</v>
      </c>
      <c r="P596" t="n">
        <v>0</v>
      </c>
      <c r="Q596" t="n">
        <v>0</v>
      </c>
      <c r="R596" s="2" t="inlineStr"/>
    </row>
    <row r="597" ht="15" customHeight="1">
      <c r="A597" t="inlineStr">
        <is>
          <t>A 21472-2025</t>
        </is>
      </c>
      <c r="B597" s="1" t="n">
        <v>45782.59024305556</v>
      </c>
      <c r="C597" s="1" t="n">
        <v>45995</v>
      </c>
      <c r="D597" t="inlineStr">
        <is>
          <t>JÄMTLANDS LÄN</t>
        </is>
      </c>
      <c r="E597" t="inlineStr">
        <is>
          <t>BERG</t>
        </is>
      </c>
      <c r="G597" t="n">
        <v>21.9</v>
      </c>
      <c r="H597" t="n">
        <v>0</v>
      </c>
      <c r="I597" t="n">
        <v>0</v>
      </c>
      <c r="J597" t="n">
        <v>0</v>
      </c>
      <c r="K597" t="n">
        <v>0</v>
      </c>
      <c r="L597" t="n">
        <v>0</v>
      </c>
      <c r="M597" t="n">
        <v>0</v>
      </c>
      <c r="N597" t="n">
        <v>0</v>
      </c>
      <c r="O597" t="n">
        <v>0</v>
      </c>
      <c r="P597" t="n">
        <v>0</v>
      </c>
      <c r="Q597" t="n">
        <v>0</v>
      </c>
      <c r="R597" s="2" t="inlineStr"/>
    </row>
    <row r="598" ht="15" customHeight="1">
      <c r="A598" t="inlineStr">
        <is>
          <t>A 9478-2024</t>
        </is>
      </c>
      <c r="B598" s="1" t="n">
        <v>45359.5732175926</v>
      </c>
      <c r="C598" s="1" t="n">
        <v>45995</v>
      </c>
      <c r="D598" t="inlineStr">
        <is>
          <t>JÄMTLANDS LÄN</t>
        </is>
      </c>
      <c r="E598" t="inlineStr">
        <is>
          <t>BERG</t>
        </is>
      </c>
      <c r="G598" t="n">
        <v>6.2</v>
      </c>
      <c r="H598" t="n">
        <v>0</v>
      </c>
      <c r="I598" t="n">
        <v>0</v>
      </c>
      <c r="J598" t="n">
        <v>0</v>
      </c>
      <c r="K598" t="n">
        <v>0</v>
      </c>
      <c r="L598" t="n">
        <v>0</v>
      </c>
      <c r="M598" t="n">
        <v>0</v>
      </c>
      <c r="N598" t="n">
        <v>0</v>
      </c>
      <c r="O598" t="n">
        <v>0</v>
      </c>
      <c r="P598" t="n">
        <v>0</v>
      </c>
      <c r="Q598" t="n">
        <v>0</v>
      </c>
      <c r="R598" s="2" t="inlineStr"/>
    </row>
    <row r="599" ht="15" customHeight="1">
      <c r="A599" t="inlineStr">
        <is>
          <t>A 21292-2025</t>
        </is>
      </c>
      <c r="B599" s="1" t="n">
        <v>45780.39354166666</v>
      </c>
      <c r="C599" s="1" t="n">
        <v>45995</v>
      </c>
      <c r="D599" t="inlineStr">
        <is>
          <t>JÄMTLANDS LÄN</t>
        </is>
      </c>
      <c r="E599" t="inlineStr">
        <is>
          <t>BERG</t>
        </is>
      </c>
      <c r="G599" t="n">
        <v>1.6</v>
      </c>
      <c r="H599" t="n">
        <v>0</v>
      </c>
      <c r="I599" t="n">
        <v>0</v>
      </c>
      <c r="J599" t="n">
        <v>0</v>
      </c>
      <c r="K599" t="n">
        <v>0</v>
      </c>
      <c r="L599" t="n">
        <v>0</v>
      </c>
      <c r="M599" t="n">
        <v>0</v>
      </c>
      <c r="N599" t="n">
        <v>0</v>
      </c>
      <c r="O599" t="n">
        <v>0</v>
      </c>
      <c r="P599" t="n">
        <v>0</v>
      </c>
      <c r="Q599" t="n">
        <v>0</v>
      </c>
      <c r="R599" s="2" t="inlineStr"/>
    </row>
    <row r="600" ht="15" customHeight="1">
      <c r="A600" t="inlineStr">
        <is>
          <t>A 45346-2023</t>
        </is>
      </c>
      <c r="B600" s="1" t="n">
        <v>45191</v>
      </c>
      <c r="C600" s="1" t="n">
        <v>45995</v>
      </c>
      <c r="D600" t="inlineStr">
        <is>
          <t>JÄMTLANDS LÄN</t>
        </is>
      </c>
      <c r="E600" t="inlineStr">
        <is>
          <t>BERG</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55237-2025</t>
        </is>
      </c>
      <c r="B601" s="1" t="n">
        <v>45968</v>
      </c>
      <c r="C601" s="1" t="n">
        <v>45995</v>
      </c>
      <c r="D601" t="inlineStr">
        <is>
          <t>JÄMTLANDS LÄN</t>
        </is>
      </c>
      <c r="E601" t="inlineStr">
        <is>
          <t>BERG</t>
        </is>
      </c>
      <c r="G601" t="n">
        <v>11.9</v>
      </c>
      <c r="H601" t="n">
        <v>0</v>
      </c>
      <c r="I601" t="n">
        <v>0</v>
      </c>
      <c r="J601" t="n">
        <v>0</v>
      </c>
      <c r="K601" t="n">
        <v>0</v>
      </c>
      <c r="L601" t="n">
        <v>0</v>
      </c>
      <c r="M601" t="n">
        <v>0</v>
      </c>
      <c r="N601" t="n">
        <v>0</v>
      </c>
      <c r="O601" t="n">
        <v>0</v>
      </c>
      <c r="P601" t="n">
        <v>0</v>
      </c>
      <c r="Q601" t="n">
        <v>0</v>
      </c>
      <c r="R601" s="2" t="inlineStr"/>
    </row>
    <row r="602" ht="15" customHeight="1">
      <c r="A602" t="inlineStr">
        <is>
          <t>A 51039-2024</t>
        </is>
      </c>
      <c r="B602" s="1" t="n">
        <v>45603.43164351852</v>
      </c>
      <c r="C602" s="1" t="n">
        <v>45995</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21156-2025</t>
        </is>
      </c>
      <c r="B603" s="1" t="n">
        <v>45779.37599537037</v>
      </c>
      <c r="C603" s="1" t="n">
        <v>45995</v>
      </c>
      <c r="D603" t="inlineStr">
        <is>
          <t>JÄMTLANDS LÄN</t>
        </is>
      </c>
      <c r="E603" t="inlineStr">
        <is>
          <t>BERG</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20882-2023</t>
        </is>
      </c>
      <c r="B604" s="1" t="n">
        <v>45058</v>
      </c>
      <c r="C604" s="1" t="n">
        <v>45995</v>
      </c>
      <c r="D604" t="inlineStr">
        <is>
          <t>JÄMTLANDS LÄN</t>
        </is>
      </c>
      <c r="E604" t="inlineStr">
        <is>
          <t>BERG</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60847-2023</t>
        </is>
      </c>
      <c r="B605" s="1" t="n">
        <v>45260</v>
      </c>
      <c r="C605" s="1" t="n">
        <v>45995</v>
      </c>
      <c r="D605" t="inlineStr">
        <is>
          <t>JÄMTLANDS LÄN</t>
        </is>
      </c>
      <c r="E605" t="inlineStr">
        <is>
          <t>BERG</t>
        </is>
      </c>
      <c r="G605" t="n">
        <v>2.5</v>
      </c>
      <c r="H605" t="n">
        <v>0</v>
      </c>
      <c r="I605" t="n">
        <v>0</v>
      </c>
      <c r="J605" t="n">
        <v>0</v>
      </c>
      <c r="K605" t="n">
        <v>0</v>
      </c>
      <c r="L605" t="n">
        <v>0</v>
      </c>
      <c r="M605" t="n">
        <v>0</v>
      </c>
      <c r="N605" t="n">
        <v>0</v>
      </c>
      <c r="O605" t="n">
        <v>0</v>
      </c>
      <c r="P605" t="n">
        <v>0</v>
      </c>
      <c r="Q605" t="n">
        <v>0</v>
      </c>
      <c r="R605" s="2" t="inlineStr"/>
    </row>
    <row r="606" ht="15" customHeight="1">
      <c r="A606" t="inlineStr">
        <is>
          <t>A 59521-2024</t>
        </is>
      </c>
      <c r="B606" s="1" t="n">
        <v>45638.57283564815</v>
      </c>
      <c r="C606" s="1" t="n">
        <v>45995</v>
      </c>
      <c r="D606" t="inlineStr">
        <is>
          <t>JÄMTLANDS LÄN</t>
        </is>
      </c>
      <c r="E606" t="inlineStr">
        <is>
          <t>BERG</t>
        </is>
      </c>
      <c r="G606" t="n">
        <v>2.1</v>
      </c>
      <c r="H606" t="n">
        <v>0</v>
      </c>
      <c r="I606" t="n">
        <v>0</v>
      </c>
      <c r="J606" t="n">
        <v>0</v>
      </c>
      <c r="K606" t="n">
        <v>0</v>
      </c>
      <c r="L606" t="n">
        <v>0</v>
      </c>
      <c r="M606" t="n">
        <v>0</v>
      </c>
      <c r="N606" t="n">
        <v>0</v>
      </c>
      <c r="O606" t="n">
        <v>0</v>
      </c>
      <c r="P606" t="n">
        <v>0</v>
      </c>
      <c r="Q606" t="n">
        <v>0</v>
      </c>
      <c r="R606" s="2" t="inlineStr"/>
    </row>
    <row r="607" ht="15" customHeight="1">
      <c r="A607" t="inlineStr">
        <is>
          <t>A 21851-2025</t>
        </is>
      </c>
      <c r="B607" s="1" t="n">
        <v>45784.34417824074</v>
      </c>
      <c r="C607" s="1" t="n">
        <v>45995</v>
      </c>
      <c r="D607" t="inlineStr">
        <is>
          <t>JÄMTLANDS LÄN</t>
        </is>
      </c>
      <c r="E607" t="inlineStr">
        <is>
          <t>BERG</t>
        </is>
      </c>
      <c r="F607" t="inlineStr">
        <is>
          <t>SCA</t>
        </is>
      </c>
      <c r="G607" t="n">
        <v>10</v>
      </c>
      <c r="H607" t="n">
        <v>0</v>
      </c>
      <c r="I607" t="n">
        <v>0</v>
      </c>
      <c r="J607" t="n">
        <v>0</v>
      </c>
      <c r="K607" t="n">
        <v>0</v>
      </c>
      <c r="L607" t="n">
        <v>0</v>
      </c>
      <c r="M607" t="n">
        <v>0</v>
      </c>
      <c r="N607" t="n">
        <v>0</v>
      </c>
      <c r="O607" t="n">
        <v>0</v>
      </c>
      <c r="P607" t="n">
        <v>0</v>
      </c>
      <c r="Q607" t="n">
        <v>0</v>
      </c>
      <c r="R607" s="2" t="inlineStr"/>
    </row>
    <row r="608" ht="15" customHeight="1">
      <c r="A608" t="inlineStr">
        <is>
          <t>A 48307-2024</t>
        </is>
      </c>
      <c r="B608" s="1" t="n">
        <v>45590.47684027778</v>
      </c>
      <c r="C608" s="1" t="n">
        <v>45995</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46874-2023</t>
        </is>
      </c>
      <c r="B609" s="1" t="n">
        <v>45200</v>
      </c>
      <c r="C609" s="1" t="n">
        <v>45995</v>
      </c>
      <c r="D609" t="inlineStr">
        <is>
          <t>JÄMTLANDS LÄN</t>
        </is>
      </c>
      <c r="E609" t="inlineStr">
        <is>
          <t>BERG</t>
        </is>
      </c>
      <c r="F609" t="inlineStr">
        <is>
          <t>Naturvårdsverket</t>
        </is>
      </c>
      <c r="G609" t="n">
        <v>1.1</v>
      </c>
      <c r="H609" t="n">
        <v>0</v>
      </c>
      <c r="I609" t="n">
        <v>0</v>
      </c>
      <c r="J609" t="n">
        <v>0</v>
      </c>
      <c r="K609" t="n">
        <v>0</v>
      </c>
      <c r="L609" t="n">
        <v>0</v>
      </c>
      <c r="M609" t="n">
        <v>0</v>
      </c>
      <c r="N609" t="n">
        <v>0</v>
      </c>
      <c r="O609" t="n">
        <v>0</v>
      </c>
      <c r="P609" t="n">
        <v>0</v>
      </c>
      <c r="Q609" t="n">
        <v>0</v>
      </c>
      <c r="R609" s="2" t="inlineStr"/>
    </row>
    <row r="610" ht="15" customHeight="1">
      <c r="A610" t="inlineStr">
        <is>
          <t>A 32020-2023</t>
        </is>
      </c>
      <c r="B610" s="1" t="n">
        <v>45119.49261574074</v>
      </c>
      <c r="C610" s="1" t="n">
        <v>45995</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1495-2025</t>
        </is>
      </c>
      <c r="B611" s="1" t="n">
        <v>45670.40652777778</v>
      </c>
      <c r="C611" s="1" t="n">
        <v>45995</v>
      </c>
      <c r="D611" t="inlineStr">
        <is>
          <t>JÄMTLANDS LÄN</t>
        </is>
      </c>
      <c r="E611" t="inlineStr">
        <is>
          <t>BERG</t>
        </is>
      </c>
      <c r="G611" t="n">
        <v>0.3</v>
      </c>
      <c r="H611" t="n">
        <v>0</v>
      </c>
      <c r="I611" t="n">
        <v>0</v>
      </c>
      <c r="J611" t="n">
        <v>0</v>
      </c>
      <c r="K611" t="n">
        <v>0</v>
      </c>
      <c r="L611" t="n">
        <v>0</v>
      </c>
      <c r="M611" t="n">
        <v>0</v>
      </c>
      <c r="N611" t="n">
        <v>0</v>
      </c>
      <c r="O611" t="n">
        <v>0</v>
      </c>
      <c r="P611" t="n">
        <v>0</v>
      </c>
      <c r="Q611" t="n">
        <v>0</v>
      </c>
      <c r="R611" s="2" t="inlineStr"/>
    </row>
    <row r="612" ht="15" customHeight="1">
      <c r="A612" t="inlineStr">
        <is>
          <t>A 48704-2025</t>
        </is>
      </c>
      <c r="B612" s="1" t="n">
        <v>45936.6222337963</v>
      </c>
      <c r="C612" s="1" t="n">
        <v>45995</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48190-2025</t>
        </is>
      </c>
      <c r="B613" s="1" t="n">
        <v>45933.46930555555</v>
      </c>
      <c r="C613" s="1" t="n">
        <v>45995</v>
      </c>
      <c r="D613" t="inlineStr">
        <is>
          <t>JÄMTLANDS LÄN</t>
        </is>
      </c>
      <c r="E613" t="inlineStr">
        <is>
          <t>BERG</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55239-2025</t>
        </is>
      </c>
      <c r="B614" s="1" t="n">
        <v>45968</v>
      </c>
      <c r="C614" s="1" t="n">
        <v>45995</v>
      </c>
      <c r="D614" t="inlineStr">
        <is>
          <t>JÄMTLANDS LÄN</t>
        </is>
      </c>
      <c r="E614" t="inlineStr">
        <is>
          <t>BERG</t>
        </is>
      </c>
      <c r="G614" t="n">
        <v>6.3</v>
      </c>
      <c r="H614" t="n">
        <v>0</v>
      </c>
      <c r="I614" t="n">
        <v>0</v>
      </c>
      <c r="J614" t="n">
        <v>0</v>
      </c>
      <c r="K614" t="n">
        <v>0</v>
      </c>
      <c r="L614" t="n">
        <v>0</v>
      </c>
      <c r="M614" t="n">
        <v>0</v>
      </c>
      <c r="N614" t="n">
        <v>0</v>
      </c>
      <c r="O614" t="n">
        <v>0</v>
      </c>
      <c r="P614" t="n">
        <v>0</v>
      </c>
      <c r="Q614" t="n">
        <v>0</v>
      </c>
      <c r="R614" s="2" t="inlineStr"/>
    </row>
    <row r="615" ht="15" customHeight="1">
      <c r="A615" t="inlineStr">
        <is>
          <t>A 55240-2025</t>
        </is>
      </c>
      <c r="B615" s="1" t="n">
        <v>45968</v>
      </c>
      <c r="C615" s="1" t="n">
        <v>45995</v>
      </c>
      <c r="D615" t="inlineStr">
        <is>
          <t>JÄMTLANDS LÄN</t>
        </is>
      </c>
      <c r="E615" t="inlineStr">
        <is>
          <t>BERG</t>
        </is>
      </c>
      <c r="G615" t="n">
        <v>11.2</v>
      </c>
      <c r="H615" t="n">
        <v>0</v>
      </c>
      <c r="I615" t="n">
        <v>0</v>
      </c>
      <c r="J615" t="n">
        <v>0</v>
      </c>
      <c r="K615" t="n">
        <v>0</v>
      </c>
      <c r="L615" t="n">
        <v>0</v>
      </c>
      <c r="M615" t="n">
        <v>0</v>
      </c>
      <c r="N615" t="n">
        <v>0</v>
      </c>
      <c r="O615" t="n">
        <v>0</v>
      </c>
      <c r="P615" t="n">
        <v>0</v>
      </c>
      <c r="Q615" t="n">
        <v>0</v>
      </c>
      <c r="R615" s="2" t="inlineStr"/>
    </row>
    <row r="616" ht="15" customHeight="1">
      <c r="A616" t="inlineStr">
        <is>
          <t>A 35986-2023</t>
        </is>
      </c>
      <c r="B616" s="1" t="n">
        <v>45148</v>
      </c>
      <c r="C616" s="1" t="n">
        <v>45995</v>
      </c>
      <c r="D616" t="inlineStr">
        <is>
          <t>JÄMTLANDS LÄN</t>
        </is>
      </c>
      <c r="E616" t="inlineStr">
        <is>
          <t>BERG</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56457-2025</t>
        </is>
      </c>
      <c r="B617" s="1" t="n">
        <v>45975.36277777778</v>
      </c>
      <c r="C617" s="1" t="n">
        <v>45995</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48508-2025</t>
        </is>
      </c>
      <c r="B618" s="1" t="n">
        <v>45936.3859837963</v>
      </c>
      <c r="C618" s="1" t="n">
        <v>45995</v>
      </c>
      <c r="D618" t="inlineStr">
        <is>
          <t>JÄMTLANDS LÄN</t>
        </is>
      </c>
      <c r="E618" t="inlineStr">
        <is>
          <t>BERG</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57661-2024</t>
        </is>
      </c>
      <c r="B619" s="1" t="n">
        <v>45630.6140162037</v>
      </c>
      <c r="C619" s="1" t="n">
        <v>45995</v>
      </c>
      <c r="D619" t="inlineStr">
        <is>
          <t>JÄMTLANDS LÄN</t>
        </is>
      </c>
      <c r="E619" t="inlineStr">
        <is>
          <t>BERG</t>
        </is>
      </c>
      <c r="G619" t="n">
        <v>0.8</v>
      </c>
      <c r="H619" t="n">
        <v>0</v>
      </c>
      <c r="I619" t="n">
        <v>0</v>
      </c>
      <c r="J619" t="n">
        <v>0</v>
      </c>
      <c r="K619" t="n">
        <v>0</v>
      </c>
      <c r="L619" t="n">
        <v>0</v>
      </c>
      <c r="M619" t="n">
        <v>0</v>
      </c>
      <c r="N619" t="n">
        <v>0</v>
      </c>
      <c r="O619" t="n">
        <v>0</v>
      </c>
      <c r="P619" t="n">
        <v>0</v>
      </c>
      <c r="Q619" t="n">
        <v>0</v>
      </c>
      <c r="R619" s="2" t="inlineStr"/>
    </row>
    <row r="620" ht="15" customHeight="1">
      <c r="A620" t="inlineStr">
        <is>
          <t>A 55770-2025</t>
        </is>
      </c>
      <c r="B620" s="1" t="n">
        <v>45972.61511574074</v>
      </c>
      <c r="C620" s="1" t="n">
        <v>45995</v>
      </c>
      <c r="D620" t="inlineStr">
        <is>
          <t>JÄMTLANDS LÄN</t>
        </is>
      </c>
      <c r="E620" t="inlineStr">
        <is>
          <t>BERG</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48168-2025</t>
        </is>
      </c>
      <c r="B621" s="1" t="n">
        <v>45933.43004629629</v>
      </c>
      <c r="C621" s="1" t="n">
        <v>45995</v>
      </c>
      <c r="D621" t="inlineStr">
        <is>
          <t>JÄMTLANDS LÄN</t>
        </is>
      </c>
      <c r="E621" t="inlineStr">
        <is>
          <t>BERG</t>
        </is>
      </c>
      <c r="G621" t="n">
        <v>1.2</v>
      </c>
      <c r="H621" t="n">
        <v>0</v>
      </c>
      <c r="I621" t="n">
        <v>0</v>
      </c>
      <c r="J621" t="n">
        <v>0</v>
      </c>
      <c r="K621" t="n">
        <v>0</v>
      </c>
      <c r="L621" t="n">
        <v>0</v>
      </c>
      <c r="M621" t="n">
        <v>0</v>
      </c>
      <c r="N621" t="n">
        <v>0</v>
      </c>
      <c r="O621" t="n">
        <v>0</v>
      </c>
      <c r="P621" t="n">
        <v>0</v>
      </c>
      <c r="Q621" t="n">
        <v>0</v>
      </c>
      <c r="R621" s="2" t="inlineStr"/>
    </row>
    <row r="622" ht="15" customHeight="1">
      <c r="A622" t="inlineStr">
        <is>
          <t>A 58176-2024</t>
        </is>
      </c>
      <c r="B622" s="1" t="n">
        <v>45632.46771990741</v>
      </c>
      <c r="C622" s="1" t="n">
        <v>45995</v>
      </c>
      <c r="D622" t="inlineStr">
        <is>
          <t>JÄMTLANDS LÄN</t>
        </is>
      </c>
      <c r="E622" t="inlineStr">
        <is>
          <t>BERG</t>
        </is>
      </c>
      <c r="G622" t="n">
        <v>14.4</v>
      </c>
      <c r="H622" t="n">
        <v>0</v>
      </c>
      <c r="I622" t="n">
        <v>0</v>
      </c>
      <c r="J622" t="n">
        <v>0</v>
      </c>
      <c r="K622" t="n">
        <v>0</v>
      </c>
      <c r="L622" t="n">
        <v>0</v>
      </c>
      <c r="M622" t="n">
        <v>0</v>
      </c>
      <c r="N622" t="n">
        <v>0</v>
      </c>
      <c r="O622" t="n">
        <v>0</v>
      </c>
      <c r="P622" t="n">
        <v>0</v>
      </c>
      <c r="Q622" t="n">
        <v>0</v>
      </c>
      <c r="R622" s="2" t="inlineStr"/>
    </row>
    <row r="623" ht="15" customHeight="1">
      <c r="A623" t="inlineStr">
        <is>
          <t>A 7021-2025</t>
        </is>
      </c>
      <c r="B623" s="1" t="n">
        <v>45701.61520833334</v>
      </c>
      <c r="C623" s="1" t="n">
        <v>45995</v>
      </c>
      <c r="D623" t="inlineStr">
        <is>
          <t>JÄMTLANDS LÄN</t>
        </is>
      </c>
      <c r="E623" t="inlineStr">
        <is>
          <t>BERG</t>
        </is>
      </c>
      <c r="G623" t="n">
        <v>4.2</v>
      </c>
      <c r="H623" t="n">
        <v>0</v>
      </c>
      <c r="I623" t="n">
        <v>0</v>
      </c>
      <c r="J623" t="n">
        <v>0</v>
      </c>
      <c r="K623" t="n">
        <v>0</v>
      </c>
      <c r="L623" t="n">
        <v>0</v>
      </c>
      <c r="M623" t="n">
        <v>0</v>
      </c>
      <c r="N623" t="n">
        <v>0</v>
      </c>
      <c r="O623" t="n">
        <v>0</v>
      </c>
      <c r="P623" t="n">
        <v>0</v>
      </c>
      <c r="Q623" t="n">
        <v>0</v>
      </c>
      <c r="R623" s="2" t="inlineStr"/>
    </row>
    <row r="624" ht="15" customHeight="1">
      <c r="A624" t="inlineStr">
        <is>
          <t>A 48250-2025</t>
        </is>
      </c>
      <c r="B624" s="1" t="n">
        <v>45933.55259259259</v>
      </c>
      <c r="C624" s="1" t="n">
        <v>45995</v>
      </c>
      <c r="D624" t="inlineStr">
        <is>
          <t>JÄMTLANDS LÄN</t>
        </is>
      </c>
      <c r="E624" t="inlineStr">
        <is>
          <t>BERG</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48209-2025</t>
        </is>
      </c>
      <c r="B625" s="1" t="n">
        <v>45933.4900462963</v>
      </c>
      <c r="C625" s="1" t="n">
        <v>45995</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49048-2024</t>
        </is>
      </c>
      <c r="B626" s="1" t="n">
        <v>45594.57427083333</v>
      </c>
      <c r="C626" s="1" t="n">
        <v>45995</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48511-2025</t>
        </is>
      </c>
      <c r="B627" s="1" t="n">
        <v>45936.3865162037</v>
      </c>
      <c r="C627" s="1" t="n">
        <v>45995</v>
      </c>
      <c r="D627" t="inlineStr">
        <is>
          <t>JÄMTLANDS LÄN</t>
        </is>
      </c>
      <c r="E627" t="inlineStr">
        <is>
          <t>BERG</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57046-2025</t>
        </is>
      </c>
      <c r="B628" s="1" t="n">
        <v>45979.34672453703</v>
      </c>
      <c r="C628" s="1" t="n">
        <v>45995</v>
      </c>
      <c r="D628" t="inlineStr">
        <is>
          <t>JÄMTLANDS LÄN</t>
        </is>
      </c>
      <c r="E628" t="inlineStr">
        <is>
          <t>BERG</t>
        </is>
      </c>
      <c r="F628" t="inlineStr">
        <is>
          <t>SCA</t>
        </is>
      </c>
      <c r="G628" t="n">
        <v>10.8</v>
      </c>
      <c r="H628" t="n">
        <v>0</v>
      </c>
      <c r="I628" t="n">
        <v>0</v>
      </c>
      <c r="J628" t="n">
        <v>0</v>
      </c>
      <c r="K628" t="n">
        <v>0</v>
      </c>
      <c r="L628" t="n">
        <v>0</v>
      </c>
      <c r="M628" t="n">
        <v>0</v>
      </c>
      <c r="N628" t="n">
        <v>0</v>
      </c>
      <c r="O628" t="n">
        <v>0</v>
      </c>
      <c r="P628" t="n">
        <v>0</v>
      </c>
      <c r="Q628" t="n">
        <v>0</v>
      </c>
      <c r="R628" s="2" t="inlineStr"/>
    </row>
    <row r="629" ht="15" customHeight="1">
      <c r="A629" t="inlineStr">
        <is>
          <t>A 22180-2025</t>
        </is>
      </c>
      <c r="B629" s="1" t="n">
        <v>45785</v>
      </c>
      <c r="C629" s="1" t="n">
        <v>45995</v>
      </c>
      <c r="D629" t="inlineStr">
        <is>
          <t>JÄMTLANDS LÄN</t>
        </is>
      </c>
      <c r="E629" t="inlineStr">
        <is>
          <t>BERG</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57271-2025</t>
        </is>
      </c>
      <c r="B630" s="1" t="n">
        <v>45979.67789351852</v>
      </c>
      <c r="C630" s="1" t="n">
        <v>45995</v>
      </c>
      <c r="D630" t="inlineStr">
        <is>
          <t>JÄMTLANDS LÄN</t>
        </is>
      </c>
      <c r="E630" t="inlineStr">
        <is>
          <t>BERG</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22478-2025</t>
        </is>
      </c>
      <c r="B631" s="1" t="n">
        <v>45786.6349537037</v>
      </c>
      <c r="C631" s="1" t="n">
        <v>45995</v>
      </c>
      <c r="D631" t="inlineStr">
        <is>
          <t>JÄMTLANDS LÄN</t>
        </is>
      </c>
      <c r="E631" t="inlineStr">
        <is>
          <t>BERG</t>
        </is>
      </c>
      <c r="G631" t="n">
        <v>2.5</v>
      </c>
      <c r="H631" t="n">
        <v>0</v>
      </c>
      <c r="I631" t="n">
        <v>0</v>
      </c>
      <c r="J631" t="n">
        <v>0</v>
      </c>
      <c r="K631" t="n">
        <v>0</v>
      </c>
      <c r="L631" t="n">
        <v>0</v>
      </c>
      <c r="M631" t="n">
        <v>0</v>
      </c>
      <c r="N631" t="n">
        <v>0</v>
      </c>
      <c r="O631" t="n">
        <v>0</v>
      </c>
      <c r="P631" t="n">
        <v>0</v>
      </c>
      <c r="Q631" t="n">
        <v>0</v>
      </c>
      <c r="R631" s="2" t="inlineStr"/>
    </row>
    <row r="632" ht="15" customHeight="1">
      <c r="A632" t="inlineStr">
        <is>
          <t>A 57276-2025</t>
        </is>
      </c>
      <c r="B632" s="1" t="n">
        <v>45979.68783564815</v>
      </c>
      <c r="C632" s="1" t="n">
        <v>45995</v>
      </c>
      <c r="D632" t="inlineStr">
        <is>
          <t>JÄMTLANDS LÄN</t>
        </is>
      </c>
      <c r="E632" t="inlineStr">
        <is>
          <t>BERG</t>
        </is>
      </c>
      <c r="G632" t="n">
        <v>4.8</v>
      </c>
      <c r="H632" t="n">
        <v>0</v>
      </c>
      <c r="I632" t="n">
        <v>0</v>
      </c>
      <c r="J632" t="n">
        <v>0</v>
      </c>
      <c r="K632" t="n">
        <v>0</v>
      </c>
      <c r="L632" t="n">
        <v>0</v>
      </c>
      <c r="M632" t="n">
        <v>0</v>
      </c>
      <c r="N632" t="n">
        <v>0</v>
      </c>
      <c r="O632" t="n">
        <v>0</v>
      </c>
      <c r="P632" t="n">
        <v>0</v>
      </c>
      <c r="Q632" t="n">
        <v>0</v>
      </c>
      <c r="R632" s="2" t="inlineStr"/>
    </row>
    <row r="633" ht="15" customHeight="1">
      <c r="A633" t="inlineStr">
        <is>
          <t>A 49391-2025</t>
        </is>
      </c>
      <c r="B633" s="1" t="n">
        <v>45938.65011574074</v>
      </c>
      <c r="C633" s="1" t="n">
        <v>45995</v>
      </c>
      <c r="D633" t="inlineStr">
        <is>
          <t>JÄMTLANDS LÄN</t>
        </is>
      </c>
      <c r="E633" t="inlineStr">
        <is>
          <t>BERG</t>
        </is>
      </c>
      <c r="G633" t="n">
        <v>3.7</v>
      </c>
      <c r="H633" t="n">
        <v>0</v>
      </c>
      <c r="I633" t="n">
        <v>0</v>
      </c>
      <c r="J633" t="n">
        <v>0</v>
      </c>
      <c r="K633" t="n">
        <v>0</v>
      </c>
      <c r="L633" t="n">
        <v>0</v>
      </c>
      <c r="M633" t="n">
        <v>0</v>
      </c>
      <c r="N633" t="n">
        <v>0</v>
      </c>
      <c r="O633" t="n">
        <v>0</v>
      </c>
      <c r="P633" t="n">
        <v>0</v>
      </c>
      <c r="Q633" t="n">
        <v>0</v>
      </c>
      <c r="R633" s="2" t="inlineStr"/>
    </row>
    <row r="634" ht="15" customHeight="1">
      <c r="A634" t="inlineStr">
        <is>
          <t>A 37248-2023</t>
        </is>
      </c>
      <c r="B634" s="1" t="n">
        <v>45155.954375</v>
      </c>
      <c r="C634" s="1" t="n">
        <v>45995</v>
      </c>
      <c r="D634" t="inlineStr">
        <is>
          <t>JÄMTLANDS LÄN</t>
        </is>
      </c>
      <c r="E634" t="inlineStr">
        <is>
          <t>BERG</t>
        </is>
      </c>
      <c r="F634" t="inlineStr">
        <is>
          <t>SCA</t>
        </is>
      </c>
      <c r="G634" t="n">
        <v>5.9</v>
      </c>
      <c r="H634" t="n">
        <v>0</v>
      </c>
      <c r="I634" t="n">
        <v>0</v>
      </c>
      <c r="J634" t="n">
        <v>0</v>
      </c>
      <c r="K634" t="n">
        <v>0</v>
      </c>
      <c r="L634" t="n">
        <v>0</v>
      </c>
      <c r="M634" t="n">
        <v>0</v>
      </c>
      <c r="N634" t="n">
        <v>0</v>
      </c>
      <c r="O634" t="n">
        <v>0</v>
      </c>
      <c r="P634" t="n">
        <v>0</v>
      </c>
      <c r="Q634" t="n">
        <v>0</v>
      </c>
      <c r="R634" s="2" t="inlineStr"/>
    </row>
    <row r="635" ht="15" customHeight="1">
      <c r="A635" t="inlineStr">
        <is>
          <t>A 48770-2025</t>
        </is>
      </c>
      <c r="B635" s="1" t="n">
        <v>45936.91108796297</v>
      </c>
      <c r="C635" s="1" t="n">
        <v>45995</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49041-2025</t>
        </is>
      </c>
      <c r="B636" s="1" t="n">
        <v>45937.63592592593</v>
      </c>
      <c r="C636" s="1" t="n">
        <v>45995</v>
      </c>
      <c r="D636" t="inlineStr">
        <is>
          <t>JÄMTLANDS LÄN</t>
        </is>
      </c>
      <c r="E636" t="inlineStr">
        <is>
          <t>BERG</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57192-2025</t>
        </is>
      </c>
      <c r="B637" s="1" t="n">
        <v>45979.57696759259</v>
      </c>
      <c r="C637" s="1" t="n">
        <v>45995</v>
      </c>
      <c r="D637" t="inlineStr">
        <is>
          <t>JÄMTLANDS LÄN</t>
        </is>
      </c>
      <c r="E637" t="inlineStr">
        <is>
          <t>BERG</t>
        </is>
      </c>
      <c r="G637" t="n">
        <v>0.8</v>
      </c>
      <c r="H637" t="n">
        <v>0</v>
      </c>
      <c r="I637" t="n">
        <v>0</v>
      </c>
      <c r="J637" t="n">
        <v>0</v>
      </c>
      <c r="K637" t="n">
        <v>0</v>
      </c>
      <c r="L637" t="n">
        <v>0</v>
      </c>
      <c r="M637" t="n">
        <v>0</v>
      </c>
      <c r="N637" t="n">
        <v>0</v>
      </c>
      <c r="O637" t="n">
        <v>0</v>
      </c>
      <c r="P637" t="n">
        <v>0</v>
      </c>
      <c r="Q637" t="n">
        <v>0</v>
      </c>
      <c r="R637" s="2" t="inlineStr"/>
    </row>
    <row r="638" ht="15" customHeight="1">
      <c r="A638" t="inlineStr">
        <is>
          <t>A 2855-2025</t>
        </is>
      </c>
      <c r="B638" s="1" t="n">
        <v>45678</v>
      </c>
      <c r="C638" s="1" t="n">
        <v>45995</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7482-2022</t>
        </is>
      </c>
      <c r="B639" s="1" t="n">
        <v>44606</v>
      </c>
      <c r="C639" s="1" t="n">
        <v>45995</v>
      </c>
      <c r="D639" t="inlineStr">
        <is>
          <t>JÄMTLANDS LÄN</t>
        </is>
      </c>
      <c r="E639" t="inlineStr">
        <is>
          <t>BERG</t>
        </is>
      </c>
      <c r="G639" t="n">
        <v>1.8</v>
      </c>
      <c r="H639" t="n">
        <v>0</v>
      </c>
      <c r="I639" t="n">
        <v>0</v>
      </c>
      <c r="J639" t="n">
        <v>0</v>
      </c>
      <c r="K639" t="n">
        <v>0</v>
      </c>
      <c r="L639" t="n">
        <v>0</v>
      </c>
      <c r="M639" t="n">
        <v>0</v>
      </c>
      <c r="N639" t="n">
        <v>0</v>
      </c>
      <c r="O639" t="n">
        <v>0</v>
      </c>
      <c r="P639" t="n">
        <v>0</v>
      </c>
      <c r="Q639" t="n">
        <v>0</v>
      </c>
      <c r="R639" s="2" t="inlineStr"/>
    </row>
    <row r="640" ht="15" customHeight="1">
      <c r="A640" t="inlineStr">
        <is>
          <t>A 61085-2024</t>
        </is>
      </c>
      <c r="B640" s="1" t="n">
        <v>45645.53202546296</v>
      </c>
      <c r="C640" s="1" t="n">
        <v>45995</v>
      </c>
      <c r="D640" t="inlineStr">
        <is>
          <t>JÄMTLANDS LÄN</t>
        </is>
      </c>
      <c r="E640" t="inlineStr">
        <is>
          <t>BERG</t>
        </is>
      </c>
      <c r="F640" t="inlineStr">
        <is>
          <t>SCA</t>
        </is>
      </c>
      <c r="G640" t="n">
        <v>12.2</v>
      </c>
      <c r="H640" t="n">
        <v>0</v>
      </c>
      <c r="I640" t="n">
        <v>0</v>
      </c>
      <c r="J640" t="n">
        <v>0</v>
      </c>
      <c r="K640" t="n">
        <v>0</v>
      </c>
      <c r="L640" t="n">
        <v>0</v>
      </c>
      <c r="M640" t="n">
        <v>0</v>
      </c>
      <c r="N640" t="n">
        <v>0</v>
      </c>
      <c r="O640" t="n">
        <v>0</v>
      </c>
      <c r="P640" t="n">
        <v>0</v>
      </c>
      <c r="Q640" t="n">
        <v>0</v>
      </c>
      <c r="R640" s="2" t="inlineStr"/>
    </row>
    <row r="641" ht="15" customHeight="1">
      <c r="A641" t="inlineStr">
        <is>
          <t>A 3961-2025</t>
        </is>
      </c>
      <c r="B641" s="1" t="n">
        <v>45684.50217592593</v>
      </c>
      <c r="C641" s="1" t="n">
        <v>45995</v>
      </c>
      <c r="D641" t="inlineStr">
        <is>
          <t>JÄMTLANDS LÄN</t>
        </is>
      </c>
      <c r="E641" t="inlineStr">
        <is>
          <t>BERG</t>
        </is>
      </c>
      <c r="G641" t="n">
        <v>14.9</v>
      </c>
      <c r="H641" t="n">
        <v>0</v>
      </c>
      <c r="I641" t="n">
        <v>0</v>
      </c>
      <c r="J641" t="n">
        <v>0</v>
      </c>
      <c r="K641" t="n">
        <v>0</v>
      </c>
      <c r="L641" t="n">
        <v>0</v>
      </c>
      <c r="M641" t="n">
        <v>0</v>
      </c>
      <c r="N641" t="n">
        <v>0</v>
      </c>
      <c r="O641" t="n">
        <v>0</v>
      </c>
      <c r="P641" t="n">
        <v>0</v>
      </c>
      <c r="Q641" t="n">
        <v>0</v>
      </c>
      <c r="R641" s="2" t="inlineStr"/>
    </row>
    <row r="642" ht="15" customHeight="1">
      <c r="A642" t="inlineStr">
        <is>
          <t>A 43616-2024</t>
        </is>
      </c>
      <c r="B642" s="1" t="n">
        <v>45569</v>
      </c>
      <c r="C642" s="1" t="n">
        <v>45995</v>
      </c>
      <c r="D642" t="inlineStr">
        <is>
          <t>JÄMTLANDS LÄN</t>
        </is>
      </c>
      <c r="E642" t="inlineStr">
        <is>
          <t>BERG</t>
        </is>
      </c>
      <c r="G642" t="n">
        <v>12.3</v>
      </c>
      <c r="H642" t="n">
        <v>0</v>
      </c>
      <c r="I642" t="n">
        <v>0</v>
      </c>
      <c r="J642" t="n">
        <v>0</v>
      </c>
      <c r="K642" t="n">
        <v>0</v>
      </c>
      <c r="L642" t="n">
        <v>0</v>
      </c>
      <c r="M642" t="n">
        <v>0</v>
      </c>
      <c r="N642" t="n">
        <v>0</v>
      </c>
      <c r="O642" t="n">
        <v>0</v>
      </c>
      <c r="P642" t="n">
        <v>0</v>
      </c>
      <c r="Q642" t="n">
        <v>0</v>
      </c>
      <c r="R642" s="2" t="inlineStr"/>
    </row>
    <row r="643" ht="15" customHeight="1">
      <c r="A643" t="inlineStr">
        <is>
          <t>A 3964-2025</t>
        </is>
      </c>
      <c r="B643" s="1" t="n">
        <v>45684.50761574074</v>
      </c>
      <c r="C643" s="1" t="n">
        <v>45995</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46366-2024</t>
        </is>
      </c>
      <c r="B644" s="1" t="n">
        <v>45582.36490740741</v>
      </c>
      <c r="C644" s="1" t="n">
        <v>45995</v>
      </c>
      <c r="D644" t="inlineStr">
        <is>
          <t>JÄMTLANDS LÄN</t>
        </is>
      </c>
      <c r="E644" t="inlineStr">
        <is>
          <t>BERG</t>
        </is>
      </c>
      <c r="G644" t="n">
        <v>5</v>
      </c>
      <c r="H644" t="n">
        <v>0</v>
      </c>
      <c r="I644" t="n">
        <v>0</v>
      </c>
      <c r="J644" t="n">
        <v>0</v>
      </c>
      <c r="K644" t="n">
        <v>0</v>
      </c>
      <c r="L644" t="n">
        <v>0</v>
      </c>
      <c r="M644" t="n">
        <v>0</v>
      </c>
      <c r="N644" t="n">
        <v>0</v>
      </c>
      <c r="O644" t="n">
        <v>0</v>
      </c>
      <c r="P644" t="n">
        <v>0</v>
      </c>
      <c r="Q644" t="n">
        <v>0</v>
      </c>
      <c r="R644" s="2" t="inlineStr"/>
    </row>
    <row r="645" ht="15" customHeight="1">
      <c r="A645" t="inlineStr">
        <is>
          <t>A 48968-2025</t>
        </is>
      </c>
      <c r="B645" s="1" t="n">
        <v>45937.56285879629</v>
      </c>
      <c r="C645" s="1" t="n">
        <v>45995</v>
      </c>
      <c r="D645" t="inlineStr">
        <is>
          <t>JÄMTLANDS LÄN</t>
        </is>
      </c>
      <c r="E645" t="inlineStr">
        <is>
          <t>BERG</t>
        </is>
      </c>
      <c r="G645" t="n">
        <v>20</v>
      </c>
      <c r="H645" t="n">
        <v>0</v>
      </c>
      <c r="I645" t="n">
        <v>0</v>
      </c>
      <c r="J645" t="n">
        <v>0</v>
      </c>
      <c r="K645" t="n">
        <v>0</v>
      </c>
      <c r="L645" t="n">
        <v>0</v>
      </c>
      <c r="M645" t="n">
        <v>0</v>
      </c>
      <c r="N645" t="n">
        <v>0</v>
      </c>
      <c r="O645" t="n">
        <v>0</v>
      </c>
      <c r="P645" t="n">
        <v>0</v>
      </c>
      <c r="Q645" t="n">
        <v>0</v>
      </c>
      <c r="R645" s="2" t="inlineStr"/>
    </row>
    <row r="646" ht="15" customHeight="1">
      <c r="A646" t="inlineStr">
        <is>
          <t>A 57039-2025</t>
        </is>
      </c>
      <c r="B646" s="1" t="n">
        <v>45979.34543981482</v>
      </c>
      <c r="C646" s="1" t="n">
        <v>45995</v>
      </c>
      <c r="D646" t="inlineStr">
        <is>
          <t>JÄMTLANDS LÄN</t>
        </is>
      </c>
      <c r="E646" t="inlineStr">
        <is>
          <t>BERG</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48865-2025</t>
        </is>
      </c>
      <c r="B647" s="1" t="n">
        <v>45937.44760416666</v>
      </c>
      <c r="C647" s="1" t="n">
        <v>45995</v>
      </c>
      <c r="D647" t="inlineStr">
        <is>
          <t>JÄMTLANDS LÄN</t>
        </is>
      </c>
      <c r="E647" t="inlineStr">
        <is>
          <t>BERG</t>
        </is>
      </c>
      <c r="G647" t="n">
        <v>5.8</v>
      </c>
      <c r="H647" t="n">
        <v>0</v>
      </c>
      <c r="I647" t="n">
        <v>0</v>
      </c>
      <c r="J647" t="n">
        <v>0</v>
      </c>
      <c r="K647" t="n">
        <v>0</v>
      </c>
      <c r="L647" t="n">
        <v>0</v>
      </c>
      <c r="M647" t="n">
        <v>0</v>
      </c>
      <c r="N647" t="n">
        <v>0</v>
      </c>
      <c r="O647" t="n">
        <v>0</v>
      </c>
      <c r="P647" t="n">
        <v>0</v>
      </c>
      <c r="Q647" t="n">
        <v>0</v>
      </c>
      <c r="R647" s="2" t="inlineStr"/>
    </row>
    <row r="648" ht="15" customHeight="1">
      <c r="A648" t="inlineStr">
        <is>
          <t>A 57503-2025</t>
        </is>
      </c>
      <c r="B648" s="1" t="n">
        <v>45980.59431712963</v>
      </c>
      <c r="C648" s="1" t="n">
        <v>45995</v>
      </c>
      <c r="D648" t="inlineStr">
        <is>
          <t>JÄMTLANDS LÄN</t>
        </is>
      </c>
      <c r="E648" t="inlineStr">
        <is>
          <t>BERG</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22724-2025</t>
        </is>
      </c>
      <c r="B649" s="1" t="n">
        <v>45789.57361111111</v>
      </c>
      <c r="C649" s="1" t="n">
        <v>45995</v>
      </c>
      <c r="D649" t="inlineStr">
        <is>
          <t>JÄMTLANDS LÄN</t>
        </is>
      </c>
      <c r="E649" t="inlineStr">
        <is>
          <t>BERG</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49349-2025</t>
        </is>
      </c>
      <c r="B650" s="1" t="n">
        <v>45938.61060185185</v>
      </c>
      <c r="C650" s="1" t="n">
        <v>45995</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57244-2025</t>
        </is>
      </c>
      <c r="B651" s="1" t="n">
        <v>45979.63030092593</v>
      </c>
      <c r="C651" s="1" t="n">
        <v>45995</v>
      </c>
      <c r="D651" t="inlineStr">
        <is>
          <t>JÄMTLANDS LÄN</t>
        </is>
      </c>
      <c r="E651" t="inlineStr">
        <is>
          <t>BERG</t>
        </is>
      </c>
      <c r="G651" t="n">
        <v>17.7</v>
      </c>
      <c r="H651" t="n">
        <v>0</v>
      </c>
      <c r="I651" t="n">
        <v>0</v>
      </c>
      <c r="J651" t="n">
        <v>0</v>
      </c>
      <c r="K651" t="n">
        <v>0</v>
      </c>
      <c r="L651" t="n">
        <v>0</v>
      </c>
      <c r="M651" t="n">
        <v>0</v>
      </c>
      <c r="N651" t="n">
        <v>0</v>
      </c>
      <c r="O651" t="n">
        <v>0</v>
      </c>
      <c r="P651" t="n">
        <v>0</v>
      </c>
      <c r="Q651" t="n">
        <v>0</v>
      </c>
      <c r="R651" s="2" t="inlineStr"/>
    </row>
    <row r="652" ht="15" customHeight="1">
      <c r="A652" t="inlineStr">
        <is>
          <t>A 22672-2025</t>
        </is>
      </c>
      <c r="B652" s="1" t="n">
        <v>45789.4903587963</v>
      </c>
      <c r="C652" s="1" t="n">
        <v>45995</v>
      </c>
      <c r="D652" t="inlineStr">
        <is>
          <t>JÄMTLANDS LÄN</t>
        </is>
      </c>
      <c r="E652" t="inlineStr">
        <is>
          <t>BERG</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22653-2025</t>
        </is>
      </c>
      <c r="B653" s="1" t="n">
        <v>45789.46931712963</v>
      </c>
      <c r="C653" s="1" t="n">
        <v>45995</v>
      </c>
      <c r="D653" t="inlineStr">
        <is>
          <t>JÄMTLANDS LÄN</t>
        </is>
      </c>
      <c r="E653" t="inlineStr">
        <is>
          <t>BERG</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13149-2025</t>
        </is>
      </c>
      <c r="B654" s="1" t="n">
        <v>45735.34424768519</v>
      </c>
      <c r="C654" s="1" t="n">
        <v>45995</v>
      </c>
      <c r="D654" t="inlineStr">
        <is>
          <t>JÄMTLANDS LÄN</t>
        </is>
      </c>
      <c r="E654" t="inlineStr">
        <is>
          <t>BERG</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53085-2024</t>
        </is>
      </c>
      <c r="B655" s="1" t="n">
        <v>45611.51072916666</v>
      </c>
      <c r="C655" s="1" t="n">
        <v>45995</v>
      </c>
      <c r="D655" t="inlineStr">
        <is>
          <t>JÄMTLANDS LÄN</t>
        </is>
      </c>
      <c r="E655" t="inlineStr">
        <is>
          <t>BERG</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22995-2025</t>
        </is>
      </c>
      <c r="B656" s="1" t="n">
        <v>45790.58265046297</v>
      </c>
      <c r="C656" s="1" t="n">
        <v>45995</v>
      </c>
      <c r="D656" t="inlineStr">
        <is>
          <t>JÄMTLANDS LÄN</t>
        </is>
      </c>
      <c r="E656" t="inlineStr">
        <is>
          <t>BERG</t>
        </is>
      </c>
      <c r="G656" t="n">
        <v>0.6</v>
      </c>
      <c r="H656" t="n">
        <v>0</v>
      </c>
      <c r="I656" t="n">
        <v>0</v>
      </c>
      <c r="J656" t="n">
        <v>0</v>
      </c>
      <c r="K656" t="n">
        <v>0</v>
      </c>
      <c r="L656" t="n">
        <v>0</v>
      </c>
      <c r="M656" t="n">
        <v>0</v>
      </c>
      <c r="N656" t="n">
        <v>0</v>
      </c>
      <c r="O656" t="n">
        <v>0</v>
      </c>
      <c r="P656" t="n">
        <v>0</v>
      </c>
      <c r="Q656" t="n">
        <v>0</v>
      </c>
      <c r="R656" s="2" t="inlineStr"/>
    </row>
    <row r="657" ht="15" customHeight="1">
      <c r="A657" t="inlineStr">
        <is>
          <t>A 57602-2025</t>
        </is>
      </c>
      <c r="B657" s="1" t="n">
        <v>45981.31667824074</v>
      </c>
      <c r="C657" s="1" t="n">
        <v>45995</v>
      </c>
      <c r="D657" t="inlineStr">
        <is>
          <t>JÄMTLANDS LÄN</t>
        </is>
      </c>
      <c r="E657" t="inlineStr">
        <is>
          <t>BERG</t>
        </is>
      </c>
      <c r="G657" t="n">
        <v>2.7</v>
      </c>
      <c r="H657" t="n">
        <v>0</v>
      </c>
      <c r="I657" t="n">
        <v>0</v>
      </c>
      <c r="J657" t="n">
        <v>0</v>
      </c>
      <c r="K657" t="n">
        <v>0</v>
      </c>
      <c r="L657" t="n">
        <v>0</v>
      </c>
      <c r="M657" t="n">
        <v>0</v>
      </c>
      <c r="N657" t="n">
        <v>0</v>
      </c>
      <c r="O657" t="n">
        <v>0</v>
      </c>
      <c r="P657" t="n">
        <v>0</v>
      </c>
      <c r="Q657" t="n">
        <v>0</v>
      </c>
      <c r="R657" s="2" t="inlineStr"/>
    </row>
    <row r="658" ht="15" customHeight="1">
      <c r="A658" t="inlineStr">
        <is>
          <t>A 49573-2025</t>
        </is>
      </c>
      <c r="B658" s="1" t="n">
        <v>45939.49037037037</v>
      </c>
      <c r="C658" s="1" t="n">
        <v>45995</v>
      </c>
      <c r="D658" t="inlineStr">
        <is>
          <t>JÄMTLANDS LÄN</t>
        </is>
      </c>
      <c r="E658" t="inlineStr">
        <is>
          <t>BERG</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49749-2025</t>
        </is>
      </c>
      <c r="B659" s="1" t="n">
        <v>45940.34486111111</v>
      </c>
      <c r="C659" s="1" t="n">
        <v>45995</v>
      </c>
      <c r="D659" t="inlineStr">
        <is>
          <t>JÄMTLANDS LÄN</t>
        </is>
      </c>
      <c r="E659" t="inlineStr">
        <is>
          <t>BERG</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23026-2025</t>
        </is>
      </c>
      <c r="B660" s="1" t="n">
        <v>45790.65690972222</v>
      </c>
      <c r="C660" s="1" t="n">
        <v>45995</v>
      </c>
      <c r="D660" t="inlineStr">
        <is>
          <t>JÄMTLANDS LÄN</t>
        </is>
      </c>
      <c r="E660" t="inlineStr">
        <is>
          <t>BERG</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22991-2025</t>
        </is>
      </c>
      <c r="B661" s="1" t="n">
        <v>45790.57836805555</v>
      </c>
      <c r="C661" s="1" t="n">
        <v>45995</v>
      </c>
      <c r="D661" t="inlineStr">
        <is>
          <t>JÄMTLANDS LÄN</t>
        </is>
      </c>
      <c r="E661" t="inlineStr">
        <is>
          <t>BERG</t>
        </is>
      </c>
      <c r="G661" t="n">
        <v>1.2</v>
      </c>
      <c r="H661" t="n">
        <v>0</v>
      </c>
      <c r="I661" t="n">
        <v>0</v>
      </c>
      <c r="J661" t="n">
        <v>0</v>
      </c>
      <c r="K661" t="n">
        <v>0</v>
      </c>
      <c r="L661" t="n">
        <v>0</v>
      </c>
      <c r="M661" t="n">
        <v>0</v>
      </c>
      <c r="N661" t="n">
        <v>0</v>
      </c>
      <c r="O661" t="n">
        <v>0</v>
      </c>
      <c r="P661" t="n">
        <v>0</v>
      </c>
      <c r="Q661" t="n">
        <v>0</v>
      </c>
      <c r="R661" s="2" t="inlineStr"/>
    </row>
    <row r="662" ht="15" customHeight="1">
      <c r="A662" t="inlineStr">
        <is>
          <t>A 57763-2025</t>
        </is>
      </c>
      <c r="B662" s="1" t="n">
        <v>45981.55693287037</v>
      </c>
      <c r="C662" s="1" t="n">
        <v>45995</v>
      </c>
      <c r="D662" t="inlineStr">
        <is>
          <t>JÄMTLANDS LÄN</t>
        </is>
      </c>
      <c r="E662" t="inlineStr">
        <is>
          <t>BERG</t>
        </is>
      </c>
      <c r="F662" t="inlineStr">
        <is>
          <t>Övriga Aktiebolag</t>
        </is>
      </c>
      <c r="G662" t="n">
        <v>13.1</v>
      </c>
      <c r="H662" t="n">
        <v>0</v>
      </c>
      <c r="I662" t="n">
        <v>0</v>
      </c>
      <c r="J662" t="n">
        <v>0</v>
      </c>
      <c r="K662" t="n">
        <v>0</v>
      </c>
      <c r="L662" t="n">
        <v>0</v>
      </c>
      <c r="M662" t="n">
        <v>0</v>
      </c>
      <c r="N662" t="n">
        <v>0</v>
      </c>
      <c r="O662" t="n">
        <v>0</v>
      </c>
      <c r="P662" t="n">
        <v>0</v>
      </c>
      <c r="Q662" t="n">
        <v>0</v>
      </c>
      <c r="R662" s="2" t="inlineStr"/>
    </row>
    <row r="663" ht="15" customHeight="1">
      <c r="A663" t="inlineStr">
        <is>
          <t>A 57861-2025</t>
        </is>
      </c>
      <c r="B663" s="1" t="n">
        <v>45981.64236111111</v>
      </c>
      <c r="C663" s="1" t="n">
        <v>45995</v>
      </c>
      <c r="D663" t="inlineStr">
        <is>
          <t>JÄMTLANDS LÄN</t>
        </is>
      </c>
      <c r="E663" t="inlineStr">
        <is>
          <t>BERG</t>
        </is>
      </c>
      <c r="G663" t="n">
        <v>1.3</v>
      </c>
      <c r="H663" t="n">
        <v>0</v>
      </c>
      <c r="I663" t="n">
        <v>0</v>
      </c>
      <c r="J663" t="n">
        <v>0</v>
      </c>
      <c r="K663" t="n">
        <v>0</v>
      </c>
      <c r="L663" t="n">
        <v>0</v>
      </c>
      <c r="M663" t="n">
        <v>0</v>
      </c>
      <c r="N663" t="n">
        <v>0</v>
      </c>
      <c r="O663" t="n">
        <v>0</v>
      </c>
      <c r="P663" t="n">
        <v>0</v>
      </c>
      <c r="Q663" t="n">
        <v>0</v>
      </c>
      <c r="R663" s="2" t="inlineStr"/>
    </row>
    <row r="664" ht="15" customHeight="1">
      <c r="A664" t="inlineStr">
        <is>
          <t>A 49918-2025</t>
        </is>
      </c>
      <c r="B664" s="1" t="n">
        <v>45940.6290625</v>
      </c>
      <c r="C664" s="1" t="n">
        <v>45995</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2247-2025</t>
        </is>
      </c>
      <c r="B665" s="1" t="n">
        <v>45673.49039351852</v>
      </c>
      <c r="C665" s="1" t="n">
        <v>45995</v>
      </c>
      <c r="D665" t="inlineStr">
        <is>
          <t>JÄMTLANDS LÄN</t>
        </is>
      </c>
      <c r="E665" t="inlineStr">
        <is>
          <t>BERG</t>
        </is>
      </c>
      <c r="F665" t="inlineStr">
        <is>
          <t>SCA</t>
        </is>
      </c>
      <c r="G665" t="n">
        <v>13.3</v>
      </c>
      <c r="H665" t="n">
        <v>0</v>
      </c>
      <c r="I665" t="n">
        <v>0</v>
      </c>
      <c r="J665" t="n">
        <v>0</v>
      </c>
      <c r="K665" t="n">
        <v>0</v>
      </c>
      <c r="L665" t="n">
        <v>0</v>
      </c>
      <c r="M665" t="n">
        <v>0</v>
      </c>
      <c r="N665" t="n">
        <v>0</v>
      </c>
      <c r="O665" t="n">
        <v>0</v>
      </c>
      <c r="P665" t="n">
        <v>0</v>
      </c>
      <c r="Q665" t="n">
        <v>0</v>
      </c>
      <c r="R665" s="2" t="inlineStr"/>
    </row>
    <row r="666" ht="15" customHeight="1">
      <c r="A666" t="inlineStr">
        <is>
          <t>A 57849-2025</t>
        </is>
      </c>
      <c r="B666" s="1" t="n">
        <v>45981.63472222222</v>
      </c>
      <c r="C666" s="1" t="n">
        <v>45995</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49604-2025</t>
        </is>
      </c>
      <c r="B667" s="1" t="n">
        <v>45939.55241898148</v>
      </c>
      <c r="C667" s="1" t="n">
        <v>45995</v>
      </c>
      <c r="D667" t="inlineStr">
        <is>
          <t>JÄMTLANDS LÄN</t>
        </is>
      </c>
      <c r="E667" t="inlineStr">
        <is>
          <t>BERG</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58437-2025</t>
        </is>
      </c>
      <c r="B668" s="1" t="n">
        <v>45985.61512731481</v>
      </c>
      <c r="C668" s="1" t="n">
        <v>45995</v>
      </c>
      <c r="D668" t="inlineStr">
        <is>
          <t>JÄMTLANDS LÄN</t>
        </is>
      </c>
      <c r="E668" t="inlineStr">
        <is>
          <t>BERG</t>
        </is>
      </c>
      <c r="G668" t="n">
        <v>1.6</v>
      </c>
      <c r="H668" t="n">
        <v>0</v>
      </c>
      <c r="I668" t="n">
        <v>0</v>
      </c>
      <c r="J668" t="n">
        <v>0</v>
      </c>
      <c r="K668" t="n">
        <v>0</v>
      </c>
      <c r="L668" t="n">
        <v>0</v>
      </c>
      <c r="M668" t="n">
        <v>0</v>
      </c>
      <c r="N668" t="n">
        <v>0</v>
      </c>
      <c r="O668" t="n">
        <v>0</v>
      </c>
      <c r="P668" t="n">
        <v>0</v>
      </c>
      <c r="Q668" t="n">
        <v>0</v>
      </c>
      <c r="R668" s="2" t="inlineStr"/>
    </row>
    <row r="669" ht="15" customHeight="1">
      <c r="A669" t="inlineStr">
        <is>
          <t>A 58238-2025</t>
        </is>
      </c>
      <c r="B669" s="1" t="n">
        <v>45985.38775462963</v>
      </c>
      <c r="C669" s="1" t="n">
        <v>45995</v>
      </c>
      <c r="D669" t="inlineStr">
        <is>
          <t>JÄMTLANDS LÄN</t>
        </is>
      </c>
      <c r="E669" t="inlineStr">
        <is>
          <t>BERG</t>
        </is>
      </c>
      <c r="F669" t="inlineStr">
        <is>
          <t>SCA</t>
        </is>
      </c>
      <c r="G669" t="n">
        <v>7.6</v>
      </c>
      <c r="H669" t="n">
        <v>0</v>
      </c>
      <c r="I669" t="n">
        <v>0</v>
      </c>
      <c r="J669" t="n">
        <v>0</v>
      </c>
      <c r="K669" t="n">
        <v>0</v>
      </c>
      <c r="L669" t="n">
        <v>0</v>
      </c>
      <c r="M669" t="n">
        <v>0</v>
      </c>
      <c r="N669" t="n">
        <v>0</v>
      </c>
      <c r="O669" t="n">
        <v>0</v>
      </c>
      <c r="P669" t="n">
        <v>0</v>
      </c>
      <c r="Q669" t="n">
        <v>0</v>
      </c>
      <c r="R669" s="2" t="inlineStr"/>
    </row>
    <row r="670" ht="15" customHeight="1">
      <c r="A670" t="inlineStr">
        <is>
          <t>A 50094-2025</t>
        </is>
      </c>
      <c r="B670" s="1" t="n">
        <v>45943.49340277778</v>
      </c>
      <c r="C670" s="1" t="n">
        <v>45995</v>
      </c>
      <c r="D670" t="inlineStr">
        <is>
          <t>JÄMTLANDS LÄN</t>
        </is>
      </c>
      <c r="E670" t="inlineStr">
        <is>
          <t>BERG</t>
        </is>
      </c>
      <c r="G670" t="n">
        <v>3</v>
      </c>
      <c r="H670" t="n">
        <v>0</v>
      </c>
      <c r="I670" t="n">
        <v>0</v>
      </c>
      <c r="J670" t="n">
        <v>0</v>
      </c>
      <c r="K670" t="n">
        <v>0</v>
      </c>
      <c r="L670" t="n">
        <v>0</v>
      </c>
      <c r="M670" t="n">
        <v>0</v>
      </c>
      <c r="N670" t="n">
        <v>0</v>
      </c>
      <c r="O670" t="n">
        <v>0</v>
      </c>
      <c r="P670" t="n">
        <v>0</v>
      </c>
      <c r="Q670" t="n">
        <v>0</v>
      </c>
      <c r="R670" s="2" t="inlineStr"/>
    </row>
    <row r="671" ht="15" customHeight="1">
      <c r="A671" t="inlineStr">
        <is>
          <t>A 58470-2025</t>
        </is>
      </c>
      <c r="B671" s="1" t="n">
        <v>45985.63704861111</v>
      </c>
      <c r="C671" s="1" t="n">
        <v>45995</v>
      </c>
      <c r="D671" t="inlineStr">
        <is>
          <t>JÄMTLANDS LÄN</t>
        </is>
      </c>
      <c r="E671" t="inlineStr">
        <is>
          <t>BERG</t>
        </is>
      </c>
      <c r="G671" t="n">
        <v>3.6</v>
      </c>
      <c r="H671" t="n">
        <v>0</v>
      </c>
      <c r="I671" t="n">
        <v>0</v>
      </c>
      <c r="J671" t="n">
        <v>0</v>
      </c>
      <c r="K671" t="n">
        <v>0</v>
      </c>
      <c r="L671" t="n">
        <v>0</v>
      </c>
      <c r="M671" t="n">
        <v>0</v>
      </c>
      <c r="N671" t="n">
        <v>0</v>
      </c>
      <c r="O671" t="n">
        <v>0</v>
      </c>
      <c r="P671" t="n">
        <v>0</v>
      </c>
      <c r="Q671" t="n">
        <v>0</v>
      </c>
      <c r="R671" s="2" t="inlineStr"/>
    </row>
    <row r="672" ht="15" customHeight="1">
      <c r="A672" t="inlineStr">
        <is>
          <t>A 50231-2025</t>
        </is>
      </c>
      <c r="B672" s="1" t="n">
        <v>45943.70643518519</v>
      </c>
      <c r="C672" s="1" t="n">
        <v>45995</v>
      </c>
      <c r="D672" t="inlineStr">
        <is>
          <t>JÄMTLANDS LÄN</t>
        </is>
      </c>
      <c r="E672" t="inlineStr">
        <is>
          <t>BERG</t>
        </is>
      </c>
      <c r="G672" t="n">
        <v>4.6</v>
      </c>
      <c r="H672" t="n">
        <v>0</v>
      </c>
      <c r="I672" t="n">
        <v>0</v>
      </c>
      <c r="J672" t="n">
        <v>0</v>
      </c>
      <c r="K672" t="n">
        <v>0</v>
      </c>
      <c r="L672" t="n">
        <v>0</v>
      </c>
      <c r="M672" t="n">
        <v>0</v>
      </c>
      <c r="N672" t="n">
        <v>0</v>
      </c>
      <c r="O672" t="n">
        <v>0</v>
      </c>
      <c r="P672" t="n">
        <v>0</v>
      </c>
      <c r="Q672" t="n">
        <v>0</v>
      </c>
      <c r="R672" s="2" t="inlineStr"/>
    </row>
    <row r="673" ht="15" customHeight="1">
      <c r="A673" t="inlineStr">
        <is>
          <t>A 50233-2025</t>
        </is>
      </c>
      <c r="B673" s="1" t="n">
        <v>45943.71228009259</v>
      </c>
      <c r="C673" s="1" t="n">
        <v>45995</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1646-2021</t>
        </is>
      </c>
      <c r="B674" s="1" t="n">
        <v>44209</v>
      </c>
      <c r="C674" s="1" t="n">
        <v>45995</v>
      </c>
      <c r="D674" t="inlineStr">
        <is>
          <t>JÄMTLANDS LÄN</t>
        </is>
      </c>
      <c r="E674" t="inlineStr">
        <is>
          <t>BERG</t>
        </is>
      </c>
      <c r="G674" t="n">
        <v>0.1</v>
      </c>
      <c r="H674" t="n">
        <v>0</v>
      </c>
      <c r="I674" t="n">
        <v>0</v>
      </c>
      <c r="J674" t="n">
        <v>0</v>
      </c>
      <c r="K674" t="n">
        <v>0</v>
      </c>
      <c r="L674" t="n">
        <v>0</v>
      </c>
      <c r="M674" t="n">
        <v>0</v>
      </c>
      <c r="N674" t="n">
        <v>0</v>
      </c>
      <c r="O674" t="n">
        <v>0</v>
      </c>
      <c r="P674" t="n">
        <v>0</v>
      </c>
      <c r="Q674" t="n">
        <v>0</v>
      </c>
      <c r="R674" s="2" t="inlineStr"/>
    </row>
    <row r="675" ht="15" customHeight="1">
      <c r="A675" t="inlineStr">
        <is>
          <t>A 50227-2025</t>
        </is>
      </c>
      <c r="B675" s="1" t="n">
        <v>45943.69686342592</v>
      </c>
      <c r="C675" s="1" t="n">
        <v>45995</v>
      </c>
      <c r="D675" t="inlineStr">
        <is>
          <t>JÄMTLANDS LÄN</t>
        </is>
      </c>
      <c r="E675" t="inlineStr">
        <is>
          <t>BERG</t>
        </is>
      </c>
      <c r="G675" t="n">
        <v>1.5</v>
      </c>
      <c r="H675" t="n">
        <v>0</v>
      </c>
      <c r="I675" t="n">
        <v>0</v>
      </c>
      <c r="J675" t="n">
        <v>0</v>
      </c>
      <c r="K675" t="n">
        <v>0</v>
      </c>
      <c r="L675" t="n">
        <v>0</v>
      </c>
      <c r="M675" t="n">
        <v>0</v>
      </c>
      <c r="N675" t="n">
        <v>0</v>
      </c>
      <c r="O675" t="n">
        <v>0</v>
      </c>
      <c r="P675" t="n">
        <v>0</v>
      </c>
      <c r="Q675" t="n">
        <v>0</v>
      </c>
      <c r="R675" s="2" t="inlineStr"/>
    </row>
    <row r="676" ht="15" customHeight="1">
      <c r="A676" t="inlineStr">
        <is>
          <t>A 48069-2023</t>
        </is>
      </c>
      <c r="B676" s="1" t="n">
        <v>45204</v>
      </c>
      <c r="C676" s="1" t="n">
        <v>45995</v>
      </c>
      <c r="D676" t="inlineStr">
        <is>
          <t>JÄMTLANDS LÄN</t>
        </is>
      </c>
      <c r="E676" t="inlineStr">
        <is>
          <t>BERG</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43458-2025</t>
        </is>
      </c>
      <c r="B677" s="1" t="n">
        <v>45911.46315972223</v>
      </c>
      <c r="C677" s="1" t="n">
        <v>45995</v>
      </c>
      <c r="D677" t="inlineStr">
        <is>
          <t>JÄMTLANDS LÄN</t>
        </is>
      </c>
      <c r="E677" t="inlineStr">
        <is>
          <t>BERG</t>
        </is>
      </c>
      <c r="G677" t="n">
        <v>11.2</v>
      </c>
      <c r="H677" t="n">
        <v>0</v>
      </c>
      <c r="I677" t="n">
        <v>0</v>
      </c>
      <c r="J677" t="n">
        <v>0</v>
      </c>
      <c r="K677" t="n">
        <v>0</v>
      </c>
      <c r="L677" t="n">
        <v>0</v>
      </c>
      <c r="M677" t="n">
        <v>0</v>
      </c>
      <c r="N677" t="n">
        <v>0</v>
      </c>
      <c r="O677" t="n">
        <v>0</v>
      </c>
      <c r="P677" t="n">
        <v>0</v>
      </c>
      <c r="Q677" t="n">
        <v>0</v>
      </c>
      <c r="R677" s="2" t="inlineStr"/>
    </row>
    <row r="678" ht="15" customHeight="1">
      <c r="A678" t="inlineStr">
        <is>
          <t>A 58708-2025</t>
        </is>
      </c>
      <c r="B678" s="1" t="n">
        <v>45986.60412037037</v>
      </c>
      <c r="C678" s="1" t="n">
        <v>45995</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50024-2025</t>
        </is>
      </c>
      <c r="B679" s="1" t="n">
        <v>45943.37563657408</v>
      </c>
      <c r="C679" s="1" t="n">
        <v>45995</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50020-2025</t>
        </is>
      </c>
      <c r="B680" s="1" t="n">
        <v>45943.36899305556</v>
      </c>
      <c r="C680" s="1" t="n">
        <v>45995</v>
      </c>
      <c r="D680" t="inlineStr">
        <is>
          <t>JÄMTLANDS LÄN</t>
        </is>
      </c>
      <c r="E680" t="inlineStr">
        <is>
          <t>BERG</t>
        </is>
      </c>
      <c r="G680" t="n">
        <v>0.6</v>
      </c>
      <c r="H680" t="n">
        <v>0</v>
      </c>
      <c r="I680" t="n">
        <v>0</v>
      </c>
      <c r="J680" t="n">
        <v>0</v>
      </c>
      <c r="K680" t="n">
        <v>0</v>
      </c>
      <c r="L680" t="n">
        <v>0</v>
      </c>
      <c r="M680" t="n">
        <v>0</v>
      </c>
      <c r="N680" t="n">
        <v>0</v>
      </c>
      <c r="O680" t="n">
        <v>0</v>
      </c>
      <c r="P680" t="n">
        <v>0</v>
      </c>
      <c r="Q680" t="n">
        <v>0</v>
      </c>
      <c r="R680" s="2" t="inlineStr"/>
    </row>
    <row r="681" ht="15" customHeight="1">
      <c r="A681" t="inlineStr">
        <is>
          <t>A 58436-2025</t>
        </is>
      </c>
      <c r="B681" s="1" t="n">
        <v>45985.61510416667</v>
      </c>
      <c r="C681" s="1" t="n">
        <v>45995</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58413-2025</t>
        </is>
      </c>
      <c r="B682" s="1" t="n">
        <v>45985.57662037037</v>
      </c>
      <c r="C682" s="1" t="n">
        <v>45995</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50230-2025</t>
        </is>
      </c>
      <c r="B683" s="1" t="n">
        <v>45943.70216435185</v>
      </c>
      <c r="C683" s="1" t="n">
        <v>45995</v>
      </c>
      <c r="D683" t="inlineStr">
        <is>
          <t>JÄMTLANDS LÄN</t>
        </is>
      </c>
      <c r="E683" t="inlineStr">
        <is>
          <t>BERG</t>
        </is>
      </c>
      <c r="G683" t="n">
        <v>6.3</v>
      </c>
      <c r="H683" t="n">
        <v>0</v>
      </c>
      <c r="I683" t="n">
        <v>0</v>
      </c>
      <c r="J683" t="n">
        <v>0</v>
      </c>
      <c r="K683" t="n">
        <v>0</v>
      </c>
      <c r="L683" t="n">
        <v>0</v>
      </c>
      <c r="M683" t="n">
        <v>0</v>
      </c>
      <c r="N683" t="n">
        <v>0</v>
      </c>
      <c r="O683" t="n">
        <v>0</v>
      </c>
      <c r="P683" t="n">
        <v>0</v>
      </c>
      <c r="Q683" t="n">
        <v>0</v>
      </c>
      <c r="R683" s="2" t="inlineStr"/>
    </row>
    <row r="684" ht="15" customHeight="1">
      <c r="A684" t="inlineStr">
        <is>
          <t>A 50273-2025</t>
        </is>
      </c>
      <c r="B684" s="1" t="n">
        <v>45944.36600694444</v>
      </c>
      <c r="C684" s="1" t="n">
        <v>45995</v>
      </c>
      <c r="D684" t="inlineStr">
        <is>
          <t>JÄMTLANDS LÄN</t>
        </is>
      </c>
      <c r="E684" t="inlineStr">
        <is>
          <t>BERG</t>
        </is>
      </c>
      <c r="G684" t="n">
        <v>5.7</v>
      </c>
      <c r="H684" t="n">
        <v>0</v>
      </c>
      <c r="I684" t="n">
        <v>0</v>
      </c>
      <c r="J684" t="n">
        <v>0</v>
      </c>
      <c r="K684" t="n">
        <v>0</v>
      </c>
      <c r="L684" t="n">
        <v>0</v>
      </c>
      <c r="M684" t="n">
        <v>0</v>
      </c>
      <c r="N684" t="n">
        <v>0</v>
      </c>
      <c r="O684" t="n">
        <v>0</v>
      </c>
      <c r="P684" t="n">
        <v>0</v>
      </c>
      <c r="Q684" t="n">
        <v>0</v>
      </c>
      <c r="R684" s="2" t="inlineStr"/>
    </row>
    <row r="685" ht="15" customHeight="1">
      <c r="A685" t="inlineStr">
        <is>
          <t>A 34819-2023</t>
        </is>
      </c>
      <c r="B685" s="1" t="n">
        <v>45140</v>
      </c>
      <c r="C685" s="1" t="n">
        <v>45995</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58237-2025</t>
        </is>
      </c>
      <c r="B686" s="1" t="n">
        <v>45985.38751157407</v>
      </c>
      <c r="C686" s="1" t="n">
        <v>45995</v>
      </c>
      <c r="D686" t="inlineStr">
        <is>
          <t>JÄMTLANDS LÄN</t>
        </is>
      </c>
      <c r="E686" t="inlineStr">
        <is>
          <t>BERG</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58581-2025</t>
        </is>
      </c>
      <c r="B687" s="1" t="n">
        <v>45986.38626157407</v>
      </c>
      <c r="C687" s="1" t="n">
        <v>45995</v>
      </c>
      <c r="D687" t="inlineStr">
        <is>
          <t>JÄMTLANDS LÄN</t>
        </is>
      </c>
      <c r="E687" t="inlineStr">
        <is>
          <t>BERG</t>
        </is>
      </c>
      <c r="G687" t="n">
        <v>6.9</v>
      </c>
      <c r="H687" t="n">
        <v>0</v>
      </c>
      <c r="I687" t="n">
        <v>0</v>
      </c>
      <c r="J687" t="n">
        <v>0</v>
      </c>
      <c r="K687" t="n">
        <v>0</v>
      </c>
      <c r="L687" t="n">
        <v>0</v>
      </c>
      <c r="M687" t="n">
        <v>0</v>
      </c>
      <c r="N687" t="n">
        <v>0</v>
      </c>
      <c r="O687" t="n">
        <v>0</v>
      </c>
      <c r="P687" t="n">
        <v>0</v>
      </c>
      <c r="Q687" t="n">
        <v>0</v>
      </c>
      <c r="R687" s="2" t="inlineStr"/>
    </row>
    <row r="688" ht="15" customHeight="1">
      <c r="A688" t="inlineStr">
        <is>
          <t>A 50408-2025</t>
        </is>
      </c>
      <c r="B688" s="1" t="n">
        <v>45944.64006944445</v>
      </c>
      <c r="C688" s="1" t="n">
        <v>45995</v>
      </c>
      <c r="D688" t="inlineStr">
        <is>
          <t>JÄMTLANDS LÄN</t>
        </is>
      </c>
      <c r="E688" t="inlineStr">
        <is>
          <t>BERG</t>
        </is>
      </c>
      <c r="G688" t="n">
        <v>1.2</v>
      </c>
      <c r="H688" t="n">
        <v>0</v>
      </c>
      <c r="I688" t="n">
        <v>0</v>
      </c>
      <c r="J688" t="n">
        <v>0</v>
      </c>
      <c r="K688" t="n">
        <v>0</v>
      </c>
      <c r="L688" t="n">
        <v>0</v>
      </c>
      <c r="M688" t="n">
        <v>0</v>
      </c>
      <c r="N688" t="n">
        <v>0</v>
      </c>
      <c r="O688" t="n">
        <v>0</v>
      </c>
      <c r="P688" t="n">
        <v>0</v>
      </c>
      <c r="Q688" t="n">
        <v>0</v>
      </c>
      <c r="R688" s="2" t="inlineStr"/>
    </row>
    <row r="689" ht="15" customHeight="1">
      <c r="A689" t="inlineStr">
        <is>
          <t>A 58438-2025</t>
        </is>
      </c>
      <c r="B689" s="1" t="n">
        <v>45985.61513888889</v>
      </c>
      <c r="C689" s="1" t="n">
        <v>45995</v>
      </c>
      <c r="D689" t="inlineStr">
        <is>
          <t>JÄMTLANDS LÄN</t>
        </is>
      </c>
      <c r="E689" t="inlineStr">
        <is>
          <t>BERG</t>
        </is>
      </c>
      <c r="G689" t="n">
        <v>5.1</v>
      </c>
      <c r="H689" t="n">
        <v>0</v>
      </c>
      <c r="I689" t="n">
        <v>0</v>
      </c>
      <c r="J689" t="n">
        <v>0</v>
      </c>
      <c r="K689" t="n">
        <v>0</v>
      </c>
      <c r="L689" t="n">
        <v>0</v>
      </c>
      <c r="M689" t="n">
        <v>0</v>
      </c>
      <c r="N689" t="n">
        <v>0</v>
      </c>
      <c r="O689" t="n">
        <v>0</v>
      </c>
      <c r="P689" t="n">
        <v>0</v>
      </c>
      <c r="Q689" t="n">
        <v>0</v>
      </c>
      <c r="R689" s="2" t="inlineStr"/>
    </row>
    <row r="690" ht="15" customHeight="1">
      <c r="A690" t="inlineStr">
        <is>
          <t>A 50435-2025</t>
        </is>
      </c>
      <c r="B690" s="1" t="n">
        <v>45944.6984837963</v>
      </c>
      <c r="C690" s="1" t="n">
        <v>45995</v>
      </c>
      <c r="D690" t="inlineStr">
        <is>
          <t>JÄMTLANDS LÄN</t>
        </is>
      </c>
      <c r="E690" t="inlineStr">
        <is>
          <t>BERG</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34650-2024</t>
        </is>
      </c>
      <c r="B691" s="1" t="n">
        <v>45526.48329861111</v>
      </c>
      <c r="C691" s="1" t="n">
        <v>45995</v>
      </c>
      <c r="D691" t="inlineStr">
        <is>
          <t>JÄMTLANDS LÄN</t>
        </is>
      </c>
      <c r="E691" t="inlineStr">
        <is>
          <t>BERG</t>
        </is>
      </c>
      <c r="G691" t="n">
        <v>4.9</v>
      </c>
      <c r="H691" t="n">
        <v>0</v>
      </c>
      <c r="I691" t="n">
        <v>0</v>
      </c>
      <c r="J691" t="n">
        <v>0</v>
      </c>
      <c r="K691" t="n">
        <v>0</v>
      </c>
      <c r="L691" t="n">
        <v>0</v>
      </c>
      <c r="M691" t="n">
        <v>0</v>
      </c>
      <c r="N691" t="n">
        <v>0</v>
      </c>
      <c r="O691" t="n">
        <v>0</v>
      </c>
      <c r="P691" t="n">
        <v>0</v>
      </c>
      <c r="Q691" t="n">
        <v>0</v>
      </c>
      <c r="R691" s="2" t="inlineStr"/>
    </row>
    <row r="692" ht="15" customHeight="1">
      <c r="A692" t="inlineStr">
        <is>
          <t>A 36708-2023</t>
        </is>
      </c>
      <c r="B692" s="1" t="n">
        <v>45153.65226851852</v>
      </c>
      <c r="C692" s="1" t="n">
        <v>45995</v>
      </c>
      <c r="D692" t="inlineStr">
        <is>
          <t>JÄMTLANDS LÄN</t>
        </is>
      </c>
      <c r="E692" t="inlineStr">
        <is>
          <t>BERG</t>
        </is>
      </c>
      <c r="G692" t="n">
        <v>1</v>
      </c>
      <c r="H692" t="n">
        <v>0</v>
      </c>
      <c r="I692" t="n">
        <v>0</v>
      </c>
      <c r="J692" t="n">
        <v>0</v>
      </c>
      <c r="K692" t="n">
        <v>0</v>
      </c>
      <c r="L692" t="n">
        <v>0</v>
      </c>
      <c r="M692" t="n">
        <v>0</v>
      </c>
      <c r="N692" t="n">
        <v>0</v>
      </c>
      <c r="O692" t="n">
        <v>0</v>
      </c>
      <c r="P692" t="n">
        <v>0</v>
      </c>
      <c r="Q692" t="n">
        <v>0</v>
      </c>
      <c r="R692" s="2" t="inlineStr"/>
    </row>
    <row r="693" ht="15" customHeight="1">
      <c r="A693" t="inlineStr">
        <is>
          <t>A 58822-2025</t>
        </is>
      </c>
      <c r="B693" s="1" t="n">
        <v>45987.34506944445</v>
      </c>
      <c r="C693" s="1" t="n">
        <v>45995</v>
      </c>
      <c r="D693" t="inlineStr">
        <is>
          <t>JÄMTLANDS LÄN</t>
        </is>
      </c>
      <c r="E693" t="inlineStr">
        <is>
          <t>BERG</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1520-2022</t>
        </is>
      </c>
      <c r="B694" s="1" t="n">
        <v>44572</v>
      </c>
      <c r="C694" s="1" t="n">
        <v>45995</v>
      </c>
      <c r="D694" t="inlineStr">
        <is>
          <t>JÄMTLANDS LÄN</t>
        </is>
      </c>
      <c r="E694" t="inlineStr">
        <is>
          <t>BERG</t>
        </is>
      </c>
      <c r="G694" t="n">
        <v>7.7</v>
      </c>
      <c r="H694" t="n">
        <v>0</v>
      </c>
      <c r="I694" t="n">
        <v>0</v>
      </c>
      <c r="J694" t="n">
        <v>0</v>
      </c>
      <c r="K694" t="n">
        <v>0</v>
      </c>
      <c r="L694" t="n">
        <v>0</v>
      </c>
      <c r="M694" t="n">
        <v>0</v>
      </c>
      <c r="N694" t="n">
        <v>0</v>
      </c>
      <c r="O694" t="n">
        <v>0</v>
      </c>
      <c r="P694" t="n">
        <v>0</v>
      </c>
      <c r="Q694" t="n">
        <v>0</v>
      </c>
      <c r="R694" s="2" t="inlineStr"/>
    </row>
    <row r="695" ht="15" customHeight="1">
      <c r="A695" t="inlineStr">
        <is>
          <t>A 59281-2025</t>
        </is>
      </c>
      <c r="B695" s="1" t="n">
        <v>45988.7234375</v>
      </c>
      <c r="C695" s="1" t="n">
        <v>45995</v>
      </c>
      <c r="D695" t="inlineStr">
        <is>
          <t>JÄMTLANDS LÄN</t>
        </is>
      </c>
      <c r="E695" t="inlineStr">
        <is>
          <t>BERG</t>
        </is>
      </c>
      <c r="G695" t="n">
        <v>16.7</v>
      </c>
      <c r="H695" t="n">
        <v>0</v>
      </c>
      <c r="I695" t="n">
        <v>0</v>
      </c>
      <c r="J695" t="n">
        <v>0</v>
      </c>
      <c r="K695" t="n">
        <v>0</v>
      </c>
      <c r="L695" t="n">
        <v>0</v>
      </c>
      <c r="M695" t="n">
        <v>0</v>
      </c>
      <c r="N695" t="n">
        <v>0</v>
      </c>
      <c r="O695" t="n">
        <v>0</v>
      </c>
      <c r="P695" t="n">
        <v>0</v>
      </c>
      <c r="Q695" t="n">
        <v>0</v>
      </c>
      <c r="R695" s="2" t="inlineStr"/>
    </row>
    <row r="696" ht="15" customHeight="1">
      <c r="A696" t="inlineStr">
        <is>
          <t>A 59010-2025</t>
        </is>
      </c>
      <c r="B696" s="1" t="n">
        <v>45987</v>
      </c>
      <c r="C696" s="1" t="n">
        <v>45995</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59267-2025</t>
        </is>
      </c>
      <c r="B697" s="1" t="n">
        <v>45988.66127314815</v>
      </c>
      <c r="C697" s="1" t="n">
        <v>45995</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23902-2025</t>
        </is>
      </c>
      <c r="B698" s="1" t="n">
        <v>45794.34447916667</v>
      </c>
      <c r="C698" s="1" t="n">
        <v>45995</v>
      </c>
      <c r="D698" t="inlineStr">
        <is>
          <t>JÄMTLANDS LÄN</t>
        </is>
      </c>
      <c r="E698" t="inlineStr">
        <is>
          <t>BERG</t>
        </is>
      </c>
      <c r="F698" t="inlineStr">
        <is>
          <t>SCA</t>
        </is>
      </c>
      <c r="G698" t="n">
        <v>14.3</v>
      </c>
      <c r="H698" t="n">
        <v>0</v>
      </c>
      <c r="I698" t="n">
        <v>0</v>
      </c>
      <c r="J698" t="n">
        <v>0</v>
      </c>
      <c r="K698" t="n">
        <v>0</v>
      </c>
      <c r="L698" t="n">
        <v>0</v>
      </c>
      <c r="M698" t="n">
        <v>0</v>
      </c>
      <c r="N698" t="n">
        <v>0</v>
      </c>
      <c r="O698" t="n">
        <v>0</v>
      </c>
      <c r="P698" t="n">
        <v>0</v>
      </c>
      <c r="Q698" t="n">
        <v>0</v>
      </c>
      <c r="R698" s="2" t="inlineStr"/>
    </row>
    <row r="699" ht="15" customHeight="1">
      <c r="A699" t="inlineStr">
        <is>
          <t>A 23913-2025</t>
        </is>
      </c>
      <c r="B699" s="1" t="n">
        <v>45795.34442129629</v>
      </c>
      <c r="C699" s="1" t="n">
        <v>45995</v>
      </c>
      <c r="D699" t="inlineStr">
        <is>
          <t>JÄMTLANDS LÄN</t>
        </is>
      </c>
      <c r="E699" t="inlineStr">
        <is>
          <t>BERG</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50531-2025</t>
        </is>
      </c>
      <c r="B700" s="1" t="n">
        <v>45945.47693287037</v>
      </c>
      <c r="C700" s="1" t="n">
        <v>45995</v>
      </c>
      <c r="D700" t="inlineStr">
        <is>
          <t>JÄMTLANDS LÄN</t>
        </is>
      </c>
      <c r="E700" t="inlineStr">
        <is>
          <t>BERG</t>
        </is>
      </c>
      <c r="G700" t="n">
        <v>13.9</v>
      </c>
      <c r="H700" t="n">
        <v>0</v>
      </c>
      <c r="I700" t="n">
        <v>0</v>
      </c>
      <c r="J700" t="n">
        <v>0</v>
      </c>
      <c r="K700" t="n">
        <v>0</v>
      </c>
      <c r="L700" t="n">
        <v>0</v>
      </c>
      <c r="M700" t="n">
        <v>0</v>
      </c>
      <c r="N700" t="n">
        <v>0</v>
      </c>
      <c r="O700" t="n">
        <v>0</v>
      </c>
      <c r="P700" t="n">
        <v>0</v>
      </c>
      <c r="Q700" t="n">
        <v>0</v>
      </c>
      <c r="R700" s="2" t="inlineStr"/>
    </row>
    <row r="701" ht="15" customHeight="1">
      <c r="A701" t="inlineStr">
        <is>
          <t>A 50547-2025</t>
        </is>
      </c>
      <c r="B701" s="1" t="n">
        <v>45945.51104166666</v>
      </c>
      <c r="C701" s="1" t="n">
        <v>45995</v>
      </c>
      <c r="D701" t="inlineStr">
        <is>
          <t>JÄMTLANDS LÄN</t>
        </is>
      </c>
      <c r="E701" t="inlineStr">
        <is>
          <t>BERG</t>
        </is>
      </c>
      <c r="F701" t="inlineStr">
        <is>
          <t>SCA</t>
        </is>
      </c>
      <c r="G701" t="n">
        <v>12.6</v>
      </c>
      <c r="H701" t="n">
        <v>0</v>
      </c>
      <c r="I701" t="n">
        <v>0</v>
      </c>
      <c r="J701" t="n">
        <v>0</v>
      </c>
      <c r="K701" t="n">
        <v>0</v>
      </c>
      <c r="L701" t="n">
        <v>0</v>
      </c>
      <c r="M701" t="n">
        <v>0</v>
      </c>
      <c r="N701" t="n">
        <v>0</v>
      </c>
      <c r="O701" t="n">
        <v>0</v>
      </c>
      <c r="P701" t="n">
        <v>0</v>
      </c>
      <c r="Q701" t="n">
        <v>0</v>
      </c>
      <c r="R701" s="2" t="inlineStr"/>
    </row>
    <row r="702" ht="15" customHeight="1">
      <c r="A702" t="inlineStr">
        <is>
          <t>A 59210-2025</t>
        </is>
      </c>
      <c r="B702" s="1" t="n">
        <v>45988.61516203704</v>
      </c>
      <c r="C702" s="1" t="n">
        <v>45995</v>
      </c>
      <c r="D702" t="inlineStr">
        <is>
          <t>JÄMTLANDS LÄN</t>
        </is>
      </c>
      <c r="E702" t="inlineStr">
        <is>
          <t>BERG</t>
        </is>
      </c>
      <c r="G702" t="n">
        <v>2</v>
      </c>
      <c r="H702" t="n">
        <v>0</v>
      </c>
      <c r="I702" t="n">
        <v>0</v>
      </c>
      <c r="J702" t="n">
        <v>0</v>
      </c>
      <c r="K702" t="n">
        <v>0</v>
      </c>
      <c r="L702" t="n">
        <v>0</v>
      </c>
      <c r="M702" t="n">
        <v>0</v>
      </c>
      <c r="N702" t="n">
        <v>0</v>
      </c>
      <c r="O702" t="n">
        <v>0</v>
      </c>
      <c r="P702" t="n">
        <v>0</v>
      </c>
      <c r="Q702" t="n">
        <v>0</v>
      </c>
      <c r="R702" s="2" t="inlineStr"/>
    </row>
    <row r="703" ht="15" customHeight="1">
      <c r="A703" t="inlineStr">
        <is>
          <t>A 59253-2025</t>
        </is>
      </c>
      <c r="B703" s="1" t="n">
        <v>45988.65121527778</v>
      </c>
      <c r="C703" s="1" t="n">
        <v>45995</v>
      </c>
      <c r="D703" t="inlineStr">
        <is>
          <t>JÄMTLANDS LÄN</t>
        </is>
      </c>
      <c r="E703" t="inlineStr">
        <is>
          <t>BERG</t>
        </is>
      </c>
      <c r="G703" t="n">
        <v>1.1</v>
      </c>
      <c r="H703" t="n">
        <v>0</v>
      </c>
      <c r="I703" t="n">
        <v>0</v>
      </c>
      <c r="J703" t="n">
        <v>0</v>
      </c>
      <c r="K703" t="n">
        <v>0</v>
      </c>
      <c r="L703" t="n">
        <v>0</v>
      </c>
      <c r="M703" t="n">
        <v>0</v>
      </c>
      <c r="N703" t="n">
        <v>0</v>
      </c>
      <c r="O703" t="n">
        <v>0</v>
      </c>
      <c r="P703" t="n">
        <v>0</v>
      </c>
      <c r="Q703" t="n">
        <v>0</v>
      </c>
      <c r="R703" s="2" t="inlineStr"/>
    </row>
    <row r="704" ht="15" customHeight="1">
      <c r="A704" t="inlineStr">
        <is>
          <t>A 50458-2025</t>
        </is>
      </c>
      <c r="B704" s="1" t="n">
        <v>45945</v>
      </c>
      <c r="C704" s="1" t="n">
        <v>45995</v>
      </c>
      <c r="D704" t="inlineStr">
        <is>
          <t>JÄMTLANDS LÄN</t>
        </is>
      </c>
      <c r="E704" t="inlineStr">
        <is>
          <t>BERG</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58861-2025</t>
        </is>
      </c>
      <c r="B705" s="1" t="n">
        <v>45987.42820601852</v>
      </c>
      <c r="C705" s="1" t="n">
        <v>45995</v>
      </c>
      <c r="D705" t="inlineStr">
        <is>
          <t>JÄMTLANDS LÄN</t>
        </is>
      </c>
      <c r="E705" t="inlineStr">
        <is>
          <t>BERG</t>
        </is>
      </c>
      <c r="G705" t="n">
        <v>29.3</v>
      </c>
      <c r="H705" t="n">
        <v>0</v>
      </c>
      <c r="I705" t="n">
        <v>0</v>
      </c>
      <c r="J705" t="n">
        <v>0</v>
      </c>
      <c r="K705" t="n">
        <v>0</v>
      </c>
      <c r="L705" t="n">
        <v>0</v>
      </c>
      <c r="M705" t="n">
        <v>0</v>
      </c>
      <c r="N705" t="n">
        <v>0</v>
      </c>
      <c r="O705" t="n">
        <v>0</v>
      </c>
      <c r="P705" t="n">
        <v>0</v>
      </c>
      <c r="Q705" t="n">
        <v>0</v>
      </c>
      <c r="R705" s="2" t="inlineStr"/>
    </row>
    <row r="706" ht="15" customHeight="1">
      <c r="A706" t="inlineStr">
        <is>
          <t>A 50698-2025</t>
        </is>
      </c>
      <c r="B706" s="1" t="n">
        <v>45945.91894675926</v>
      </c>
      <c r="C706" s="1" t="n">
        <v>45995</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46816-2023</t>
        </is>
      </c>
      <c r="B707" s="1" t="n">
        <v>45198</v>
      </c>
      <c r="C707" s="1" t="n">
        <v>45995</v>
      </c>
      <c r="D707" t="inlineStr">
        <is>
          <t>JÄMTLANDS LÄN</t>
        </is>
      </c>
      <c r="E707" t="inlineStr">
        <is>
          <t>BERG</t>
        </is>
      </c>
      <c r="F707" t="inlineStr">
        <is>
          <t>SCA</t>
        </is>
      </c>
      <c r="G707" t="n">
        <v>66.2</v>
      </c>
      <c r="H707" t="n">
        <v>0</v>
      </c>
      <c r="I707" t="n">
        <v>0</v>
      </c>
      <c r="J707" t="n">
        <v>0</v>
      </c>
      <c r="K707" t="n">
        <v>0</v>
      </c>
      <c r="L707" t="n">
        <v>0</v>
      </c>
      <c r="M707" t="n">
        <v>0</v>
      </c>
      <c r="N707" t="n">
        <v>0</v>
      </c>
      <c r="O707" t="n">
        <v>0</v>
      </c>
      <c r="P707" t="n">
        <v>0</v>
      </c>
      <c r="Q707" t="n">
        <v>0</v>
      </c>
      <c r="R707" s="2" t="inlineStr"/>
    </row>
    <row r="708" ht="15" customHeight="1">
      <c r="A708" t="inlineStr">
        <is>
          <t>A 50562-2025</t>
        </is>
      </c>
      <c r="B708" s="1" t="n">
        <v>45945.55256944444</v>
      </c>
      <c r="C708" s="1" t="n">
        <v>45995</v>
      </c>
      <c r="D708" t="inlineStr">
        <is>
          <t>JÄMTLANDS LÄN</t>
        </is>
      </c>
      <c r="E708" t="inlineStr">
        <is>
          <t>BERG</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31641-2022</t>
        </is>
      </c>
      <c r="B709" s="1" t="n">
        <v>44775.94119212963</v>
      </c>
      <c r="C709" s="1" t="n">
        <v>45995</v>
      </c>
      <c r="D709" t="inlineStr">
        <is>
          <t>JÄMTLANDS LÄN</t>
        </is>
      </c>
      <c r="E709" t="inlineStr">
        <is>
          <t>BERG</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46872-2023</t>
        </is>
      </c>
      <c r="B710" s="1" t="n">
        <v>45200</v>
      </c>
      <c r="C710" s="1" t="n">
        <v>45995</v>
      </c>
      <c r="D710" t="inlineStr">
        <is>
          <t>JÄMTLANDS LÄN</t>
        </is>
      </c>
      <c r="E710" t="inlineStr">
        <is>
          <t>BERG</t>
        </is>
      </c>
      <c r="F710" t="inlineStr">
        <is>
          <t>Naturvårdsverket</t>
        </is>
      </c>
      <c r="G710" t="n">
        <v>1.2</v>
      </c>
      <c r="H710" t="n">
        <v>0</v>
      </c>
      <c r="I710" t="n">
        <v>0</v>
      </c>
      <c r="J710" t="n">
        <v>0</v>
      </c>
      <c r="K710" t="n">
        <v>0</v>
      </c>
      <c r="L710" t="n">
        <v>0</v>
      </c>
      <c r="M710" t="n">
        <v>0</v>
      </c>
      <c r="N710" t="n">
        <v>0</v>
      </c>
      <c r="O710" t="n">
        <v>0</v>
      </c>
      <c r="P710" t="n">
        <v>0</v>
      </c>
      <c r="Q710" t="n">
        <v>0</v>
      </c>
      <c r="R710" s="2" t="inlineStr"/>
      <c r="U710">
        <f>HYPERLINK("https://klasma.github.io/Logging_2326/knärot/A 46872-2023 karta knärot.png", "A 46872-2023")</f>
        <v/>
      </c>
      <c r="V710">
        <f>HYPERLINK("https://klasma.github.io/Logging_2326/klagomål/A 46872-2023 FSC-klagomål.docx", "A 46872-2023")</f>
        <v/>
      </c>
      <c r="W710">
        <f>HYPERLINK("https://klasma.github.io/Logging_2326/klagomålsmail/A 46872-2023 FSC-klagomål mail.docx", "A 46872-2023")</f>
        <v/>
      </c>
      <c r="X710">
        <f>HYPERLINK("https://klasma.github.io/Logging_2326/tillsyn/A 46872-2023 tillsynsbegäran.docx", "A 46872-2023")</f>
        <v/>
      </c>
      <c r="Y710">
        <f>HYPERLINK("https://klasma.github.io/Logging_2326/tillsynsmail/A 46872-2023 tillsynsbegäran mail.docx", "A 46872-2023")</f>
        <v/>
      </c>
    </row>
    <row r="711" ht="15" customHeight="1">
      <c r="A711" t="inlineStr">
        <is>
          <t>A 51079-2025</t>
        </is>
      </c>
      <c r="B711" s="1" t="n">
        <v>45947.465</v>
      </c>
      <c r="C711" s="1" t="n">
        <v>45995</v>
      </c>
      <c r="D711" t="inlineStr">
        <is>
          <t>JÄMTLANDS LÄN</t>
        </is>
      </c>
      <c r="E711" t="inlineStr">
        <is>
          <t>BERG</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59401-2025</t>
        </is>
      </c>
      <c r="B712" s="1" t="n">
        <v>45989.48791666667</v>
      </c>
      <c r="C712" s="1" t="n">
        <v>45995</v>
      </c>
      <c r="D712" t="inlineStr">
        <is>
          <t>JÄMTLANDS LÄN</t>
        </is>
      </c>
      <c r="E712" t="inlineStr">
        <is>
          <t>BERG</t>
        </is>
      </c>
      <c r="G712" t="n">
        <v>4.6</v>
      </c>
      <c r="H712" t="n">
        <v>0</v>
      </c>
      <c r="I712" t="n">
        <v>0</v>
      </c>
      <c r="J712" t="n">
        <v>0</v>
      </c>
      <c r="K712" t="n">
        <v>0</v>
      </c>
      <c r="L712" t="n">
        <v>0</v>
      </c>
      <c r="M712" t="n">
        <v>0</v>
      </c>
      <c r="N712" t="n">
        <v>0</v>
      </c>
      <c r="O712" t="n">
        <v>0</v>
      </c>
      <c r="P712" t="n">
        <v>0</v>
      </c>
      <c r="Q712" t="n">
        <v>0</v>
      </c>
      <c r="R712" s="2" t="inlineStr"/>
    </row>
    <row r="713" ht="15" customHeight="1">
      <c r="A713" t="inlineStr">
        <is>
          <t>A 51495-2025</t>
        </is>
      </c>
      <c r="B713" s="1" t="n">
        <v>45950.6366550926</v>
      </c>
      <c r="C713" s="1" t="n">
        <v>45995</v>
      </c>
      <c r="D713" t="inlineStr">
        <is>
          <t>JÄMTLANDS LÄN</t>
        </is>
      </c>
      <c r="E713" t="inlineStr">
        <is>
          <t>BERG</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23900-2025</t>
        </is>
      </c>
      <c r="B714" s="1" t="n">
        <v>45794.34425925926</v>
      </c>
      <c r="C714" s="1" t="n">
        <v>45995</v>
      </c>
      <c r="D714" t="inlineStr">
        <is>
          <t>JÄMTLANDS LÄN</t>
        </is>
      </c>
      <c r="E714" t="inlineStr">
        <is>
          <t>BERG</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23915-2025</t>
        </is>
      </c>
      <c r="B715" s="1" t="n">
        <v>45795.3446412037</v>
      </c>
      <c r="C715" s="1" t="n">
        <v>45995</v>
      </c>
      <c r="D715" t="inlineStr">
        <is>
          <t>JÄMTLANDS LÄN</t>
        </is>
      </c>
      <c r="E715" t="inlineStr">
        <is>
          <t>BERG</t>
        </is>
      </c>
      <c r="F715" t="inlineStr">
        <is>
          <t>SCA</t>
        </is>
      </c>
      <c r="G715" t="n">
        <v>16.7</v>
      </c>
      <c r="H715" t="n">
        <v>0</v>
      </c>
      <c r="I715" t="n">
        <v>0</v>
      </c>
      <c r="J715" t="n">
        <v>0</v>
      </c>
      <c r="K715" t="n">
        <v>0</v>
      </c>
      <c r="L715" t="n">
        <v>0</v>
      </c>
      <c r="M715" t="n">
        <v>0</v>
      </c>
      <c r="N715" t="n">
        <v>0</v>
      </c>
      <c r="O715" t="n">
        <v>0</v>
      </c>
      <c r="P715" t="n">
        <v>0</v>
      </c>
      <c r="Q715" t="n">
        <v>0</v>
      </c>
      <c r="R715" s="2" t="inlineStr"/>
    </row>
    <row r="716" ht="15" customHeight="1">
      <c r="A716" t="inlineStr">
        <is>
          <t>A 23916-2025</t>
        </is>
      </c>
      <c r="B716" s="1" t="n">
        <v>45795.34472222222</v>
      </c>
      <c r="C716" s="1" t="n">
        <v>45995</v>
      </c>
      <c r="D716" t="inlineStr">
        <is>
          <t>JÄMTLANDS LÄN</t>
        </is>
      </c>
      <c r="E716" t="inlineStr">
        <is>
          <t>BERG</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59404-2025</t>
        </is>
      </c>
      <c r="B717" s="1" t="n">
        <v>45989.48997685185</v>
      </c>
      <c r="C717" s="1" t="n">
        <v>45995</v>
      </c>
      <c r="D717" t="inlineStr">
        <is>
          <t>JÄMTLANDS LÄN</t>
        </is>
      </c>
      <c r="E717" t="inlineStr">
        <is>
          <t>BERG</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23920-2025</t>
        </is>
      </c>
      <c r="B718" s="1" t="n">
        <v>45795.34505787037</v>
      </c>
      <c r="C718" s="1" t="n">
        <v>45995</v>
      </c>
      <c r="D718" t="inlineStr">
        <is>
          <t>JÄMTLANDS LÄN</t>
        </is>
      </c>
      <c r="E718" t="inlineStr">
        <is>
          <t>BERG</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22275-2022</t>
        </is>
      </c>
      <c r="B719" s="1" t="n">
        <v>44712</v>
      </c>
      <c r="C719" s="1" t="n">
        <v>45995</v>
      </c>
      <c r="D719" t="inlineStr">
        <is>
          <t>JÄMTLANDS LÄN</t>
        </is>
      </c>
      <c r="E719" t="inlineStr">
        <is>
          <t>BERG</t>
        </is>
      </c>
      <c r="G719" t="n">
        <v>2.1</v>
      </c>
      <c r="H719" t="n">
        <v>0</v>
      </c>
      <c r="I719" t="n">
        <v>0</v>
      </c>
      <c r="J719" t="n">
        <v>0</v>
      </c>
      <c r="K719" t="n">
        <v>0</v>
      </c>
      <c r="L719" t="n">
        <v>0</v>
      </c>
      <c r="M719" t="n">
        <v>0</v>
      </c>
      <c r="N719" t="n">
        <v>0</v>
      </c>
      <c r="O719" t="n">
        <v>0</v>
      </c>
      <c r="P719" t="n">
        <v>0</v>
      </c>
      <c r="Q719" t="n">
        <v>0</v>
      </c>
      <c r="R719" s="2" t="inlineStr"/>
    </row>
    <row r="720" ht="15" customHeight="1">
      <c r="A720" t="inlineStr">
        <is>
          <t>A 59415-2025</t>
        </is>
      </c>
      <c r="B720" s="1" t="n">
        <v>45989.50196759259</v>
      </c>
      <c r="C720" s="1" t="n">
        <v>45995</v>
      </c>
      <c r="D720" t="inlineStr">
        <is>
          <t>JÄMTLANDS LÄN</t>
        </is>
      </c>
      <c r="E720" t="inlineStr">
        <is>
          <t>BERG</t>
        </is>
      </c>
      <c r="G720" t="n">
        <v>6.8</v>
      </c>
      <c r="H720" t="n">
        <v>0</v>
      </c>
      <c r="I720" t="n">
        <v>0</v>
      </c>
      <c r="J720" t="n">
        <v>0</v>
      </c>
      <c r="K720" t="n">
        <v>0</v>
      </c>
      <c r="L720" t="n">
        <v>0</v>
      </c>
      <c r="M720" t="n">
        <v>0</v>
      </c>
      <c r="N720" t="n">
        <v>0</v>
      </c>
      <c r="O720" t="n">
        <v>0</v>
      </c>
      <c r="P720" t="n">
        <v>0</v>
      </c>
      <c r="Q720" t="n">
        <v>0</v>
      </c>
      <c r="R720" s="2" t="inlineStr"/>
    </row>
    <row r="721" ht="15" customHeight="1">
      <c r="A721" t="inlineStr">
        <is>
          <t>A 23901-2025</t>
        </is>
      </c>
      <c r="B721" s="1" t="n">
        <v>45794.34436342592</v>
      </c>
      <c r="C721" s="1" t="n">
        <v>45995</v>
      </c>
      <c r="D721" t="inlineStr">
        <is>
          <t>JÄMTLANDS LÄN</t>
        </is>
      </c>
      <c r="E721" t="inlineStr">
        <is>
          <t>BERG</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59424-2025</t>
        </is>
      </c>
      <c r="B722" s="1" t="n">
        <v>45989.53782407408</v>
      </c>
      <c r="C722" s="1" t="n">
        <v>45995</v>
      </c>
      <c r="D722" t="inlineStr">
        <is>
          <t>JÄMTLANDS LÄN</t>
        </is>
      </c>
      <c r="E722" t="inlineStr">
        <is>
          <t>BERG</t>
        </is>
      </c>
      <c r="G722" t="n">
        <v>3.9</v>
      </c>
      <c r="H722" t="n">
        <v>0</v>
      </c>
      <c r="I722" t="n">
        <v>0</v>
      </c>
      <c r="J722" t="n">
        <v>0</v>
      </c>
      <c r="K722" t="n">
        <v>0</v>
      </c>
      <c r="L722" t="n">
        <v>0</v>
      </c>
      <c r="M722" t="n">
        <v>0</v>
      </c>
      <c r="N722" t="n">
        <v>0</v>
      </c>
      <c r="O722" t="n">
        <v>0</v>
      </c>
      <c r="P722" t="n">
        <v>0</v>
      </c>
      <c r="Q722" t="n">
        <v>0</v>
      </c>
      <c r="R722" s="2" t="inlineStr"/>
    </row>
    <row r="723" ht="15" customHeight="1">
      <c r="A723" t="inlineStr">
        <is>
          <t>A 51203-2025</t>
        </is>
      </c>
      <c r="B723" s="1" t="n">
        <v>45947.63592592593</v>
      </c>
      <c r="C723" s="1" t="n">
        <v>45995</v>
      </c>
      <c r="D723" t="inlineStr">
        <is>
          <t>JÄMTLANDS LÄN</t>
        </is>
      </c>
      <c r="E723" t="inlineStr">
        <is>
          <t>BERG</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31682-2022</t>
        </is>
      </c>
      <c r="B724" s="1" t="n">
        <v>44776</v>
      </c>
      <c r="C724" s="1" t="n">
        <v>45995</v>
      </c>
      <c r="D724" t="inlineStr">
        <is>
          <t>JÄMTLANDS LÄN</t>
        </is>
      </c>
      <c r="E724" t="inlineStr">
        <is>
          <t>BERG</t>
        </is>
      </c>
      <c r="G724" t="n">
        <v>8</v>
      </c>
      <c r="H724" t="n">
        <v>0</v>
      </c>
      <c r="I724" t="n">
        <v>0</v>
      </c>
      <c r="J724" t="n">
        <v>0</v>
      </c>
      <c r="K724" t="n">
        <v>0</v>
      </c>
      <c r="L724" t="n">
        <v>0</v>
      </c>
      <c r="M724" t="n">
        <v>0</v>
      </c>
      <c r="N724" t="n">
        <v>0</v>
      </c>
      <c r="O724" t="n">
        <v>0</v>
      </c>
      <c r="P724" t="n">
        <v>0</v>
      </c>
      <c r="Q724" t="n">
        <v>0</v>
      </c>
      <c r="R724" s="2" t="inlineStr"/>
    </row>
    <row r="725" ht="15" customHeight="1">
      <c r="A725" t="inlineStr">
        <is>
          <t>A 23919-2025</t>
        </is>
      </c>
      <c r="B725" s="1" t="n">
        <v>45795.34497685185</v>
      </c>
      <c r="C725" s="1" t="n">
        <v>45995</v>
      </c>
      <c r="D725" t="inlineStr">
        <is>
          <t>JÄMTLANDS LÄN</t>
        </is>
      </c>
      <c r="E725" t="inlineStr">
        <is>
          <t>BERG</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59763-2025</t>
        </is>
      </c>
      <c r="B726" s="1" t="n">
        <v>45992.59430555555</v>
      </c>
      <c r="C726" s="1" t="n">
        <v>45995</v>
      </c>
      <c r="D726" t="inlineStr">
        <is>
          <t>JÄMTLANDS LÄN</t>
        </is>
      </c>
      <c r="E726" t="inlineStr">
        <is>
          <t>BERG</t>
        </is>
      </c>
      <c r="F726" t="inlineStr">
        <is>
          <t>SCA</t>
        </is>
      </c>
      <c r="G726" t="n">
        <v>16.5</v>
      </c>
      <c r="H726" t="n">
        <v>0</v>
      </c>
      <c r="I726" t="n">
        <v>0</v>
      </c>
      <c r="J726" t="n">
        <v>0</v>
      </c>
      <c r="K726" t="n">
        <v>0</v>
      </c>
      <c r="L726" t="n">
        <v>0</v>
      </c>
      <c r="M726" t="n">
        <v>0</v>
      </c>
      <c r="N726" t="n">
        <v>0</v>
      </c>
      <c r="O726" t="n">
        <v>0</v>
      </c>
      <c r="P726" t="n">
        <v>0</v>
      </c>
      <c r="Q726" t="n">
        <v>0</v>
      </c>
      <c r="R726" s="2" t="inlineStr"/>
    </row>
    <row r="727" ht="15" customHeight="1">
      <c r="A727" t="inlineStr">
        <is>
          <t>A 51301-2025</t>
        </is>
      </c>
      <c r="B727" s="1" t="n">
        <v>45950.36480324074</v>
      </c>
      <c r="C727" s="1" t="n">
        <v>45995</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24060-2025</t>
        </is>
      </c>
      <c r="B728" s="1" t="n">
        <v>45796.5216087963</v>
      </c>
      <c r="C728" s="1" t="n">
        <v>45995</v>
      </c>
      <c r="D728" t="inlineStr">
        <is>
          <t>JÄMTLANDS LÄN</t>
        </is>
      </c>
      <c r="E728" t="inlineStr">
        <is>
          <t>BERG</t>
        </is>
      </c>
      <c r="G728" t="n">
        <v>4.7</v>
      </c>
      <c r="H728" t="n">
        <v>0</v>
      </c>
      <c r="I728" t="n">
        <v>0</v>
      </c>
      <c r="J728" t="n">
        <v>0</v>
      </c>
      <c r="K728" t="n">
        <v>0</v>
      </c>
      <c r="L728" t="n">
        <v>0</v>
      </c>
      <c r="M728" t="n">
        <v>0</v>
      </c>
      <c r="N728" t="n">
        <v>0</v>
      </c>
      <c r="O728" t="n">
        <v>0</v>
      </c>
      <c r="P728" t="n">
        <v>0</v>
      </c>
      <c r="Q728" t="n">
        <v>0</v>
      </c>
      <c r="R728" s="2" t="inlineStr"/>
    </row>
    <row r="729" ht="15" customHeight="1">
      <c r="A729" t="inlineStr">
        <is>
          <t>A 51083-2025</t>
        </is>
      </c>
      <c r="B729" s="1" t="n">
        <v>45947.4678587963</v>
      </c>
      <c r="C729" s="1" t="n">
        <v>45995</v>
      </c>
      <c r="D729" t="inlineStr">
        <is>
          <t>JÄMTLANDS LÄN</t>
        </is>
      </c>
      <c r="E729" t="inlineStr">
        <is>
          <t>BERG</t>
        </is>
      </c>
      <c r="F729" t="inlineStr">
        <is>
          <t>Övriga Aktiebolag</t>
        </is>
      </c>
      <c r="G729" t="n">
        <v>10.4</v>
      </c>
      <c r="H729" t="n">
        <v>0</v>
      </c>
      <c r="I729" t="n">
        <v>0</v>
      </c>
      <c r="J729" t="n">
        <v>0</v>
      </c>
      <c r="K729" t="n">
        <v>0</v>
      </c>
      <c r="L729" t="n">
        <v>0</v>
      </c>
      <c r="M729" t="n">
        <v>0</v>
      </c>
      <c r="N729" t="n">
        <v>0</v>
      </c>
      <c r="O729" t="n">
        <v>0</v>
      </c>
      <c r="P729" t="n">
        <v>0</v>
      </c>
      <c r="Q729" t="n">
        <v>0</v>
      </c>
      <c r="R729" s="2" t="inlineStr"/>
    </row>
    <row r="730" ht="15" customHeight="1">
      <c r="A730" t="inlineStr">
        <is>
          <t>A 59824-2025</t>
        </is>
      </c>
      <c r="B730" s="1" t="n">
        <v>45992.65116898148</v>
      </c>
      <c r="C730" s="1" t="n">
        <v>45995</v>
      </c>
      <c r="D730" t="inlineStr">
        <is>
          <t>JÄMTLANDS LÄN</t>
        </is>
      </c>
      <c r="E730" t="inlineStr">
        <is>
          <t>BERG</t>
        </is>
      </c>
      <c r="G730" t="n">
        <v>0.7</v>
      </c>
      <c r="H730" t="n">
        <v>0</v>
      </c>
      <c r="I730" t="n">
        <v>0</v>
      </c>
      <c r="J730" t="n">
        <v>0</v>
      </c>
      <c r="K730" t="n">
        <v>0</v>
      </c>
      <c r="L730" t="n">
        <v>0</v>
      </c>
      <c r="M730" t="n">
        <v>0</v>
      </c>
      <c r="N730" t="n">
        <v>0</v>
      </c>
      <c r="O730" t="n">
        <v>0</v>
      </c>
      <c r="P730" t="n">
        <v>0</v>
      </c>
      <c r="Q730" t="n">
        <v>0</v>
      </c>
      <c r="R730" s="2" t="inlineStr"/>
    </row>
    <row r="731" ht="15" customHeight="1">
      <c r="A731" t="inlineStr">
        <is>
          <t>A 51080-2025</t>
        </is>
      </c>
      <c r="B731" s="1" t="n">
        <v>45947.46655092593</v>
      </c>
      <c r="C731" s="1" t="n">
        <v>45995</v>
      </c>
      <c r="D731" t="inlineStr">
        <is>
          <t>JÄMTLANDS LÄN</t>
        </is>
      </c>
      <c r="E731" t="inlineStr">
        <is>
          <t>BERG</t>
        </is>
      </c>
      <c r="F731" t="inlineStr">
        <is>
          <t>Övriga Aktiebolag</t>
        </is>
      </c>
      <c r="G731" t="n">
        <v>2</v>
      </c>
      <c r="H731" t="n">
        <v>0</v>
      </c>
      <c r="I731" t="n">
        <v>0</v>
      </c>
      <c r="J731" t="n">
        <v>0</v>
      </c>
      <c r="K731" t="n">
        <v>0</v>
      </c>
      <c r="L731" t="n">
        <v>0</v>
      </c>
      <c r="M731" t="n">
        <v>0</v>
      </c>
      <c r="N731" t="n">
        <v>0</v>
      </c>
      <c r="O731" t="n">
        <v>0</v>
      </c>
      <c r="P731" t="n">
        <v>0</v>
      </c>
      <c r="Q731" t="n">
        <v>0</v>
      </c>
      <c r="R731" s="2" t="inlineStr"/>
    </row>
    <row r="732" ht="15" customHeight="1">
      <c r="A732" t="inlineStr">
        <is>
          <t>A 23766-2025</t>
        </is>
      </c>
      <c r="B732" s="1" t="n">
        <v>45793.46954861111</v>
      </c>
      <c r="C732" s="1" t="n">
        <v>45995</v>
      </c>
      <c r="D732" t="inlineStr">
        <is>
          <t>JÄMTLANDS LÄN</t>
        </is>
      </c>
      <c r="E732" t="inlineStr">
        <is>
          <t>BERG</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59652-2025</t>
        </is>
      </c>
      <c r="B733" s="1" t="n">
        <v>45992.43584490741</v>
      </c>
      <c r="C733" s="1" t="n">
        <v>45995</v>
      </c>
      <c r="D733" t="inlineStr">
        <is>
          <t>JÄMTLANDS LÄN</t>
        </is>
      </c>
      <c r="E733" t="inlineStr">
        <is>
          <t>BERG</t>
        </is>
      </c>
      <c r="G733" t="n">
        <v>4</v>
      </c>
      <c r="H733" t="n">
        <v>0</v>
      </c>
      <c r="I733" t="n">
        <v>0</v>
      </c>
      <c r="J733" t="n">
        <v>0</v>
      </c>
      <c r="K733" t="n">
        <v>0</v>
      </c>
      <c r="L733" t="n">
        <v>0</v>
      </c>
      <c r="M733" t="n">
        <v>0</v>
      </c>
      <c r="N733" t="n">
        <v>0</v>
      </c>
      <c r="O733" t="n">
        <v>0</v>
      </c>
      <c r="P733" t="n">
        <v>0</v>
      </c>
      <c r="Q733" t="n">
        <v>0</v>
      </c>
      <c r="R733" s="2" t="inlineStr"/>
    </row>
    <row r="734" ht="15" customHeight="1">
      <c r="A734" t="inlineStr">
        <is>
          <t>A 18775-2024</t>
        </is>
      </c>
      <c r="B734" s="1" t="n">
        <v>45426</v>
      </c>
      <c r="C734" s="1" t="n">
        <v>45995</v>
      </c>
      <c r="D734" t="inlineStr">
        <is>
          <t>JÄMTLANDS LÄN</t>
        </is>
      </c>
      <c r="E734" t="inlineStr">
        <is>
          <t>BERG</t>
        </is>
      </c>
      <c r="G734" t="n">
        <v>13.9</v>
      </c>
      <c r="H734" t="n">
        <v>0</v>
      </c>
      <c r="I734" t="n">
        <v>0</v>
      </c>
      <c r="J734" t="n">
        <v>0</v>
      </c>
      <c r="K734" t="n">
        <v>0</v>
      </c>
      <c r="L734" t="n">
        <v>0</v>
      </c>
      <c r="M734" t="n">
        <v>0</v>
      </c>
      <c r="N734" t="n">
        <v>0</v>
      </c>
      <c r="O734" t="n">
        <v>0</v>
      </c>
      <c r="P734" t="n">
        <v>0</v>
      </c>
      <c r="Q734" t="n">
        <v>0</v>
      </c>
      <c r="R734" s="2" t="inlineStr"/>
    </row>
    <row r="735" ht="15" customHeight="1">
      <c r="A735" t="inlineStr">
        <is>
          <t>A 59411-2025</t>
        </is>
      </c>
      <c r="B735" s="1" t="n">
        <v>45989.49638888889</v>
      </c>
      <c r="C735" s="1" t="n">
        <v>45995</v>
      </c>
      <c r="D735" t="inlineStr">
        <is>
          <t>JÄMTLANDS LÄN</t>
        </is>
      </c>
      <c r="E735" t="inlineStr">
        <is>
          <t>BERG</t>
        </is>
      </c>
      <c r="G735" t="n">
        <v>2.4</v>
      </c>
      <c r="H735" t="n">
        <v>0</v>
      </c>
      <c r="I735" t="n">
        <v>0</v>
      </c>
      <c r="J735" t="n">
        <v>0</v>
      </c>
      <c r="K735" t="n">
        <v>0</v>
      </c>
      <c r="L735" t="n">
        <v>0</v>
      </c>
      <c r="M735" t="n">
        <v>0</v>
      </c>
      <c r="N735" t="n">
        <v>0</v>
      </c>
      <c r="O735" t="n">
        <v>0</v>
      </c>
      <c r="P735" t="n">
        <v>0</v>
      </c>
      <c r="Q735" t="n">
        <v>0</v>
      </c>
      <c r="R735" s="2" t="inlineStr"/>
    </row>
    <row r="736" ht="15" customHeight="1">
      <c r="A736" t="inlineStr">
        <is>
          <t>A 24360-2025</t>
        </is>
      </c>
      <c r="B736" s="1" t="n">
        <v>45797.59502314815</v>
      </c>
      <c r="C736" s="1" t="n">
        <v>45995</v>
      </c>
      <c r="D736" t="inlineStr">
        <is>
          <t>JÄMTLANDS LÄN</t>
        </is>
      </c>
      <c r="E736" t="inlineStr">
        <is>
          <t>BERG</t>
        </is>
      </c>
      <c r="F736" t="inlineStr">
        <is>
          <t>SCA</t>
        </is>
      </c>
      <c r="G736" t="n">
        <v>10.5</v>
      </c>
      <c r="H736" t="n">
        <v>0</v>
      </c>
      <c r="I736" t="n">
        <v>0</v>
      </c>
      <c r="J736" t="n">
        <v>0</v>
      </c>
      <c r="K736" t="n">
        <v>0</v>
      </c>
      <c r="L736" t="n">
        <v>0</v>
      </c>
      <c r="M736" t="n">
        <v>0</v>
      </c>
      <c r="N736" t="n">
        <v>0</v>
      </c>
      <c r="O736" t="n">
        <v>0</v>
      </c>
      <c r="P736" t="n">
        <v>0</v>
      </c>
      <c r="Q736" t="n">
        <v>0</v>
      </c>
      <c r="R736" s="2" t="inlineStr"/>
    </row>
    <row r="737" ht="15" customHeight="1">
      <c r="A737" t="inlineStr">
        <is>
          <t>A 24324-2025</t>
        </is>
      </c>
      <c r="B737" s="1" t="n">
        <v>45797.56049768518</v>
      </c>
      <c r="C737" s="1" t="n">
        <v>45995</v>
      </c>
      <c r="D737" t="inlineStr">
        <is>
          <t>JÄMTLANDS LÄN</t>
        </is>
      </c>
      <c r="E737" t="inlineStr">
        <is>
          <t>BERG</t>
        </is>
      </c>
      <c r="G737" t="n">
        <v>1.6</v>
      </c>
      <c r="H737" t="n">
        <v>0</v>
      </c>
      <c r="I737" t="n">
        <v>0</v>
      </c>
      <c r="J737" t="n">
        <v>0</v>
      </c>
      <c r="K737" t="n">
        <v>0</v>
      </c>
      <c r="L737" t="n">
        <v>0</v>
      </c>
      <c r="M737" t="n">
        <v>0</v>
      </c>
      <c r="N737" t="n">
        <v>0</v>
      </c>
      <c r="O737" t="n">
        <v>0</v>
      </c>
      <c r="P737" t="n">
        <v>0</v>
      </c>
      <c r="Q737" t="n">
        <v>0</v>
      </c>
      <c r="R737" s="2" t="inlineStr"/>
    </row>
    <row r="738" ht="15" customHeight="1">
      <c r="A738" t="inlineStr">
        <is>
          <t>A 24390-2025</t>
        </is>
      </c>
      <c r="B738" s="1" t="n">
        <v>45797.63576388889</v>
      </c>
      <c r="C738" s="1" t="n">
        <v>45995</v>
      </c>
      <c r="D738" t="inlineStr">
        <is>
          <t>JÄMTLANDS LÄN</t>
        </is>
      </c>
      <c r="E738" t="inlineStr">
        <is>
          <t>BERG</t>
        </is>
      </c>
      <c r="F738" t="inlineStr">
        <is>
          <t>SCA</t>
        </is>
      </c>
      <c r="G738" t="n">
        <v>4.7</v>
      </c>
      <c r="H738" t="n">
        <v>0</v>
      </c>
      <c r="I738" t="n">
        <v>0</v>
      </c>
      <c r="J738" t="n">
        <v>0</v>
      </c>
      <c r="K738" t="n">
        <v>0</v>
      </c>
      <c r="L738" t="n">
        <v>0</v>
      </c>
      <c r="M738" t="n">
        <v>0</v>
      </c>
      <c r="N738" t="n">
        <v>0</v>
      </c>
      <c r="O738" t="n">
        <v>0</v>
      </c>
      <c r="P738" t="n">
        <v>0</v>
      </c>
      <c r="Q738" t="n">
        <v>0</v>
      </c>
      <c r="R738" s="2" t="inlineStr"/>
    </row>
    <row r="739" ht="15" customHeight="1">
      <c r="A739" t="inlineStr">
        <is>
          <t>A 59447-2025</t>
        </is>
      </c>
      <c r="B739" s="1" t="n">
        <v>45989</v>
      </c>
      <c r="C739" s="1" t="n">
        <v>45995</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50706-2023</t>
        </is>
      </c>
      <c r="B740" s="1" t="n">
        <v>45217.55832175926</v>
      </c>
      <c r="C740" s="1" t="n">
        <v>45995</v>
      </c>
      <c r="D740" t="inlineStr">
        <is>
          <t>JÄMTLANDS LÄN</t>
        </is>
      </c>
      <c r="E740" t="inlineStr">
        <is>
          <t>BERG</t>
        </is>
      </c>
      <c r="G740" t="n">
        <v>4.1</v>
      </c>
      <c r="H740" t="n">
        <v>0</v>
      </c>
      <c r="I740" t="n">
        <v>0</v>
      </c>
      <c r="J740" t="n">
        <v>0</v>
      </c>
      <c r="K740" t="n">
        <v>0</v>
      </c>
      <c r="L740" t="n">
        <v>0</v>
      </c>
      <c r="M740" t="n">
        <v>0</v>
      </c>
      <c r="N740" t="n">
        <v>0</v>
      </c>
      <c r="O740" t="n">
        <v>0</v>
      </c>
      <c r="P740" t="n">
        <v>0</v>
      </c>
      <c r="Q740" t="n">
        <v>0</v>
      </c>
      <c r="R740" s="2" t="inlineStr"/>
    </row>
    <row r="741" ht="15" customHeight="1">
      <c r="A741" t="inlineStr">
        <is>
          <t>A 54415-2023</t>
        </is>
      </c>
      <c r="B741" s="1" t="n">
        <v>45233.40039351852</v>
      </c>
      <c r="C741" s="1" t="n">
        <v>45995</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47176-2023</t>
        </is>
      </c>
      <c r="B742" s="1" t="n">
        <v>45201.94844907407</v>
      </c>
      <c r="C742" s="1" t="n">
        <v>45995</v>
      </c>
      <c r="D742" t="inlineStr">
        <is>
          <t>JÄMTLANDS LÄN</t>
        </is>
      </c>
      <c r="E742" t="inlineStr">
        <is>
          <t>BERG</t>
        </is>
      </c>
      <c r="F742" t="inlineStr">
        <is>
          <t>SCA</t>
        </is>
      </c>
      <c r="G742" t="n">
        <v>32.3</v>
      </c>
      <c r="H742" t="n">
        <v>0</v>
      </c>
      <c r="I742" t="n">
        <v>0</v>
      </c>
      <c r="J742" t="n">
        <v>0</v>
      </c>
      <c r="K742" t="n">
        <v>0</v>
      </c>
      <c r="L742" t="n">
        <v>0</v>
      </c>
      <c r="M742" t="n">
        <v>0</v>
      </c>
      <c r="N742" t="n">
        <v>0</v>
      </c>
      <c r="O742" t="n">
        <v>0</v>
      </c>
      <c r="P742" t="n">
        <v>0</v>
      </c>
      <c r="Q742" t="n">
        <v>0</v>
      </c>
      <c r="R742" s="2" t="inlineStr"/>
    </row>
    <row r="743" ht="15" customHeight="1">
      <c r="A743" t="inlineStr">
        <is>
          <t>A 60163-2025</t>
        </is>
      </c>
      <c r="B743" s="1" t="n">
        <v>45994.43094907407</v>
      </c>
      <c r="C743" s="1" t="n">
        <v>45995</v>
      </c>
      <c r="D743" t="inlineStr">
        <is>
          <t>JÄMTLANDS LÄN</t>
        </is>
      </c>
      <c r="E743" t="inlineStr">
        <is>
          <t>BERG</t>
        </is>
      </c>
      <c r="F743" t="inlineStr">
        <is>
          <t>Övriga Aktiebolag</t>
        </is>
      </c>
      <c r="G743" t="n">
        <v>7</v>
      </c>
      <c r="H743" t="n">
        <v>0</v>
      </c>
      <c r="I743" t="n">
        <v>0</v>
      </c>
      <c r="J743" t="n">
        <v>0</v>
      </c>
      <c r="K743" t="n">
        <v>0</v>
      </c>
      <c r="L743" t="n">
        <v>0</v>
      </c>
      <c r="M743" t="n">
        <v>0</v>
      </c>
      <c r="N743" t="n">
        <v>0</v>
      </c>
      <c r="O743" t="n">
        <v>0</v>
      </c>
      <c r="P743" t="n">
        <v>0</v>
      </c>
      <c r="Q743" t="n">
        <v>0</v>
      </c>
      <c r="R743" s="2" t="inlineStr"/>
    </row>
    <row r="744" ht="15" customHeight="1">
      <c r="A744" t="inlineStr">
        <is>
          <t>A 52128-2025</t>
        </is>
      </c>
      <c r="B744" s="1" t="n">
        <v>45952.72754629629</v>
      </c>
      <c r="C744" s="1" t="n">
        <v>45995</v>
      </c>
      <c r="D744" t="inlineStr">
        <is>
          <t>JÄMTLANDS LÄN</t>
        </is>
      </c>
      <c r="E744" t="inlineStr">
        <is>
          <t>BERG</t>
        </is>
      </c>
      <c r="G744" t="n">
        <v>2.1</v>
      </c>
      <c r="H744" t="n">
        <v>0</v>
      </c>
      <c r="I744" t="n">
        <v>0</v>
      </c>
      <c r="J744" t="n">
        <v>0</v>
      </c>
      <c r="K744" t="n">
        <v>0</v>
      </c>
      <c r="L744" t="n">
        <v>0</v>
      </c>
      <c r="M744" t="n">
        <v>0</v>
      </c>
      <c r="N744" t="n">
        <v>0</v>
      </c>
      <c r="O744" t="n">
        <v>0</v>
      </c>
      <c r="P744" t="n">
        <v>0</v>
      </c>
      <c r="Q744" t="n">
        <v>0</v>
      </c>
      <c r="R744" s="2" t="inlineStr"/>
    </row>
    <row r="745" ht="15" customHeight="1">
      <c r="A745" t="inlineStr">
        <is>
          <t>A 41098-2023</t>
        </is>
      </c>
      <c r="B745" s="1" t="n">
        <v>45170</v>
      </c>
      <c r="C745" s="1" t="n">
        <v>45995</v>
      </c>
      <c r="D745" t="inlineStr">
        <is>
          <t>JÄMTLANDS LÄN</t>
        </is>
      </c>
      <c r="E745" t="inlineStr">
        <is>
          <t>BERG</t>
        </is>
      </c>
      <c r="G745" t="n">
        <v>3.1</v>
      </c>
      <c r="H745" t="n">
        <v>0</v>
      </c>
      <c r="I745" t="n">
        <v>0</v>
      </c>
      <c r="J745" t="n">
        <v>0</v>
      </c>
      <c r="K745" t="n">
        <v>0</v>
      </c>
      <c r="L745" t="n">
        <v>0</v>
      </c>
      <c r="M745" t="n">
        <v>0</v>
      </c>
      <c r="N745" t="n">
        <v>0</v>
      </c>
      <c r="O745" t="n">
        <v>0</v>
      </c>
      <c r="P745" t="n">
        <v>0</v>
      </c>
      <c r="Q745" t="n">
        <v>0</v>
      </c>
      <c r="R745" s="2" t="inlineStr"/>
    </row>
    <row r="746" ht="15" customHeight="1">
      <c r="A746" t="inlineStr">
        <is>
          <t>A 41106-2023</t>
        </is>
      </c>
      <c r="B746" s="1" t="n">
        <v>45170</v>
      </c>
      <c r="C746" s="1" t="n">
        <v>45995</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40415-2023</t>
        </is>
      </c>
      <c r="B747" s="1" t="n">
        <v>45169.93925925926</v>
      </c>
      <c r="C747" s="1" t="n">
        <v>45995</v>
      </c>
      <c r="D747" t="inlineStr">
        <is>
          <t>JÄMTLANDS LÄN</t>
        </is>
      </c>
      <c r="E747" t="inlineStr">
        <is>
          <t>BERG</t>
        </is>
      </c>
      <c r="F747" t="inlineStr">
        <is>
          <t>SCA</t>
        </is>
      </c>
      <c r="G747" t="n">
        <v>10.2</v>
      </c>
      <c r="H747" t="n">
        <v>0</v>
      </c>
      <c r="I747" t="n">
        <v>0</v>
      </c>
      <c r="J747" t="n">
        <v>0</v>
      </c>
      <c r="K747" t="n">
        <v>0</v>
      </c>
      <c r="L747" t="n">
        <v>0</v>
      </c>
      <c r="M747" t="n">
        <v>0</v>
      </c>
      <c r="N747" t="n">
        <v>0</v>
      </c>
      <c r="O747" t="n">
        <v>0</v>
      </c>
      <c r="P747" t="n">
        <v>0</v>
      </c>
      <c r="Q747" t="n">
        <v>0</v>
      </c>
      <c r="R747" s="2" t="inlineStr"/>
    </row>
    <row r="748" ht="15" customHeight="1">
      <c r="A748" t="inlineStr">
        <is>
          <t>A 24442-2025</t>
        </is>
      </c>
      <c r="B748" s="1" t="n">
        <v>45797.96236111111</v>
      </c>
      <c r="C748" s="1" t="n">
        <v>45995</v>
      </c>
      <c r="D748" t="inlineStr">
        <is>
          <t>JÄMTLANDS LÄN</t>
        </is>
      </c>
      <c r="E748" t="inlineStr">
        <is>
          <t>BERG</t>
        </is>
      </c>
      <c r="G748" t="n">
        <v>9</v>
      </c>
      <c r="H748" t="n">
        <v>0</v>
      </c>
      <c r="I748" t="n">
        <v>0</v>
      </c>
      <c r="J748" t="n">
        <v>0</v>
      </c>
      <c r="K748" t="n">
        <v>0</v>
      </c>
      <c r="L748" t="n">
        <v>0</v>
      </c>
      <c r="M748" t="n">
        <v>0</v>
      </c>
      <c r="N748" t="n">
        <v>0</v>
      </c>
      <c r="O748" t="n">
        <v>0</v>
      </c>
      <c r="P748" t="n">
        <v>0</v>
      </c>
      <c r="Q748" t="n">
        <v>0</v>
      </c>
      <c r="R748" s="2" t="inlineStr"/>
    </row>
    <row r="749" ht="15" customHeight="1">
      <c r="A749" t="inlineStr">
        <is>
          <t>A 59890-2025</t>
        </is>
      </c>
      <c r="B749" s="1" t="n">
        <v>45993.33128472222</v>
      </c>
      <c r="C749" s="1" t="n">
        <v>45995</v>
      </c>
      <c r="D749" t="inlineStr">
        <is>
          <t>JÄMTLANDS LÄN</t>
        </is>
      </c>
      <c r="E749" t="inlineStr">
        <is>
          <t>BERG</t>
        </is>
      </c>
      <c r="G749" t="n">
        <v>4</v>
      </c>
      <c r="H749" t="n">
        <v>0</v>
      </c>
      <c r="I749" t="n">
        <v>0</v>
      </c>
      <c r="J749" t="n">
        <v>0</v>
      </c>
      <c r="K749" t="n">
        <v>0</v>
      </c>
      <c r="L749" t="n">
        <v>0</v>
      </c>
      <c r="M749" t="n">
        <v>0</v>
      </c>
      <c r="N749" t="n">
        <v>0</v>
      </c>
      <c r="O749" t="n">
        <v>0</v>
      </c>
      <c r="P749" t="n">
        <v>0</v>
      </c>
      <c r="Q749" t="n">
        <v>0</v>
      </c>
      <c r="R749" s="2" t="inlineStr"/>
    </row>
    <row r="750" ht="15" customHeight="1">
      <c r="A750" t="inlineStr">
        <is>
          <t>A 54998-2023</t>
        </is>
      </c>
      <c r="B750" s="1" t="n">
        <v>45236</v>
      </c>
      <c r="C750" s="1" t="n">
        <v>45995</v>
      </c>
      <c r="D750" t="inlineStr">
        <is>
          <t>JÄMTLANDS LÄN</t>
        </is>
      </c>
      <c r="E750" t="inlineStr">
        <is>
          <t>BERG</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60051-2025</t>
        </is>
      </c>
      <c r="B751" s="1" t="n">
        <v>45993.6353125</v>
      </c>
      <c r="C751" s="1" t="n">
        <v>45995</v>
      </c>
      <c r="D751" t="inlineStr">
        <is>
          <t>JÄMTLANDS LÄN</t>
        </is>
      </c>
      <c r="E751" t="inlineStr">
        <is>
          <t>BERG</t>
        </is>
      </c>
      <c r="G751" t="n">
        <v>1.4</v>
      </c>
      <c r="H751" t="n">
        <v>0</v>
      </c>
      <c r="I751" t="n">
        <v>0</v>
      </c>
      <c r="J751" t="n">
        <v>0</v>
      </c>
      <c r="K751" t="n">
        <v>0</v>
      </c>
      <c r="L751" t="n">
        <v>0</v>
      </c>
      <c r="M751" t="n">
        <v>0</v>
      </c>
      <c r="N751" t="n">
        <v>0</v>
      </c>
      <c r="O751" t="n">
        <v>0</v>
      </c>
      <c r="P751" t="n">
        <v>0</v>
      </c>
      <c r="Q751" t="n">
        <v>0</v>
      </c>
      <c r="R751" s="2" t="inlineStr"/>
    </row>
    <row r="752" ht="15" customHeight="1">
      <c r="A752" t="inlineStr">
        <is>
          <t>A 4527-2025</t>
        </is>
      </c>
      <c r="B752" s="1" t="n">
        <v>45686</v>
      </c>
      <c r="C752" s="1" t="n">
        <v>45995</v>
      </c>
      <c r="D752" t="inlineStr">
        <is>
          <t>JÄMTLANDS LÄN</t>
        </is>
      </c>
      <c r="E752" t="inlineStr">
        <is>
          <t>BERG</t>
        </is>
      </c>
      <c r="G752" t="n">
        <v>17.8</v>
      </c>
      <c r="H752" t="n">
        <v>0</v>
      </c>
      <c r="I752" t="n">
        <v>0</v>
      </c>
      <c r="J752" t="n">
        <v>0</v>
      </c>
      <c r="K752" t="n">
        <v>0</v>
      </c>
      <c r="L752" t="n">
        <v>0</v>
      </c>
      <c r="M752" t="n">
        <v>0</v>
      </c>
      <c r="N752" t="n">
        <v>0</v>
      </c>
      <c r="O752" t="n">
        <v>0</v>
      </c>
      <c r="P752" t="n">
        <v>0</v>
      </c>
      <c r="Q752" t="n">
        <v>0</v>
      </c>
      <c r="R752" s="2" t="inlineStr"/>
    </row>
    <row r="753" ht="15" customHeight="1">
      <c r="A753" t="inlineStr">
        <is>
          <t>A 26944-2022</t>
        </is>
      </c>
      <c r="B753" s="1" t="n">
        <v>44740</v>
      </c>
      <c r="C753" s="1" t="n">
        <v>45995</v>
      </c>
      <c r="D753" t="inlineStr">
        <is>
          <t>JÄMTLANDS LÄN</t>
        </is>
      </c>
      <c r="E753" t="inlineStr">
        <is>
          <t>BERG</t>
        </is>
      </c>
      <c r="G753" t="n">
        <v>3.3</v>
      </c>
      <c r="H753" t="n">
        <v>0</v>
      </c>
      <c r="I753" t="n">
        <v>0</v>
      </c>
      <c r="J753" t="n">
        <v>0</v>
      </c>
      <c r="K753" t="n">
        <v>0</v>
      </c>
      <c r="L753" t="n">
        <v>0</v>
      </c>
      <c r="M753" t="n">
        <v>0</v>
      </c>
      <c r="N753" t="n">
        <v>0</v>
      </c>
      <c r="O753" t="n">
        <v>0</v>
      </c>
      <c r="P753" t="n">
        <v>0</v>
      </c>
      <c r="Q753" t="n">
        <v>0</v>
      </c>
      <c r="R753" s="2" t="inlineStr"/>
    </row>
    <row r="754" ht="15" customHeight="1">
      <c r="A754" t="inlineStr">
        <is>
          <t>A 63819-2023</t>
        </is>
      </c>
      <c r="B754" s="1" t="n">
        <v>45278.44128472222</v>
      </c>
      <c r="C754" s="1" t="n">
        <v>45995</v>
      </c>
      <c r="D754" t="inlineStr">
        <is>
          <t>JÄMTLANDS LÄN</t>
        </is>
      </c>
      <c r="E754" t="inlineStr">
        <is>
          <t>BERG</t>
        </is>
      </c>
      <c r="G754" t="n">
        <v>1.8</v>
      </c>
      <c r="H754" t="n">
        <v>0</v>
      </c>
      <c r="I754" t="n">
        <v>0</v>
      </c>
      <c r="J754" t="n">
        <v>0</v>
      </c>
      <c r="K754" t="n">
        <v>0</v>
      </c>
      <c r="L754" t="n">
        <v>0</v>
      </c>
      <c r="M754" t="n">
        <v>0</v>
      </c>
      <c r="N754" t="n">
        <v>0</v>
      </c>
      <c r="O754" t="n">
        <v>0</v>
      </c>
      <c r="P754" t="n">
        <v>0</v>
      </c>
      <c r="Q754" t="n">
        <v>0</v>
      </c>
      <c r="R754" s="2" t="inlineStr"/>
    </row>
    <row r="755" ht="15" customHeight="1">
      <c r="A755" t="inlineStr">
        <is>
          <t>A 14431-2025</t>
        </is>
      </c>
      <c r="B755" s="1" t="n">
        <v>45741</v>
      </c>
      <c r="C755" s="1" t="n">
        <v>45995</v>
      </c>
      <c r="D755" t="inlineStr">
        <is>
          <t>JÄMTLANDS LÄN</t>
        </is>
      </c>
      <c r="E755" t="inlineStr">
        <is>
          <t>BERG</t>
        </is>
      </c>
      <c r="G755" t="n">
        <v>1.7</v>
      </c>
      <c r="H755" t="n">
        <v>0</v>
      </c>
      <c r="I755" t="n">
        <v>0</v>
      </c>
      <c r="J755" t="n">
        <v>0</v>
      </c>
      <c r="K755" t="n">
        <v>0</v>
      </c>
      <c r="L755" t="n">
        <v>0</v>
      </c>
      <c r="M755" t="n">
        <v>0</v>
      </c>
      <c r="N755" t="n">
        <v>0</v>
      </c>
      <c r="O755" t="n">
        <v>0</v>
      </c>
      <c r="P755" t="n">
        <v>0</v>
      </c>
      <c r="Q755" t="n">
        <v>0</v>
      </c>
      <c r="R755" s="2" t="inlineStr"/>
    </row>
    <row r="756" ht="15" customHeight="1">
      <c r="A756" t="inlineStr">
        <is>
          <t>A 51883-2025</t>
        </is>
      </c>
      <c r="B756" s="1" t="n">
        <v>45952.40701388889</v>
      </c>
      <c r="C756" s="1" t="n">
        <v>45995</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60077-2025</t>
        </is>
      </c>
      <c r="B757" s="1" t="n">
        <v>45993.67987268518</v>
      </c>
      <c r="C757" s="1" t="n">
        <v>45995</v>
      </c>
      <c r="D757" t="inlineStr">
        <is>
          <t>JÄMTLANDS LÄN</t>
        </is>
      </c>
      <c r="E757" t="inlineStr">
        <is>
          <t>BERG</t>
        </is>
      </c>
      <c r="G757" t="n">
        <v>0.7</v>
      </c>
      <c r="H757" t="n">
        <v>0</v>
      </c>
      <c r="I757" t="n">
        <v>0</v>
      </c>
      <c r="J757" t="n">
        <v>0</v>
      </c>
      <c r="K757" t="n">
        <v>0</v>
      </c>
      <c r="L757" t="n">
        <v>0</v>
      </c>
      <c r="M757" t="n">
        <v>0</v>
      </c>
      <c r="N757" t="n">
        <v>0</v>
      </c>
      <c r="O757" t="n">
        <v>0</v>
      </c>
      <c r="P757" t="n">
        <v>0</v>
      </c>
      <c r="Q757" t="n">
        <v>0</v>
      </c>
      <c r="R757" s="2" t="inlineStr"/>
    </row>
    <row r="758" ht="15" customHeight="1">
      <c r="A758" t="inlineStr">
        <is>
          <t>A 44088-2021</t>
        </is>
      </c>
      <c r="B758" s="1" t="n">
        <v>44434</v>
      </c>
      <c r="C758" s="1" t="n">
        <v>45995</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52062-2025</t>
        </is>
      </c>
      <c r="B759" s="1" t="n">
        <v>45952.63679398148</v>
      </c>
      <c r="C759" s="1" t="n">
        <v>45995</v>
      </c>
      <c r="D759" t="inlineStr">
        <is>
          <t>JÄMTLANDS LÄN</t>
        </is>
      </c>
      <c r="E759" t="inlineStr">
        <is>
          <t>BERG</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59841-2025</t>
        </is>
      </c>
      <c r="B760" s="1" t="n">
        <v>45992</v>
      </c>
      <c r="C760" s="1" t="n">
        <v>45995</v>
      </c>
      <c r="D760" t="inlineStr">
        <is>
          <t>JÄMTLANDS LÄN</t>
        </is>
      </c>
      <c r="E760" t="inlineStr">
        <is>
          <t>BERG</t>
        </is>
      </c>
      <c r="G760" t="n">
        <v>14.9</v>
      </c>
      <c r="H760" t="n">
        <v>0</v>
      </c>
      <c r="I760" t="n">
        <v>0</v>
      </c>
      <c r="J760" t="n">
        <v>0</v>
      </c>
      <c r="K760" t="n">
        <v>0</v>
      </c>
      <c r="L760" t="n">
        <v>0</v>
      </c>
      <c r="M760" t="n">
        <v>0</v>
      </c>
      <c r="N760" t="n">
        <v>0</v>
      </c>
      <c r="O760" t="n">
        <v>0</v>
      </c>
      <c r="P760" t="n">
        <v>0</v>
      </c>
      <c r="Q760" t="n">
        <v>0</v>
      </c>
      <c r="R760" s="2" t="inlineStr"/>
    </row>
    <row r="761" ht="15" customHeight="1">
      <c r="A761" t="inlineStr">
        <is>
          <t>A 39510-2023</t>
        </is>
      </c>
      <c r="B761" s="1" t="n">
        <v>45166</v>
      </c>
      <c r="C761" s="1" t="n">
        <v>45995</v>
      </c>
      <c r="D761" t="inlineStr">
        <is>
          <t>JÄMTLANDS LÄN</t>
        </is>
      </c>
      <c r="E761" t="inlineStr">
        <is>
          <t>BERG</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19513-2025</t>
        </is>
      </c>
      <c r="B762" s="1" t="n">
        <v>45770.42762731481</v>
      </c>
      <c r="C762" s="1" t="n">
        <v>45995</v>
      </c>
      <c r="D762" t="inlineStr">
        <is>
          <t>JÄMTLANDS LÄN</t>
        </is>
      </c>
      <c r="E762" t="inlineStr">
        <is>
          <t>BERG</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1596-2024</t>
        </is>
      </c>
      <c r="B763" s="1" t="n">
        <v>45306</v>
      </c>
      <c r="C763" s="1" t="n">
        <v>45995</v>
      </c>
      <c r="D763" t="inlineStr">
        <is>
          <t>JÄMTLANDS LÄN</t>
        </is>
      </c>
      <c r="E763" t="inlineStr">
        <is>
          <t>BERG</t>
        </is>
      </c>
      <c r="G763" t="n">
        <v>0.8</v>
      </c>
      <c r="H763" t="n">
        <v>0</v>
      </c>
      <c r="I763" t="n">
        <v>0</v>
      </c>
      <c r="J763" t="n">
        <v>0</v>
      </c>
      <c r="K763" t="n">
        <v>0</v>
      </c>
      <c r="L763" t="n">
        <v>0</v>
      </c>
      <c r="M763" t="n">
        <v>0</v>
      </c>
      <c r="N763" t="n">
        <v>0</v>
      </c>
      <c r="O763" t="n">
        <v>0</v>
      </c>
      <c r="P763" t="n">
        <v>0</v>
      </c>
      <c r="Q763" t="n">
        <v>0</v>
      </c>
      <c r="R763" s="2" t="inlineStr"/>
    </row>
    <row r="764" ht="15" customHeight="1">
      <c r="A764" t="inlineStr">
        <is>
          <t>A 51675-2025</t>
        </is>
      </c>
      <c r="B764" s="1" t="n">
        <v>45951.50565972222</v>
      </c>
      <c r="C764" s="1" t="n">
        <v>45995</v>
      </c>
      <c r="D764" t="inlineStr">
        <is>
          <t>JÄMTLANDS LÄN</t>
        </is>
      </c>
      <c r="E764" t="inlineStr">
        <is>
          <t>BERG</t>
        </is>
      </c>
      <c r="G764" t="n">
        <v>1</v>
      </c>
      <c r="H764" t="n">
        <v>0</v>
      </c>
      <c r="I764" t="n">
        <v>0</v>
      </c>
      <c r="J764" t="n">
        <v>0</v>
      </c>
      <c r="K764" t="n">
        <v>0</v>
      </c>
      <c r="L764" t="n">
        <v>0</v>
      </c>
      <c r="M764" t="n">
        <v>0</v>
      </c>
      <c r="N764" t="n">
        <v>0</v>
      </c>
      <c r="O764" t="n">
        <v>0</v>
      </c>
      <c r="P764" t="n">
        <v>0</v>
      </c>
      <c r="Q764" t="n">
        <v>0</v>
      </c>
      <c r="R764" s="2" t="inlineStr"/>
    </row>
    <row r="765" ht="15" customHeight="1">
      <c r="A765" t="inlineStr">
        <is>
          <t>A 21508-2024</t>
        </is>
      </c>
      <c r="B765" s="1" t="n">
        <v>45441.56905092593</v>
      </c>
      <c r="C765" s="1" t="n">
        <v>45995</v>
      </c>
      <c r="D765" t="inlineStr">
        <is>
          <t>JÄMTLANDS LÄN</t>
        </is>
      </c>
      <c r="E765" t="inlineStr">
        <is>
          <t>BERG</t>
        </is>
      </c>
      <c r="G765" t="n">
        <v>3.2</v>
      </c>
      <c r="H765" t="n">
        <v>0</v>
      </c>
      <c r="I765" t="n">
        <v>0</v>
      </c>
      <c r="J765" t="n">
        <v>0</v>
      </c>
      <c r="K765" t="n">
        <v>0</v>
      </c>
      <c r="L765" t="n">
        <v>0</v>
      </c>
      <c r="M765" t="n">
        <v>0</v>
      </c>
      <c r="N765" t="n">
        <v>0</v>
      </c>
      <c r="O765" t="n">
        <v>0</v>
      </c>
      <c r="P765" t="n">
        <v>0</v>
      </c>
      <c r="Q765" t="n">
        <v>0</v>
      </c>
      <c r="R765" s="2" t="inlineStr"/>
    </row>
    <row r="766" ht="15" customHeight="1">
      <c r="A766" t="inlineStr">
        <is>
          <t>A 29378-2024</t>
        </is>
      </c>
      <c r="B766" s="1" t="n">
        <v>45483.59328703704</v>
      </c>
      <c r="C766" s="1" t="n">
        <v>45995</v>
      </c>
      <c r="D766" t="inlineStr">
        <is>
          <t>JÄMTLANDS LÄN</t>
        </is>
      </c>
      <c r="E766" t="inlineStr">
        <is>
          <t>BERG</t>
        </is>
      </c>
      <c r="G766" t="n">
        <v>5.6</v>
      </c>
      <c r="H766" t="n">
        <v>0</v>
      </c>
      <c r="I766" t="n">
        <v>0</v>
      </c>
      <c r="J766" t="n">
        <v>0</v>
      </c>
      <c r="K766" t="n">
        <v>0</v>
      </c>
      <c r="L766" t="n">
        <v>0</v>
      </c>
      <c r="M766" t="n">
        <v>0</v>
      </c>
      <c r="N766" t="n">
        <v>0</v>
      </c>
      <c r="O766" t="n">
        <v>0</v>
      </c>
      <c r="P766" t="n">
        <v>0</v>
      </c>
      <c r="Q766" t="n">
        <v>0</v>
      </c>
      <c r="R766" s="2" t="inlineStr"/>
    </row>
    <row r="767" ht="15" customHeight="1">
      <c r="A767" t="inlineStr">
        <is>
          <t>A 36192-2024</t>
        </is>
      </c>
      <c r="B767" s="1" t="n">
        <v>45534.42809027778</v>
      </c>
      <c r="C767" s="1" t="n">
        <v>45995</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24786-2025</t>
        </is>
      </c>
      <c r="B768" s="1" t="n">
        <v>45799.42777777778</v>
      </c>
      <c r="C768" s="1" t="n">
        <v>45995</v>
      </c>
      <c r="D768" t="inlineStr">
        <is>
          <t>JÄMTLANDS LÄN</t>
        </is>
      </c>
      <c r="E768" t="inlineStr">
        <is>
          <t>BERG</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166-2024</t>
        </is>
      </c>
      <c r="B769" s="1" t="n">
        <v>45294</v>
      </c>
      <c r="C769" s="1" t="n">
        <v>45995</v>
      </c>
      <c r="D769" t="inlineStr">
        <is>
          <t>JÄMTLANDS LÄN</t>
        </is>
      </c>
      <c r="E769" t="inlineStr">
        <is>
          <t>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8722-2024</t>
        </is>
      </c>
      <c r="B770" s="1" t="n">
        <v>45355</v>
      </c>
      <c r="C770" s="1" t="n">
        <v>45995</v>
      </c>
      <c r="D770" t="inlineStr">
        <is>
          <t>JÄMTLANDS LÄN</t>
        </is>
      </c>
      <c r="E770" t="inlineStr">
        <is>
          <t>BERG</t>
        </is>
      </c>
      <c r="G770" t="n">
        <v>2.4</v>
      </c>
      <c r="H770" t="n">
        <v>0</v>
      </c>
      <c r="I770" t="n">
        <v>0</v>
      </c>
      <c r="J770" t="n">
        <v>0</v>
      </c>
      <c r="K770" t="n">
        <v>0</v>
      </c>
      <c r="L770" t="n">
        <v>0</v>
      </c>
      <c r="M770" t="n">
        <v>0</v>
      </c>
      <c r="N770" t="n">
        <v>0</v>
      </c>
      <c r="O770" t="n">
        <v>0</v>
      </c>
      <c r="P770" t="n">
        <v>0</v>
      </c>
      <c r="Q770" t="n">
        <v>0</v>
      </c>
      <c r="R770" s="2" t="inlineStr"/>
    </row>
    <row r="771" ht="15" customHeight="1">
      <c r="A771" t="inlineStr">
        <is>
          <t>A 8726-2024</t>
        </is>
      </c>
      <c r="B771" s="1" t="n">
        <v>45355</v>
      </c>
      <c r="C771" s="1" t="n">
        <v>45995</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24849-2025</t>
        </is>
      </c>
      <c r="B772" s="1" t="n">
        <v>45799.46949074074</v>
      </c>
      <c r="C772" s="1" t="n">
        <v>45995</v>
      </c>
      <c r="D772" t="inlineStr">
        <is>
          <t>JÄMTLANDS LÄN</t>
        </is>
      </c>
      <c r="E772" t="inlineStr">
        <is>
          <t>BERG</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24869-2025</t>
        </is>
      </c>
      <c r="B773" s="1" t="n">
        <v>45799.48994212963</v>
      </c>
      <c r="C773" s="1" t="n">
        <v>45995</v>
      </c>
      <c r="D773" t="inlineStr">
        <is>
          <t>JÄMTLANDS LÄN</t>
        </is>
      </c>
      <c r="E773" t="inlineStr">
        <is>
          <t>BERG</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60409-2023</t>
        </is>
      </c>
      <c r="B774" s="1" t="n">
        <v>45259.47972222222</v>
      </c>
      <c r="C774" s="1" t="n">
        <v>45995</v>
      </c>
      <c r="D774" t="inlineStr">
        <is>
          <t>JÄMTLANDS LÄN</t>
        </is>
      </c>
      <c r="E774" t="inlineStr">
        <is>
          <t>BERG</t>
        </is>
      </c>
      <c r="G774" t="n">
        <v>5.8</v>
      </c>
      <c r="H774" t="n">
        <v>0</v>
      </c>
      <c r="I774" t="n">
        <v>0</v>
      </c>
      <c r="J774" t="n">
        <v>0</v>
      </c>
      <c r="K774" t="n">
        <v>0</v>
      </c>
      <c r="L774" t="n">
        <v>0</v>
      </c>
      <c r="M774" t="n">
        <v>0</v>
      </c>
      <c r="N774" t="n">
        <v>0</v>
      </c>
      <c r="O774" t="n">
        <v>0</v>
      </c>
      <c r="P774" t="n">
        <v>0</v>
      </c>
      <c r="Q774" t="n">
        <v>0</v>
      </c>
      <c r="R774" s="2" t="inlineStr"/>
    </row>
    <row r="775" ht="15" customHeight="1">
      <c r="A775" t="inlineStr">
        <is>
          <t>A 7040-2024</t>
        </is>
      </c>
      <c r="B775" s="1" t="n">
        <v>45343</v>
      </c>
      <c r="C775" s="1" t="n">
        <v>45995</v>
      </c>
      <c r="D775" t="inlineStr">
        <is>
          <t>JÄMTLANDS LÄN</t>
        </is>
      </c>
      <c r="E775" t="inlineStr">
        <is>
          <t>BERG</t>
        </is>
      </c>
      <c r="G775" t="n">
        <v>15.9</v>
      </c>
      <c r="H775" t="n">
        <v>0</v>
      </c>
      <c r="I775" t="n">
        <v>0</v>
      </c>
      <c r="J775" t="n">
        <v>0</v>
      </c>
      <c r="K775" t="n">
        <v>0</v>
      </c>
      <c r="L775" t="n">
        <v>0</v>
      </c>
      <c r="M775" t="n">
        <v>0</v>
      </c>
      <c r="N775" t="n">
        <v>0</v>
      </c>
      <c r="O775" t="n">
        <v>0</v>
      </c>
      <c r="P775" t="n">
        <v>0</v>
      </c>
      <c r="Q775" t="n">
        <v>0</v>
      </c>
      <c r="R775" s="2" t="inlineStr"/>
    </row>
    <row r="776" ht="15" customHeight="1">
      <c r="A776" t="inlineStr">
        <is>
          <t>A 24954-2025</t>
        </is>
      </c>
      <c r="B776" s="1" t="n">
        <v>45799.57385416667</v>
      </c>
      <c r="C776" s="1" t="n">
        <v>45995</v>
      </c>
      <c r="D776" t="inlineStr">
        <is>
          <t>JÄMTLANDS LÄN</t>
        </is>
      </c>
      <c r="E776" t="inlineStr">
        <is>
          <t>BERG</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5215-2024</t>
        </is>
      </c>
      <c r="B777" s="1" t="n">
        <v>45330</v>
      </c>
      <c r="C777" s="1" t="n">
        <v>45995</v>
      </c>
      <c r="D777" t="inlineStr">
        <is>
          <t>JÄMTLANDS LÄN</t>
        </is>
      </c>
      <c r="E777" t="inlineStr">
        <is>
          <t>BERG</t>
        </is>
      </c>
      <c r="G777" t="n">
        <v>0.8</v>
      </c>
      <c r="H777" t="n">
        <v>0</v>
      </c>
      <c r="I777" t="n">
        <v>0</v>
      </c>
      <c r="J777" t="n">
        <v>0</v>
      </c>
      <c r="K777" t="n">
        <v>0</v>
      </c>
      <c r="L777" t="n">
        <v>0</v>
      </c>
      <c r="M777" t="n">
        <v>0</v>
      </c>
      <c r="N777" t="n">
        <v>0</v>
      </c>
      <c r="O777" t="n">
        <v>0</v>
      </c>
      <c r="P777" t="n">
        <v>0</v>
      </c>
      <c r="Q777" t="n">
        <v>0</v>
      </c>
      <c r="R777" s="2" t="inlineStr"/>
    </row>
    <row r="778" ht="15" customHeight="1">
      <c r="A778" t="inlineStr">
        <is>
          <t>A 14341-2025</t>
        </is>
      </c>
      <c r="B778" s="1" t="n">
        <v>45741.26008101852</v>
      </c>
      <c r="C778" s="1" t="n">
        <v>45995</v>
      </c>
      <c r="D778" t="inlineStr">
        <is>
          <t>JÄMTLANDS LÄN</t>
        </is>
      </c>
      <c r="E778" t="inlineStr">
        <is>
          <t>BERG</t>
        </is>
      </c>
      <c r="G778" t="n">
        <v>3.8</v>
      </c>
      <c r="H778" t="n">
        <v>0</v>
      </c>
      <c r="I778" t="n">
        <v>0</v>
      </c>
      <c r="J778" t="n">
        <v>0</v>
      </c>
      <c r="K778" t="n">
        <v>0</v>
      </c>
      <c r="L778" t="n">
        <v>0</v>
      </c>
      <c r="M778" t="n">
        <v>0</v>
      </c>
      <c r="N778" t="n">
        <v>0</v>
      </c>
      <c r="O778" t="n">
        <v>0</v>
      </c>
      <c r="P778" t="n">
        <v>0</v>
      </c>
      <c r="Q778" t="n">
        <v>0</v>
      </c>
      <c r="R778" s="2" t="inlineStr"/>
    </row>
    <row r="779" ht="15" customHeight="1">
      <c r="A779" t="inlineStr">
        <is>
          <t>A 57669-2024</t>
        </is>
      </c>
      <c r="B779" s="1" t="n">
        <v>45630.62520833333</v>
      </c>
      <c r="C779" s="1" t="n">
        <v>45995</v>
      </c>
      <c r="D779" t="inlineStr">
        <is>
          <t>JÄMTLANDS LÄN</t>
        </is>
      </c>
      <c r="E779" t="inlineStr">
        <is>
          <t>BERG</t>
        </is>
      </c>
      <c r="G779" t="n">
        <v>1</v>
      </c>
      <c r="H779" t="n">
        <v>0</v>
      </c>
      <c r="I779" t="n">
        <v>0</v>
      </c>
      <c r="J779" t="n">
        <v>0</v>
      </c>
      <c r="K779" t="n">
        <v>0</v>
      </c>
      <c r="L779" t="n">
        <v>0</v>
      </c>
      <c r="M779" t="n">
        <v>0</v>
      </c>
      <c r="N779" t="n">
        <v>0</v>
      </c>
      <c r="O779" t="n">
        <v>0</v>
      </c>
      <c r="P779" t="n">
        <v>0</v>
      </c>
      <c r="Q779" t="n">
        <v>0</v>
      </c>
      <c r="R779" s="2" t="inlineStr"/>
    </row>
    <row r="780" ht="15" customHeight="1">
      <c r="A780" t="inlineStr">
        <is>
          <t>A 64709-2021</t>
        </is>
      </c>
      <c r="B780" s="1" t="n">
        <v>44512</v>
      </c>
      <c r="C780" s="1" t="n">
        <v>45995</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25938-2025</t>
        </is>
      </c>
      <c r="B781" s="1" t="n">
        <v>45804.59414351852</v>
      </c>
      <c r="C781" s="1" t="n">
        <v>45995</v>
      </c>
      <c r="D781" t="inlineStr">
        <is>
          <t>JÄMTLANDS LÄN</t>
        </is>
      </c>
      <c r="E781" t="inlineStr">
        <is>
          <t>BERG</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25960-2025</t>
        </is>
      </c>
      <c r="B782" s="1" t="n">
        <v>45804.60972222222</v>
      </c>
      <c r="C782" s="1" t="n">
        <v>45995</v>
      </c>
      <c r="D782" t="inlineStr">
        <is>
          <t>JÄMTLANDS LÄN</t>
        </is>
      </c>
      <c r="E782" t="inlineStr">
        <is>
          <t>BERG</t>
        </is>
      </c>
      <c r="G782" t="n">
        <v>7.3</v>
      </c>
      <c r="H782" t="n">
        <v>0</v>
      </c>
      <c r="I782" t="n">
        <v>0</v>
      </c>
      <c r="J782" t="n">
        <v>0</v>
      </c>
      <c r="K782" t="n">
        <v>0</v>
      </c>
      <c r="L782" t="n">
        <v>0</v>
      </c>
      <c r="M782" t="n">
        <v>0</v>
      </c>
      <c r="N782" t="n">
        <v>0</v>
      </c>
      <c r="O782" t="n">
        <v>0</v>
      </c>
      <c r="P782" t="n">
        <v>0</v>
      </c>
      <c r="Q782" t="n">
        <v>0</v>
      </c>
      <c r="R782" s="2" t="inlineStr"/>
    </row>
    <row r="783" ht="15" customHeight="1">
      <c r="A783" t="inlineStr">
        <is>
          <t>A 25976-2025</t>
        </is>
      </c>
      <c r="B783" s="1" t="n">
        <v>45804.63596064815</v>
      </c>
      <c r="C783" s="1" t="n">
        <v>45995</v>
      </c>
      <c r="D783" t="inlineStr">
        <is>
          <t>JÄMTLANDS LÄN</t>
        </is>
      </c>
      <c r="E783" t="inlineStr">
        <is>
          <t>BERG</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25979-2025</t>
        </is>
      </c>
      <c r="B784" s="1" t="n">
        <v>45804.63642361111</v>
      </c>
      <c r="C784" s="1" t="n">
        <v>45995</v>
      </c>
      <c r="D784" t="inlineStr">
        <is>
          <t>JÄMTLANDS LÄN</t>
        </is>
      </c>
      <c r="E784" t="inlineStr">
        <is>
          <t>BERG</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25885-2025</t>
        </is>
      </c>
      <c r="B785" s="1" t="n">
        <v>45804.51075231482</v>
      </c>
      <c r="C785" s="1" t="n">
        <v>45995</v>
      </c>
      <c r="D785" t="inlineStr">
        <is>
          <t>JÄMTLANDS LÄN</t>
        </is>
      </c>
      <c r="E785" t="inlineStr">
        <is>
          <t>BERG</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25887-2025</t>
        </is>
      </c>
      <c r="B786" s="1" t="n">
        <v>45804.51104166666</v>
      </c>
      <c r="C786" s="1" t="n">
        <v>45995</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25886-2025</t>
        </is>
      </c>
      <c r="B787" s="1" t="n">
        <v>45804.51092592593</v>
      </c>
      <c r="C787" s="1" t="n">
        <v>45995</v>
      </c>
      <c r="D787" t="inlineStr">
        <is>
          <t>JÄMTLANDS LÄN</t>
        </is>
      </c>
      <c r="E787" t="inlineStr">
        <is>
          <t>BERG</t>
        </is>
      </c>
      <c r="F787" t="inlineStr">
        <is>
          <t>SCA</t>
        </is>
      </c>
      <c r="G787" t="n">
        <v>18.3</v>
      </c>
      <c r="H787" t="n">
        <v>0</v>
      </c>
      <c r="I787" t="n">
        <v>0</v>
      </c>
      <c r="J787" t="n">
        <v>0</v>
      </c>
      <c r="K787" t="n">
        <v>0</v>
      </c>
      <c r="L787" t="n">
        <v>0</v>
      </c>
      <c r="M787" t="n">
        <v>0</v>
      </c>
      <c r="N787" t="n">
        <v>0</v>
      </c>
      <c r="O787" t="n">
        <v>0</v>
      </c>
      <c r="P787" t="n">
        <v>0</v>
      </c>
      <c r="Q787" t="n">
        <v>0</v>
      </c>
      <c r="R787" s="2" t="inlineStr"/>
    </row>
    <row r="788" ht="15" customHeight="1">
      <c r="A788" t="inlineStr">
        <is>
          <t>A 25951-2025</t>
        </is>
      </c>
      <c r="B788" s="1" t="n">
        <v>45804.5984375</v>
      </c>
      <c r="C788" s="1" t="n">
        <v>45995</v>
      </c>
      <c r="D788" t="inlineStr">
        <is>
          <t>JÄMTLANDS LÄN</t>
        </is>
      </c>
      <c r="E788" t="inlineStr">
        <is>
          <t>BERG</t>
        </is>
      </c>
      <c r="G788" t="n">
        <v>0.9</v>
      </c>
      <c r="H788" t="n">
        <v>0</v>
      </c>
      <c r="I788" t="n">
        <v>0</v>
      </c>
      <c r="J788" t="n">
        <v>0</v>
      </c>
      <c r="K788" t="n">
        <v>0</v>
      </c>
      <c r="L788" t="n">
        <v>0</v>
      </c>
      <c r="M788" t="n">
        <v>0</v>
      </c>
      <c r="N788" t="n">
        <v>0</v>
      </c>
      <c r="O788" t="n">
        <v>0</v>
      </c>
      <c r="P788" t="n">
        <v>0</v>
      </c>
      <c r="Q788" t="n">
        <v>0</v>
      </c>
      <c r="R788" s="2" t="inlineStr"/>
    </row>
    <row r="789" ht="15" customHeight="1">
      <c r="A789" t="inlineStr">
        <is>
          <t>A 25980-2025</t>
        </is>
      </c>
      <c r="B789" s="1" t="n">
        <v>45804.63658564815</v>
      </c>
      <c r="C789" s="1" t="n">
        <v>45995</v>
      </c>
      <c r="D789" t="inlineStr">
        <is>
          <t>JÄMTLANDS LÄN</t>
        </is>
      </c>
      <c r="E789" t="inlineStr">
        <is>
          <t>BERG</t>
        </is>
      </c>
      <c r="F789" t="inlineStr">
        <is>
          <t>SCA</t>
        </is>
      </c>
      <c r="G789" t="n">
        <v>8.9</v>
      </c>
      <c r="H789" t="n">
        <v>0</v>
      </c>
      <c r="I789" t="n">
        <v>0</v>
      </c>
      <c r="J789" t="n">
        <v>0</v>
      </c>
      <c r="K789" t="n">
        <v>0</v>
      </c>
      <c r="L789" t="n">
        <v>0</v>
      </c>
      <c r="M789" t="n">
        <v>0</v>
      </c>
      <c r="N789" t="n">
        <v>0</v>
      </c>
      <c r="O789" t="n">
        <v>0</v>
      </c>
      <c r="P789" t="n">
        <v>0</v>
      </c>
      <c r="Q789" t="n">
        <v>0</v>
      </c>
      <c r="R789" s="2" t="inlineStr"/>
    </row>
    <row r="790" ht="15" customHeight="1">
      <c r="A790" t="inlineStr">
        <is>
          <t>A 25441-2025</t>
        </is>
      </c>
      <c r="B790" s="1" t="n">
        <v>45801.34476851852</v>
      </c>
      <c r="C790" s="1" t="n">
        <v>45995</v>
      </c>
      <c r="D790" t="inlineStr">
        <is>
          <t>JÄMTLANDS LÄN</t>
        </is>
      </c>
      <c r="E790" t="inlineStr">
        <is>
          <t>BERG</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25454-2025</t>
        </is>
      </c>
      <c r="B791" s="1" t="n">
        <v>45802.34460648148</v>
      </c>
      <c r="C791" s="1" t="n">
        <v>45995</v>
      </c>
      <c r="D791" t="inlineStr">
        <is>
          <t>JÄMTLANDS LÄN</t>
        </is>
      </c>
      <c r="E791" t="inlineStr">
        <is>
          <t>BERG</t>
        </is>
      </c>
      <c r="F791" t="inlineStr">
        <is>
          <t>SCA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31131-2024</t>
        </is>
      </c>
      <c r="B792" s="1" t="n">
        <v>45502</v>
      </c>
      <c r="C792" s="1" t="n">
        <v>45995</v>
      </c>
      <c r="D792" t="inlineStr">
        <is>
          <t>JÄMTLANDS LÄN</t>
        </is>
      </c>
      <c r="E792" t="inlineStr">
        <is>
          <t>BERG</t>
        </is>
      </c>
      <c r="G792" t="n">
        <v>2.1</v>
      </c>
      <c r="H792" t="n">
        <v>0</v>
      </c>
      <c r="I792" t="n">
        <v>0</v>
      </c>
      <c r="J792" t="n">
        <v>0</v>
      </c>
      <c r="K792" t="n">
        <v>0</v>
      </c>
      <c r="L792" t="n">
        <v>0</v>
      </c>
      <c r="M792" t="n">
        <v>0</v>
      </c>
      <c r="N792" t="n">
        <v>0</v>
      </c>
      <c r="O792" t="n">
        <v>0</v>
      </c>
      <c r="P792" t="n">
        <v>0</v>
      </c>
      <c r="Q792" t="n">
        <v>0</v>
      </c>
      <c r="R792" s="2" t="inlineStr"/>
    </row>
    <row r="793" ht="15" customHeight="1">
      <c r="A793" t="inlineStr">
        <is>
          <t>A 31154-2024</t>
        </is>
      </c>
      <c r="B793" s="1" t="n">
        <v>45503.32976851852</v>
      </c>
      <c r="C793" s="1" t="n">
        <v>45995</v>
      </c>
      <c r="D793" t="inlineStr">
        <is>
          <t>JÄMTLANDS LÄN</t>
        </is>
      </c>
      <c r="E793" t="inlineStr">
        <is>
          <t>BERG</t>
        </is>
      </c>
      <c r="G793" t="n">
        <v>2.3</v>
      </c>
      <c r="H793" t="n">
        <v>0</v>
      </c>
      <c r="I793" t="n">
        <v>0</v>
      </c>
      <c r="J793" t="n">
        <v>0</v>
      </c>
      <c r="K793" t="n">
        <v>0</v>
      </c>
      <c r="L793" t="n">
        <v>0</v>
      </c>
      <c r="M793" t="n">
        <v>0</v>
      </c>
      <c r="N793" t="n">
        <v>0</v>
      </c>
      <c r="O793" t="n">
        <v>0</v>
      </c>
      <c r="P793" t="n">
        <v>0</v>
      </c>
      <c r="Q793" t="n">
        <v>0</v>
      </c>
      <c r="R793" s="2" t="inlineStr"/>
    </row>
    <row r="794" ht="15" customHeight="1">
      <c r="A794" t="inlineStr">
        <is>
          <t>A 26013-2025</t>
        </is>
      </c>
      <c r="B794" s="1" t="n">
        <v>45804.67760416667</v>
      </c>
      <c r="C794" s="1" t="n">
        <v>45995</v>
      </c>
      <c r="D794" t="inlineStr">
        <is>
          <t>JÄMTLANDS LÄN</t>
        </is>
      </c>
      <c r="E794" t="inlineStr">
        <is>
          <t>BERG</t>
        </is>
      </c>
      <c r="F794" t="inlineStr">
        <is>
          <t>SCA</t>
        </is>
      </c>
      <c r="G794" t="n">
        <v>11.7</v>
      </c>
      <c r="H794" t="n">
        <v>0</v>
      </c>
      <c r="I794" t="n">
        <v>0</v>
      </c>
      <c r="J794" t="n">
        <v>0</v>
      </c>
      <c r="K794" t="n">
        <v>0</v>
      </c>
      <c r="L794" t="n">
        <v>0</v>
      </c>
      <c r="M794" t="n">
        <v>0</v>
      </c>
      <c r="N794" t="n">
        <v>0</v>
      </c>
      <c r="O794" t="n">
        <v>0</v>
      </c>
      <c r="P794" t="n">
        <v>0</v>
      </c>
      <c r="Q794" t="n">
        <v>0</v>
      </c>
      <c r="R794" s="2" t="inlineStr"/>
    </row>
    <row r="795" ht="15" customHeight="1">
      <c r="A795" t="inlineStr">
        <is>
          <t>A 25452-2025</t>
        </is>
      </c>
      <c r="B795" s="1" t="n">
        <v>45802.34440972222</v>
      </c>
      <c r="C795" s="1" t="n">
        <v>45995</v>
      </c>
      <c r="D795" t="inlineStr">
        <is>
          <t>JÄMTLANDS LÄN</t>
        </is>
      </c>
      <c r="E795" t="inlineStr">
        <is>
          <t>BERG</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25453-2025</t>
        </is>
      </c>
      <c r="B796" s="1" t="n">
        <v>45802.34451388889</v>
      </c>
      <c r="C796" s="1" t="n">
        <v>45995</v>
      </c>
      <c r="D796" t="inlineStr">
        <is>
          <t>JÄMTLANDS LÄN</t>
        </is>
      </c>
      <c r="E796" t="inlineStr">
        <is>
          <t>BERG</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17266-2025</t>
        </is>
      </c>
      <c r="B797" s="1" t="n">
        <v>45756</v>
      </c>
      <c r="C797" s="1" t="n">
        <v>45995</v>
      </c>
      <c r="D797" t="inlineStr">
        <is>
          <t>JÄMTLANDS LÄN</t>
        </is>
      </c>
      <c r="E797" t="inlineStr">
        <is>
          <t>BERG</t>
        </is>
      </c>
      <c r="G797" t="n">
        <v>20.1</v>
      </c>
      <c r="H797" t="n">
        <v>0</v>
      </c>
      <c r="I797" t="n">
        <v>0</v>
      </c>
      <c r="J797" t="n">
        <v>0</v>
      </c>
      <c r="K797" t="n">
        <v>0</v>
      </c>
      <c r="L797" t="n">
        <v>0</v>
      </c>
      <c r="M797" t="n">
        <v>0</v>
      </c>
      <c r="N797" t="n">
        <v>0</v>
      </c>
      <c r="O797" t="n">
        <v>0</v>
      </c>
      <c r="P797" t="n">
        <v>0</v>
      </c>
      <c r="Q797" t="n">
        <v>0</v>
      </c>
      <c r="R797" s="2" t="inlineStr"/>
    </row>
    <row r="798" ht="15" customHeight="1">
      <c r="A798" t="inlineStr">
        <is>
          <t>A 26378-2025</t>
        </is>
      </c>
      <c r="B798" s="1" t="n">
        <v>45806.48989583334</v>
      </c>
      <c r="C798" s="1" t="n">
        <v>45995</v>
      </c>
      <c r="D798" t="inlineStr">
        <is>
          <t>JÄMTLANDS LÄN</t>
        </is>
      </c>
      <c r="E798" t="inlineStr">
        <is>
          <t>BERG</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19538-2023</t>
        </is>
      </c>
      <c r="B799" s="1" t="n">
        <v>45050</v>
      </c>
      <c r="C799" s="1" t="n">
        <v>45995</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26275-2025</t>
        </is>
      </c>
      <c r="B800" s="1" t="n">
        <v>45805.60230324074</v>
      </c>
      <c r="C800" s="1" t="n">
        <v>45995</v>
      </c>
      <c r="D800" t="inlineStr">
        <is>
          <t>JÄMTLANDS LÄN</t>
        </is>
      </c>
      <c r="E800" t="inlineStr">
        <is>
          <t>BERG</t>
        </is>
      </c>
      <c r="G800" t="n">
        <v>10.2</v>
      </c>
      <c r="H800" t="n">
        <v>0</v>
      </c>
      <c r="I800" t="n">
        <v>0</v>
      </c>
      <c r="J800" t="n">
        <v>0</v>
      </c>
      <c r="K800" t="n">
        <v>0</v>
      </c>
      <c r="L800" t="n">
        <v>0</v>
      </c>
      <c r="M800" t="n">
        <v>0</v>
      </c>
      <c r="N800" t="n">
        <v>0</v>
      </c>
      <c r="O800" t="n">
        <v>0</v>
      </c>
      <c r="P800" t="n">
        <v>0</v>
      </c>
      <c r="Q800" t="n">
        <v>0</v>
      </c>
      <c r="R800" s="2" t="inlineStr"/>
    </row>
    <row r="801" ht="15" customHeight="1">
      <c r="A801" t="inlineStr">
        <is>
          <t>A 26053-2025</t>
        </is>
      </c>
      <c r="B801" s="1" t="n">
        <v>45804.75445601852</v>
      </c>
      <c r="C801" s="1" t="n">
        <v>45995</v>
      </c>
      <c r="D801" t="inlineStr">
        <is>
          <t>JÄMTLANDS LÄN</t>
        </is>
      </c>
      <c r="E801" t="inlineStr">
        <is>
          <t>BERG</t>
        </is>
      </c>
      <c r="G801" t="n">
        <v>6</v>
      </c>
      <c r="H801" t="n">
        <v>0</v>
      </c>
      <c r="I801" t="n">
        <v>0</v>
      </c>
      <c r="J801" t="n">
        <v>0</v>
      </c>
      <c r="K801" t="n">
        <v>0</v>
      </c>
      <c r="L801" t="n">
        <v>0</v>
      </c>
      <c r="M801" t="n">
        <v>0</v>
      </c>
      <c r="N801" t="n">
        <v>0</v>
      </c>
      <c r="O801" t="n">
        <v>0</v>
      </c>
      <c r="P801" t="n">
        <v>0</v>
      </c>
      <c r="Q801" t="n">
        <v>0</v>
      </c>
      <c r="R801" s="2" t="inlineStr"/>
    </row>
    <row r="802" ht="15" customHeight="1">
      <c r="A802" t="inlineStr">
        <is>
          <t>A 13473-2025</t>
        </is>
      </c>
      <c r="B802" s="1" t="n">
        <v>45736.40671296296</v>
      </c>
      <c r="C802" s="1" t="n">
        <v>45995</v>
      </c>
      <c r="D802" t="inlineStr">
        <is>
          <t>JÄMTLANDS LÄN</t>
        </is>
      </c>
      <c r="E802" t="inlineStr">
        <is>
          <t>BERG</t>
        </is>
      </c>
      <c r="F802" t="inlineStr">
        <is>
          <t>SCA</t>
        </is>
      </c>
      <c r="G802" t="n">
        <v>13.7</v>
      </c>
      <c r="H802" t="n">
        <v>0</v>
      </c>
      <c r="I802" t="n">
        <v>0</v>
      </c>
      <c r="J802" t="n">
        <v>0</v>
      </c>
      <c r="K802" t="n">
        <v>0</v>
      </c>
      <c r="L802" t="n">
        <v>0</v>
      </c>
      <c r="M802" t="n">
        <v>0</v>
      </c>
      <c r="N802" t="n">
        <v>0</v>
      </c>
      <c r="O802" t="n">
        <v>0</v>
      </c>
      <c r="P802" t="n">
        <v>0</v>
      </c>
      <c r="Q802" t="n">
        <v>0</v>
      </c>
      <c r="R802" s="2" t="inlineStr"/>
    </row>
    <row r="803" ht="15" customHeight="1">
      <c r="A803" t="inlineStr">
        <is>
          <t>A 26374-2025</t>
        </is>
      </c>
      <c r="B803" s="1" t="n">
        <v>45806.42745370371</v>
      </c>
      <c r="C803" s="1" t="n">
        <v>45995</v>
      </c>
      <c r="D803" t="inlineStr">
        <is>
          <t>JÄMTLANDS LÄN</t>
        </is>
      </c>
      <c r="E803" t="inlineStr">
        <is>
          <t>BERG</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18551-2025</t>
        </is>
      </c>
      <c r="B804" s="1" t="n">
        <v>45763.43650462963</v>
      </c>
      <c r="C804" s="1" t="n">
        <v>45995</v>
      </c>
      <c r="D804" t="inlineStr">
        <is>
          <t>JÄMTLANDS LÄN</t>
        </is>
      </c>
      <c r="E804" t="inlineStr">
        <is>
          <t>BERG</t>
        </is>
      </c>
      <c r="G804" t="n">
        <v>3.5</v>
      </c>
      <c r="H804" t="n">
        <v>0</v>
      </c>
      <c r="I804" t="n">
        <v>0</v>
      </c>
      <c r="J804" t="n">
        <v>0</v>
      </c>
      <c r="K804" t="n">
        <v>0</v>
      </c>
      <c r="L804" t="n">
        <v>0</v>
      </c>
      <c r="M804" t="n">
        <v>0</v>
      </c>
      <c r="N804" t="n">
        <v>0</v>
      </c>
      <c r="O804" t="n">
        <v>0</v>
      </c>
      <c r="P804" t="n">
        <v>0</v>
      </c>
      <c r="Q804" t="n">
        <v>0</v>
      </c>
      <c r="R804" s="2" t="inlineStr"/>
    </row>
    <row r="805" ht="15" customHeight="1">
      <c r="A805" t="inlineStr">
        <is>
          <t>A 26186-2025</t>
        </is>
      </c>
      <c r="B805" s="1" t="n">
        <v>45805.47840277778</v>
      </c>
      <c r="C805" s="1" t="n">
        <v>45995</v>
      </c>
      <c r="D805" t="inlineStr">
        <is>
          <t>JÄMTLANDS LÄN</t>
        </is>
      </c>
      <c r="E805" t="inlineStr">
        <is>
          <t>BERG</t>
        </is>
      </c>
      <c r="G805" t="n">
        <v>5.3</v>
      </c>
      <c r="H805" t="n">
        <v>0</v>
      </c>
      <c r="I805" t="n">
        <v>0</v>
      </c>
      <c r="J805" t="n">
        <v>0</v>
      </c>
      <c r="K805" t="n">
        <v>0</v>
      </c>
      <c r="L805" t="n">
        <v>0</v>
      </c>
      <c r="M805" t="n">
        <v>0</v>
      </c>
      <c r="N805" t="n">
        <v>0</v>
      </c>
      <c r="O805" t="n">
        <v>0</v>
      </c>
      <c r="P805" t="n">
        <v>0</v>
      </c>
      <c r="Q805" t="n">
        <v>0</v>
      </c>
      <c r="R805" s="2" t="inlineStr"/>
    </row>
    <row r="806" ht="15" customHeight="1">
      <c r="A806" t="inlineStr">
        <is>
          <t>A 16491-2023</t>
        </is>
      </c>
      <c r="B806" s="1" t="n">
        <v>45027</v>
      </c>
      <c r="C806" s="1" t="n">
        <v>45995</v>
      </c>
      <c r="D806" t="inlineStr">
        <is>
          <t>JÄMTLANDS LÄN</t>
        </is>
      </c>
      <c r="E806" t="inlineStr">
        <is>
          <t>BERG</t>
        </is>
      </c>
      <c r="G806" t="n">
        <v>2.5</v>
      </c>
      <c r="H806" t="n">
        <v>0</v>
      </c>
      <c r="I806" t="n">
        <v>0</v>
      </c>
      <c r="J806" t="n">
        <v>0</v>
      </c>
      <c r="K806" t="n">
        <v>0</v>
      </c>
      <c r="L806" t="n">
        <v>0</v>
      </c>
      <c r="M806" t="n">
        <v>0</v>
      </c>
      <c r="N806" t="n">
        <v>0</v>
      </c>
      <c r="O806" t="n">
        <v>0</v>
      </c>
      <c r="P806" t="n">
        <v>0</v>
      </c>
      <c r="Q806" t="n">
        <v>0</v>
      </c>
      <c r="R806" s="2" t="inlineStr"/>
    </row>
    <row r="807" ht="15" customHeight="1">
      <c r="A807" t="inlineStr">
        <is>
          <t>A 8239-2024</t>
        </is>
      </c>
      <c r="B807" s="1" t="n">
        <v>45351</v>
      </c>
      <c r="C807" s="1" t="n">
        <v>45995</v>
      </c>
      <c r="D807" t="inlineStr">
        <is>
          <t>JÄMTLANDS LÄN</t>
        </is>
      </c>
      <c r="E807" t="inlineStr">
        <is>
          <t>BERG</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64247-2023</t>
        </is>
      </c>
      <c r="B808" s="1" t="n">
        <v>45279.92739583334</v>
      </c>
      <c r="C808" s="1" t="n">
        <v>45995</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33962-2024</t>
        </is>
      </c>
      <c r="B809" s="1" t="n">
        <v>45523.48854166667</v>
      </c>
      <c r="C809" s="1" t="n">
        <v>45995</v>
      </c>
      <c r="D809" t="inlineStr">
        <is>
          <t>JÄMTLANDS LÄN</t>
        </is>
      </c>
      <c r="E809" t="inlineStr">
        <is>
          <t>BERG</t>
        </is>
      </c>
      <c r="G809" t="n">
        <v>2.2</v>
      </c>
      <c r="H809" t="n">
        <v>0</v>
      </c>
      <c r="I809" t="n">
        <v>0</v>
      </c>
      <c r="J809" t="n">
        <v>0</v>
      </c>
      <c r="K809" t="n">
        <v>0</v>
      </c>
      <c r="L809" t="n">
        <v>0</v>
      </c>
      <c r="M809" t="n">
        <v>0</v>
      </c>
      <c r="N809" t="n">
        <v>0</v>
      </c>
      <c r="O809" t="n">
        <v>0</v>
      </c>
      <c r="P809" t="n">
        <v>0</v>
      </c>
      <c r="Q809" t="n">
        <v>0</v>
      </c>
      <c r="R809" s="2" t="inlineStr"/>
    </row>
    <row r="810" ht="15" customHeight="1">
      <c r="A810" t="inlineStr">
        <is>
          <t>A 62555-2023</t>
        </is>
      </c>
      <c r="B810" s="1" t="n">
        <v>45268.9262962963</v>
      </c>
      <c r="C810" s="1" t="n">
        <v>45995</v>
      </c>
      <c r="D810" t="inlineStr">
        <is>
          <t>JÄMTLANDS LÄN</t>
        </is>
      </c>
      <c r="E810" t="inlineStr">
        <is>
          <t>BERG</t>
        </is>
      </c>
      <c r="G810" t="n">
        <v>5</v>
      </c>
      <c r="H810" t="n">
        <v>0</v>
      </c>
      <c r="I810" t="n">
        <v>0</v>
      </c>
      <c r="J810" t="n">
        <v>0</v>
      </c>
      <c r="K810" t="n">
        <v>0</v>
      </c>
      <c r="L810" t="n">
        <v>0</v>
      </c>
      <c r="M810" t="n">
        <v>0</v>
      </c>
      <c r="N810" t="n">
        <v>0</v>
      </c>
      <c r="O810" t="n">
        <v>0</v>
      </c>
      <c r="P810" t="n">
        <v>0</v>
      </c>
      <c r="Q810" t="n">
        <v>0</v>
      </c>
      <c r="R810" s="2" t="inlineStr"/>
    </row>
    <row r="811" ht="15" customHeight="1">
      <c r="A811" t="inlineStr">
        <is>
          <t>A 36-2024</t>
        </is>
      </c>
      <c r="B811" s="1" t="n">
        <v>45293</v>
      </c>
      <c r="C811" s="1" t="n">
        <v>45995</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31079-2024</t>
        </is>
      </c>
      <c r="B812" s="1" t="n">
        <v>45502.46423611111</v>
      </c>
      <c r="C812" s="1" t="n">
        <v>45995</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26743-2025</t>
        </is>
      </c>
      <c r="B813" s="1" t="n">
        <v>45810.53163194445</v>
      </c>
      <c r="C813" s="1" t="n">
        <v>45995</v>
      </c>
      <c r="D813" t="inlineStr">
        <is>
          <t>JÄMTLANDS LÄN</t>
        </is>
      </c>
      <c r="E813" t="inlineStr">
        <is>
          <t>BERG</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16002-2025</t>
        </is>
      </c>
      <c r="B814" s="1" t="n">
        <v>45749.59398148148</v>
      </c>
      <c r="C814" s="1" t="n">
        <v>45995</v>
      </c>
      <c r="D814" t="inlineStr">
        <is>
          <t>JÄMTLANDS LÄN</t>
        </is>
      </c>
      <c r="E814" t="inlineStr">
        <is>
          <t>BERG</t>
        </is>
      </c>
      <c r="G814" t="n">
        <v>0.7</v>
      </c>
      <c r="H814" t="n">
        <v>0</v>
      </c>
      <c r="I814" t="n">
        <v>0</v>
      </c>
      <c r="J814" t="n">
        <v>0</v>
      </c>
      <c r="K814" t="n">
        <v>0</v>
      </c>
      <c r="L814" t="n">
        <v>0</v>
      </c>
      <c r="M814" t="n">
        <v>0</v>
      </c>
      <c r="N814" t="n">
        <v>0</v>
      </c>
      <c r="O814" t="n">
        <v>0</v>
      </c>
      <c r="P814" t="n">
        <v>0</v>
      </c>
      <c r="Q814" t="n">
        <v>0</v>
      </c>
      <c r="R814" s="2" t="inlineStr"/>
    </row>
    <row r="815" ht="15" customHeight="1">
      <c r="A815" t="inlineStr">
        <is>
          <t>A 27312-2025</t>
        </is>
      </c>
      <c r="B815" s="1" t="n">
        <v>45812.58002314815</v>
      </c>
      <c r="C815" s="1" t="n">
        <v>45995</v>
      </c>
      <c r="D815" t="inlineStr">
        <is>
          <t>JÄMTLANDS LÄN</t>
        </is>
      </c>
      <c r="E815" t="inlineStr">
        <is>
          <t>BERG</t>
        </is>
      </c>
      <c r="G815" t="n">
        <v>6</v>
      </c>
      <c r="H815" t="n">
        <v>0</v>
      </c>
      <c r="I815" t="n">
        <v>0</v>
      </c>
      <c r="J815" t="n">
        <v>0</v>
      </c>
      <c r="K815" t="n">
        <v>0</v>
      </c>
      <c r="L815" t="n">
        <v>0</v>
      </c>
      <c r="M815" t="n">
        <v>0</v>
      </c>
      <c r="N815" t="n">
        <v>0</v>
      </c>
      <c r="O815" t="n">
        <v>0</v>
      </c>
      <c r="P815" t="n">
        <v>0</v>
      </c>
      <c r="Q815" t="n">
        <v>0</v>
      </c>
      <c r="R815" s="2" t="inlineStr"/>
    </row>
    <row r="816" ht="15" customHeight="1">
      <c r="A816" t="inlineStr">
        <is>
          <t>A 27317-2025</t>
        </is>
      </c>
      <c r="B816" s="1" t="n">
        <v>45812.59011574074</v>
      </c>
      <c r="C816" s="1" t="n">
        <v>45995</v>
      </c>
      <c r="D816" t="inlineStr">
        <is>
          <t>JÄMTLANDS LÄN</t>
        </is>
      </c>
      <c r="E816" t="inlineStr">
        <is>
          <t>BERG</t>
        </is>
      </c>
      <c r="G816" t="n">
        <v>6.2</v>
      </c>
      <c r="H816" t="n">
        <v>0</v>
      </c>
      <c r="I816" t="n">
        <v>0</v>
      </c>
      <c r="J816" t="n">
        <v>0</v>
      </c>
      <c r="K816" t="n">
        <v>0</v>
      </c>
      <c r="L816" t="n">
        <v>0</v>
      </c>
      <c r="M816" t="n">
        <v>0</v>
      </c>
      <c r="N816" t="n">
        <v>0</v>
      </c>
      <c r="O816" t="n">
        <v>0</v>
      </c>
      <c r="P816" t="n">
        <v>0</v>
      </c>
      <c r="Q816" t="n">
        <v>0</v>
      </c>
      <c r="R816" s="2" t="inlineStr"/>
    </row>
    <row r="817" ht="15" customHeight="1">
      <c r="A817" t="inlineStr">
        <is>
          <t>A 14226-2021</t>
        </is>
      </c>
      <c r="B817" s="1" t="n">
        <v>44277</v>
      </c>
      <c r="C817" s="1" t="n">
        <v>45995</v>
      </c>
      <c r="D817" t="inlineStr">
        <is>
          <t>JÄMTLANDS LÄN</t>
        </is>
      </c>
      <c r="E817" t="inlineStr">
        <is>
          <t>BERG</t>
        </is>
      </c>
      <c r="G817" t="n">
        <v>23.7</v>
      </c>
      <c r="H817" t="n">
        <v>0</v>
      </c>
      <c r="I817" t="n">
        <v>0</v>
      </c>
      <c r="J817" t="n">
        <v>0</v>
      </c>
      <c r="K817" t="n">
        <v>0</v>
      </c>
      <c r="L817" t="n">
        <v>0</v>
      </c>
      <c r="M817" t="n">
        <v>0</v>
      </c>
      <c r="N817" t="n">
        <v>0</v>
      </c>
      <c r="O817" t="n">
        <v>0</v>
      </c>
      <c r="P817" t="n">
        <v>0</v>
      </c>
      <c r="Q817" t="n">
        <v>0</v>
      </c>
      <c r="R817" s="2" t="inlineStr"/>
    </row>
    <row r="818" ht="15" customHeight="1">
      <c r="A818" t="inlineStr">
        <is>
          <t>A 27063-2025</t>
        </is>
      </c>
      <c r="B818" s="1" t="n">
        <v>45811.63626157407</v>
      </c>
      <c r="C818" s="1" t="n">
        <v>45995</v>
      </c>
      <c r="D818" t="inlineStr">
        <is>
          <t>JÄMTLANDS LÄN</t>
        </is>
      </c>
      <c r="E818" t="inlineStr">
        <is>
          <t>BERG</t>
        </is>
      </c>
      <c r="F818" t="inlineStr">
        <is>
          <t>SCA</t>
        </is>
      </c>
      <c r="G818" t="n">
        <v>18.9</v>
      </c>
      <c r="H818" t="n">
        <v>0</v>
      </c>
      <c r="I818" t="n">
        <v>0</v>
      </c>
      <c r="J818" t="n">
        <v>0</v>
      </c>
      <c r="K818" t="n">
        <v>0</v>
      </c>
      <c r="L818" t="n">
        <v>0</v>
      </c>
      <c r="M818" t="n">
        <v>0</v>
      </c>
      <c r="N818" t="n">
        <v>0</v>
      </c>
      <c r="O818" t="n">
        <v>0</v>
      </c>
      <c r="P818" t="n">
        <v>0</v>
      </c>
      <c r="Q818" t="n">
        <v>0</v>
      </c>
      <c r="R818" s="2" t="inlineStr"/>
    </row>
    <row r="819" ht="15" customHeight="1">
      <c r="A819" t="inlineStr">
        <is>
          <t>A 27044-2025</t>
        </is>
      </c>
      <c r="B819" s="1" t="n">
        <v>45811.61496527777</v>
      </c>
      <c r="C819" s="1" t="n">
        <v>45995</v>
      </c>
      <c r="D819" t="inlineStr">
        <is>
          <t>JÄMTLANDS LÄN</t>
        </is>
      </c>
      <c r="E819" t="inlineStr">
        <is>
          <t>BERG</t>
        </is>
      </c>
      <c r="F819" t="inlineStr">
        <is>
          <t>SCA</t>
        </is>
      </c>
      <c r="G819" t="n">
        <v>26.1</v>
      </c>
      <c r="H819" t="n">
        <v>0</v>
      </c>
      <c r="I819" t="n">
        <v>0</v>
      </c>
      <c r="J819" t="n">
        <v>0</v>
      </c>
      <c r="K819" t="n">
        <v>0</v>
      </c>
      <c r="L819" t="n">
        <v>0</v>
      </c>
      <c r="M819" t="n">
        <v>0</v>
      </c>
      <c r="N819" t="n">
        <v>0</v>
      </c>
      <c r="O819" t="n">
        <v>0</v>
      </c>
      <c r="P819" t="n">
        <v>0</v>
      </c>
      <c r="Q819" t="n">
        <v>0</v>
      </c>
      <c r="R819" s="2" t="inlineStr"/>
    </row>
    <row r="820" ht="15" customHeight="1">
      <c r="A820" t="inlineStr">
        <is>
          <t>A 27575-2025</t>
        </is>
      </c>
      <c r="B820" s="1" t="n">
        <v>45813.49083333334</v>
      </c>
      <c r="C820" s="1" t="n">
        <v>45995</v>
      </c>
      <c r="D820" t="inlineStr">
        <is>
          <t>JÄMTLANDS LÄN</t>
        </is>
      </c>
      <c r="E820" t="inlineStr">
        <is>
          <t>BERG</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27603-2025</t>
        </is>
      </c>
      <c r="B821" s="1" t="n">
        <v>45813.53174768519</v>
      </c>
      <c r="C821" s="1" t="n">
        <v>45995</v>
      </c>
      <c r="D821" t="inlineStr">
        <is>
          <t>JÄMTLANDS LÄN</t>
        </is>
      </c>
      <c r="E821" t="inlineStr">
        <is>
          <t>BERG</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27569-2025</t>
        </is>
      </c>
      <c r="B822" s="1" t="n">
        <v>45813.49018518518</v>
      </c>
      <c r="C822" s="1" t="n">
        <v>45995</v>
      </c>
      <c r="D822" t="inlineStr">
        <is>
          <t>JÄMTLANDS LÄN</t>
        </is>
      </c>
      <c r="E822" t="inlineStr">
        <is>
          <t>BERG</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27459-2025</t>
        </is>
      </c>
      <c r="B823" s="1" t="n">
        <v>45813.34561342592</v>
      </c>
      <c r="C823" s="1" t="n">
        <v>45995</v>
      </c>
      <c r="D823" t="inlineStr">
        <is>
          <t>JÄMTLANDS LÄN</t>
        </is>
      </c>
      <c r="E823" t="inlineStr">
        <is>
          <t>BERG</t>
        </is>
      </c>
      <c r="F823" t="inlineStr">
        <is>
          <t>SCA</t>
        </is>
      </c>
      <c r="G823" t="n">
        <v>19.2</v>
      </c>
      <c r="H823" t="n">
        <v>0</v>
      </c>
      <c r="I823" t="n">
        <v>0</v>
      </c>
      <c r="J823" t="n">
        <v>0</v>
      </c>
      <c r="K823" t="n">
        <v>0</v>
      </c>
      <c r="L823" t="n">
        <v>0</v>
      </c>
      <c r="M823" t="n">
        <v>0</v>
      </c>
      <c r="N823" t="n">
        <v>0</v>
      </c>
      <c r="O823" t="n">
        <v>0</v>
      </c>
      <c r="P823" t="n">
        <v>0</v>
      </c>
      <c r="Q823" t="n">
        <v>0</v>
      </c>
      <c r="R823" s="2" t="inlineStr"/>
    </row>
    <row r="824" ht="15" customHeight="1">
      <c r="A824" t="inlineStr">
        <is>
          <t>A 27716-2025</t>
        </is>
      </c>
      <c r="B824" s="1" t="n">
        <v>45813.961875</v>
      </c>
      <c r="C824" s="1" t="n">
        <v>45995</v>
      </c>
      <c r="D824" t="inlineStr">
        <is>
          <t>JÄMTLANDS LÄN</t>
        </is>
      </c>
      <c r="E824" t="inlineStr">
        <is>
          <t>BERG</t>
        </is>
      </c>
      <c r="G824" t="n">
        <v>6.7</v>
      </c>
      <c r="H824" t="n">
        <v>0</v>
      </c>
      <c r="I824" t="n">
        <v>0</v>
      </c>
      <c r="J824" t="n">
        <v>0</v>
      </c>
      <c r="K824" t="n">
        <v>0</v>
      </c>
      <c r="L824" t="n">
        <v>0</v>
      </c>
      <c r="M824" t="n">
        <v>0</v>
      </c>
      <c r="N824" t="n">
        <v>0</v>
      </c>
      <c r="O824" t="n">
        <v>0</v>
      </c>
      <c r="P824" t="n">
        <v>0</v>
      </c>
      <c r="Q824" t="n">
        <v>0</v>
      </c>
      <c r="R824" s="2" t="inlineStr"/>
    </row>
    <row r="825" ht="15" customHeight="1">
      <c r="A825" t="inlineStr">
        <is>
          <t>A 28232-2025</t>
        </is>
      </c>
      <c r="B825" s="1" t="n">
        <v>45818.48989583334</v>
      </c>
      <c r="C825" s="1" t="n">
        <v>45995</v>
      </c>
      <c r="D825" t="inlineStr">
        <is>
          <t>JÄMTLANDS LÄN</t>
        </is>
      </c>
      <c r="E825" t="inlineStr">
        <is>
          <t>BERG</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28157-2025</t>
        </is>
      </c>
      <c r="B826" s="1" t="n">
        <v>45818.36512731481</v>
      </c>
      <c r="C826" s="1" t="n">
        <v>45995</v>
      </c>
      <c r="D826" t="inlineStr">
        <is>
          <t>JÄMTLANDS LÄN</t>
        </is>
      </c>
      <c r="E826" t="inlineStr">
        <is>
          <t>BERG</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28196-2025</t>
        </is>
      </c>
      <c r="B827" s="1" t="n">
        <v>45818.42753472222</v>
      </c>
      <c r="C827" s="1" t="n">
        <v>45995</v>
      </c>
      <c r="D827" t="inlineStr">
        <is>
          <t>JÄMTLANDS LÄN</t>
        </is>
      </c>
      <c r="E827" t="inlineStr">
        <is>
          <t>BERG</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8251-2023</t>
        </is>
      </c>
      <c r="B828" s="1" t="n">
        <v>44974</v>
      </c>
      <c r="C828" s="1" t="n">
        <v>45995</v>
      </c>
      <c r="D828" t="inlineStr">
        <is>
          <t>JÄMTLANDS LÄN</t>
        </is>
      </c>
      <c r="E828" t="inlineStr">
        <is>
          <t>BERG</t>
        </is>
      </c>
      <c r="G828" t="n">
        <v>1.7</v>
      </c>
      <c r="H828" t="n">
        <v>0</v>
      </c>
      <c r="I828" t="n">
        <v>0</v>
      </c>
      <c r="J828" t="n">
        <v>0</v>
      </c>
      <c r="K828" t="n">
        <v>0</v>
      </c>
      <c r="L828" t="n">
        <v>0</v>
      </c>
      <c r="M828" t="n">
        <v>0</v>
      </c>
      <c r="N828" t="n">
        <v>0</v>
      </c>
      <c r="O828" t="n">
        <v>0</v>
      </c>
      <c r="P828" t="n">
        <v>0</v>
      </c>
      <c r="Q828" t="n">
        <v>0</v>
      </c>
      <c r="R828" s="2" t="inlineStr"/>
    </row>
    <row r="829" ht="15" customHeight="1">
      <c r="A829" t="inlineStr">
        <is>
          <t>A 57905-2024</t>
        </is>
      </c>
      <c r="B829" s="1" t="n">
        <v>45631.48989583334</v>
      </c>
      <c r="C829" s="1" t="n">
        <v>45995</v>
      </c>
      <c r="D829" t="inlineStr">
        <is>
          <t>JÄMTLANDS LÄN</t>
        </is>
      </c>
      <c r="E829" t="inlineStr">
        <is>
          <t>BERG</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28079-2025</t>
        </is>
      </c>
      <c r="B830" s="1" t="n">
        <v>45817.69681712963</v>
      </c>
      <c r="C830" s="1" t="n">
        <v>45995</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27750-2025</t>
        </is>
      </c>
      <c r="B831" s="1" t="n">
        <v>45815.68543981481</v>
      </c>
      <c r="C831" s="1" t="n">
        <v>45995</v>
      </c>
      <c r="D831" t="inlineStr">
        <is>
          <t>JÄMTLANDS LÄN</t>
        </is>
      </c>
      <c r="E831" t="inlineStr">
        <is>
          <t>BERG</t>
        </is>
      </c>
      <c r="G831" t="n">
        <v>2.4</v>
      </c>
      <c r="H831" t="n">
        <v>0</v>
      </c>
      <c r="I831" t="n">
        <v>0</v>
      </c>
      <c r="J831" t="n">
        <v>0</v>
      </c>
      <c r="K831" t="n">
        <v>0</v>
      </c>
      <c r="L831" t="n">
        <v>0</v>
      </c>
      <c r="M831" t="n">
        <v>0</v>
      </c>
      <c r="N831" t="n">
        <v>0</v>
      </c>
      <c r="O831" t="n">
        <v>0</v>
      </c>
      <c r="P831" t="n">
        <v>0</v>
      </c>
      <c r="Q831" t="n">
        <v>0</v>
      </c>
      <c r="R831" s="2" t="inlineStr"/>
    </row>
    <row r="832" ht="15" customHeight="1">
      <c r="A832" t="inlineStr">
        <is>
          <t>A 28257-2025</t>
        </is>
      </c>
      <c r="B832" s="1" t="n">
        <v>45818.55263888889</v>
      </c>
      <c r="C832" s="1" t="n">
        <v>45995</v>
      </c>
      <c r="D832" t="inlineStr">
        <is>
          <t>JÄMTLANDS LÄN</t>
        </is>
      </c>
      <c r="E832" t="inlineStr">
        <is>
          <t>BERG</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27737-2025</t>
        </is>
      </c>
      <c r="B833" s="1" t="n">
        <v>45815.34414351852</v>
      </c>
      <c r="C833" s="1" t="n">
        <v>45995</v>
      </c>
      <c r="D833" t="inlineStr">
        <is>
          <t>JÄMTLANDS LÄN</t>
        </is>
      </c>
      <c r="E833" t="inlineStr">
        <is>
          <t>BERG</t>
        </is>
      </c>
      <c r="F833" t="inlineStr">
        <is>
          <t>SCA</t>
        </is>
      </c>
      <c r="G833" t="n">
        <v>10.9</v>
      </c>
      <c r="H833" t="n">
        <v>0</v>
      </c>
      <c r="I833" t="n">
        <v>0</v>
      </c>
      <c r="J833" t="n">
        <v>0</v>
      </c>
      <c r="K833" t="n">
        <v>0</v>
      </c>
      <c r="L833" t="n">
        <v>0</v>
      </c>
      <c r="M833" t="n">
        <v>0</v>
      </c>
      <c r="N833" t="n">
        <v>0</v>
      </c>
      <c r="O833" t="n">
        <v>0</v>
      </c>
      <c r="P833" t="n">
        <v>0</v>
      </c>
      <c r="Q833" t="n">
        <v>0</v>
      </c>
      <c r="R833" s="2" t="inlineStr"/>
    </row>
    <row r="834" ht="15" customHeight="1">
      <c r="A834" t="inlineStr">
        <is>
          <t>A 39785-2024</t>
        </is>
      </c>
      <c r="B834" s="1" t="n">
        <v>45553.29927083333</v>
      </c>
      <c r="C834" s="1" t="n">
        <v>45995</v>
      </c>
      <c r="D834" t="inlineStr">
        <is>
          <t>JÄMTLANDS LÄN</t>
        </is>
      </c>
      <c r="E834" t="inlineStr">
        <is>
          <t>BERG</t>
        </is>
      </c>
      <c r="G834" t="n">
        <v>16.1</v>
      </c>
      <c r="H834" t="n">
        <v>0</v>
      </c>
      <c r="I834" t="n">
        <v>0</v>
      </c>
      <c r="J834" t="n">
        <v>0</v>
      </c>
      <c r="K834" t="n">
        <v>0</v>
      </c>
      <c r="L834" t="n">
        <v>0</v>
      </c>
      <c r="M834" t="n">
        <v>0</v>
      </c>
      <c r="N834" t="n">
        <v>0</v>
      </c>
      <c r="O834" t="n">
        <v>0</v>
      </c>
      <c r="P834" t="n">
        <v>0</v>
      </c>
      <c r="Q834" t="n">
        <v>0</v>
      </c>
      <c r="R834" s="2" t="inlineStr"/>
    </row>
    <row r="835" ht="15" customHeight="1">
      <c r="A835" t="inlineStr">
        <is>
          <t>A 26918-2024</t>
        </is>
      </c>
      <c r="B835" s="1" t="n">
        <v>45470</v>
      </c>
      <c r="C835" s="1" t="n">
        <v>45995</v>
      </c>
      <c r="D835" t="inlineStr">
        <is>
          <t>JÄMTLANDS LÄN</t>
        </is>
      </c>
      <c r="E835" t="inlineStr">
        <is>
          <t>BERG</t>
        </is>
      </c>
      <c r="G835" t="n">
        <v>0.4</v>
      </c>
      <c r="H835" t="n">
        <v>0</v>
      </c>
      <c r="I835" t="n">
        <v>0</v>
      </c>
      <c r="J835" t="n">
        <v>0</v>
      </c>
      <c r="K835" t="n">
        <v>0</v>
      </c>
      <c r="L835" t="n">
        <v>0</v>
      </c>
      <c r="M835" t="n">
        <v>0</v>
      </c>
      <c r="N835" t="n">
        <v>0</v>
      </c>
      <c r="O835" t="n">
        <v>0</v>
      </c>
      <c r="P835" t="n">
        <v>0</v>
      </c>
      <c r="Q835" t="n">
        <v>0</v>
      </c>
      <c r="R835" s="2" t="inlineStr"/>
    </row>
    <row r="836" ht="15" customHeight="1">
      <c r="A836" t="inlineStr">
        <is>
          <t>A 28077-2025</t>
        </is>
      </c>
      <c r="B836" s="1" t="n">
        <v>45817.68596064814</v>
      </c>
      <c r="C836" s="1" t="n">
        <v>45995</v>
      </c>
      <c r="D836" t="inlineStr">
        <is>
          <t>JÄMTLANDS LÄN</t>
        </is>
      </c>
      <c r="E836" t="inlineStr">
        <is>
          <t>BERG</t>
        </is>
      </c>
      <c r="G836" t="n">
        <v>6</v>
      </c>
      <c r="H836" t="n">
        <v>0</v>
      </c>
      <c r="I836" t="n">
        <v>0</v>
      </c>
      <c r="J836" t="n">
        <v>0</v>
      </c>
      <c r="K836" t="n">
        <v>0</v>
      </c>
      <c r="L836" t="n">
        <v>0</v>
      </c>
      <c r="M836" t="n">
        <v>0</v>
      </c>
      <c r="N836" t="n">
        <v>0</v>
      </c>
      <c r="O836" t="n">
        <v>0</v>
      </c>
      <c r="P836" t="n">
        <v>0</v>
      </c>
      <c r="Q836" t="n">
        <v>0</v>
      </c>
      <c r="R836" s="2" t="inlineStr"/>
    </row>
    <row r="837" ht="15" customHeight="1">
      <c r="A837" t="inlineStr">
        <is>
          <t>A 62153-2022</t>
        </is>
      </c>
      <c r="B837" s="1" t="n">
        <v>44914</v>
      </c>
      <c r="C837" s="1" t="n">
        <v>45995</v>
      </c>
      <c r="D837" t="inlineStr">
        <is>
          <t>JÄMTLANDS LÄN</t>
        </is>
      </c>
      <c r="E837" t="inlineStr">
        <is>
          <t>BERG</t>
        </is>
      </c>
      <c r="G837" t="n">
        <v>1</v>
      </c>
      <c r="H837" t="n">
        <v>0</v>
      </c>
      <c r="I837" t="n">
        <v>0</v>
      </c>
      <c r="J837" t="n">
        <v>0</v>
      </c>
      <c r="K837" t="n">
        <v>0</v>
      </c>
      <c r="L837" t="n">
        <v>0</v>
      </c>
      <c r="M837" t="n">
        <v>0</v>
      </c>
      <c r="N837" t="n">
        <v>0</v>
      </c>
      <c r="O837" t="n">
        <v>0</v>
      </c>
      <c r="P837" t="n">
        <v>0</v>
      </c>
      <c r="Q837" t="n">
        <v>0</v>
      </c>
      <c r="R837" s="2" t="inlineStr"/>
    </row>
    <row r="838" ht="15" customHeight="1">
      <c r="A838" t="inlineStr">
        <is>
          <t>A 13805-2024</t>
        </is>
      </c>
      <c r="B838" s="1" t="n">
        <v>45390</v>
      </c>
      <c r="C838" s="1" t="n">
        <v>45995</v>
      </c>
      <c r="D838" t="inlineStr">
        <is>
          <t>JÄMTLANDS LÄN</t>
        </is>
      </c>
      <c r="E838" t="inlineStr">
        <is>
          <t>BERG</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62104-2023</t>
        </is>
      </c>
      <c r="B839" s="1" t="n">
        <v>45266.95052083334</v>
      </c>
      <c r="C839" s="1" t="n">
        <v>45995</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62105-2023</t>
        </is>
      </c>
      <c r="B840" s="1" t="n">
        <v>45266.95074074074</v>
      </c>
      <c r="C840" s="1" t="n">
        <v>45995</v>
      </c>
      <c r="D840" t="inlineStr">
        <is>
          <t>JÄMTLANDS LÄN</t>
        </is>
      </c>
      <c r="E840" t="inlineStr">
        <is>
          <t>BERG</t>
        </is>
      </c>
      <c r="F840" t="inlineStr">
        <is>
          <t>SCA</t>
        </is>
      </c>
      <c r="G840" t="n">
        <v>13.1</v>
      </c>
      <c r="H840" t="n">
        <v>0</v>
      </c>
      <c r="I840" t="n">
        <v>0</v>
      </c>
      <c r="J840" t="n">
        <v>0</v>
      </c>
      <c r="K840" t="n">
        <v>0</v>
      </c>
      <c r="L840" t="n">
        <v>0</v>
      </c>
      <c r="M840" t="n">
        <v>0</v>
      </c>
      <c r="N840" t="n">
        <v>0</v>
      </c>
      <c r="O840" t="n">
        <v>0</v>
      </c>
      <c r="P840" t="n">
        <v>0</v>
      </c>
      <c r="Q840" t="n">
        <v>0</v>
      </c>
      <c r="R840" s="2" t="inlineStr"/>
    </row>
    <row r="841" ht="15" customHeight="1">
      <c r="A841" t="inlineStr">
        <is>
          <t>A 1657-2021</t>
        </is>
      </c>
      <c r="B841" s="1" t="n">
        <v>44209</v>
      </c>
      <c r="C841" s="1" t="n">
        <v>45995</v>
      </c>
      <c r="D841" t="inlineStr">
        <is>
          <t>JÄMTLANDS LÄN</t>
        </is>
      </c>
      <c r="E841" t="inlineStr">
        <is>
          <t>BERG</t>
        </is>
      </c>
      <c r="G841" t="n">
        <v>0.1</v>
      </c>
      <c r="H841" t="n">
        <v>0</v>
      </c>
      <c r="I841" t="n">
        <v>0</v>
      </c>
      <c r="J841" t="n">
        <v>0</v>
      </c>
      <c r="K841" t="n">
        <v>0</v>
      </c>
      <c r="L841" t="n">
        <v>0</v>
      </c>
      <c r="M841" t="n">
        <v>0</v>
      </c>
      <c r="N841" t="n">
        <v>0</v>
      </c>
      <c r="O841" t="n">
        <v>0</v>
      </c>
      <c r="P841" t="n">
        <v>0</v>
      </c>
      <c r="Q841" t="n">
        <v>0</v>
      </c>
      <c r="R841" s="2" t="inlineStr"/>
    </row>
    <row r="842" ht="15" customHeight="1">
      <c r="A842" t="inlineStr">
        <is>
          <t>A 28454-2025</t>
        </is>
      </c>
      <c r="B842" s="1" t="n">
        <v>45819.40679398148</v>
      </c>
      <c r="C842" s="1" t="n">
        <v>45995</v>
      </c>
      <c r="D842" t="inlineStr">
        <is>
          <t>JÄMTLANDS LÄN</t>
        </is>
      </c>
      <c r="E842" t="inlineStr">
        <is>
          <t>BERG</t>
        </is>
      </c>
      <c r="G842" t="n">
        <v>3.8</v>
      </c>
      <c r="H842" t="n">
        <v>0</v>
      </c>
      <c r="I842" t="n">
        <v>0</v>
      </c>
      <c r="J842" t="n">
        <v>0</v>
      </c>
      <c r="K842" t="n">
        <v>0</v>
      </c>
      <c r="L842" t="n">
        <v>0</v>
      </c>
      <c r="M842" t="n">
        <v>0</v>
      </c>
      <c r="N842" t="n">
        <v>0</v>
      </c>
      <c r="O842" t="n">
        <v>0</v>
      </c>
      <c r="P842" t="n">
        <v>0</v>
      </c>
      <c r="Q842" t="n">
        <v>0</v>
      </c>
      <c r="R842" s="2" t="inlineStr"/>
    </row>
    <row r="843" ht="15" customHeight="1">
      <c r="A843" t="inlineStr">
        <is>
          <t>A 28401-2025</t>
        </is>
      </c>
      <c r="B843" s="1" t="n">
        <v>45819.34469907408</v>
      </c>
      <c r="C843" s="1" t="n">
        <v>45995</v>
      </c>
      <c r="D843" t="inlineStr">
        <is>
          <t>JÄMTLANDS LÄN</t>
        </is>
      </c>
      <c r="E843" t="inlineStr">
        <is>
          <t>BERG</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28453-2025</t>
        </is>
      </c>
      <c r="B844" s="1" t="n">
        <v>45819.40668981482</v>
      </c>
      <c r="C844" s="1" t="n">
        <v>45995</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32147-2024</t>
        </is>
      </c>
      <c r="B845" s="1" t="n">
        <v>45511.55600694445</v>
      </c>
      <c r="C845" s="1" t="n">
        <v>45995</v>
      </c>
      <c r="D845" t="inlineStr">
        <is>
          <t>JÄMTLANDS LÄN</t>
        </is>
      </c>
      <c r="E845" t="inlineStr">
        <is>
          <t>BERG</t>
        </is>
      </c>
      <c r="G845" t="n">
        <v>2.3</v>
      </c>
      <c r="H845" t="n">
        <v>0</v>
      </c>
      <c r="I845" t="n">
        <v>0</v>
      </c>
      <c r="J845" t="n">
        <v>0</v>
      </c>
      <c r="K845" t="n">
        <v>0</v>
      </c>
      <c r="L845" t="n">
        <v>0</v>
      </c>
      <c r="M845" t="n">
        <v>0</v>
      </c>
      <c r="N845" t="n">
        <v>0</v>
      </c>
      <c r="O845" t="n">
        <v>0</v>
      </c>
      <c r="P845" t="n">
        <v>0</v>
      </c>
      <c r="Q845" t="n">
        <v>0</v>
      </c>
      <c r="R845" s="2" t="inlineStr"/>
    </row>
    <row r="846" ht="15" customHeight="1">
      <c r="A846" t="inlineStr">
        <is>
          <t>A 32156-2024</t>
        </is>
      </c>
      <c r="B846" s="1" t="n">
        <v>45511</v>
      </c>
      <c r="C846" s="1" t="n">
        <v>45995</v>
      </c>
      <c r="D846" t="inlineStr">
        <is>
          <t>JÄMTLANDS LÄN</t>
        </is>
      </c>
      <c r="E846" t="inlineStr">
        <is>
          <t>BERG</t>
        </is>
      </c>
      <c r="G846" t="n">
        <v>3.4</v>
      </c>
      <c r="H846" t="n">
        <v>0</v>
      </c>
      <c r="I846" t="n">
        <v>0</v>
      </c>
      <c r="J846" t="n">
        <v>0</v>
      </c>
      <c r="K846" t="n">
        <v>0</v>
      </c>
      <c r="L846" t="n">
        <v>0</v>
      </c>
      <c r="M846" t="n">
        <v>0</v>
      </c>
      <c r="N846" t="n">
        <v>0</v>
      </c>
      <c r="O846" t="n">
        <v>0</v>
      </c>
      <c r="P846" t="n">
        <v>0</v>
      </c>
      <c r="Q846" t="n">
        <v>0</v>
      </c>
      <c r="R846" s="2" t="inlineStr"/>
    </row>
    <row r="847" ht="15" customHeight="1">
      <c r="A847" t="inlineStr">
        <is>
          <t>A 28657-2025</t>
        </is>
      </c>
      <c r="B847" s="1" t="n">
        <v>45819.65709490741</v>
      </c>
      <c r="C847" s="1" t="n">
        <v>45995</v>
      </c>
      <c r="D847" t="inlineStr">
        <is>
          <t>JÄMTLANDS LÄN</t>
        </is>
      </c>
      <c r="E847" t="inlineStr">
        <is>
          <t>BERG</t>
        </is>
      </c>
      <c r="G847" t="n">
        <v>2.4</v>
      </c>
      <c r="H847" t="n">
        <v>0</v>
      </c>
      <c r="I847" t="n">
        <v>0</v>
      </c>
      <c r="J847" t="n">
        <v>0</v>
      </c>
      <c r="K847" t="n">
        <v>0</v>
      </c>
      <c r="L847" t="n">
        <v>0</v>
      </c>
      <c r="M847" t="n">
        <v>0</v>
      </c>
      <c r="N847" t="n">
        <v>0</v>
      </c>
      <c r="O847" t="n">
        <v>0</v>
      </c>
      <c r="P847" t="n">
        <v>0</v>
      </c>
      <c r="Q847" t="n">
        <v>0</v>
      </c>
      <c r="R847" s="2" t="inlineStr"/>
    </row>
    <row r="848" ht="15" customHeight="1">
      <c r="A848" t="inlineStr">
        <is>
          <t>A 29197-2025</t>
        </is>
      </c>
      <c r="B848" s="1" t="n">
        <v>45823.34438657408</v>
      </c>
      <c r="C848" s="1" t="n">
        <v>45995</v>
      </c>
      <c r="D848" t="inlineStr">
        <is>
          <t>JÄMTLANDS LÄN</t>
        </is>
      </c>
      <c r="E848" t="inlineStr">
        <is>
          <t>BERG</t>
        </is>
      </c>
      <c r="F848" t="inlineStr">
        <is>
          <t>SCA</t>
        </is>
      </c>
      <c r="G848" t="n">
        <v>10</v>
      </c>
      <c r="H848" t="n">
        <v>0</v>
      </c>
      <c r="I848" t="n">
        <v>0</v>
      </c>
      <c r="J848" t="n">
        <v>0</v>
      </c>
      <c r="K848" t="n">
        <v>0</v>
      </c>
      <c r="L848" t="n">
        <v>0</v>
      </c>
      <c r="M848" t="n">
        <v>0</v>
      </c>
      <c r="N848" t="n">
        <v>0</v>
      </c>
      <c r="O848" t="n">
        <v>0</v>
      </c>
      <c r="P848" t="n">
        <v>0</v>
      </c>
      <c r="Q848" t="n">
        <v>0</v>
      </c>
      <c r="R848" s="2" t="inlineStr"/>
    </row>
    <row r="849" ht="15" customHeight="1">
      <c r="A849" t="inlineStr">
        <is>
          <t>A 29279-2025</t>
        </is>
      </c>
      <c r="B849" s="1" t="n">
        <v>45824.42381944445</v>
      </c>
      <c r="C849" s="1" t="n">
        <v>45995</v>
      </c>
      <c r="D849" t="inlineStr">
        <is>
          <t>JÄMTLANDS LÄN</t>
        </is>
      </c>
      <c r="E849" t="inlineStr">
        <is>
          <t>BERG</t>
        </is>
      </c>
      <c r="G849" t="n">
        <v>3.6</v>
      </c>
      <c r="H849" t="n">
        <v>0</v>
      </c>
      <c r="I849" t="n">
        <v>0</v>
      </c>
      <c r="J849" t="n">
        <v>0</v>
      </c>
      <c r="K849" t="n">
        <v>0</v>
      </c>
      <c r="L849" t="n">
        <v>0</v>
      </c>
      <c r="M849" t="n">
        <v>0</v>
      </c>
      <c r="N849" t="n">
        <v>0</v>
      </c>
      <c r="O849" t="n">
        <v>0</v>
      </c>
      <c r="P849" t="n">
        <v>0</v>
      </c>
      <c r="Q849" t="n">
        <v>0</v>
      </c>
      <c r="R849" s="2" t="inlineStr"/>
    </row>
    <row r="850" ht="15" customHeight="1">
      <c r="A850" t="inlineStr">
        <is>
          <t>A 39103-2024</t>
        </is>
      </c>
      <c r="B850" s="1" t="n">
        <v>45548.57025462963</v>
      </c>
      <c r="C850" s="1" t="n">
        <v>45995</v>
      </c>
      <c r="D850" t="inlineStr">
        <is>
          <t>JÄMTLANDS LÄN</t>
        </is>
      </c>
      <c r="E850" t="inlineStr">
        <is>
          <t>BERG</t>
        </is>
      </c>
      <c r="G850" t="n">
        <v>38.4</v>
      </c>
      <c r="H850" t="n">
        <v>0</v>
      </c>
      <c r="I850" t="n">
        <v>0</v>
      </c>
      <c r="J850" t="n">
        <v>0</v>
      </c>
      <c r="K850" t="n">
        <v>0</v>
      </c>
      <c r="L850" t="n">
        <v>0</v>
      </c>
      <c r="M850" t="n">
        <v>0</v>
      </c>
      <c r="N850" t="n">
        <v>0</v>
      </c>
      <c r="O850" t="n">
        <v>0</v>
      </c>
      <c r="P850" t="n">
        <v>0</v>
      </c>
      <c r="Q850" t="n">
        <v>0</v>
      </c>
      <c r="R850" s="2" t="inlineStr"/>
    </row>
    <row r="851" ht="15" customHeight="1">
      <c r="A851" t="inlineStr">
        <is>
          <t>A 41782-2024</t>
        </is>
      </c>
      <c r="B851" s="1" t="n">
        <v>45561</v>
      </c>
      <c r="C851" s="1" t="n">
        <v>45995</v>
      </c>
      <c r="D851" t="inlineStr">
        <is>
          <t>JÄMTLANDS LÄN</t>
        </is>
      </c>
      <c r="E851" t="inlineStr">
        <is>
          <t>BERG</t>
        </is>
      </c>
      <c r="F851" t="inlineStr">
        <is>
          <t>SCA</t>
        </is>
      </c>
      <c r="G851" t="n">
        <v>0.1</v>
      </c>
      <c r="H851" t="n">
        <v>0</v>
      </c>
      <c r="I851" t="n">
        <v>0</v>
      </c>
      <c r="J851" t="n">
        <v>0</v>
      </c>
      <c r="K851" t="n">
        <v>0</v>
      </c>
      <c r="L851" t="n">
        <v>0</v>
      </c>
      <c r="M851" t="n">
        <v>0</v>
      </c>
      <c r="N851" t="n">
        <v>0</v>
      </c>
      <c r="O851" t="n">
        <v>0</v>
      </c>
      <c r="P851" t="n">
        <v>0</v>
      </c>
      <c r="Q851" t="n">
        <v>0</v>
      </c>
      <c r="R851" s="2" t="inlineStr"/>
    </row>
    <row r="852" ht="15" customHeight="1">
      <c r="A852" t="inlineStr">
        <is>
          <t>A 29310-2025</t>
        </is>
      </c>
      <c r="B852" s="1" t="n">
        <v>45824.46353009259</v>
      </c>
      <c r="C852" s="1" t="n">
        <v>45995</v>
      </c>
      <c r="D852" t="inlineStr">
        <is>
          <t>JÄMTLANDS LÄN</t>
        </is>
      </c>
      <c r="E852" t="inlineStr">
        <is>
          <t>BERG</t>
        </is>
      </c>
      <c r="G852" t="n">
        <v>5.6</v>
      </c>
      <c r="H852" t="n">
        <v>0</v>
      </c>
      <c r="I852" t="n">
        <v>0</v>
      </c>
      <c r="J852" t="n">
        <v>0</v>
      </c>
      <c r="K852" t="n">
        <v>0</v>
      </c>
      <c r="L852" t="n">
        <v>0</v>
      </c>
      <c r="M852" t="n">
        <v>0</v>
      </c>
      <c r="N852" t="n">
        <v>0</v>
      </c>
      <c r="O852" t="n">
        <v>0</v>
      </c>
      <c r="P852" t="n">
        <v>0</v>
      </c>
      <c r="Q852" t="n">
        <v>0</v>
      </c>
      <c r="R852" s="2" t="inlineStr"/>
    </row>
    <row r="853" ht="15" customHeight="1">
      <c r="A853" t="inlineStr">
        <is>
          <t>A 29198-2025</t>
        </is>
      </c>
      <c r="B853" s="1" t="n">
        <v>45823.34451388889</v>
      </c>
      <c r="C853" s="1" t="n">
        <v>45995</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14728-2025</t>
        </is>
      </c>
      <c r="B854" s="1" t="n">
        <v>45742.63574074074</v>
      </c>
      <c r="C854" s="1" t="n">
        <v>45995</v>
      </c>
      <c r="D854" t="inlineStr">
        <is>
          <t>JÄMTLANDS LÄN</t>
        </is>
      </c>
      <c r="E854" t="inlineStr">
        <is>
          <t>BERG</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29199-2025</t>
        </is>
      </c>
      <c r="B855" s="1" t="n">
        <v>45823.34459490741</v>
      </c>
      <c r="C855" s="1" t="n">
        <v>45995</v>
      </c>
      <c r="D855" t="inlineStr">
        <is>
          <t>JÄMTLANDS LÄN</t>
        </is>
      </c>
      <c r="E855" t="inlineStr">
        <is>
          <t>BERG</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12499-2021</t>
        </is>
      </c>
      <c r="B856" s="1" t="n">
        <v>44267</v>
      </c>
      <c r="C856" s="1" t="n">
        <v>45995</v>
      </c>
      <c r="D856" t="inlineStr">
        <is>
          <t>JÄMTLANDS LÄN</t>
        </is>
      </c>
      <c r="E856" t="inlineStr">
        <is>
          <t>BERG</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29836-2025</t>
        </is>
      </c>
      <c r="B857" s="1" t="n">
        <v>45825.9468287037</v>
      </c>
      <c r="C857" s="1" t="n">
        <v>45995</v>
      </c>
      <c r="D857" t="inlineStr">
        <is>
          <t>JÄMTLANDS LÄN</t>
        </is>
      </c>
      <c r="E857" t="inlineStr">
        <is>
          <t>BERG</t>
        </is>
      </c>
      <c r="G857" t="n">
        <v>12.7</v>
      </c>
      <c r="H857" t="n">
        <v>0</v>
      </c>
      <c r="I857" t="n">
        <v>0</v>
      </c>
      <c r="J857" t="n">
        <v>0</v>
      </c>
      <c r="K857" t="n">
        <v>0</v>
      </c>
      <c r="L857" t="n">
        <v>0</v>
      </c>
      <c r="M857" t="n">
        <v>0</v>
      </c>
      <c r="N857" t="n">
        <v>0</v>
      </c>
      <c r="O857" t="n">
        <v>0</v>
      </c>
      <c r="P857" t="n">
        <v>0</v>
      </c>
      <c r="Q857" t="n">
        <v>0</v>
      </c>
      <c r="R857" s="2" t="inlineStr"/>
    </row>
    <row r="858" ht="15" customHeight="1">
      <c r="A858" t="inlineStr">
        <is>
          <t>A 30017-2025</t>
        </is>
      </c>
      <c r="B858" s="1" t="n">
        <v>45826.55306712963</v>
      </c>
      <c r="C858" s="1" t="n">
        <v>45995</v>
      </c>
      <c r="D858" t="inlineStr">
        <is>
          <t>JÄMTLANDS LÄN</t>
        </is>
      </c>
      <c r="E858" t="inlineStr">
        <is>
          <t>BERG</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29908-2025</t>
        </is>
      </c>
      <c r="B859" s="1" t="n">
        <v>45826</v>
      </c>
      <c r="C859" s="1" t="n">
        <v>45995</v>
      </c>
      <c r="D859" t="inlineStr">
        <is>
          <t>JÄMTLANDS LÄN</t>
        </is>
      </c>
      <c r="E859" t="inlineStr">
        <is>
          <t>BERG</t>
        </is>
      </c>
      <c r="G859" t="n">
        <v>2.2</v>
      </c>
      <c r="H859" t="n">
        <v>0</v>
      </c>
      <c r="I859" t="n">
        <v>0</v>
      </c>
      <c r="J859" t="n">
        <v>0</v>
      </c>
      <c r="K859" t="n">
        <v>0</v>
      </c>
      <c r="L859" t="n">
        <v>0</v>
      </c>
      <c r="M859" t="n">
        <v>0</v>
      </c>
      <c r="N859" t="n">
        <v>0</v>
      </c>
      <c r="O859" t="n">
        <v>0</v>
      </c>
      <c r="P859" t="n">
        <v>0</v>
      </c>
      <c r="Q859" t="n">
        <v>0</v>
      </c>
      <c r="R859" s="2" t="inlineStr"/>
    </row>
    <row r="860" ht="15" customHeight="1">
      <c r="A860" t="inlineStr">
        <is>
          <t>A 29533-2025</t>
        </is>
      </c>
      <c r="B860" s="1" t="n">
        <v>45825.34466435185</v>
      </c>
      <c r="C860" s="1" t="n">
        <v>45995</v>
      </c>
      <c r="D860" t="inlineStr">
        <is>
          <t>JÄMTLANDS LÄN</t>
        </is>
      </c>
      <c r="E860" t="inlineStr">
        <is>
          <t>BERG</t>
        </is>
      </c>
      <c r="F860" t="inlineStr">
        <is>
          <t>SCA</t>
        </is>
      </c>
      <c r="G860" t="n">
        <v>10</v>
      </c>
      <c r="H860" t="n">
        <v>0</v>
      </c>
      <c r="I860" t="n">
        <v>0</v>
      </c>
      <c r="J860" t="n">
        <v>0</v>
      </c>
      <c r="K860" t="n">
        <v>0</v>
      </c>
      <c r="L860" t="n">
        <v>0</v>
      </c>
      <c r="M860" t="n">
        <v>0</v>
      </c>
      <c r="N860" t="n">
        <v>0</v>
      </c>
      <c r="O860" t="n">
        <v>0</v>
      </c>
      <c r="P860" t="n">
        <v>0</v>
      </c>
      <c r="Q860" t="n">
        <v>0</v>
      </c>
      <c r="R860" s="2" t="inlineStr"/>
    </row>
    <row r="861" ht="15" customHeight="1">
      <c r="A861" t="inlineStr">
        <is>
          <t>A 29538-2025</t>
        </is>
      </c>
      <c r="B861" s="1" t="n">
        <v>45825.34517361111</v>
      </c>
      <c r="C861" s="1" t="n">
        <v>45995</v>
      </c>
      <c r="D861" t="inlineStr">
        <is>
          <t>JÄMTLANDS LÄN</t>
        </is>
      </c>
      <c r="E861" t="inlineStr">
        <is>
          <t>BERG</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34225-2024</t>
        </is>
      </c>
      <c r="B862" s="1" t="n">
        <v>45524.55398148148</v>
      </c>
      <c r="C862" s="1" t="n">
        <v>45995</v>
      </c>
      <c r="D862" t="inlineStr">
        <is>
          <t>JÄMTLANDS LÄN</t>
        </is>
      </c>
      <c r="E862" t="inlineStr">
        <is>
          <t>BERG</t>
        </is>
      </c>
      <c r="G862" t="n">
        <v>1.3</v>
      </c>
      <c r="H862" t="n">
        <v>0</v>
      </c>
      <c r="I862" t="n">
        <v>0</v>
      </c>
      <c r="J862" t="n">
        <v>0</v>
      </c>
      <c r="K862" t="n">
        <v>0</v>
      </c>
      <c r="L862" t="n">
        <v>0</v>
      </c>
      <c r="M862" t="n">
        <v>0</v>
      </c>
      <c r="N862" t="n">
        <v>0</v>
      </c>
      <c r="O862" t="n">
        <v>0</v>
      </c>
      <c r="P862" t="n">
        <v>0</v>
      </c>
      <c r="Q862" t="n">
        <v>0</v>
      </c>
      <c r="R862" s="2" t="inlineStr"/>
    </row>
    <row r="863" ht="15" customHeight="1">
      <c r="A863" t="inlineStr">
        <is>
          <t>A 29902-2025</t>
        </is>
      </c>
      <c r="B863" s="1" t="n">
        <v>45826</v>
      </c>
      <c r="C863" s="1" t="n">
        <v>45995</v>
      </c>
      <c r="D863" t="inlineStr">
        <is>
          <t>JÄMTLANDS LÄN</t>
        </is>
      </c>
      <c r="E863" t="inlineStr">
        <is>
          <t>BERG</t>
        </is>
      </c>
      <c r="G863" t="n">
        <v>9.1</v>
      </c>
      <c r="H863" t="n">
        <v>0</v>
      </c>
      <c r="I863" t="n">
        <v>0</v>
      </c>
      <c r="J863" t="n">
        <v>0</v>
      </c>
      <c r="K863" t="n">
        <v>0</v>
      </c>
      <c r="L863" t="n">
        <v>0</v>
      </c>
      <c r="M863" t="n">
        <v>0</v>
      </c>
      <c r="N863" t="n">
        <v>0</v>
      </c>
      <c r="O863" t="n">
        <v>0</v>
      </c>
      <c r="P863" t="n">
        <v>0</v>
      </c>
      <c r="Q863" t="n">
        <v>0</v>
      </c>
      <c r="R863" s="2" t="inlineStr"/>
    </row>
    <row r="864" ht="15" customHeight="1">
      <c r="A864" t="inlineStr">
        <is>
          <t>A 41636-2024</t>
        </is>
      </c>
      <c r="B864" s="1" t="n">
        <v>45560.61606481481</v>
      </c>
      <c r="C864" s="1" t="n">
        <v>45995</v>
      </c>
      <c r="D864" t="inlineStr">
        <is>
          <t>JÄMTLANDS LÄN</t>
        </is>
      </c>
      <c r="E864" t="inlineStr">
        <is>
          <t>BERG</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18032-2024</t>
        </is>
      </c>
      <c r="B865" s="1" t="n">
        <v>45420.34979166667</v>
      </c>
      <c r="C865" s="1" t="n">
        <v>45995</v>
      </c>
      <c r="D865" t="inlineStr">
        <is>
          <t>JÄMTLANDS LÄN</t>
        </is>
      </c>
      <c r="E865" t="inlineStr">
        <is>
          <t>BERG</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14772-2021</t>
        </is>
      </c>
      <c r="B866" s="1" t="n">
        <v>44280.62068287037</v>
      </c>
      <c r="C866" s="1" t="n">
        <v>45995</v>
      </c>
      <c r="D866" t="inlineStr">
        <is>
          <t>JÄMTLANDS LÄN</t>
        </is>
      </c>
      <c r="E866" t="inlineStr">
        <is>
          <t>BERG</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22947-2022</t>
        </is>
      </c>
      <c r="B867" s="1" t="n">
        <v>44715.92443287037</v>
      </c>
      <c r="C867" s="1" t="n">
        <v>45995</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30314-2025</t>
        </is>
      </c>
      <c r="B868" s="1" t="n">
        <v>45827.49047453704</v>
      </c>
      <c r="C868" s="1" t="n">
        <v>45995</v>
      </c>
      <c r="D868" t="inlineStr">
        <is>
          <t>JÄMTLANDS LÄN</t>
        </is>
      </c>
      <c r="E868" t="inlineStr">
        <is>
          <t>BERG</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46902-2024</t>
        </is>
      </c>
      <c r="B869" s="1" t="n">
        <v>45583.69847222222</v>
      </c>
      <c r="C869" s="1" t="n">
        <v>45995</v>
      </c>
      <c r="D869" t="inlineStr">
        <is>
          <t>JÄMTLANDS LÄN</t>
        </is>
      </c>
      <c r="E869" t="inlineStr">
        <is>
          <t>BERG</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45347-2023</t>
        </is>
      </c>
      <c r="B870" s="1" t="n">
        <v>45191</v>
      </c>
      <c r="C870" s="1" t="n">
        <v>45995</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36079-2024</t>
        </is>
      </c>
      <c r="B871" s="1" t="n">
        <v>45533.66685185185</v>
      </c>
      <c r="C871" s="1" t="n">
        <v>45995</v>
      </c>
      <c r="D871" t="inlineStr">
        <is>
          <t>JÄMTLANDS LÄN</t>
        </is>
      </c>
      <c r="E871" t="inlineStr">
        <is>
          <t>BERG</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31015-2025</t>
        </is>
      </c>
      <c r="B872" s="1" t="n">
        <v>45832.51086805556</v>
      </c>
      <c r="C872" s="1" t="n">
        <v>45995</v>
      </c>
      <c r="D872" t="inlineStr">
        <is>
          <t>JÄMTLANDS LÄN</t>
        </is>
      </c>
      <c r="E872" t="inlineStr">
        <is>
          <t>BERG</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31017-2025</t>
        </is>
      </c>
      <c r="B873" s="1" t="n">
        <v>45832.51111111111</v>
      </c>
      <c r="C873" s="1" t="n">
        <v>45995</v>
      </c>
      <c r="D873" t="inlineStr">
        <is>
          <t>JÄMTLANDS LÄN</t>
        </is>
      </c>
      <c r="E873" t="inlineStr">
        <is>
          <t>BERG</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31136-2025</t>
        </is>
      </c>
      <c r="B874" s="1" t="n">
        <v>45832.63599537037</v>
      </c>
      <c r="C874" s="1" t="n">
        <v>45995</v>
      </c>
      <c r="D874" t="inlineStr">
        <is>
          <t>JÄMTLANDS LÄN</t>
        </is>
      </c>
      <c r="E874" t="inlineStr">
        <is>
          <t>BERG</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31070-2025</t>
        </is>
      </c>
      <c r="B875" s="1" t="n">
        <v>45832.57887731482</v>
      </c>
      <c r="C875" s="1" t="n">
        <v>45995</v>
      </c>
      <c r="D875" t="inlineStr">
        <is>
          <t>JÄMTLANDS LÄN</t>
        </is>
      </c>
      <c r="E875" t="inlineStr">
        <is>
          <t>BERG</t>
        </is>
      </c>
      <c r="G875" t="n">
        <v>3.7</v>
      </c>
      <c r="H875" t="n">
        <v>0</v>
      </c>
      <c r="I875" t="n">
        <v>0</v>
      </c>
      <c r="J875" t="n">
        <v>0</v>
      </c>
      <c r="K875" t="n">
        <v>0</v>
      </c>
      <c r="L875" t="n">
        <v>0</v>
      </c>
      <c r="M875" t="n">
        <v>0</v>
      </c>
      <c r="N875" t="n">
        <v>0</v>
      </c>
      <c r="O875" t="n">
        <v>0</v>
      </c>
      <c r="P875" t="n">
        <v>0</v>
      </c>
      <c r="Q875" t="n">
        <v>0</v>
      </c>
      <c r="R875" s="2" t="inlineStr"/>
    </row>
    <row r="876" ht="15" customHeight="1">
      <c r="A876" t="inlineStr">
        <is>
          <t>A 31090-2025</t>
        </is>
      </c>
      <c r="B876" s="1" t="n">
        <v>45832.59436342592</v>
      </c>
      <c r="C876" s="1" t="n">
        <v>45995</v>
      </c>
      <c r="D876" t="inlineStr">
        <is>
          <t>JÄMTLANDS LÄN</t>
        </is>
      </c>
      <c r="E876" t="inlineStr">
        <is>
          <t>BERG</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64487-2023</t>
        </is>
      </c>
      <c r="B877" s="1" t="n">
        <v>45280.92613425926</v>
      </c>
      <c r="C877" s="1" t="n">
        <v>45995</v>
      </c>
      <c r="D877" t="inlineStr">
        <is>
          <t>JÄMTLANDS LÄN</t>
        </is>
      </c>
      <c r="E877" t="inlineStr">
        <is>
          <t>BERG</t>
        </is>
      </c>
      <c r="F877" t="inlineStr">
        <is>
          <t>Övriga Aktiebolag</t>
        </is>
      </c>
      <c r="G877" t="n">
        <v>7.6</v>
      </c>
      <c r="H877" t="n">
        <v>0</v>
      </c>
      <c r="I877" t="n">
        <v>0</v>
      </c>
      <c r="J877" t="n">
        <v>0</v>
      </c>
      <c r="K877" t="n">
        <v>0</v>
      </c>
      <c r="L877" t="n">
        <v>0</v>
      </c>
      <c r="M877" t="n">
        <v>0</v>
      </c>
      <c r="N877" t="n">
        <v>0</v>
      </c>
      <c r="O877" t="n">
        <v>0</v>
      </c>
      <c r="P877" t="n">
        <v>0</v>
      </c>
      <c r="Q877" t="n">
        <v>0</v>
      </c>
      <c r="R877" s="2" t="inlineStr"/>
    </row>
    <row r="878" ht="15" customHeight="1">
      <c r="A878" t="inlineStr">
        <is>
          <t>A 64489-2023</t>
        </is>
      </c>
      <c r="B878" s="1" t="n">
        <v>45280</v>
      </c>
      <c r="C878" s="1" t="n">
        <v>45995</v>
      </c>
      <c r="D878" t="inlineStr">
        <is>
          <t>JÄMTLANDS LÄN</t>
        </is>
      </c>
      <c r="E878" t="inlineStr">
        <is>
          <t>BERG</t>
        </is>
      </c>
      <c r="F878" t="inlineStr">
        <is>
          <t>Övriga Aktiebolag</t>
        </is>
      </c>
      <c r="G878" t="n">
        <v>14.1</v>
      </c>
      <c r="H878" t="n">
        <v>0</v>
      </c>
      <c r="I878" t="n">
        <v>0</v>
      </c>
      <c r="J878" t="n">
        <v>0</v>
      </c>
      <c r="K878" t="n">
        <v>0</v>
      </c>
      <c r="L878" t="n">
        <v>0</v>
      </c>
      <c r="M878" t="n">
        <v>0</v>
      </c>
      <c r="N878" t="n">
        <v>0</v>
      </c>
      <c r="O878" t="n">
        <v>0</v>
      </c>
      <c r="P878" t="n">
        <v>0</v>
      </c>
      <c r="Q878" t="n">
        <v>0</v>
      </c>
      <c r="R878" s="2" t="inlineStr"/>
    </row>
    <row r="879" ht="15" customHeight="1">
      <c r="A879" t="inlineStr">
        <is>
          <t>A 692-2021</t>
        </is>
      </c>
      <c r="B879" s="1" t="n">
        <v>44203</v>
      </c>
      <c r="C879" s="1" t="n">
        <v>45995</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60068-2022</t>
        </is>
      </c>
      <c r="B880" s="1" t="n">
        <v>44902</v>
      </c>
      <c r="C880" s="1" t="n">
        <v>45995</v>
      </c>
      <c r="D880" t="inlineStr">
        <is>
          <t>JÄMTLANDS LÄN</t>
        </is>
      </c>
      <c r="E880" t="inlineStr">
        <is>
          <t>BERG</t>
        </is>
      </c>
      <c r="G880" t="n">
        <v>5.2</v>
      </c>
      <c r="H880" t="n">
        <v>0</v>
      </c>
      <c r="I880" t="n">
        <v>0</v>
      </c>
      <c r="J880" t="n">
        <v>0</v>
      </c>
      <c r="K880" t="n">
        <v>0</v>
      </c>
      <c r="L880" t="n">
        <v>0</v>
      </c>
      <c r="M880" t="n">
        <v>0</v>
      </c>
      <c r="N880" t="n">
        <v>0</v>
      </c>
      <c r="O880" t="n">
        <v>0</v>
      </c>
      <c r="P880" t="n">
        <v>0</v>
      </c>
      <c r="Q880" t="n">
        <v>0</v>
      </c>
      <c r="R880" s="2" t="inlineStr"/>
    </row>
    <row r="881" ht="15" customHeight="1">
      <c r="A881" t="inlineStr">
        <is>
          <t>A 32178-2024</t>
        </is>
      </c>
      <c r="B881" s="1" t="n">
        <v>45511</v>
      </c>
      <c r="C881" s="1" t="n">
        <v>45995</v>
      </c>
      <c r="D881" t="inlineStr">
        <is>
          <t>JÄMTLANDS LÄN</t>
        </is>
      </c>
      <c r="E881" t="inlineStr">
        <is>
          <t>BERG</t>
        </is>
      </c>
      <c r="G881" t="n">
        <v>11.4</v>
      </c>
      <c r="H881" t="n">
        <v>0</v>
      </c>
      <c r="I881" t="n">
        <v>0</v>
      </c>
      <c r="J881" t="n">
        <v>0</v>
      </c>
      <c r="K881" t="n">
        <v>0</v>
      </c>
      <c r="L881" t="n">
        <v>0</v>
      </c>
      <c r="M881" t="n">
        <v>0</v>
      </c>
      <c r="N881" t="n">
        <v>0</v>
      </c>
      <c r="O881" t="n">
        <v>0</v>
      </c>
      <c r="P881" t="n">
        <v>0</v>
      </c>
      <c r="Q881" t="n">
        <v>0</v>
      </c>
      <c r="R881" s="2" t="inlineStr"/>
    </row>
    <row r="882" ht="15" customHeight="1">
      <c r="A882" t="inlineStr">
        <is>
          <t>A 31820-2025</t>
        </is>
      </c>
      <c r="B882" s="1" t="n">
        <v>45834.57930555556</v>
      </c>
      <c r="C882" s="1" t="n">
        <v>45995</v>
      </c>
      <c r="D882" t="inlineStr">
        <is>
          <t>JÄMTLANDS LÄN</t>
        </is>
      </c>
      <c r="E882" t="inlineStr">
        <is>
          <t>BERG</t>
        </is>
      </c>
      <c r="G882" t="n">
        <v>13.9</v>
      </c>
      <c r="H882" t="n">
        <v>0</v>
      </c>
      <c r="I882" t="n">
        <v>0</v>
      </c>
      <c r="J882" t="n">
        <v>0</v>
      </c>
      <c r="K882" t="n">
        <v>0</v>
      </c>
      <c r="L882" t="n">
        <v>0</v>
      </c>
      <c r="M882" t="n">
        <v>0</v>
      </c>
      <c r="N882" t="n">
        <v>0</v>
      </c>
      <c r="O882" t="n">
        <v>0</v>
      </c>
      <c r="P882" t="n">
        <v>0</v>
      </c>
      <c r="Q882" t="n">
        <v>0</v>
      </c>
      <c r="R882" s="2" t="inlineStr"/>
    </row>
    <row r="883" ht="15" customHeight="1">
      <c r="A883" t="inlineStr">
        <is>
          <t>A 3798-2022</t>
        </is>
      </c>
      <c r="B883" s="1" t="n">
        <v>44586</v>
      </c>
      <c r="C883" s="1" t="n">
        <v>45995</v>
      </c>
      <c r="D883" t="inlineStr">
        <is>
          <t>JÄMTLANDS LÄN</t>
        </is>
      </c>
      <c r="E883" t="inlineStr">
        <is>
          <t>BERG</t>
        </is>
      </c>
      <c r="G883" t="n">
        <v>0.1</v>
      </c>
      <c r="H883" t="n">
        <v>0</v>
      </c>
      <c r="I883" t="n">
        <v>0</v>
      </c>
      <c r="J883" t="n">
        <v>0</v>
      </c>
      <c r="K883" t="n">
        <v>0</v>
      </c>
      <c r="L883" t="n">
        <v>0</v>
      </c>
      <c r="M883" t="n">
        <v>0</v>
      </c>
      <c r="N883" t="n">
        <v>0</v>
      </c>
      <c r="O883" t="n">
        <v>0</v>
      </c>
      <c r="P883" t="n">
        <v>0</v>
      </c>
      <c r="Q883" t="n">
        <v>0</v>
      </c>
      <c r="R883" s="2" t="inlineStr"/>
    </row>
    <row r="884" ht="15" customHeight="1">
      <c r="A884" t="inlineStr">
        <is>
          <t>A 22297-2022</t>
        </is>
      </c>
      <c r="B884" s="1" t="n">
        <v>44712</v>
      </c>
      <c r="C884" s="1" t="n">
        <v>45995</v>
      </c>
      <c r="D884" t="inlineStr">
        <is>
          <t>JÄMTLANDS LÄN</t>
        </is>
      </c>
      <c r="E884" t="inlineStr">
        <is>
          <t>BERG</t>
        </is>
      </c>
      <c r="G884" t="n">
        <v>1</v>
      </c>
      <c r="H884" t="n">
        <v>0</v>
      </c>
      <c r="I884" t="n">
        <v>0</v>
      </c>
      <c r="J884" t="n">
        <v>0</v>
      </c>
      <c r="K884" t="n">
        <v>0</v>
      </c>
      <c r="L884" t="n">
        <v>0</v>
      </c>
      <c r="M884" t="n">
        <v>0</v>
      </c>
      <c r="N884" t="n">
        <v>0</v>
      </c>
      <c r="O884" t="n">
        <v>0</v>
      </c>
      <c r="P884" t="n">
        <v>0</v>
      </c>
      <c r="Q884" t="n">
        <v>0</v>
      </c>
      <c r="R884" s="2" t="inlineStr"/>
    </row>
    <row r="885" ht="15" customHeight="1">
      <c r="A885" t="inlineStr">
        <is>
          <t>A 54992-2023</t>
        </is>
      </c>
      <c r="B885" s="1" t="n">
        <v>45236.96789351852</v>
      </c>
      <c r="C885" s="1" t="n">
        <v>45995</v>
      </c>
      <c r="D885" t="inlineStr">
        <is>
          <t>JÄMTLANDS LÄN</t>
        </is>
      </c>
      <c r="E885" t="inlineStr">
        <is>
          <t>BERG</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54994-2023</t>
        </is>
      </c>
      <c r="B886" s="1" t="n">
        <v>45236</v>
      </c>
      <c r="C886" s="1" t="n">
        <v>45995</v>
      </c>
      <c r="D886" t="inlineStr">
        <is>
          <t>JÄMTLANDS LÄN</t>
        </is>
      </c>
      <c r="E886" t="inlineStr">
        <is>
          <t>BERG</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32160-2025</t>
        </is>
      </c>
      <c r="B887" s="1" t="n">
        <v>45835.54142361111</v>
      </c>
      <c r="C887" s="1" t="n">
        <v>45995</v>
      </c>
      <c r="D887" t="inlineStr">
        <is>
          <t>JÄMTLANDS LÄN</t>
        </is>
      </c>
      <c r="E887" t="inlineStr">
        <is>
          <t>BERG</t>
        </is>
      </c>
      <c r="G887" t="n">
        <v>10.3</v>
      </c>
      <c r="H887" t="n">
        <v>0</v>
      </c>
      <c r="I887" t="n">
        <v>0</v>
      </c>
      <c r="J887" t="n">
        <v>0</v>
      </c>
      <c r="K887" t="n">
        <v>0</v>
      </c>
      <c r="L887" t="n">
        <v>0</v>
      </c>
      <c r="M887" t="n">
        <v>0</v>
      </c>
      <c r="N887" t="n">
        <v>0</v>
      </c>
      <c r="O887" t="n">
        <v>0</v>
      </c>
      <c r="P887" t="n">
        <v>0</v>
      </c>
      <c r="Q887" t="n">
        <v>0</v>
      </c>
      <c r="R887" s="2" t="inlineStr"/>
    </row>
    <row r="888" ht="15" customHeight="1">
      <c r="A888" t="inlineStr">
        <is>
          <t>A 32919-2025</t>
        </is>
      </c>
      <c r="B888" s="1" t="n">
        <v>45839.64721064815</v>
      </c>
      <c r="C888" s="1" t="n">
        <v>45995</v>
      </c>
      <c r="D888" t="inlineStr">
        <is>
          <t>JÄMTLANDS LÄN</t>
        </is>
      </c>
      <c r="E888" t="inlineStr">
        <is>
          <t>BERG</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33054-2025</t>
        </is>
      </c>
      <c r="B889" s="1" t="n">
        <v>45840.42746527777</v>
      </c>
      <c r="C889" s="1" t="n">
        <v>45995</v>
      </c>
      <c r="D889" t="inlineStr">
        <is>
          <t>JÄMTLANDS LÄN</t>
        </is>
      </c>
      <c r="E889" t="inlineStr">
        <is>
          <t>BERG</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51548-2023</t>
        </is>
      </c>
      <c r="B890" s="1" t="n">
        <v>45215</v>
      </c>
      <c r="C890" s="1" t="n">
        <v>45995</v>
      </c>
      <c r="D890" t="inlineStr">
        <is>
          <t>JÄMTLANDS LÄN</t>
        </is>
      </c>
      <c r="E890" t="inlineStr">
        <is>
          <t>BERG</t>
        </is>
      </c>
      <c r="G890" t="n">
        <v>4.8</v>
      </c>
      <c r="H890" t="n">
        <v>0</v>
      </c>
      <c r="I890" t="n">
        <v>0</v>
      </c>
      <c r="J890" t="n">
        <v>0</v>
      </c>
      <c r="K890" t="n">
        <v>0</v>
      </c>
      <c r="L890" t="n">
        <v>0</v>
      </c>
      <c r="M890" t="n">
        <v>0</v>
      </c>
      <c r="N890" t="n">
        <v>0</v>
      </c>
      <c r="O890" t="n">
        <v>0</v>
      </c>
      <c r="P890" t="n">
        <v>0</v>
      </c>
      <c r="Q890" t="n">
        <v>0</v>
      </c>
      <c r="R890" s="2" t="inlineStr"/>
    </row>
    <row r="891" ht="15" customHeight="1">
      <c r="A891" t="inlineStr">
        <is>
          <t>A 28403-2025</t>
        </is>
      </c>
      <c r="B891" s="1" t="n">
        <v>45819</v>
      </c>
      <c r="C891" s="1" t="n">
        <v>45995</v>
      </c>
      <c r="D891" t="inlineStr">
        <is>
          <t>JÄMTLANDS LÄN</t>
        </is>
      </c>
      <c r="E891" t="inlineStr">
        <is>
          <t>BERG</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32713-2025</t>
        </is>
      </c>
      <c r="B892" s="1" t="n">
        <v>45839.36935185185</v>
      </c>
      <c r="C892" s="1" t="n">
        <v>45995</v>
      </c>
      <c r="D892" t="inlineStr">
        <is>
          <t>JÄMTLANDS LÄN</t>
        </is>
      </c>
      <c r="E892" t="inlineStr">
        <is>
          <t>BERG</t>
        </is>
      </c>
      <c r="G892" t="n">
        <v>1.5</v>
      </c>
      <c r="H892" t="n">
        <v>0</v>
      </c>
      <c r="I892" t="n">
        <v>0</v>
      </c>
      <c r="J892" t="n">
        <v>0</v>
      </c>
      <c r="K892" t="n">
        <v>0</v>
      </c>
      <c r="L892" t="n">
        <v>0</v>
      </c>
      <c r="M892" t="n">
        <v>0</v>
      </c>
      <c r="N892" t="n">
        <v>0</v>
      </c>
      <c r="O892" t="n">
        <v>0</v>
      </c>
      <c r="P892" t="n">
        <v>0</v>
      </c>
      <c r="Q892" t="n">
        <v>0</v>
      </c>
      <c r="R892" s="2" t="inlineStr"/>
    </row>
    <row r="893" ht="15" customHeight="1">
      <c r="A893" t="inlineStr">
        <is>
          <t>A 33753-2025</t>
        </is>
      </c>
      <c r="B893" s="1" t="n">
        <v>45842.37199074074</v>
      </c>
      <c r="C893" s="1" t="n">
        <v>45995</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2472-2025</t>
        </is>
      </c>
      <c r="B894" s="1" t="n">
        <v>45674.47341435185</v>
      </c>
      <c r="C894" s="1" t="n">
        <v>45995</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2474-2025</t>
        </is>
      </c>
      <c r="B895" s="1" t="n">
        <v>45674.47496527778</v>
      </c>
      <c r="C895" s="1" t="n">
        <v>45995</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33748-2025</t>
        </is>
      </c>
      <c r="B896" s="1" t="n">
        <v>45842.35685185185</v>
      </c>
      <c r="C896" s="1" t="n">
        <v>45995</v>
      </c>
      <c r="D896" t="inlineStr">
        <is>
          <t>JÄMTLANDS LÄN</t>
        </is>
      </c>
      <c r="E896" t="inlineStr">
        <is>
          <t>BERG</t>
        </is>
      </c>
      <c r="G896" t="n">
        <v>2.1</v>
      </c>
      <c r="H896" t="n">
        <v>0</v>
      </c>
      <c r="I896" t="n">
        <v>0</v>
      </c>
      <c r="J896" t="n">
        <v>0</v>
      </c>
      <c r="K896" t="n">
        <v>0</v>
      </c>
      <c r="L896" t="n">
        <v>0</v>
      </c>
      <c r="M896" t="n">
        <v>0</v>
      </c>
      <c r="N896" t="n">
        <v>0</v>
      </c>
      <c r="O896" t="n">
        <v>0</v>
      </c>
      <c r="P896" t="n">
        <v>0</v>
      </c>
      <c r="Q896" t="n">
        <v>0</v>
      </c>
      <c r="R896" s="2" t="inlineStr"/>
    </row>
    <row r="897" ht="15" customHeight="1">
      <c r="A897" t="inlineStr">
        <is>
          <t>A 50780-2021</t>
        </is>
      </c>
      <c r="B897" s="1" t="n">
        <v>44459</v>
      </c>
      <c r="C897" s="1" t="n">
        <v>45995</v>
      </c>
      <c r="D897" t="inlineStr">
        <is>
          <t>JÄMTLANDS LÄN</t>
        </is>
      </c>
      <c r="E897" t="inlineStr">
        <is>
          <t>BERG</t>
        </is>
      </c>
      <c r="G897" t="n">
        <v>3.5</v>
      </c>
      <c r="H897" t="n">
        <v>0</v>
      </c>
      <c r="I897" t="n">
        <v>0</v>
      </c>
      <c r="J897" t="n">
        <v>0</v>
      </c>
      <c r="K897" t="n">
        <v>0</v>
      </c>
      <c r="L897" t="n">
        <v>0</v>
      </c>
      <c r="M897" t="n">
        <v>0</v>
      </c>
      <c r="N897" t="n">
        <v>0</v>
      </c>
      <c r="O897" t="n">
        <v>0</v>
      </c>
      <c r="P897" t="n">
        <v>0</v>
      </c>
      <c r="Q897" t="n">
        <v>0</v>
      </c>
      <c r="R897" s="2" t="inlineStr"/>
    </row>
    <row r="898" ht="15" customHeight="1">
      <c r="A898" t="inlineStr">
        <is>
          <t>A 33750-2025</t>
        </is>
      </c>
      <c r="B898" s="1" t="n">
        <v>45842.36243055556</v>
      </c>
      <c r="C898" s="1" t="n">
        <v>45995</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40824-2023</t>
        </is>
      </c>
      <c r="B899" s="1" t="n">
        <v>45171</v>
      </c>
      <c r="C899" s="1" t="n">
        <v>45995</v>
      </c>
      <c r="D899" t="inlineStr">
        <is>
          <t>JÄMTLANDS LÄN</t>
        </is>
      </c>
      <c r="E899" t="inlineStr">
        <is>
          <t>BERG</t>
        </is>
      </c>
      <c r="G899" t="n">
        <v>0.5</v>
      </c>
      <c r="H899" t="n">
        <v>0</v>
      </c>
      <c r="I899" t="n">
        <v>0</v>
      </c>
      <c r="J899" t="n">
        <v>0</v>
      </c>
      <c r="K899" t="n">
        <v>0</v>
      </c>
      <c r="L899" t="n">
        <v>0</v>
      </c>
      <c r="M899" t="n">
        <v>0</v>
      </c>
      <c r="N899" t="n">
        <v>0</v>
      </c>
      <c r="O899" t="n">
        <v>0</v>
      </c>
      <c r="P899" t="n">
        <v>0</v>
      </c>
      <c r="Q899" t="n">
        <v>0</v>
      </c>
      <c r="R899" s="2" t="inlineStr"/>
    </row>
    <row r="900" ht="15" customHeight="1">
      <c r="A900" t="inlineStr">
        <is>
          <t>A 47119-2024</t>
        </is>
      </c>
      <c r="B900" s="1" t="n">
        <v>45586.56431712963</v>
      </c>
      <c r="C900" s="1" t="n">
        <v>45995</v>
      </c>
      <c r="D900" t="inlineStr">
        <is>
          <t>JÄMTLANDS LÄN</t>
        </is>
      </c>
      <c r="E900" t="inlineStr">
        <is>
          <t>BERG</t>
        </is>
      </c>
      <c r="G900" t="n">
        <v>5</v>
      </c>
      <c r="H900" t="n">
        <v>0</v>
      </c>
      <c r="I900" t="n">
        <v>0</v>
      </c>
      <c r="J900" t="n">
        <v>0</v>
      </c>
      <c r="K900" t="n">
        <v>0</v>
      </c>
      <c r="L900" t="n">
        <v>0</v>
      </c>
      <c r="M900" t="n">
        <v>0</v>
      </c>
      <c r="N900" t="n">
        <v>0</v>
      </c>
      <c r="O900" t="n">
        <v>0</v>
      </c>
      <c r="P900" t="n">
        <v>0</v>
      </c>
      <c r="Q900" t="n">
        <v>0</v>
      </c>
      <c r="R900" s="2" t="inlineStr"/>
    </row>
    <row r="901" ht="15" customHeight="1">
      <c r="A901" t="inlineStr">
        <is>
          <t>A 1982-2022</t>
        </is>
      </c>
      <c r="B901" s="1" t="n">
        <v>44575</v>
      </c>
      <c r="C901" s="1" t="n">
        <v>45995</v>
      </c>
      <c r="D901" t="inlineStr">
        <is>
          <t>JÄMTLANDS LÄN</t>
        </is>
      </c>
      <c r="E901" t="inlineStr">
        <is>
          <t>BERG</t>
        </is>
      </c>
      <c r="G901" t="n">
        <v>1.6</v>
      </c>
      <c r="H901" t="n">
        <v>0</v>
      </c>
      <c r="I901" t="n">
        <v>0</v>
      </c>
      <c r="J901" t="n">
        <v>0</v>
      </c>
      <c r="K901" t="n">
        <v>0</v>
      </c>
      <c r="L901" t="n">
        <v>0</v>
      </c>
      <c r="M901" t="n">
        <v>0</v>
      </c>
      <c r="N901" t="n">
        <v>0</v>
      </c>
      <c r="O901" t="n">
        <v>0</v>
      </c>
      <c r="P901" t="n">
        <v>0</v>
      </c>
      <c r="Q901" t="n">
        <v>0</v>
      </c>
      <c r="R901" s="2" t="inlineStr"/>
    </row>
    <row r="902" ht="15" customHeight="1">
      <c r="A902" t="inlineStr">
        <is>
          <t>A 1989-2022</t>
        </is>
      </c>
      <c r="B902" s="1" t="n">
        <v>44575.55935185185</v>
      </c>
      <c r="C902" s="1" t="n">
        <v>45995</v>
      </c>
      <c r="D902" t="inlineStr">
        <is>
          <t>JÄMTLANDS LÄN</t>
        </is>
      </c>
      <c r="E902" t="inlineStr">
        <is>
          <t>BERG</t>
        </is>
      </c>
      <c r="G902" t="n">
        <v>0.7</v>
      </c>
      <c r="H902" t="n">
        <v>0</v>
      </c>
      <c r="I902" t="n">
        <v>0</v>
      </c>
      <c r="J902" t="n">
        <v>0</v>
      </c>
      <c r="K902" t="n">
        <v>0</v>
      </c>
      <c r="L902" t="n">
        <v>0</v>
      </c>
      <c r="M902" t="n">
        <v>0</v>
      </c>
      <c r="N902" t="n">
        <v>0</v>
      </c>
      <c r="O902" t="n">
        <v>0</v>
      </c>
      <c r="P902" t="n">
        <v>0</v>
      </c>
      <c r="Q902" t="n">
        <v>0</v>
      </c>
      <c r="R902" s="2" t="inlineStr"/>
    </row>
    <row r="903" ht="15" customHeight="1">
      <c r="A903" t="inlineStr">
        <is>
          <t>A 34036-2025</t>
        </is>
      </c>
      <c r="B903" s="1" t="n">
        <v>45845.36954861111</v>
      </c>
      <c r="C903" s="1" t="n">
        <v>45995</v>
      </c>
      <c r="D903" t="inlineStr">
        <is>
          <t>JÄMTLANDS LÄN</t>
        </is>
      </c>
      <c r="E903" t="inlineStr">
        <is>
          <t>BERG</t>
        </is>
      </c>
      <c r="G903" t="n">
        <v>4.8</v>
      </c>
      <c r="H903" t="n">
        <v>0</v>
      </c>
      <c r="I903" t="n">
        <v>0</v>
      </c>
      <c r="J903" t="n">
        <v>0</v>
      </c>
      <c r="K903" t="n">
        <v>0</v>
      </c>
      <c r="L903" t="n">
        <v>0</v>
      </c>
      <c r="M903" t="n">
        <v>0</v>
      </c>
      <c r="N903" t="n">
        <v>0</v>
      </c>
      <c r="O903" t="n">
        <v>0</v>
      </c>
      <c r="P903" t="n">
        <v>0</v>
      </c>
      <c r="Q903" t="n">
        <v>0</v>
      </c>
      <c r="R903" s="2" t="inlineStr"/>
    </row>
    <row r="904" ht="15" customHeight="1">
      <c r="A904" t="inlineStr">
        <is>
          <t>A 34030-2025</t>
        </is>
      </c>
      <c r="B904" s="1" t="n">
        <v>45845.3633912037</v>
      </c>
      <c r="C904" s="1" t="n">
        <v>45995</v>
      </c>
      <c r="D904" t="inlineStr">
        <is>
          <t>JÄMTLANDS LÄN</t>
        </is>
      </c>
      <c r="E904" t="inlineStr">
        <is>
          <t>BERG</t>
        </is>
      </c>
      <c r="G904" t="n">
        <v>13.5</v>
      </c>
      <c r="H904" t="n">
        <v>0</v>
      </c>
      <c r="I904" t="n">
        <v>0</v>
      </c>
      <c r="J904" t="n">
        <v>0</v>
      </c>
      <c r="K904" t="n">
        <v>0</v>
      </c>
      <c r="L904" t="n">
        <v>0</v>
      </c>
      <c r="M904" t="n">
        <v>0</v>
      </c>
      <c r="N904" t="n">
        <v>0</v>
      </c>
      <c r="O904" t="n">
        <v>0</v>
      </c>
      <c r="P904" t="n">
        <v>0</v>
      </c>
      <c r="Q904" t="n">
        <v>0</v>
      </c>
      <c r="R904" s="2" t="inlineStr"/>
    </row>
    <row r="905" ht="15" customHeight="1">
      <c r="A905" t="inlineStr">
        <is>
          <t>A 14198-2023</t>
        </is>
      </c>
      <c r="B905" s="1" t="n">
        <v>45009.57518518518</v>
      </c>
      <c r="C905" s="1" t="n">
        <v>45995</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58817-2024</t>
        </is>
      </c>
      <c r="B906" s="1" t="n">
        <v>45636.35909722222</v>
      </c>
      <c r="C906" s="1" t="n">
        <v>45995</v>
      </c>
      <c r="D906" t="inlineStr">
        <is>
          <t>JÄMTLANDS LÄN</t>
        </is>
      </c>
      <c r="E906" t="inlineStr">
        <is>
          <t>BERG</t>
        </is>
      </c>
      <c r="G906" t="n">
        <v>1.5</v>
      </c>
      <c r="H906" t="n">
        <v>0</v>
      </c>
      <c r="I906" t="n">
        <v>0</v>
      </c>
      <c r="J906" t="n">
        <v>0</v>
      </c>
      <c r="K906" t="n">
        <v>0</v>
      </c>
      <c r="L906" t="n">
        <v>0</v>
      </c>
      <c r="M906" t="n">
        <v>0</v>
      </c>
      <c r="N906" t="n">
        <v>0</v>
      </c>
      <c r="O906" t="n">
        <v>0</v>
      </c>
      <c r="P906" t="n">
        <v>0</v>
      </c>
      <c r="Q906" t="n">
        <v>0</v>
      </c>
      <c r="R906" s="2" t="inlineStr"/>
    </row>
    <row r="907" ht="15" customHeight="1">
      <c r="A907" t="inlineStr">
        <is>
          <t>A 59526-2024</t>
        </is>
      </c>
      <c r="B907" s="1" t="n">
        <v>45638.58019675926</v>
      </c>
      <c r="C907" s="1" t="n">
        <v>45995</v>
      </c>
      <c r="D907" t="inlineStr">
        <is>
          <t>JÄMTLANDS LÄN</t>
        </is>
      </c>
      <c r="E907" t="inlineStr">
        <is>
          <t>BERG</t>
        </is>
      </c>
      <c r="G907" t="n">
        <v>1</v>
      </c>
      <c r="H907" t="n">
        <v>0</v>
      </c>
      <c r="I907" t="n">
        <v>0</v>
      </c>
      <c r="J907" t="n">
        <v>0</v>
      </c>
      <c r="K907" t="n">
        <v>0</v>
      </c>
      <c r="L907" t="n">
        <v>0</v>
      </c>
      <c r="M907" t="n">
        <v>0</v>
      </c>
      <c r="N907" t="n">
        <v>0</v>
      </c>
      <c r="O907" t="n">
        <v>0</v>
      </c>
      <c r="P907" t="n">
        <v>0</v>
      </c>
      <c r="Q907" t="n">
        <v>0</v>
      </c>
      <c r="R907" s="2" t="inlineStr"/>
    </row>
    <row r="908" ht="15" customHeight="1">
      <c r="A908" t="inlineStr">
        <is>
          <t>A 34892-2025</t>
        </is>
      </c>
      <c r="B908" s="1" t="n">
        <v>45849.49047453704</v>
      </c>
      <c r="C908" s="1" t="n">
        <v>45995</v>
      </c>
      <c r="D908" t="inlineStr">
        <is>
          <t>JÄMTLANDS LÄN</t>
        </is>
      </c>
      <c r="E908" t="inlineStr">
        <is>
          <t>BERG</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64752-2023</t>
        </is>
      </c>
      <c r="B909" s="1" t="n">
        <v>45281.92891203704</v>
      </c>
      <c r="C909" s="1" t="n">
        <v>45995</v>
      </c>
      <c r="D909" t="inlineStr">
        <is>
          <t>JÄMTLANDS LÄN</t>
        </is>
      </c>
      <c r="E909" t="inlineStr">
        <is>
          <t>BERG</t>
        </is>
      </c>
      <c r="F909" t="inlineStr">
        <is>
          <t>Övriga Aktiebolag</t>
        </is>
      </c>
      <c r="G909" t="n">
        <v>3.4</v>
      </c>
      <c r="H909" t="n">
        <v>0</v>
      </c>
      <c r="I909" t="n">
        <v>0</v>
      </c>
      <c r="J909" t="n">
        <v>0</v>
      </c>
      <c r="K909" t="n">
        <v>0</v>
      </c>
      <c r="L909" t="n">
        <v>0</v>
      </c>
      <c r="M909" t="n">
        <v>0</v>
      </c>
      <c r="N909" t="n">
        <v>0</v>
      </c>
      <c r="O909" t="n">
        <v>0</v>
      </c>
      <c r="P909" t="n">
        <v>0</v>
      </c>
      <c r="Q909" t="n">
        <v>0</v>
      </c>
      <c r="R909" s="2" t="inlineStr"/>
    </row>
    <row r="910" ht="15" customHeight="1">
      <c r="A910" t="inlineStr">
        <is>
          <t>A 35183-2025</t>
        </is>
      </c>
      <c r="B910" s="1" t="n">
        <v>45853.29931712963</v>
      </c>
      <c r="C910" s="1" t="n">
        <v>45995</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35363-2025</t>
        </is>
      </c>
      <c r="B911" s="1" t="n">
        <v>45854.67538194444</v>
      </c>
      <c r="C911" s="1" t="n">
        <v>45995</v>
      </c>
      <c r="D911" t="inlineStr">
        <is>
          <t>JÄMTLANDS LÄN</t>
        </is>
      </c>
      <c r="E911" t="inlineStr">
        <is>
          <t>BERG</t>
        </is>
      </c>
      <c r="G911" t="n">
        <v>9.5</v>
      </c>
      <c r="H911" t="n">
        <v>0</v>
      </c>
      <c r="I911" t="n">
        <v>0</v>
      </c>
      <c r="J911" t="n">
        <v>0</v>
      </c>
      <c r="K911" t="n">
        <v>0</v>
      </c>
      <c r="L911" t="n">
        <v>0</v>
      </c>
      <c r="M911" t="n">
        <v>0</v>
      </c>
      <c r="N911" t="n">
        <v>0</v>
      </c>
      <c r="O911" t="n">
        <v>0</v>
      </c>
      <c r="P911" t="n">
        <v>0</v>
      </c>
      <c r="Q911" t="n">
        <v>0</v>
      </c>
      <c r="R911" s="2" t="inlineStr"/>
    </row>
    <row r="912" ht="15" customHeight="1">
      <c r="A912" t="inlineStr">
        <is>
          <t>A 35213-2025</t>
        </is>
      </c>
      <c r="B912" s="1" t="n">
        <v>45853.46494212963</v>
      </c>
      <c r="C912" s="1" t="n">
        <v>45995</v>
      </c>
      <c r="D912" t="inlineStr">
        <is>
          <t>JÄMTLANDS LÄN</t>
        </is>
      </c>
      <c r="E912" t="inlineStr">
        <is>
          <t>BERG</t>
        </is>
      </c>
      <c r="G912" t="n">
        <v>0.6</v>
      </c>
      <c r="H912" t="n">
        <v>0</v>
      </c>
      <c r="I912" t="n">
        <v>0</v>
      </c>
      <c r="J912" t="n">
        <v>0</v>
      </c>
      <c r="K912" t="n">
        <v>0</v>
      </c>
      <c r="L912" t="n">
        <v>0</v>
      </c>
      <c r="M912" t="n">
        <v>0</v>
      </c>
      <c r="N912" t="n">
        <v>0</v>
      </c>
      <c r="O912" t="n">
        <v>0</v>
      </c>
      <c r="P912" t="n">
        <v>0</v>
      </c>
      <c r="Q912" t="n">
        <v>0</v>
      </c>
      <c r="R912" s="2" t="inlineStr"/>
    </row>
    <row r="913" ht="15" customHeight="1">
      <c r="A913" t="inlineStr">
        <is>
          <t>A 35184-2025</t>
        </is>
      </c>
      <c r="B913" s="1" t="n">
        <v>45853.30270833334</v>
      </c>
      <c r="C913" s="1" t="n">
        <v>45995</v>
      </c>
      <c r="D913" t="inlineStr">
        <is>
          <t>JÄMTLANDS LÄN</t>
        </is>
      </c>
      <c r="E913" t="inlineStr">
        <is>
          <t>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8069-2024</t>
        </is>
      </c>
      <c r="B914" s="1" t="n">
        <v>45351.41600694445</v>
      </c>
      <c r="C914" s="1" t="n">
        <v>45995</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35360-2025</t>
        </is>
      </c>
      <c r="B915" s="1" t="n">
        <v>45854.66877314815</v>
      </c>
      <c r="C915" s="1" t="n">
        <v>45995</v>
      </c>
      <c r="D915" t="inlineStr">
        <is>
          <t>JÄMTLANDS LÄN</t>
        </is>
      </c>
      <c r="E915" t="inlineStr">
        <is>
          <t>BERG</t>
        </is>
      </c>
      <c r="G915" t="n">
        <v>3.7</v>
      </c>
      <c r="H915" t="n">
        <v>0</v>
      </c>
      <c r="I915" t="n">
        <v>0</v>
      </c>
      <c r="J915" t="n">
        <v>0</v>
      </c>
      <c r="K915" t="n">
        <v>0</v>
      </c>
      <c r="L915" t="n">
        <v>0</v>
      </c>
      <c r="M915" t="n">
        <v>0</v>
      </c>
      <c r="N915" t="n">
        <v>0</v>
      </c>
      <c r="O915" t="n">
        <v>0</v>
      </c>
      <c r="P915" t="n">
        <v>0</v>
      </c>
      <c r="Q915" t="n">
        <v>0</v>
      </c>
      <c r="R915" s="2" t="inlineStr"/>
    </row>
    <row r="916" ht="15" customHeight="1">
      <c r="A916" t="inlineStr">
        <is>
          <t>A 35576-2025</t>
        </is>
      </c>
      <c r="B916" s="1" t="n">
        <v>45856.63608796296</v>
      </c>
      <c r="C916" s="1" t="n">
        <v>45995</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35691-2025</t>
        </is>
      </c>
      <c r="B917" s="1" t="n">
        <v>45860.344375</v>
      </c>
      <c r="C917" s="1" t="n">
        <v>45995</v>
      </c>
      <c r="D917" t="inlineStr">
        <is>
          <t>JÄMTLANDS LÄN</t>
        </is>
      </c>
      <c r="E917" t="inlineStr">
        <is>
          <t>BERG</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35681-2025</t>
        </is>
      </c>
      <c r="B918" s="1" t="n">
        <v>45859.77703703703</v>
      </c>
      <c r="C918" s="1" t="n">
        <v>45995</v>
      </c>
      <c r="D918" t="inlineStr">
        <is>
          <t>JÄMTLANDS LÄN</t>
        </is>
      </c>
      <c r="E918" t="inlineStr">
        <is>
          <t>BERG</t>
        </is>
      </c>
      <c r="G918" t="n">
        <v>27</v>
      </c>
      <c r="H918" t="n">
        <v>0</v>
      </c>
      <c r="I918" t="n">
        <v>0</v>
      </c>
      <c r="J918" t="n">
        <v>0</v>
      </c>
      <c r="K918" t="n">
        <v>0</v>
      </c>
      <c r="L918" t="n">
        <v>0</v>
      </c>
      <c r="M918" t="n">
        <v>0</v>
      </c>
      <c r="N918" t="n">
        <v>0</v>
      </c>
      <c r="O918" t="n">
        <v>0</v>
      </c>
      <c r="P918" t="n">
        <v>0</v>
      </c>
      <c r="Q918" t="n">
        <v>0</v>
      </c>
      <c r="R918" s="2" t="inlineStr"/>
    </row>
    <row r="919" ht="15" customHeight="1">
      <c r="A919" t="inlineStr">
        <is>
          <t>A 35684-2025</t>
        </is>
      </c>
      <c r="B919" s="1" t="n">
        <v>45859.88079861111</v>
      </c>
      <c r="C919" s="1" t="n">
        <v>45995</v>
      </c>
      <c r="D919" t="inlineStr">
        <is>
          <t>JÄMTLANDS LÄN</t>
        </is>
      </c>
      <c r="E919" t="inlineStr">
        <is>
          <t>BERG</t>
        </is>
      </c>
      <c r="G919" t="n">
        <v>6.1</v>
      </c>
      <c r="H919" t="n">
        <v>0</v>
      </c>
      <c r="I919" t="n">
        <v>0</v>
      </c>
      <c r="J919" t="n">
        <v>0</v>
      </c>
      <c r="K919" t="n">
        <v>0</v>
      </c>
      <c r="L919" t="n">
        <v>0</v>
      </c>
      <c r="M919" t="n">
        <v>0</v>
      </c>
      <c r="N919" t="n">
        <v>0</v>
      </c>
      <c r="O919" t="n">
        <v>0</v>
      </c>
      <c r="P919" t="n">
        <v>0</v>
      </c>
      <c r="Q919" t="n">
        <v>0</v>
      </c>
      <c r="R919" s="2" t="inlineStr"/>
    </row>
    <row r="920" ht="15" customHeight="1">
      <c r="A920" t="inlineStr">
        <is>
          <t>A 35683-2025</t>
        </is>
      </c>
      <c r="B920" s="1" t="n">
        <v>45859</v>
      </c>
      <c r="C920" s="1" t="n">
        <v>45995</v>
      </c>
      <c r="D920" t="inlineStr">
        <is>
          <t>JÄMTLANDS LÄN</t>
        </is>
      </c>
      <c r="E920" t="inlineStr">
        <is>
          <t>BERG</t>
        </is>
      </c>
      <c r="G920" t="n">
        <v>3.4</v>
      </c>
      <c r="H920" t="n">
        <v>0</v>
      </c>
      <c r="I920" t="n">
        <v>0</v>
      </c>
      <c r="J920" t="n">
        <v>0</v>
      </c>
      <c r="K920" t="n">
        <v>0</v>
      </c>
      <c r="L920" t="n">
        <v>0</v>
      </c>
      <c r="M920" t="n">
        <v>0</v>
      </c>
      <c r="N920" t="n">
        <v>0</v>
      </c>
      <c r="O920" t="n">
        <v>0</v>
      </c>
      <c r="P920" t="n">
        <v>0</v>
      </c>
      <c r="Q920" t="n">
        <v>0</v>
      </c>
      <c r="R920" s="2" t="inlineStr"/>
    </row>
    <row r="921" ht="15" customHeight="1">
      <c r="A921" t="inlineStr">
        <is>
          <t>A 36142-2025</t>
        </is>
      </c>
      <c r="B921" s="1" t="n">
        <v>45866</v>
      </c>
      <c r="C921" s="1" t="n">
        <v>45995</v>
      </c>
      <c r="D921" t="inlineStr">
        <is>
          <t>JÄMTLANDS LÄN</t>
        </is>
      </c>
      <c r="E921" t="inlineStr">
        <is>
          <t>BERG</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43137-2025</t>
        </is>
      </c>
      <c r="B922" s="1" t="n">
        <v>45909.85438657407</v>
      </c>
      <c r="C922" s="1" t="n">
        <v>45995</v>
      </c>
      <c r="D922" t="inlineStr">
        <is>
          <t>JÄMTLANDS LÄN</t>
        </is>
      </c>
      <c r="E922" t="inlineStr">
        <is>
          <t>BERG</t>
        </is>
      </c>
      <c r="F922" t="inlineStr">
        <is>
          <t>Övriga statliga verk och myndigheter</t>
        </is>
      </c>
      <c r="G922" t="n">
        <v>11.6</v>
      </c>
      <c r="H922" t="n">
        <v>0</v>
      </c>
      <c r="I922" t="n">
        <v>0</v>
      </c>
      <c r="J922" t="n">
        <v>0</v>
      </c>
      <c r="K922" t="n">
        <v>0</v>
      </c>
      <c r="L922" t="n">
        <v>0</v>
      </c>
      <c r="M922" t="n">
        <v>0</v>
      </c>
      <c r="N922" t="n">
        <v>0</v>
      </c>
      <c r="O922" t="n">
        <v>0</v>
      </c>
      <c r="P922" t="n">
        <v>0</v>
      </c>
      <c r="Q922" t="n">
        <v>0</v>
      </c>
      <c r="R922" s="2" t="inlineStr"/>
    </row>
    <row r="923" ht="15" customHeight="1">
      <c r="A923" t="inlineStr">
        <is>
          <t>A 36377-2025</t>
        </is>
      </c>
      <c r="B923" s="1" t="n">
        <v>45868.57342592593</v>
      </c>
      <c r="C923" s="1" t="n">
        <v>45995</v>
      </c>
      <c r="D923" t="inlineStr">
        <is>
          <t>JÄMTLANDS LÄN</t>
        </is>
      </c>
      <c r="E923" t="inlineStr">
        <is>
          <t>BERG</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22030-2025</t>
        </is>
      </c>
      <c r="B924" s="1" t="n">
        <v>45785.25814814815</v>
      </c>
      <c r="C924" s="1" t="n">
        <v>45995</v>
      </c>
      <c r="D924" t="inlineStr">
        <is>
          <t>JÄMTLANDS LÄN</t>
        </is>
      </c>
      <c r="E924" t="inlineStr">
        <is>
          <t>BERG</t>
        </is>
      </c>
      <c r="G924" t="n">
        <v>5</v>
      </c>
      <c r="H924" t="n">
        <v>0</v>
      </c>
      <c r="I924" t="n">
        <v>0</v>
      </c>
      <c r="J924" t="n">
        <v>0</v>
      </c>
      <c r="K924" t="n">
        <v>0</v>
      </c>
      <c r="L924" t="n">
        <v>0</v>
      </c>
      <c r="M924" t="n">
        <v>0</v>
      </c>
      <c r="N924" t="n">
        <v>0</v>
      </c>
      <c r="O924" t="n">
        <v>0</v>
      </c>
      <c r="P924" t="n">
        <v>0</v>
      </c>
      <c r="Q924" t="n">
        <v>0</v>
      </c>
      <c r="R924" s="2" t="inlineStr"/>
    </row>
    <row r="925" ht="15" customHeight="1">
      <c r="A925" t="inlineStr">
        <is>
          <t>A 36896-2025</t>
        </is>
      </c>
      <c r="B925" s="1" t="n">
        <v>45874.4740625</v>
      </c>
      <c r="C925" s="1" t="n">
        <v>45995</v>
      </c>
      <c r="D925" t="inlineStr">
        <is>
          <t>JÄMTLANDS LÄN</t>
        </is>
      </c>
      <c r="E925" t="inlineStr">
        <is>
          <t>BERG</t>
        </is>
      </c>
      <c r="G925" t="n">
        <v>3.2</v>
      </c>
      <c r="H925" t="n">
        <v>0</v>
      </c>
      <c r="I925" t="n">
        <v>0</v>
      </c>
      <c r="J925" t="n">
        <v>0</v>
      </c>
      <c r="K925" t="n">
        <v>0</v>
      </c>
      <c r="L925" t="n">
        <v>0</v>
      </c>
      <c r="M925" t="n">
        <v>0</v>
      </c>
      <c r="N925" t="n">
        <v>0</v>
      </c>
      <c r="O925" t="n">
        <v>0</v>
      </c>
      <c r="P925" t="n">
        <v>0</v>
      </c>
      <c r="Q925" t="n">
        <v>0</v>
      </c>
      <c r="R925" s="2" t="inlineStr"/>
    </row>
    <row r="926" ht="15" customHeight="1">
      <c r="A926" t="inlineStr">
        <is>
          <t>A 36714-2025</t>
        </is>
      </c>
      <c r="B926" s="1" t="n">
        <v>45873.46881944445</v>
      </c>
      <c r="C926" s="1" t="n">
        <v>45995</v>
      </c>
      <c r="D926" t="inlineStr">
        <is>
          <t>JÄMTLANDS LÄN</t>
        </is>
      </c>
      <c r="E926" t="inlineStr">
        <is>
          <t>BERG</t>
        </is>
      </c>
      <c r="F926" t="inlineStr">
        <is>
          <t>Sveaskog</t>
        </is>
      </c>
      <c r="G926" t="n">
        <v>3</v>
      </c>
      <c r="H926" t="n">
        <v>0</v>
      </c>
      <c r="I926" t="n">
        <v>0</v>
      </c>
      <c r="J926" t="n">
        <v>0</v>
      </c>
      <c r="K926" t="n">
        <v>0</v>
      </c>
      <c r="L926" t="n">
        <v>0</v>
      </c>
      <c r="M926" t="n">
        <v>0</v>
      </c>
      <c r="N926" t="n">
        <v>0</v>
      </c>
      <c r="O926" t="n">
        <v>0</v>
      </c>
      <c r="P926" t="n">
        <v>0</v>
      </c>
      <c r="Q926" t="n">
        <v>0</v>
      </c>
      <c r="R926" s="2" t="inlineStr"/>
    </row>
    <row r="927" ht="15" customHeight="1">
      <c r="A927" t="inlineStr">
        <is>
          <t>A 36668-2025</t>
        </is>
      </c>
      <c r="B927" s="1" t="n">
        <v>45873.38351851852</v>
      </c>
      <c r="C927" s="1" t="n">
        <v>45995</v>
      </c>
      <c r="D927" t="inlineStr">
        <is>
          <t>JÄMTLANDS LÄN</t>
        </is>
      </c>
      <c r="E927" t="inlineStr">
        <is>
          <t>BERG</t>
        </is>
      </c>
      <c r="G927" t="n">
        <v>6.7</v>
      </c>
      <c r="H927" t="n">
        <v>0</v>
      </c>
      <c r="I927" t="n">
        <v>0</v>
      </c>
      <c r="J927" t="n">
        <v>0</v>
      </c>
      <c r="K927" t="n">
        <v>0</v>
      </c>
      <c r="L927" t="n">
        <v>0</v>
      </c>
      <c r="M927" t="n">
        <v>0</v>
      </c>
      <c r="N927" t="n">
        <v>0</v>
      </c>
      <c r="O927" t="n">
        <v>0</v>
      </c>
      <c r="P927" t="n">
        <v>0</v>
      </c>
      <c r="Q927" t="n">
        <v>0</v>
      </c>
      <c r="R927" s="2" t="inlineStr"/>
    </row>
    <row r="928" ht="15" customHeight="1">
      <c r="A928" t="inlineStr">
        <is>
          <t>A 36718-2025</t>
        </is>
      </c>
      <c r="B928" s="1" t="n">
        <v>45873.47069444445</v>
      </c>
      <c r="C928" s="1" t="n">
        <v>45995</v>
      </c>
      <c r="D928" t="inlineStr">
        <is>
          <t>JÄMTLANDS LÄN</t>
        </is>
      </c>
      <c r="E928" t="inlineStr">
        <is>
          <t>BERG</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37066-2025</t>
        </is>
      </c>
      <c r="B929" s="1" t="n">
        <v>45875.3862962963</v>
      </c>
      <c r="C929" s="1" t="n">
        <v>45995</v>
      </c>
      <c r="D929" t="inlineStr">
        <is>
          <t>JÄMTLANDS LÄN</t>
        </is>
      </c>
      <c r="E929" t="inlineStr">
        <is>
          <t>BERG</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37201-2025</t>
        </is>
      </c>
      <c r="B930" s="1" t="n">
        <v>45875.67797453704</v>
      </c>
      <c r="C930" s="1" t="n">
        <v>45995</v>
      </c>
      <c r="D930" t="inlineStr">
        <is>
          <t>JÄMTLANDS LÄN</t>
        </is>
      </c>
      <c r="E930" t="inlineStr">
        <is>
          <t>BERG</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37062-2025</t>
        </is>
      </c>
      <c r="B931" s="1" t="n">
        <v>45875.38579861111</v>
      </c>
      <c r="C931" s="1" t="n">
        <v>45995</v>
      </c>
      <c r="D931" t="inlineStr">
        <is>
          <t>JÄMTLANDS LÄN</t>
        </is>
      </c>
      <c r="E931" t="inlineStr">
        <is>
          <t>BERG</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36341-2025</t>
        </is>
      </c>
      <c r="B932" s="1" t="n">
        <v>45868</v>
      </c>
      <c r="C932" s="1" t="n">
        <v>45995</v>
      </c>
      <c r="D932" t="inlineStr">
        <is>
          <t>JÄMTLANDS LÄN</t>
        </is>
      </c>
      <c r="E932" t="inlineStr">
        <is>
          <t>BERG</t>
        </is>
      </c>
      <c r="G932" t="n">
        <v>3.1</v>
      </c>
      <c r="H932" t="n">
        <v>0</v>
      </c>
      <c r="I932" t="n">
        <v>0</v>
      </c>
      <c r="J932" t="n">
        <v>0</v>
      </c>
      <c r="K932" t="n">
        <v>0</v>
      </c>
      <c r="L932" t="n">
        <v>0</v>
      </c>
      <c r="M932" t="n">
        <v>0</v>
      </c>
      <c r="N932" t="n">
        <v>0</v>
      </c>
      <c r="O932" t="n">
        <v>0</v>
      </c>
      <c r="P932" t="n">
        <v>0</v>
      </c>
      <c r="Q932" t="n">
        <v>0</v>
      </c>
      <c r="R932" s="2" t="inlineStr"/>
    </row>
    <row r="933" ht="15" customHeight="1">
      <c r="A933" t="inlineStr">
        <is>
          <t>A 37455-2025</t>
        </is>
      </c>
      <c r="B933" s="1" t="n">
        <v>45877.56710648148</v>
      </c>
      <c r="C933" s="1" t="n">
        <v>45995</v>
      </c>
      <c r="D933" t="inlineStr">
        <is>
          <t>JÄMTLANDS LÄN</t>
        </is>
      </c>
      <c r="E933" t="inlineStr">
        <is>
          <t>BERG</t>
        </is>
      </c>
      <c r="G933" t="n">
        <v>5.6</v>
      </c>
      <c r="H933" t="n">
        <v>0</v>
      </c>
      <c r="I933" t="n">
        <v>0</v>
      </c>
      <c r="J933" t="n">
        <v>0</v>
      </c>
      <c r="K933" t="n">
        <v>0</v>
      </c>
      <c r="L933" t="n">
        <v>0</v>
      </c>
      <c r="M933" t="n">
        <v>0</v>
      </c>
      <c r="N933" t="n">
        <v>0</v>
      </c>
      <c r="O933" t="n">
        <v>0</v>
      </c>
      <c r="P933" t="n">
        <v>0</v>
      </c>
      <c r="Q933" t="n">
        <v>0</v>
      </c>
      <c r="R933" s="2" t="inlineStr"/>
    </row>
    <row r="934" ht="15" customHeight="1">
      <c r="A934" t="inlineStr">
        <is>
          <t>A 37431-2025</t>
        </is>
      </c>
      <c r="B934" s="1" t="n">
        <v>45877.51092592593</v>
      </c>
      <c r="C934" s="1" t="n">
        <v>45995</v>
      </c>
      <c r="D934" t="inlineStr">
        <is>
          <t>JÄMTLANDS LÄN</t>
        </is>
      </c>
      <c r="E934" t="inlineStr">
        <is>
          <t>BERG</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37463-2025</t>
        </is>
      </c>
      <c r="B935" s="1" t="n">
        <v>45877.5738425926</v>
      </c>
      <c r="C935" s="1" t="n">
        <v>45995</v>
      </c>
      <c r="D935" t="inlineStr">
        <is>
          <t>JÄMTLANDS LÄN</t>
        </is>
      </c>
      <c r="E935" t="inlineStr">
        <is>
          <t>BERG</t>
        </is>
      </c>
      <c r="F935" t="inlineStr">
        <is>
          <t>SCA</t>
        </is>
      </c>
      <c r="G935" t="n">
        <v>13.3</v>
      </c>
      <c r="H935" t="n">
        <v>0</v>
      </c>
      <c r="I935" t="n">
        <v>0</v>
      </c>
      <c r="J935" t="n">
        <v>0</v>
      </c>
      <c r="K935" t="n">
        <v>0</v>
      </c>
      <c r="L935" t="n">
        <v>0</v>
      </c>
      <c r="M935" t="n">
        <v>0</v>
      </c>
      <c r="N935" t="n">
        <v>0</v>
      </c>
      <c r="O935" t="n">
        <v>0</v>
      </c>
      <c r="P935" t="n">
        <v>0</v>
      </c>
      <c r="Q935" t="n">
        <v>0</v>
      </c>
      <c r="R935" s="2" t="inlineStr"/>
    </row>
    <row r="936" ht="15" customHeight="1">
      <c r="A936" t="inlineStr">
        <is>
          <t>A 29087-2024</t>
        </is>
      </c>
      <c r="B936" s="1" t="n">
        <v>45481.92946759259</v>
      </c>
      <c r="C936" s="1" t="n">
        <v>45995</v>
      </c>
      <c r="D936" t="inlineStr">
        <is>
          <t>JÄMTLANDS LÄN</t>
        </is>
      </c>
      <c r="E936" t="inlineStr">
        <is>
          <t>BERG</t>
        </is>
      </c>
      <c r="G936" t="n">
        <v>10.7</v>
      </c>
      <c r="H936" t="n">
        <v>0</v>
      </c>
      <c r="I936" t="n">
        <v>0</v>
      </c>
      <c r="J936" t="n">
        <v>0</v>
      </c>
      <c r="K936" t="n">
        <v>0</v>
      </c>
      <c r="L936" t="n">
        <v>0</v>
      </c>
      <c r="M936" t="n">
        <v>0</v>
      </c>
      <c r="N936" t="n">
        <v>0</v>
      </c>
      <c r="O936" t="n">
        <v>0</v>
      </c>
      <c r="P936" t="n">
        <v>0</v>
      </c>
      <c r="Q936" t="n">
        <v>0</v>
      </c>
      <c r="R936" s="2" t="inlineStr"/>
    </row>
    <row r="937" ht="15" customHeight="1">
      <c r="A937" t="inlineStr">
        <is>
          <t>A 37488-2025</t>
        </is>
      </c>
      <c r="B937" s="1" t="n">
        <v>45877.63582175926</v>
      </c>
      <c r="C937" s="1" t="n">
        <v>45995</v>
      </c>
      <c r="D937" t="inlineStr">
        <is>
          <t>JÄMTLANDS LÄN</t>
        </is>
      </c>
      <c r="E937" t="inlineStr">
        <is>
          <t>BERG</t>
        </is>
      </c>
      <c r="F937" t="inlineStr">
        <is>
          <t>SCA</t>
        </is>
      </c>
      <c r="G937" t="n">
        <v>5.7</v>
      </c>
      <c r="H937" t="n">
        <v>0</v>
      </c>
      <c r="I937" t="n">
        <v>0</v>
      </c>
      <c r="J937" t="n">
        <v>0</v>
      </c>
      <c r="K937" t="n">
        <v>0</v>
      </c>
      <c r="L937" t="n">
        <v>0</v>
      </c>
      <c r="M937" t="n">
        <v>0</v>
      </c>
      <c r="N937" t="n">
        <v>0</v>
      </c>
      <c r="O937" t="n">
        <v>0</v>
      </c>
      <c r="P937" t="n">
        <v>0</v>
      </c>
      <c r="Q937" t="n">
        <v>0</v>
      </c>
      <c r="R937" s="2" t="inlineStr"/>
    </row>
    <row r="938" ht="15" customHeight="1">
      <c r="A938" t="inlineStr">
        <is>
          <t>A 38080-2025</t>
        </is>
      </c>
      <c r="B938" s="1" t="n">
        <v>45882</v>
      </c>
      <c r="C938" s="1" t="n">
        <v>45995</v>
      </c>
      <c r="D938" t="inlineStr">
        <is>
          <t>JÄMTLANDS LÄN</t>
        </is>
      </c>
      <c r="E938" t="inlineStr">
        <is>
          <t>BERG</t>
        </is>
      </c>
      <c r="F938" t="inlineStr">
        <is>
          <t>SCA</t>
        </is>
      </c>
      <c r="G938" t="n">
        <v>1.8</v>
      </c>
      <c r="H938" t="n">
        <v>0</v>
      </c>
      <c r="I938" t="n">
        <v>0</v>
      </c>
      <c r="J938" t="n">
        <v>0</v>
      </c>
      <c r="K938" t="n">
        <v>0</v>
      </c>
      <c r="L938" t="n">
        <v>0</v>
      </c>
      <c r="M938" t="n">
        <v>0</v>
      </c>
      <c r="N938" t="n">
        <v>0</v>
      </c>
      <c r="O938" t="n">
        <v>0</v>
      </c>
      <c r="P938" t="n">
        <v>0</v>
      </c>
      <c r="Q938" t="n">
        <v>0</v>
      </c>
      <c r="R938" s="2" t="inlineStr"/>
    </row>
    <row r="939">
      <c r="A939" t="inlineStr">
        <is>
          <t>A 38082-2025</t>
        </is>
      </c>
      <c r="B939" s="1" t="n">
        <v>45882</v>
      </c>
      <c r="C939" s="1" t="n">
        <v>45995</v>
      </c>
      <c r="D939" t="inlineStr">
        <is>
          <t>JÄMTLANDS LÄN</t>
        </is>
      </c>
      <c r="E939" t="inlineStr">
        <is>
          <t>BERG</t>
        </is>
      </c>
      <c r="F939" t="inlineStr">
        <is>
          <t>SCA</t>
        </is>
      </c>
      <c r="G939" t="n">
        <v>1.1</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2025-12-04T10:25:37Z</dcterms:created>
  <dcterms:modified xmlns:dcterms="http://purl.org/dc/terms/" xmlns:xsi="http://www.w3.org/2001/XMLSchema-instance" xsi:type="dcterms:W3CDTF">2025-12-04T10:25:37Z</dcterms:modified>
</cp:coreProperties>
</file>