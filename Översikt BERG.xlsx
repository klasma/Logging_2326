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46072</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46072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46072</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46072</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46072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46072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46072</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46072</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46072</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46072</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46072</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46072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46072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46072</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46072</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46072</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40860-2025</t>
        </is>
      </c>
      <c r="B45" s="1" t="n">
        <v>45897.56300925926</v>
      </c>
      <c r="C45" s="1" t="n">
        <v>46072</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37406-2022</t>
        </is>
      </c>
      <c r="B46" s="1" t="n">
        <v>44806</v>
      </c>
      <c r="C46" s="1" t="n">
        <v>46072</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46072</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46072</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46072</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46072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46072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46072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46072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46072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46072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46072</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46072</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27571-2025</t>
        </is>
      </c>
      <c r="B58" s="1" t="n">
        <v>45813.49040509259</v>
      </c>
      <c r="C58" s="1" t="n">
        <v>46072</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16508-2021</t>
        </is>
      </c>
      <c r="B59" s="1" t="n">
        <v>44293</v>
      </c>
      <c r="C59" s="1" t="n">
        <v>46072</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46072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46072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4333-2026</t>
        </is>
      </c>
      <c r="B64" s="1" t="n">
        <v>46045.485625</v>
      </c>
      <c r="C64" s="1" t="n">
        <v>46072</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20337-2025</t>
        </is>
      </c>
      <c r="B65" s="1" t="n">
        <v>45775.36545138889</v>
      </c>
      <c r="C65" s="1" t="n">
        <v>46072</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12973-2024</t>
        </is>
      </c>
      <c r="B66" s="1" t="n">
        <v>45385.51104166666</v>
      </c>
      <c r="C66" s="1" t="n">
        <v>46072</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46072</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46072</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40913-2025</t>
        </is>
      </c>
      <c r="B73" s="1" t="n">
        <v>45897.61719907408</v>
      </c>
      <c r="C73" s="1" t="n">
        <v>46072</v>
      </c>
      <c r="D73" t="inlineStr">
        <is>
          <t>JÄMTLANDS LÄN</t>
        </is>
      </c>
      <c r="E73" t="inlineStr">
        <is>
          <t>BERG</t>
        </is>
      </c>
      <c r="F73" t="inlineStr">
        <is>
          <t>SCA</t>
        </is>
      </c>
      <c r="G73" t="n">
        <v>11.3</v>
      </c>
      <c r="H73" t="n">
        <v>0</v>
      </c>
      <c r="I73" t="n">
        <v>0</v>
      </c>
      <c r="J73" t="n">
        <v>3</v>
      </c>
      <c r="K73" t="n">
        <v>1</v>
      </c>
      <c r="L73" t="n">
        <v>0</v>
      </c>
      <c r="M73" t="n">
        <v>0</v>
      </c>
      <c r="N73" t="n">
        <v>0</v>
      </c>
      <c r="O73" t="n">
        <v>4</v>
      </c>
      <c r="P73" t="n">
        <v>1</v>
      </c>
      <c r="Q73" t="n">
        <v>4</v>
      </c>
      <c r="R73" s="2" t="inlineStr">
        <is>
          <t>Gräddporing
Blanksvart spiklav
Dvärgbägarlav
Nordtagging</t>
        </is>
      </c>
      <c r="S73">
        <f>HYPERLINK("https://klasma.github.io/Logging_2326/artfynd/A 40913-2025 artfynd.xlsx", "A 40913-2025")</f>
        <v/>
      </c>
      <c r="T73">
        <f>HYPERLINK("https://klasma.github.io/Logging_2326/kartor/A 40913-2025 karta.png", "A 40913-2025")</f>
        <v/>
      </c>
      <c r="V73">
        <f>HYPERLINK("https://klasma.github.io/Logging_2326/klagomål/A 40913-2025 FSC-klagomål.docx", "A 40913-2025")</f>
        <v/>
      </c>
      <c r="W73">
        <f>HYPERLINK("https://klasma.github.io/Logging_2326/klagomålsmail/A 40913-2025 FSC-klagomål mail.docx", "A 40913-2025")</f>
        <v/>
      </c>
      <c r="X73">
        <f>HYPERLINK("https://klasma.github.io/Logging_2326/tillsyn/A 40913-2025 tillsynsbegäran.docx", "A 40913-2025")</f>
        <v/>
      </c>
      <c r="Y73">
        <f>HYPERLINK("https://klasma.github.io/Logging_2326/tillsynsmail/A 40913-2025 tillsynsbegäran mail.docx", "A 40913-2025")</f>
        <v/>
      </c>
    </row>
    <row r="74" ht="15" customHeight="1">
      <c r="A74" t="inlineStr">
        <is>
          <t>A 25871-2025</t>
        </is>
      </c>
      <c r="B74" s="1" t="n">
        <v>45804.4903125</v>
      </c>
      <c r="C74" s="1" t="n">
        <v>46072</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27574-2025</t>
        </is>
      </c>
      <c r="B75" s="1" t="n">
        <v>45813.49072916667</v>
      </c>
      <c r="C75" s="1" t="n">
        <v>46072</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56224-2024</t>
        </is>
      </c>
      <c r="B76" s="1" t="n">
        <v>45624.61491898148</v>
      </c>
      <c r="C76" s="1" t="n">
        <v>46072</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37381-2022</t>
        </is>
      </c>
      <c r="B77" s="1" t="n">
        <v>44806</v>
      </c>
      <c r="C77" s="1" t="n">
        <v>46072</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46795-2025</t>
        </is>
      </c>
      <c r="B78" s="1" t="n">
        <v>45926.65668981482</v>
      </c>
      <c r="C78" s="1" t="n">
        <v>46072</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31715-2025</t>
        </is>
      </c>
      <c r="B79" s="1" t="n">
        <v>45834.45671296296</v>
      </c>
      <c r="C79" s="1" t="n">
        <v>46072</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46072</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7891-2022</t>
        </is>
      </c>
      <c r="B81" s="1" t="n">
        <v>44607</v>
      </c>
      <c r="C81" s="1" t="n">
        <v>46072</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57276-2025</t>
        </is>
      </c>
      <c r="B82" s="1" t="n">
        <v>45979.68783564815</v>
      </c>
      <c r="C82" s="1" t="n">
        <v>46072</v>
      </c>
      <c r="D82" t="inlineStr">
        <is>
          <t>JÄMTLANDS LÄN</t>
        </is>
      </c>
      <c r="E82" t="inlineStr">
        <is>
          <t>BERG</t>
        </is>
      </c>
      <c r="G82" t="n">
        <v>4.8</v>
      </c>
      <c r="H82" t="n">
        <v>0</v>
      </c>
      <c r="I82" t="n">
        <v>1</v>
      </c>
      <c r="J82" t="n">
        <v>3</v>
      </c>
      <c r="K82" t="n">
        <v>0</v>
      </c>
      <c r="L82" t="n">
        <v>0</v>
      </c>
      <c r="M82" t="n">
        <v>0</v>
      </c>
      <c r="N82" t="n">
        <v>0</v>
      </c>
      <c r="O82" t="n">
        <v>3</v>
      </c>
      <c r="P82" t="n">
        <v>0</v>
      </c>
      <c r="Q82" t="n">
        <v>4</v>
      </c>
      <c r="R82" s="2" t="inlineStr">
        <is>
          <t>Garnlav
Lunglav
Vitgrynig nållav
Trådticka</t>
        </is>
      </c>
      <c r="S82">
        <f>HYPERLINK("https://klasma.github.io/Logging_2326/artfynd/A 57276-2025 artfynd.xlsx", "A 57276-2025")</f>
        <v/>
      </c>
      <c r="T82">
        <f>HYPERLINK("https://klasma.github.io/Logging_2326/kartor/A 57276-2025 karta.png", "A 57276-2025")</f>
        <v/>
      </c>
      <c r="V82">
        <f>HYPERLINK("https://klasma.github.io/Logging_2326/klagomål/A 57276-2025 FSC-klagomål.docx", "A 57276-2025")</f>
        <v/>
      </c>
      <c r="W82">
        <f>HYPERLINK("https://klasma.github.io/Logging_2326/klagomålsmail/A 57276-2025 FSC-klagomål mail.docx", "A 57276-2025")</f>
        <v/>
      </c>
      <c r="X82">
        <f>HYPERLINK("https://klasma.github.io/Logging_2326/tillsyn/A 57276-2025 tillsynsbegäran.docx", "A 57276-2025")</f>
        <v/>
      </c>
      <c r="Y82">
        <f>HYPERLINK("https://klasma.github.io/Logging_2326/tillsynsmail/A 57276-2025 tillsynsbegäran mail.docx", "A 57276-2025")</f>
        <v/>
      </c>
    </row>
    <row r="83" ht="15" customHeight="1">
      <c r="A83" t="inlineStr">
        <is>
          <t>A 13487-2024</t>
        </is>
      </c>
      <c r="B83" s="1" t="n">
        <v>45387</v>
      </c>
      <c r="C83" s="1" t="n">
        <v>46072</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46072</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46072</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27100-2025</t>
        </is>
      </c>
      <c r="B86" s="1" t="n">
        <v>45811.67803240741</v>
      </c>
      <c r="C86" s="1" t="n">
        <v>46072</v>
      </c>
      <c r="D86" t="inlineStr">
        <is>
          <t>JÄMTLANDS LÄN</t>
        </is>
      </c>
      <c r="E86" t="inlineStr">
        <is>
          <t>BERG</t>
        </is>
      </c>
      <c r="F86" t="inlineStr">
        <is>
          <t>SCA</t>
        </is>
      </c>
      <c r="G86" t="n">
        <v>6.1</v>
      </c>
      <c r="H86" t="n">
        <v>3</v>
      </c>
      <c r="I86" t="n">
        <v>0</v>
      </c>
      <c r="J86" t="n">
        <v>3</v>
      </c>
      <c r="K86" t="n">
        <v>0</v>
      </c>
      <c r="L86" t="n">
        <v>0</v>
      </c>
      <c r="M86" t="n">
        <v>0</v>
      </c>
      <c r="N86" t="n">
        <v>0</v>
      </c>
      <c r="O86" t="n">
        <v>3</v>
      </c>
      <c r="P86" t="n">
        <v>0</v>
      </c>
      <c r="Q86" t="n">
        <v>4</v>
      </c>
      <c r="R86" s="2" t="inlineStr">
        <is>
          <t>Granticka
Kungsörn
Tretåig hackspett
Lavskrika</t>
        </is>
      </c>
      <c r="S86">
        <f>HYPERLINK("https://klasma.github.io/Logging_2326/artfynd/A 27100-2025 artfynd.xlsx", "A 27100-2025")</f>
        <v/>
      </c>
      <c r="T86">
        <f>HYPERLINK("https://klasma.github.io/Logging_2326/kartor/A 27100-2025 karta.png", "A 27100-2025")</f>
        <v/>
      </c>
      <c r="V86">
        <f>HYPERLINK("https://klasma.github.io/Logging_2326/klagomål/A 27100-2025 FSC-klagomål.docx", "A 27100-2025")</f>
        <v/>
      </c>
      <c r="W86">
        <f>HYPERLINK("https://klasma.github.io/Logging_2326/klagomålsmail/A 27100-2025 FSC-klagomål mail.docx", "A 27100-2025")</f>
        <v/>
      </c>
      <c r="X86">
        <f>HYPERLINK("https://klasma.github.io/Logging_2326/tillsyn/A 27100-2025 tillsynsbegäran.docx", "A 27100-2025")</f>
        <v/>
      </c>
      <c r="Y86">
        <f>HYPERLINK("https://klasma.github.io/Logging_2326/tillsynsmail/A 27100-2025 tillsynsbegäran mail.docx", "A 27100-2025")</f>
        <v/>
      </c>
      <c r="Z86">
        <f>HYPERLINK("https://klasma.github.io/Logging_2326/fåglar/A 27100-2025 prioriterade fågelarter.docx", "A 27100-2025")</f>
        <v/>
      </c>
    </row>
    <row r="87" ht="15" customHeight="1">
      <c r="A87" t="inlineStr">
        <is>
          <t>A 58238-2025</t>
        </is>
      </c>
      <c r="B87" s="1" t="n">
        <v>45985.38775462963</v>
      </c>
      <c r="C87" s="1" t="n">
        <v>46072</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45424-2024</t>
        </is>
      </c>
      <c r="B88" s="1" t="n">
        <v>45576.60398148148</v>
      </c>
      <c r="C88" s="1" t="n">
        <v>46072</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46072</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46072</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46072</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46072</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46072</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46072</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46072</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46072</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46072</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52007-2025</t>
        </is>
      </c>
      <c r="B98" s="1" t="n">
        <v>45952.59424768519</v>
      </c>
      <c r="C98" s="1" t="n">
        <v>46072</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37063-2025</t>
        </is>
      </c>
      <c r="B99" s="1" t="n">
        <v>45875.38596064815</v>
      </c>
      <c r="C99" s="1" t="n">
        <v>46072</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52189-2024</t>
        </is>
      </c>
      <c r="B100" s="1" t="n">
        <v>45608</v>
      </c>
      <c r="C100" s="1" t="n">
        <v>46072</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46072</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46072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20242-2025</t>
        </is>
      </c>
      <c r="B103" s="1" t="n">
        <v>45772.69864583333</v>
      </c>
      <c r="C103" s="1" t="n">
        <v>46072</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46072</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46072</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46072</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46072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46072</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42120-2025</t>
        </is>
      </c>
      <c r="B110" s="1" t="n">
        <v>45904.34236111111</v>
      </c>
      <c r="C110" s="1" t="n">
        <v>46072</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27647-2025</t>
        </is>
      </c>
      <c r="B111" s="1" t="n">
        <v>45813.59454861111</v>
      </c>
      <c r="C111" s="1" t="n">
        <v>46072</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31709-2025</t>
        </is>
      </c>
      <c r="B112" s="1" t="n">
        <v>45834.42543981481</v>
      </c>
      <c r="C112" s="1" t="n">
        <v>46072</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47858-2025</t>
        </is>
      </c>
      <c r="B113" s="1" t="n">
        <v>45932.40699074074</v>
      </c>
      <c r="C113" s="1" t="n">
        <v>46072</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50389-2025</t>
        </is>
      </c>
      <c r="B114" s="1" t="n">
        <v>45944.61539351852</v>
      </c>
      <c r="C114" s="1" t="n">
        <v>46072</v>
      </c>
      <c r="D114" t="inlineStr">
        <is>
          <t>JÄMTLANDS LÄN</t>
        </is>
      </c>
      <c r="E114" t="inlineStr">
        <is>
          <t>BERG</t>
        </is>
      </c>
      <c r="F114" t="inlineStr">
        <is>
          <t>SCA</t>
        </is>
      </c>
      <c r="G114" t="n">
        <v>11.4</v>
      </c>
      <c r="H114" t="n">
        <v>1</v>
      </c>
      <c r="I114" t="n">
        <v>0</v>
      </c>
      <c r="J114" t="n">
        <v>0</v>
      </c>
      <c r="K114" t="n">
        <v>0</v>
      </c>
      <c r="L114" t="n">
        <v>0</v>
      </c>
      <c r="M114" t="n">
        <v>0</v>
      </c>
      <c r="N114" t="n">
        <v>0</v>
      </c>
      <c r="O114" t="n">
        <v>1</v>
      </c>
      <c r="P114" t="n">
        <v>0</v>
      </c>
      <c r="Q114" t="n">
        <v>2</v>
      </c>
      <c r="R114" s="2" t="inlineStr">
        <is>
          <t>Halsfibbla
Fläcknycklar</t>
        </is>
      </c>
      <c r="S114">
        <f>HYPERLINK("https://klasma.github.io/Logging_2326/artfynd/A 50389-2025 artfynd.xlsx", "A 50389-2025")</f>
        <v/>
      </c>
      <c r="T114">
        <f>HYPERLINK("https://klasma.github.io/Logging_2326/kartor/A 50389-2025 karta.png", "A 50389-2025")</f>
        <v/>
      </c>
      <c r="V114">
        <f>HYPERLINK("https://klasma.github.io/Logging_2326/klagomål/A 50389-2025 FSC-klagomål.docx", "A 50389-2025")</f>
        <v/>
      </c>
      <c r="W114">
        <f>HYPERLINK("https://klasma.github.io/Logging_2326/klagomålsmail/A 50389-2025 FSC-klagomål mail.docx", "A 50389-2025")</f>
        <v/>
      </c>
      <c r="X114">
        <f>HYPERLINK("https://klasma.github.io/Logging_2326/tillsyn/A 50389-2025 tillsynsbegäran.docx", "A 50389-2025")</f>
        <v/>
      </c>
      <c r="Y114">
        <f>HYPERLINK("https://klasma.github.io/Logging_2326/tillsynsmail/A 50389-2025 tillsynsbegäran mail.docx", "A 50389-2025")</f>
        <v/>
      </c>
    </row>
    <row r="115" ht="15" customHeight="1">
      <c r="A115" t="inlineStr">
        <is>
          <t>A 30334-2024</t>
        </is>
      </c>
      <c r="B115" s="1" t="n">
        <v>45490.95396990741</v>
      </c>
      <c r="C115" s="1" t="n">
        <v>46072</v>
      </c>
      <c r="D115" t="inlineStr">
        <is>
          <t>JÄMTLANDS LÄN</t>
        </is>
      </c>
      <c r="E115" t="inlineStr">
        <is>
          <t>BERG</t>
        </is>
      </c>
      <c r="F115" t="inlineStr">
        <is>
          <t>SCA</t>
        </is>
      </c>
      <c r="G115" t="n">
        <v>1.8</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30334-2024 artfynd.xlsx", "A 30334-2024")</f>
        <v/>
      </c>
      <c r="T115">
        <f>HYPERLINK("https://klasma.github.io/Logging_2326/kartor/A 30334-2024 karta.png", "A 30334-2024")</f>
        <v/>
      </c>
      <c r="V115">
        <f>HYPERLINK("https://klasma.github.io/Logging_2326/klagomål/A 30334-2024 FSC-klagomål.docx", "A 30334-2024")</f>
        <v/>
      </c>
      <c r="W115">
        <f>HYPERLINK("https://klasma.github.io/Logging_2326/klagomålsmail/A 30334-2024 FSC-klagomål mail.docx", "A 30334-2024")</f>
        <v/>
      </c>
      <c r="X115">
        <f>HYPERLINK("https://klasma.github.io/Logging_2326/tillsyn/A 30334-2024 tillsynsbegäran.docx", "A 30334-2024")</f>
        <v/>
      </c>
      <c r="Y115">
        <f>HYPERLINK("https://klasma.github.io/Logging_2326/tillsynsmail/A 30334-2024 tillsynsbegäran mail.docx", "A 30334-2024")</f>
        <v/>
      </c>
    </row>
    <row r="116" ht="15" customHeight="1">
      <c r="A116" t="inlineStr">
        <is>
          <t>A 52611-2025</t>
        </is>
      </c>
      <c r="B116" s="1" t="n">
        <v>45954.66971064815</v>
      </c>
      <c r="C116" s="1" t="n">
        <v>46072</v>
      </c>
      <c r="D116" t="inlineStr">
        <is>
          <t>JÄMTLANDS LÄN</t>
        </is>
      </c>
      <c r="E116" t="inlineStr">
        <is>
          <t>BERG</t>
        </is>
      </c>
      <c r="F116" t="inlineStr">
        <is>
          <t>Kyrkan</t>
        </is>
      </c>
      <c r="G116" t="n">
        <v>6.3</v>
      </c>
      <c r="H116" t="n">
        <v>1</v>
      </c>
      <c r="I116" t="n">
        <v>0</v>
      </c>
      <c r="J116" t="n">
        <v>1</v>
      </c>
      <c r="K116" t="n">
        <v>0</v>
      </c>
      <c r="L116" t="n">
        <v>0</v>
      </c>
      <c r="M116" t="n">
        <v>0</v>
      </c>
      <c r="N116" t="n">
        <v>0</v>
      </c>
      <c r="O116" t="n">
        <v>1</v>
      </c>
      <c r="P116" t="n">
        <v>0</v>
      </c>
      <c r="Q116" t="n">
        <v>2</v>
      </c>
      <c r="R116" s="2" t="inlineStr">
        <is>
          <t>Garnlav
Revlummer</t>
        </is>
      </c>
      <c r="S116">
        <f>HYPERLINK("https://klasma.github.io/Logging_2326/artfynd/A 52611-2025 artfynd.xlsx", "A 52611-2025")</f>
        <v/>
      </c>
      <c r="T116">
        <f>HYPERLINK("https://klasma.github.io/Logging_2326/kartor/A 52611-2025 karta.png", "A 52611-2025")</f>
        <v/>
      </c>
      <c r="V116">
        <f>HYPERLINK("https://klasma.github.io/Logging_2326/klagomål/A 52611-2025 FSC-klagomål.docx", "A 52611-2025")</f>
        <v/>
      </c>
      <c r="W116">
        <f>HYPERLINK("https://klasma.github.io/Logging_2326/klagomålsmail/A 52611-2025 FSC-klagomål mail.docx", "A 52611-2025")</f>
        <v/>
      </c>
      <c r="X116">
        <f>HYPERLINK("https://klasma.github.io/Logging_2326/tillsyn/A 52611-2025 tillsynsbegäran.docx", "A 52611-2025")</f>
        <v/>
      </c>
      <c r="Y116">
        <f>HYPERLINK("https://klasma.github.io/Logging_2326/tillsynsmail/A 52611-2025 tillsynsbegäran mail.docx", "A 52611-2025")</f>
        <v/>
      </c>
    </row>
    <row r="117" ht="15" customHeight="1">
      <c r="A117" t="inlineStr">
        <is>
          <t>A 52600-2025</t>
        </is>
      </c>
      <c r="B117" s="1" t="n">
        <v>45954.65657407408</v>
      </c>
      <c r="C117" s="1" t="n">
        <v>46072</v>
      </c>
      <c r="D117" t="inlineStr">
        <is>
          <t>JÄMTLANDS LÄN</t>
        </is>
      </c>
      <c r="E117" t="inlineStr">
        <is>
          <t>BERG</t>
        </is>
      </c>
      <c r="F117" t="inlineStr">
        <is>
          <t>Kyrkan</t>
        </is>
      </c>
      <c r="G117" t="n">
        <v>5.8</v>
      </c>
      <c r="H117" t="n">
        <v>0</v>
      </c>
      <c r="I117" t="n">
        <v>0</v>
      </c>
      <c r="J117" t="n">
        <v>2</v>
      </c>
      <c r="K117" t="n">
        <v>0</v>
      </c>
      <c r="L117" t="n">
        <v>0</v>
      </c>
      <c r="M117" t="n">
        <v>0</v>
      </c>
      <c r="N117" t="n">
        <v>0</v>
      </c>
      <c r="O117" t="n">
        <v>2</v>
      </c>
      <c r="P117" t="n">
        <v>0</v>
      </c>
      <c r="Q117" t="n">
        <v>2</v>
      </c>
      <c r="R117" s="2" t="inlineStr">
        <is>
          <t>Garnlav
Lunglav</t>
        </is>
      </c>
      <c r="S117">
        <f>HYPERLINK("https://klasma.github.io/Logging_2326/artfynd/A 52600-2025 artfynd.xlsx", "A 52600-2025")</f>
        <v/>
      </c>
      <c r="T117">
        <f>HYPERLINK("https://klasma.github.io/Logging_2326/kartor/A 52600-2025 karta.png", "A 52600-2025")</f>
        <v/>
      </c>
      <c r="V117">
        <f>HYPERLINK("https://klasma.github.io/Logging_2326/klagomål/A 52600-2025 FSC-klagomål.docx", "A 52600-2025")</f>
        <v/>
      </c>
      <c r="W117">
        <f>HYPERLINK("https://klasma.github.io/Logging_2326/klagomålsmail/A 52600-2025 FSC-klagomål mail.docx", "A 52600-2025")</f>
        <v/>
      </c>
      <c r="X117">
        <f>HYPERLINK("https://klasma.github.io/Logging_2326/tillsyn/A 52600-2025 tillsynsbegäran.docx", "A 52600-2025")</f>
        <v/>
      </c>
      <c r="Y117">
        <f>HYPERLINK("https://klasma.github.io/Logging_2326/tillsynsmail/A 52600-2025 tillsynsbegäran mail.docx", "A 52600-2025")</f>
        <v/>
      </c>
    </row>
    <row r="118" ht="15" customHeight="1">
      <c r="A118" t="inlineStr">
        <is>
          <t>A 8734-2025</t>
        </is>
      </c>
      <c r="B118" s="1" t="n">
        <v>45712.53209490741</v>
      </c>
      <c r="C118" s="1" t="n">
        <v>46072</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5122-2026</t>
        </is>
      </c>
      <c r="B119" s="1" t="n">
        <v>46049.58273148148</v>
      </c>
      <c r="C119" s="1" t="n">
        <v>46072</v>
      </c>
      <c r="D119" t="inlineStr">
        <is>
          <t>JÄMTLANDS LÄN</t>
        </is>
      </c>
      <c r="E119" t="inlineStr">
        <is>
          <t>BERG</t>
        </is>
      </c>
      <c r="F119" t="inlineStr">
        <is>
          <t>Sveaskog</t>
        </is>
      </c>
      <c r="G119" t="n">
        <v>9</v>
      </c>
      <c r="H119" t="n">
        <v>1</v>
      </c>
      <c r="I119" t="n">
        <v>1</v>
      </c>
      <c r="J119" t="n">
        <v>1</v>
      </c>
      <c r="K119" t="n">
        <v>0</v>
      </c>
      <c r="L119" t="n">
        <v>0</v>
      </c>
      <c r="M119" t="n">
        <v>0</v>
      </c>
      <c r="N119" t="n">
        <v>0</v>
      </c>
      <c r="O119" t="n">
        <v>1</v>
      </c>
      <c r="P119" t="n">
        <v>0</v>
      </c>
      <c r="Q119" t="n">
        <v>2</v>
      </c>
      <c r="R119" s="2" t="inlineStr">
        <is>
          <t>Garnlav
Plattlummer</t>
        </is>
      </c>
      <c r="S119">
        <f>HYPERLINK("https://klasma.github.io/Logging_2326/artfynd/A 5122-2026 artfynd.xlsx", "A 5122-2026")</f>
        <v/>
      </c>
      <c r="T119">
        <f>HYPERLINK("https://klasma.github.io/Logging_2326/kartor/A 5122-2026 karta.png", "A 5122-2026")</f>
        <v/>
      </c>
      <c r="V119">
        <f>HYPERLINK("https://klasma.github.io/Logging_2326/klagomål/A 5122-2026 FSC-klagomål.docx", "A 5122-2026")</f>
        <v/>
      </c>
      <c r="W119">
        <f>HYPERLINK("https://klasma.github.io/Logging_2326/klagomålsmail/A 5122-2026 FSC-klagomål mail.docx", "A 5122-2026")</f>
        <v/>
      </c>
      <c r="X119">
        <f>HYPERLINK("https://klasma.github.io/Logging_2326/tillsyn/A 5122-2026 tillsynsbegäran.docx", "A 5122-2026")</f>
        <v/>
      </c>
      <c r="Y119">
        <f>HYPERLINK("https://klasma.github.io/Logging_2326/tillsynsmail/A 5122-2026 tillsynsbegäran mail.docx", "A 5122-2026")</f>
        <v/>
      </c>
    </row>
    <row r="120" ht="15" customHeight="1">
      <c r="A120" t="inlineStr">
        <is>
          <t>A 14344-2025</t>
        </is>
      </c>
      <c r="B120" s="1" t="n">
        <v>45741</v>
      </c>
      <c r="C120" s="1" t="n">
        <v>46072</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27919-2024</t>
        </is>
      </c>
      <c r="B121" s="1" t="n">
        <v>45475.94865740741</v>
      </c>
      <c r="C121" s="1" t="n">
        <v>46072</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46072</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19948-2025</t>
        </is>
      </c>
      <c r="B123" s="1" t="n">
        <v>45771</v>
      </c>
      <c r="C123" s="1" t="n">
        <v>46072</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14588-2021</t>
        </is>
      </c>
      <c r="B124" s="1" t="n">
        <v>44279</v>
      </c>
      <c r="C124" s="1" t="n">
        <v>46072</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62161-2025</t>
        </is>
      </c>
      <c r="B125" s="1" t="n">
        <v>46006.49113425926</v>
      </c>
      <c r="C125" s="1" t="n">
        <v>46072</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46072</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48880-2023</t>
        </is>
      </c>
      <c r="B127" s="1" t="n">
        <v>45209</v>
      </c>
      <c r="C127" s="1" t="n">
        <v>46072</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47-2023</t>
        </is>
      </c>
      <c r="B128" s="1" t="n">
        <v>44928</v>
      </c>
      <c r="C128" s="1" t="n">
        <v>46072</v>
      </c>
      <c r="D128" t="inlineStr">
        <is>
          <t>JÄMTLANDS LÄN</t>
        </is>
      </c>
      <c r="E128" t="inlineStr">
        <is>
          <t>BERG</t>
        </is>
      </c>
      <c r="F128" t="inlineStr">
        <is>
          <t>Naturvårdsverket</t>
        </is>
      </c>
      <c r="G128" t="n">
        <v>1.5</v>
      </c>
      <c r="H128" t="n">
        <v>1</v>
      </c>
      <c r="I128" t="n">
        <v>0</v>
      </c>
      <c r="J128" t="n">
        <v>1</v>
      </c>
      <c r="K128" t="n">
        <v>1</v>
      </c>
      <c r="L128" t="n">
        <v>0</v>
      </c>
      <c r="M128" t="n">
        <v>0</v>
      </c>
      <c r="N128" t="n">
        <v>0</v>
      </c>
      <c r="O128" t="n">
        <v>2</v>
      </c>
      <c r="P128" t="n">
        <v>1</v>
      </c>
      <c r="Q128" t="n">
        <v>2</v>
      </c>
      <c r="R128" s="2" t="inlineStr">
        <is>
          <t>Knärot
Violettgrå tagellav</t>
        </is>
      </c>
      <c r="S128">
        <f>HYPERLINK("https://klasma.github.io/Logging_2326/artfynd/A 47-2023 artfynd.xlsx", "A 47-2023")</f>
        <v/>
      </c>
      <c r="T128">
        <f>HYPERLINK("https://klasma.github.io/Logging_2326/kartor/A 47-2023 karta.png", "A 47-2023")</f>
        <v/>
      </c>
      <c r="U128">
        <f>HYPERLINK("https://klasma.github.io/Logging_2326/knärot/A 47-2023 karta knärot.png", "A 47-2023")</f>
        <v/>
      </c>
      <c r="V128">
        <f>HYPERLINK("https://klasma.github.io/Logging_2326/klagomål/A 47-2023 FSC-klagomål.docx", "A 47-2023")</f>
        <v/>
      </c>
      <c r="W128">
        <f>HYPERLINK("https://klasma.github.io/Logging_2326/klagomålsmail/A 47-2023 FSC-klagomål mail.docx", "A 47-2023")</f>
        <v/>
      </c>
      <c r="X128">
        <f>HYPERLINK("https://klasma.github.io/Logging_2326/tillsyn/A 47-2023 tillsynsbegäran.docx", "A 47-2023")</f>
        <v/>
      </c>
      <c r="Y128">
        <f>HYPERLINK("https://klasma.github.io/Logging_2326/tillsynsmail/A 47-2023 tillsynsbegäran mail.docx", "A 47-2023")</f>
        <v/>
      </c>
    </row>
    <row r="129" ht="15" customHeight="1">
      <c r="A129" t="inlineStr">
        <is>
          <t>A 26944-2024</t>
        </is>
      </c>
      <c r="B129" s="1" t="n">
        <v>45470.96880787037</v>
      </c>
      <c r="C129" s="1" t="n">
        <v>46072</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33009-2024</t>
        </is>
      </c>
      <c r="B130" s="1" t="n">
        <v>45517.50332175926</v>
      </c>
      <c r="C130" s="1" t="n">
        <v>46072</v>
      </c>
      <c r="D130" t="inlineStr">
        <is>
          <t>JÄMTLANDS LÄN</t>
        </is>
      </c>
      <c r="E130" t="inlineStr">
        <is>
          <t>BERG</t>
        </is>
      </c>
      <c r="G130" t="n">
        <v>2.7</v>
      </c>
      <c r="H130" t="n">
        <v>1</v>
      </c>
      <c r="I130" t="n">
        <v>0</v>
      </c>
      <c r="J130" t="n">
        <v>2</v>
      </c>
      <c r="K130" t="n">
        <v>0</v>
      </c>
      <c r="L130" t="n">
        <v>0</v>
      </c>
      <c r="M130" t="n">
        <v>0</v>
      </c>
      <c r="N130" t="n">
        <v>0</v>
      </c>
      <c r="O130" t="n">
        <v>2</v>
      </c>
      <c r="P130" t="n">
        <v>0</v>
      </c>
      <c r="Q130" t="n">
        <v>2</v>
      </c>
      <c r="R130" s="2" t="inlineStr">
        <is>
          <t>Garnlav
Talltita</t>
        </is>
      </c>
      <c r="S130">
        <f>HYPERLINK("https://klasma.github.io/Logging_2326/artfynd/A 33009-2024 artfynd.xlsx", "A 33009-2024")</f>
        <v/>
      </c>
      <c r="T130">
        <f>HYPERLINK("https://klasma.github.io/Logging_2326/kartor/A 33009-2024 karta.png", "A 33009-2024")</f>
        <v/>
      </c>
      <c r="V130">
        <f>HYPERLINK("https://klasma.github.io/Logging_2326/klagomål/A 33009-2024 FSC-klagomål.docx", "A 33009-2024")</f>
        <v/>
      </c>
      <c r="W130">
        <f>HYPERLINK("https://klasma.github.io/Logging_2326/klagomålsmail/A 33009-2024 FSC-klagomål mail.docx", "A 33009-2024")</f>
        <v/>
      </c>
      <c r="X130">
        <f>HYPERLINK("https://klasma.github.io/Logging_2326/tillsyn/A 33009-2024 tillsynsbegäran.docx", "A 33009-2024")</f>
        <v/>
      </c>
      <c r="Y130">
        <f>HYPERLINK("https://klasma.github.io/Logging_2326/tillsynsmail/A 33009-2024 tillsynsbegäran mail.docx", "A 33009-2024")</f>
        <v/>
      </c>
      <c r="Z130">
        <f>HYPERLINK("https://klasma.github.io/Logging_2326/fåglar/A 33009-2024 prioriterade fågelarter.docx", "A 33009-2024")</f>
        <v/>
      </c>
    </row>
    <row r="131" ht="15" customHeight="1">
      <c r="A131" t="inlineStr">
        <is>
          <t>A 12734-2024</t>
        </is>
      </c>
      <c r="B131" s="1" t="n">
        <v>45384</v>
      </c>
      <c r="C131" s="1" t="n">
        <v>46072</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55331-2023</t>
        </is>
      </c>
      <c r="B132" s="1" t="n">
        <v>45237</v>
      </c>
      <c r="C132" s="1" t="n">
        <v>46072</v>
      </c>
      <c r="D132" t="inlineStr">
        <is>
          <t>JÄMTLANDS LÄN</t>
        </is>
      </c>
      <c r="E132" t="inlineStr">
        <is>
          <t>BERG</t>
        </is>
      </c>
      <c r="F132" t="inlineStr">
        <is>
          <t>SCA</t>
        </is>
      </c>
      <c r="G132" t="n">
        <v>8.800000000000001</v>
      </c>
      <c r="H132" t="n">
        <v>1</v>
      </c>
      <c r="I132" t="n">
        <v>1</v>
      </c>
      <c r="J132" t="n">
        <v>0</v>
      </c>
      <c r="K132" t="n">
        <v>0</v>
      </c>
      <c r="L132" t="n">
        <v>0</v>
      </c>
      <c r="M132" t="n">
        <v>0</v>
      </c>
      <c r="N132" t="n">
        <v>0</v>
      </c>
      <c r="O132" t="n">
        <v>0</v>
      </c>
      <c r="P132" t="n">
        <v>0</v>
      </c>
      <c r="Q132" t="n">
        <v>2</v>
      </c>
      <c r="R132" s="2" t="inlineStr">
        <is>
          <t>Tibast
Fläcknycklar</t>
        </is>
      </c>
      <c r="S132">
        <f>HYPERLINK("https://klasma.github.io/Logging_2326/artfynd/A 55331-2023 artfynd.xlsx", "A 55331-2023")</f>
        <v/>
      </c>
      <c r="T132">
        <f>HYPERLINK("https://klasma.github.io/Logging_2326/kartor/A 55331-2023 karta.png", "A 55331-2023")</f>
        <v/>
      </c>
      <c r="V132">
        <f>HYPERLINK("https://klasma.github.io/Logging_2326/klagomål/A 55331-2023 FSC-klagomål.docx", "A 55331-2023")</f>
        <v/>
      </c>
      <c r="W132">
        <f>HYPERLINK("https://klasma.github.io/Logging_2326/klagomålsmail/A 55331-2023 FSC-klagomål mail.docx", "A 55331-2023")</f>
        <v/>
      </c>
      <c r="X132">
        <f>HYPERLINK("https://klasma.github.io/Logging_2326/tillsyn/A 55331-2023 tillsynsbegäran.docx", "A 55331-2023")</f>
        <v/>
      </c>
      <c r="Y132">
        <f>HYPERLINK("https://klasma.github.io/Logging_2326/tillsynsmail/A 55331-2023 tillsynsbegäran mail.docx", "A 55331-2023")</f>
        <v/>
      </c>
    </row>
    <row r="133" ht="15" customHeight="1">
      <c r="A133" t="inlineStr">
        <is>
          <t>A 10133-2023</t>
        </is>
      </c>
      <c r="B133" s="1" t="n">
        <v>44986</v>
      </c>
      <c r="C133" s="1" t="n">
        <v>46072</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28769-2024</t>
        </is>
      </c>
      <c r="B134" s="1" t="n">
        <v>45478</v>
      </c>
      <c r="C134" s="1" t="n">
        <v>46072</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60333-2024</t>
        </is>
      </c>
      <c r="B135" s="1" t="n">
        <v>45643</v>
      </c>
      <c r="C135" s="1" t="n">
        <v>46072</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21518-2025</t>
        </is>
      </c>
      <c r="B136" s="1" t="n">
        <v>45782</v>
      </c>
      <c r="C136" s="1" t="n">
        <v>46072</v>
      </c>
      <c r="D136" t="inlineStr">
        <is>
          <t>JÄMTLANDS LÄN</t>
        </is>
      </c>
      <c r="E136" t="inlineStr">
        <is>
          <t>BERG</t>
        </is>
      </c>
      <c r="F136" t="inlineStr">
        <is>
          <t>SCA</t>
        </is>
      </c>
      <c r="G136" t="n">
        <v>3.6</v>
      </c>
      <c r="H136" t="n">
        <v>0</v>
      </c>
      <c r="I136" t="n">
        <v>1</v>
      </c>
      <c r="J136" t="n">
        <v>1</v>
      </c>
      <c r="K136" t="n">
        <v>0</v>
      </c>
      <c r="L136" t="n">
        <v>0</v>
      </c>
      <c r="M136" t="n">
        <v>0</v>
      </c>
      <c r="N136" t="n">
        <v>0</v>
      </c>
      <c r="O136" t="n">
        <v>1</v>
      </c>
      <c r="P136" t="n">
        <v>0</v>
      </c>
      <c r="Q136" t="n">
        <v>2</v>
      </c>
      <c r="R136" s="2" t="inlineStr">
        <is>
          <t>Dvärgbägarlav
Skarp dropptaggsvamp</t>
        </is>
      </c>
      <c r="S136">
        <f>HYPERLINK("https://klasma.github.io/Logging_2326/artfynd/A 21518-2025 artfynd.xlsx", "A 21518-2025")</f>
        <v/>
      </c>
      <c r="T136">
        <f>HYPERLINK("https://klasma.github.io/Logging_2326/kartor/A 21518-2025 karta.png", "A 21518-2025")</f>
        <v/>
      </c>
      <c r="V136">
        <f>HYPERLINK("https://klasma.github.io/Logging_2326/klagomål/A 21518-2025 FSC-klagomål.docx", "A 21518-2025")</f>
        <v/>
      </c>
      <c r="W136">
        <f>HYPERLINK("https://klasma.github.io/Logging_2326/klagomålsmail/A 21518-2025 FSC-klagomål mail.docx", "A 21518-2025")</f>
        <v/>
      </c>
      <c r="X136">
        <f>HYPERLINK("https://klasma.github.io/Logging_2326/tillsyn/A 21518-2025 tillsynsbegäran.docx", "A 21518-2025")</f>
        <v/>
      </c>
      <c r="Y136">
        <f>HYPERLINK("https://klasma.github.io/Logging_2326/tillsynsmail/A 21518-2025 tillsynsbegäran mail.docx", "A 21518-2025")</f>
        <v/>
      </c>
    </row>
    <row r="137" ht="15" customHeight="1">
      <c r="A137" t="inlineStr">
        <is>
          <t>A 16834-2021</t>
        </is>
      </c>
      <c r="B137" s="1" t="n">
        <v>44293</v>
      </c>
      <c r="C137" s="1" t="n">
        <v>46072</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46072</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53708-2024</t>
        </is>
      </c>
      <c r="B139" s="1" t="n">
        <v>45615.40983796296</v>
      </c>
      <c r="C139" s="1" t="n">
        <v>46072</v>
      </c>
      <c r="D139" t="inlineStr">
        <is>
          <t>JÄMTLANDS LÄN</t>
        </is>
      </c>
      <c r="E139" t="inlineStr">
        <is>
          <t>BERG</t>
        </is>
      </c>
      <c r="G139" t="n">
        <v>8.199999999999999</v>
      </c>
      <c r="H139" t="n">
        <v>0</v>
      </c>
      <c r="I139" t="n">
        <v>0</v>
      </c>
      <c r="J139" t="n">
        <v>1</v>
      </c>
      <c r="K139" t="n">
        <v>0</v>
      </c>
      <c r="L139" t="n">
        <v>0</v>
      </c>
      <c r="M139" t="n">
        <v>0</v>
      </c>
      <c r="N139" t="n">
        <v>0</v>
      </c>
      <c r="O139" t="n">
        <v>1</v>
      </c>
      <c r="P139" t="n">
        <v>0</v>
      </c>
      <c r="Q139" t="n">
        <v>1</v>
      </c>
      <c r="R139" s="2" t="inlineStr">
        <is>
          <t>Lunglav</t>
        </is>
      </c>
      <c r="S139">
        <f>HYPERLINK("https://klasma.github.io/Logging_2326/artfynd/A 53708-2024 artfynd.xlsx", "A 53708-2024")</f>
        <v/>
      </c>
      <c r="T139">
        <f>HYPERLINK("https://klasma.github.io/Logging_2326/kartor/A 53708-2024 karta.png", "A 53708-2024")</f>
        <v/>
      </c>
      <c r="V139">
        <f>HYPERLINK("https://klasma.github.io/Logging_2326/klagomål/A 53708-2024 FSC-klagomål.docx", "A 53708-2024")</f>
        <v/>
      </c>
      <c r="W139">
        <f>HYPERLINK("https://klasma.github.io/Logging_2326/klagomålsmail/A 53708-2024 FSC-klagomål mail.docx", "A 53708-2024")</f>
        <v/>
      </c>
      <c r="X139">
        <f>HYPERLINK("https://klasma.github.io/Logging_2326/tillsyn/A 53708-2024 tillsynsbegäran.docx", "A 53708-2024")</f>
        <v/>
      </c>
      <c r="Y139">
        <f>HYPERLINK("https://klasma.github.io/Logging_2326/tillsynsmail/A 53708-2024 tillsynsbegäran mail.docx", "A 53708-2024")</f>
        <v/>
      </c>
    </row>
    <row r="140" ht="15" customHeight="1">
      <c r="A140" t="inlineStr">
        <is>
          <t>A 49276-2024</t>
        </is>
      </c>
      <c r="B140" s="1" t="n">
        <v>45595.50819444445</v>
      </c>
      <c r="C140" s="1" t="n">
        <v>46072</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33126-2024</t>
        </is>
      </c>
      <c r="B141" s="1" t="n">
        <v>45517.9575462963</v>
      </c>
      <c r="C141" s="1" t="n">
        <v>46072</v>
      </c>
      <c r="D141" t="inlineStr">
        <is>
          <t>JÄMTLANDS LÄN</t>
        </is>
      </c>
      <c r="E141" t="inlineStr">
        <is>
          <t>BERG</t>
        </is>
      </c>
      <c r="F141" t="inlineStr">
        <is>
          <t>SCA</t>
        </is>
      </c>
      <c r="G141" t="n">
        <v>4.2</v>
      </c>
      <c r="H141" t="n">
        <v>0</v>
      </c>
      <c r="I141" t="n">
        <v>0</v>
      </c>
      <c r="J141" t="n">
        <v>0</v>
      </c>
      <c r="K141" t="n">
        <v>1</v>
      </c>
      <c r="L141" t="n">
        <v>0</v>
      </c>
      <c r="M141" t="n">
        <v>0</v>
      </c>
      <c r="N141" t="n">
        <v>0</v>
      </c>
      <c r="O141" t="n">
        <v>1</v>
      </c>
      <c r="P141" t="n">
        <v>1</v>
      </c>
      <c r="Q141" t="n">
        <v>1</v>
      </c>
      <c r="R141" s="2" t="inlineStr">
        <is>
          <t>Gräddporing</t>
        </is>
      </c>
      <c r="S141">
        <f>HYPERLINK("https://klasma.github.io/Logging_2326/artfynd/A 33126-2024 artfynd.xlsx", "A 33126-2024")</f>
        <v/>
      </c>
      <c r="T141">
        <f>HYPERLINK("https://klasma.github.io/Logging_2326/kartor/A 33126-2024 karta.png", "A 33126-2024")</f>
        <v/>
      </c>
      <c r="V141">
        <f>HYPERLINK("https://klasma.github.io/Logging_2326/klagomål/A 33126-2024 FSC-klagomål.docx", "A 33126-2024")</f>
        <v/>
      </c>
      <c r="W141">
        <f>HYPERLINK("https://klasma.github.io/Logging_2326/klagomålsmail/A 33126-2024 FSC-klagomål mail.docx", "A 33126-2024")</f>
        <v/>
      </c>
      <c r="X141">
        <f>HYPERLINK("https://klasma.github.io/Logging_2326/tillsyn/A 33126-2024 tillsynsbegäran.docx", "A 33126-2024")</f>
        <v/>
      </c>
      <c r="Y141">
        <f>HYPERLINK("https://klasma.github.io/Logging_2326/tillsynsmail/A 33126-2024 tillsynsbegäran mail.docx", "A 33126-2024")</f>
        <v/>
      </c>
    </row>
    <row r="142" ht="15" customHeight="1">
      <c r="A142" t="inlineStr">
        <is>
          <t>A 39001-2025</t>
        </is>
      </c>
      <c r="B142" s="1" t="n">
        <v>45888.344375</v>
      </c>
      <c r="C142" s="1" t="n">
        <v>46072</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56198-2025</t>
        </is>
      </c>
      <c r="B143" s="1" t="n">
        <v>45974.45760416667</v>
      </c>
      <c r="C143" s="1" t="n">
        <v>46072</v>
      </c>
      <c r="D143" t="inlineStr">
        <is>
          <t>JÄMTLANDS LÄN</t>
        </is>
      </c>
      <c r="E143" t="inlineStr">
        <is>
          <t>BERG</t>
        </is>
      </c>
      <c r="G143" t="n">
        <v>8.6</v>
      </c>
      <c r="H143" t="n">
        <v>0</v>
      </c>
      <c r="I143" t="n">
        <v>0</v>
      </c>
      <c r="J143" t="n">
        <v>1</v>
      </c>
      <c r="K143" t="n">
        <v>0</v>
      </c>
      <c r="L143" t="n">
        <v>0</v>
      </c>
      <c r="M143" t="n">
        <v>0</v>
      </c>
      <c r="N143" t="n">
        <v>0</v>
      </c>
      <c r="O143" t="n">
        <v>1</v>
      </c>
      <c r="P143" t="n">
        <v>0</v>
      </c>
      <c r="Q143" t="n">
        <v>1</v>
      </c>
      <c r="R143" s="2" t="inlineStr">
        <is>
          <t>Knottrig blåslav</t>
        </is>
      </c>
      <c r="S143">
        <f>HYPERLINK("https://klasma.github.io/Logging_2326/artfynd/A 56198-2025 artfynd.xlsx", "A 56198-2025")</f>
        <v/>
      </c>
      <c r="T143">
        <f>HYPERLINK("https://klasma.github.io/Logging_2326/kartor/A 56198-2025 karta.png", "A 56198-2025")</f>
        <v/>
      </c>
      <c r="V143">
        <f>HYPERLINK("https://klasma.github.io/Logging_2326/klagomål/A 56198-2025 FSC-klagomål.docx", "A 56198-2025")</f>
        <v/>
      </c>
      <c r="W143">
        <f>HYPERLINK("https://klasma.github.io/Logging_2326/klagomålsmail/A 56198-2025 FSC-klagomål mail.docx", "A 56198-2025")</f>
        <v/>
      </c>
      <c r="X143">
        <f>HYPERLINK("https://klasma.github.io/Logging_2326/tillsyn/A 56198-2025 tillsynsbegäran.docx", "A 56198-2025")</f>
        <v/>
      </c>
      <c r="Y143">
        <f>HYPERLINK("https://klasma.github.io/Logging_2326/tillsynsmail/A 56198-2025 tillsynsbegäran mail.docx", "A 56198-2025")</f>
        <v/>
      </c>
    </row>
    <row r="144" ht="15" customHeight="1">
      <c r="A144" t="inlineStr">
        <is>
          <t>A 24331-2025</t>
        </is>
      </c>
      <c r="B144" s="1" t="n">
        <v>45797</v>
      </c>
      <c r="C144" s="1" t="n">
        <v>46072</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25556-2025</t>
        </is>
      </c>
      <c r="B145" s="1" t="n">
        <v>45803.45106481481</v>
      </c>
      <c r="C145" s="1" t="n">
        <v>46072</v>
      </c>
      <c r="D145" t="inlineStr">
        <is>
          <t>JÄMTLANDS LÄN</t>
        </is>
      </c>
      <c r="E145" t="inlineStr">
        <is>
          <t>BERG</t>
        </is>
      </c>
      <c r="G145" t="n">
        <v>6.2</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25556-2025 artfynd.xlsx", "A 25556-2025")</f>
        <v/>
      </c>
      <c r="T145">
        <f>HYPERLINK("https://klasma.github.io/Logging_2326/kartor/A 25556-2025 karta.png", "A 25556-2025")</f>
        <v/>
      </c>
      <c r="V145">
        <f>HYPERLINK("https://klasma.github.io/Logging_2326/klagomål/A 25556-2025 FSC-klagomål.docx", "A 25556-2025")</f>
        <v/>
      </c>
      <c r="W145">
        <f>HYPERLINK("https://klasma.github.io/Logging_2326/klagomålsmail/A 25556-2025 FSC-klagomål mail.docx", "A 25556-2025")</f>
        <v/>
      </c>
      <c r="X145">
        <f>HYPERLINK("https://klasma.github.io/Logging_2326/tillsyn/A 25556-2025 tillsynsbegäran.docx", "A 25556-2025")</f>
        <v/>
      </c>
      <c r="Y145">
        <f>HYPERLINK("https://klasma.github.io/Logging_2326/tillsynsmail/A 25556-2025 tillsynsbegäran mail.docx", "A 25556-2025")</f>
        <v/>
      </c>
      <c r="Z145">
        <f>HYPERLINK("https://klasma.github.io/Logging_2326/fåglar/A 25556-2025 prioriterade fågelarter.docx", "A 25556-2025")</f>
        <v/>
      </c>
    </row>
    <row r="146" ht="15" customHeight="1">
      <c r="A146" t="inlineStr">
        <is>
          <t>A 56202-2021</t>
        </is>
      </c>
      <c r="B146" s="1" t="n">
        <v>44477</v>
      </c>
      <c r="C146" s="1" t="n">
        <v>46072</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54595-2024</t>
        </is>
      </c>
      <c r="B147" s="1" t="n">
        <v>45617.67353009259</v>
      </c>
      <c r="C147" s="1" t="n">
        <v>46072</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47656-2025</t>
        </is>
      </c>
      <c r="B148" s="1" t="n">
        <v>45931.55247685185</v>
      </c>
      <c r="C148" s="1" t="n">
        <v>46072</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46072</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31837-2025</t>
        </is>
      </c>
      <c r="B150" s="1" t="n">
        <v>45834.59467592592</v>
      </c>
      <c r="C150" s="1" t="n">
        <v>46072</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47946-2025</t>
        </is>
      </c>
      <c r="B151" s="1" t="n">
        <v>45932.57346064815</v>
      </c>
      <c r="C151" s="1" t="n">
        <v>46072</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33501-2025</t>
        </is>
      </c>
      <c r="B152" s="1" t="n">
        <v>45841</v>
      </c>
      <c r="C152" s="1" t="n">
        <v>46072</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50182-2025</t>
        </is>
      </c>
      <c r="B153" s="1" t="n">
        <v>45943.61550925926</v>
      </c>
      <c r="C153" s="1" t="n">
        <v>46072</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35211-2025</t>
        </is>
      </c>
      <c r="B154" s="1" t="n">
        <v>45853.45060185185</v>
      </c>
      <c r="C154" s="1" t="n">
        <v>46072</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32171-2024</t>
        </is>
      </c>
      <c r="B155" s="1" t="n">
        <v>45511</v>
      </c>
      <c r="C155" s="1" t="n">
        <v>46072</v>
      </c>
      <c r="D155" t="inlineStr">
        <is>
          <t>JÄMTLANDS LÄN</t>
        </is>
      </c>
      <c r="E155" t="inlineStr">
        <is>
          <t>BERG</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32171-2024 artfynd.xlsx", "A 32171-2024")</f>
        <v/>
      </c>
      <c r="T155">
        <f>HYPERLINK("https://klasma.github.io/Logging_2326/kartor/A 32171-2024 karta.png", "A 32171-2024")</f>
        <v/>
      </c>
      <c r="V155">
        <f>HYPERLINK("https://klasma.github.io/Logging_2326/klagomål/A 32171-2024 FSC-klagomål.docx", "A 32171-2024")</f>
        <v/>
      </c>
      <c r="W155">
        <f>HYPERLINK("https://klasma.github.io/Logging_2326/klagomålsmail/A 32171-2024 FSC-klagomål mail.docx", "A 32171-2024")</f>
        <v/>
      </c>
      <c r="X155">
        <f>HYPERLINK("https://klasma.github.io/Logging_2326/tillsyn/A 32171-2024 tillsynsbegäran.docx", "A 32171-2024")</f>
        <v/>
      </c>
      <c r="Y155">
        <f>HYPERLINK("https://klasma.github.io/Logging_2326/tillsynsmail/A 32171-2024 tillsynsbegäran mail.docx", "A 32171-2024")</f>
        <v/>
      </c>
      <c r="Z155">
        <f>HYPERLINK("https://klasma.github.io/Logging_2326/fåglar/A 32171-2024 prioriterade fågelarter.docx", "A 32171-2024")</f>
        <v/>
      </c>
    </row>
    <row r="156" ht="15" customHeight="1">
      <c r="A156" t="inlineStr">
        <is>
          <t>A 44259-2024</t>
        </is>
      </c>
      <c r="B156" s="1" t="n">
        <v>45573</v>
      </c>
      <c r="C156" s="1" t="n">
        <v>46072</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52193-2024</t>
        </is>
      </c>
      <c r="B157" s="1" t="n">
        <v>45608</v>
      </c>
      <c r="C157" s="1" t="n">
        <v>46072</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35535-2025</t>
        </is>
      </c>
      <c r="B158" s="1" t="n">
        <v>45856.45047453704</v>
      </c>
      <c r="C158" s="1" t="n">
        <v>46072</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20808-2024</t>
        </is>
      </c>
      <c r="B159" s="1" t="n">
        <v>45439</v>
      </c>
      <c r="C159" s="1" t="n">
        <v>46072</v>
      </c>
      <c r="D159" t="inlineStr">
        <is>
          <t>JÄMTLANDS LÄN</t>
        </is>
      </c>
      <c r="E159" t="inlineStr">
        <is>
          <t>BERG</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20808-2024 artfynd.xlsx", "A 20808-2024")</f>
        <v/>
      </c>
      <c r="T159">
        <f>HYPERLINK("https://klasma.github.io/Logging_2326/kartor/A 20808-2024 karta.png", "A 20808-2024")</f>
        <v/>
      </c>
      <c r="V159">
        <f>HYPERLINK("https://klasma.github.io/Logging_2326/klagomål/A 20808-2024 FSC-klagomål.docx", "A 20808-2024")</f>
        <v/>
      </c>
      <c r="W159">
        <f>HYPERLINK("https://klasma.github.io/Logging_2326/klagomålsmail/A 20808-2024 FSC-klagomål mail.docx", "A 20808-2024")</f>
        <v/>
      </c>
      <c r="X159">
        <f>HYPERLINK("https://klasma.github.io/Logging_2326/tillsyn/A 20808-2024 tillsynsbegäran.docx", "A 20808-2024")</f>
        <v/>
      </c>
      <c r="Y159">
        <f>HYPERLINK("https://klasma.github.io/Logging_2326/tillsynsmail/A 20808-2024 tillsynsbegäran mail.docx", "A 20808-2024")</f>
        <v/>
      </c>
      <c r="Z159">
        <f>HYPERLINK("https://klasma.github.io/Logging_2326/fåglar/A 20808-2024 prioriterade fågelarter.docx", "A 20808-2024")</f>
        <v/>
      </c>
    </row>
    <row r="160" ht="15" customHeight="1">
      <c r="A160" t="inlineStr">
        <is>
          <t>A 53086-2024</t>
        </is>
      </c>
      <c r="B160" s="1" t="n">
        <v>45611.51084490741</v>
      </c>
      <c r="C160" s="1" t="n">
        <v>46072</v>
      </c>
      <c r="D160" t="inlineStr">
        <is>
          <t>JÄMTLANDS LÄN</t>
        </is>
      </c>
      <c r="E160" t="inlineStr">
        <is>
          <t>BERG</t>
        </is>
      </c>
      <c r="F160" t="inlineStr">
        <is>
          <t>SCA</t>
        </is>
      </c>
      <c r="G160" t="n">
        <v>7.7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53086-2024 artfynd.xlsx", "A 53086-2024")</f>
        <v/>
      </c>
      <c r="T160">
        <f>HYPERLINK("https://klasma.github.io/Logging_2326/kartor/A 53086-2024 karta.png", "A 53086-2024")</f>
        <v/>
      </c>
      <c r="V160">
        <f>HYPERLINK("https://klasma.github.io/Logging_2326/klagomål/A 53086-2024 FSC-klagomål.docx", "A 53086-2024")</f>
        <v/>
      </c>
      <c r="W160">
        <f>HYPERLINK("https://klasma.github.io/Logging_2326/klagomålsmail/A 53086-2024 FSC-klagomål mail.docx", "A 53086-2024")</f>
        <v/>
      </c>
      <c r="X160">
        <f>HYPERLINK("https://klasma.github.io/Logging_2326/tillsyn/A 53086-2024 tillsynsbegäran.docx", "A 53086-2024")</f>
        <v/>
      </c>
      <c r="Y160">
        <f>HYPERLINK("https://klasma.github.io/Logging_2326/tillsynsmail/A 53086-2024 tillsynsbegäran mail.docx", "A 53086-2024")</f>
        <v/>
      </c>
    </row>
    <row r="161" ht="15" customHeight="1">
      <c r="A161" t="inlineStr">
        <is>
          <t>A 37513-2025</t>
        </is>
      </c>
      <c r="B161" s="1" t="n">
        <v>45877.69828703703</v>
      </c>
      <c r="C161" s="1" t="n">
        <v>46072</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37651-2025</t>
        </is>
      </c>
      <c r="B162" s="1" t="n">
        <v>45880.49006944444</v>
      </c>
      <c r="C162" s="1" t="n">
        <v>46072</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971-2026</t>
        </is>
      </c>
      <c r="B163" s="1" t="n">
        <v>46029</v>
      </c>
      <c r="C163" s="1" t="n">
        <v>46072</v>
      </c>
      <c r="D163" t="inlineStr">
        <is>
          <t>JÄMTLANDS LÄN</t>
        </is>
      </c>
      <c r="E163" t="inlineStr">
        <is>
          <t>BERG</t>
        </is>
      </c>
      <c r="F163" t="inlineStr">
        <is>
          <t>SCA</t>
        </is>
      </c>
      <c r="G163" t="n">
        <v>9.699999999999999</v>
      </c>
      <c r="H163" t="n">
        <v>1</v>
      </c>
      <c r="I163" t="n">
        <v>0</v>
      </c>
      <c r="J163" t="n">
        <v>1</v>
      </c>
      <c r="K163" t="n">
        <v>0</v>
      </c>
      <c r="L163" t="n">
        <v>0</v>
      </c>
      <c r="M163" t="n">
        <v>0</v>
      </c>
      <c r="N163" t="n">
        <v>0</v>
      </c>
      <c r="O163" t="n">
        <v>1</v>
      </c>
      <c r="P163" t="n">
        <v>0</v>
      </c>
      <c r="Q163" t="n">
        <v>1</v>
      </c>
      <c r="R163" s="2" t="inlineStr">
        <is>
          <t>Grönsångare</t>
        </is>
      </c>
      <c r="S163">
        <f>HYPERLINK("https://klasma.github.io/Logging_2326/artfynd/A 971-2026 artfynd.xlsx", "A 971-2026")</f>
        <v/>
      </c>
      <c r="T163">
        <f>HYPERLINK("https://klasma.github.io/Logging_2326/kartor/A 971-2026 karta.png", "A 971-2026")</f>
        <v/>
      </c>
      <c r="V163">
        <f>HYPERLINK("https://klasma.github.io/Logging_2326/klagomål/A 971-2026 FSC-klagomål.docx", "A 971-2026")</f>
        <v/>
      </c>
      <c r="W163">
        <f>HYPERLINK("https://klasma.github.io/Logging_2326/klagomålsmail/A 971-2026 FSC-klagomål mail.docx", "A 971-2026")</f>
        <v/>
      </c>
      <c r="X163">
        <f>HYPERLINK("https://klasma.github.io/Logging_2326/tillsyn/A 971-2026 tillsynsbegäran.docx", "A 971-2026")</f>
        <v/>
      </c>
      <c r="Y163">
        <f>HYPERLINK("https://klasma.github.io/Logging_2326/tillsynsmail/A 971-2026 tillsynsbegäran mail.docx", "A 971-2026")</f>
        <v/>
      </c>
      <c r="Z163">
        <f>HYPERLINK("https://klasma.github.io/Logging_2326/fåglar/A 971-2026 prioriterade fågelarter.docx", "A 971-2026")</f>
        <v/>
      </c>
    </row>
    <row r="164" ht="15" customHeight="1">
      <c r="A164" t="inlineStr">
        <is>
          <t>A 34891-2024</t>
        </is>
      </c>
      <c r="B164" s="1" t="n">
        <v>45527.36498842593</v>
      </c>
      <c r="C164" s="1" t="n">
        <v>46072</v>
      </c>
      <c r="D164" t="inlineStr">
        <is>
          <t>JÄMTLANDS LÄN</t>
        </is>
      </c>
      <c r="E164" t="inlineStr">
        <is>
          <t>BERG</t>
        </is>
      </c>
      <c r="F164" t="inlineStr">
        <is>
          <t>SCA</t>
        </is>
      </c>
      <c r="G164" t="n">
        <v>1.5</v>
      </c>
      <c r="H164" t="n">
        <v>1</v>
      </c>
      <c r="I164" t="n">
        <v>0</v>
      </c>
      <c r="J164" t="n">
        <v>0</v>
      </c>
      <c r="K164" t="n">
        <v>1</v>
      </c>
      <c r="L164" t="n">
        <v>0</v>
      </c>
      <c r="M164" t="n">
        <v>0</v>
      </c>
      <c r="N164" t="n">
        <v>0</v>
      </c>
      <c r="O164" t="n">
        <v>1</v>
      </c>
      <c r="P164" t="n">
        <v>1</v>
      </c>
      <c r="Q164" t="n">
        <v>1</v>
      </c>
      <c r="R164" s="2" t="inlineStr">
        <is>
          <t>Knärot</t>
        </is>
      </c>
      <c r="S164">
        <f>HYPERLINK("https://klasma.github.io/Logging_2326/artfynd/A 34891-2024 artfynd.xlsx", "A 34891-2024")</f>
        <v/>
      </c>
      <c r="T164">
        <f>HYPERLINK("https://klasma.github.io/Logging_2326/kartor/A 34891-2024 karta.png", "A 34891-2024")</f>
        <v/>
      </c>
      <c r="U164">
        <f>HYPERLINK("https://klasma.github.io/Logging_2326/knärot/A 34891-2024 karta knärot.png", "A 34891-2024")</f>
        <v/>
      </c>
      <c r="V164">
        <f>HYPERLINK("https://klasma.github.io/Logging_2326/klagomål/A 34891-2024 FSC-klagomål.docx", "A 34891-2024")</f>
        <v/>
      </c>
      <c r="W164">
        <f>HYPERLINK("https://klasma.github.io/Logging_2326/klagomålsmail/A 34891-2024 FSC-klagomål mail.docx", "A 34891-2024")</f>
        <v/>
      </c>
      <c r="X164">
        <f>HYPERLINK("https://klasma.github.io/Logging_2326/tillsyn/A 34891-2024 tillsynsbegäran.docx", "A 34891-2024")</f>
        <v/>
      </c>
      <c r="Y164">
        <f>HYPERLINK("https://klasma.github.io/Logging_2326/tillsynsmail/A 34891-2024 tillsynsbegäran mail.docx", "A 34891-2024")</f>
        <v/>
      </c>
    </row>
    <row r="165" ht="15" customHeight="1">
      <c r="A165" t="inlineStr">
        <is>
          <t>A 60150-2025</t>
        </is>
      </c>
      <c r="B165" s="1" t="n">
        <v>45994.38944444444</v>
      </c>
      <c r="C165" s="1" t="n">
        <v>46072</v>
      </c>
      <c r="D165" t="inlineStr">
        <is>
          <t>JÄMTLANDS LÄN</t>
        </is>
      </c>
      <c r="E165" t="inlineStr">
        <is>
          <t>BERG</t>
        </is>
      </c>
      <c r="G165" t="n">
        <v>17.6</v>
      </c>
      <c r="H165" t="n">
        <v>0</v>
      </c>
      <c r="I165" t="n">
        <v>0</v>
      </c>
      <c r="J165" t="n">
        <v>1</v>
      </c>
      <c r="K165" t="n">
        <v>0</v>
      </c>
      <c r="L165" t="n">
        <v>0</v>
      </c>
      <c r="M165" t="n">
        <v>0</v>
      </c>
      <c r="N165" t="n">
        <v>0</v>
      </c>
      <c r="O165" t="n">
        <v>1</v>
      </c>
      <c r="P165" t="n">
        <v>0</v>
      </c>
      <c r="Q165" t="n">
        <v>1</v>
      </c>
      <c r="R165" s="2" t="inlineStr">
        <is>
          <t>Kolflarnlav</t>
        </is>
      </c>
      <c r="S165">
        <f>HYPERLINK("https://klasma.github.io/Logging_2326/artfynd/A 60150-2025 artfynd.xlsx", "A 60150-2025")</f>
        <v/>
      </c>
      <c r="T165">
        <f>HYPERLINK("https://klasma.github.io/Logging_2326/kartor/A 60150-2025 karta.png", "A 60150-2025")</f>
        <v/>
      </c>
      <c r="V165">
        <f>HYPERLINK("https://klasma.github.io/Logging_2326/klagomål/A 60150-2025 FSC-klagomål.docx", "A 60150-2025")</f>
        <v/>
      </c>
      <c r="W165">
        <f>HYPERLINK("https://klasma.github.io/Logging_2326/klagomålsmail/A 60150-2025 FSC-klagomål mail.docx", "A 60150-2025")</f>
        <v/>
      </c>
      <c r="X165">
        <f>HYPERLINK("https://klasma.github.io/Logging_2326/tillsyn/A 60150-2025 tillsynsbegäran.docx", "A 60150-2025")</f>
        <v/>
      </c>
      <c r="Y165">
        <f>HYPERLINK("https://klasma.github.io/Logging_2326/tillsynsmail/A 60150-2025 tillsynsbegäran mail.docx", "A 60150-2025")</f>
        <v/>
      </c>
    </row>
    <row r="166" ht="15" customHeight="1">
      <c r="A166" t="inlineStr">
        <is>
          <t>A 60633-2025</t>
        </is>
      </c>
      <c r="B166" s="1" t="n">
        <v>45996.42788194444</v>
      </c>
      <c r="C166" s="1" t="n">
        <v>46072</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9657-2023</t>
        </is>
      </c>
      <c r="B167" s="1" t="n">
        <v>44978</v>
      </c>
      <c r="C167" s="1" t="n">
        <v>46072</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49049-2024</t>
        </is>
      </c>
      <c r="B168" s="1" t="n">
        <v>45594.5742824074</v>
      </c>
      <c r="C168" s="1" t="n">
        <v>46072</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60833-2025</t>
        </is>
      </c>
      <c r="B169" s="1" t="n">
        <v>45999.46969907408</v>
      </c>
      <c r="C169" s="1" t="n">
        <v>46072</v>
      </c>
      <c r="D169" t="inlineStr">
        <is>
          <t>JÄMTLANDS LÄN</t>
        </is>
      </c>
      <c r="E169" t="inlineStr">
        <is>
          <t>BERG</t>
        </is>
      </c>
      <c r="F169" t="inlineStr">
        <is>
          <t>SCA</t>
        </is>
      </c>
      <c r="G169" t="n">
        <v>18.1</v>
      </c>
      <c r="H169" t="n">
        <v>1</v>
      </c>
      <c r="I169" t="n">
        <v>0</v>
      </c>
      <c r="J169" t="n">
        <v>1</v>
      </c>
      <c r="K169" t="n">
        <v>0</v>
      </c>
      <c r="L169" t="n">
        <v>0</v>
      </c>
      <c r="M169" t="n">
        <v>0</v>
      </c>
      <c r="N169" t="n">
        <v>0</v>
      </c>
      <c r="O169" t="n">
        <v>1</v>
      </c>
      <c r="P169" t="n">
        <v>0</v>
      </c>
      <c r="Q169" t="n">
        <v>1</v>
      </c>
      <c r="R169" s="2" t="inlineStr">
        <is>
          <t>Spillkråka</t>
        </is>
      </c>
      <c r="S169">
        <f>HYPERLINK("https://klasma.github.io/Logging_2326/artfynd/A 60833-2025 artfynd.xlsx", "A 60833-2025")</f>
        <v/>
      </c>
      <c r="T169">
        <f>HYPERLINK("https://klasma.github.io/Logging_2326/kartor/A 60833-2025 karta.png", "A 60833-2025")</f>
        <v/>
      </c>
      <c r="V169">
        <f>HYPERLINK("https://klasma.github.io/Logging_2326/klagomål/A 60833-2025 FSC-klagomål.docx", "A 60833-2025")</f>
        <v/>
      </c>
      <c r="W169">
        <f>HYPERLINK("https://klasma.github.io/Logging_2326/klagomålsmail/A 60833-2025 FSC-klagomål mail.docx", "A 60833-2025")</f>
        <v/>
      </c>
      <c r="X169">
        <f>HYPERLINK("https://klasma.github.io/Logging_2326/tillsyn/A 60833-2025 tillsynsbegäran.docx", "A 60833-2025")</f>
        <v/>
      </c>
      <c r="Y169">
        <f>HYPERLINK("https://klasma.github.io/Logging_2326/tillsynsmail/A 60833-2025 tillsynsbegäran mail.docx", "A 60833-2025")</f>
        <v/>
      </c>
      <c r="Z169">
        <f>HYPERLINK("https://klasma.github.io/Logging_2326/fåglar/A 60833-2025 prioriterade fågelarter.docx", "A 60833-2025")</f>
        <v/>
      </c>
    </row>
    <row r="170" ht="15" customHeight="1">
      <c r="A170" t="inlineStr">
        <is>
          <t>A 21370-2025</t>
        </is>
      </c>
      <c r="B170" s="1" t="n">
        <v>45782</v>
      </c>
      <c r="C170" s="1" t="n">
        <v>46072</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25853-2025</t>
        </is>
      </c>
      <c r="B171" s="1" t="n">
        <v>45804.46908564815</v>
      </c>
      <c r="C171" s="1" t="n">
        <v>46072</v>
      </c>
      <c r="D171" t="inlineStr">
        <is>
          <t>JÄMTLANDS LÄN</t>
        </is>
      </c>
      <c r="E171" t="inlineStr">
        <is>
          <t>BERG</t>
        </is>
      </c>
      <c r="F171" t="inlineStr">
        <is>
          <t>SCA</t>
        </is>
      </c>
      <c r="G171" t="n">
        <v>24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25853-2025 artfynd.xlsx", "A 25853-2025")</f>
        <v/>
      </c>
      <c r="T171">
        <f>HYPERLINK("https://klasma.github.io/Logging_2326/kartor/A 25853-2025 karta.png", "A 25853-2025")</f>
        <v/>
      </c>
      <c r="V171">
        <f>HYPERLINK("https://klasma.github.io/Logging_2326/klagomål/A 25853-2025 FSC-klagomål.docx", "A 25853-2025")</f>
        <v/>
      </c>
      <c r="W171">
        <f>HYPERLINK("https://klasma.github.io/Logging_2326/klagomålsmail/A 25853-2025 FSC-klagomål mail.docx", "A 25853-2025")</f>
        <v/>
      </c>
      <c r="X171">
        <f>HYPERLINK("https://klasma.github.io/Logging_2326/tillsyn/A 25853-2025 tillsynsbegäran.docx", "A 25853-2025")</f>
        <v/>
      </c>
      <c r="Y171">
        <f>HYPERLINK("https://klasma.github.io/Logging_2326/tillsynsmail/A 25853-2025 tillsynsbegäran mail.docx", "A 25853-2025")</f>
        <v/>
      </c>
      <c r="Z171">
        <f>HYPERLINK("https://klasma.github.io/Logging_2326/fåglar/A 25853-2025 prioriterade fågelarter.docx", "A 25853-2025")</f>
        <v/>
      </c>
    </row>
    <row r="172" ht="15" customHeight="1">
      <c r="A172" t="inlineStr">
        <is>
          <t>A 21632-2025</t>
        </is>
      </c>
      <c r="B172" s="1" t="n">
        <v>45783.42753472222</v>
      </c>
      <c r="C172" s="1" t="n">
        <v>46072</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9281-2026</t>
        </is>
      </c>
      <c r="B173" s="1" t="n">
        <v>46070.57982638889</v>
      </c>
      <c r="C173" s="1" t="n">
        <v>46072</v>
      </c>
      <c r="D173" t="inlineStr">
        <is>
          <t>JÄMTLANDS LÄN</t>
        </is>
      </c>
      <c r="E173" t="inlineStr">
        <is>
          <t>BERG</t>
        </is>
      </c>
      <c r="G173" t="n">
        <v>4.4</v>
      </c>
      <c r="H173" t="n">
        <v>1</v>
      </c>
      <c r="I173" t="n">
        <v>0</v>
      </c>
      <c r="J173" t="n">
        <v>0</v>
      </c>
      <c r="K173" t="n">
        <v>1</v>
      </c>
      <c r="L173" t="n">
        <v>0</v>
      </c>
      <c r="M173" t="n">
        <v>0</v>
      </c>
      <c r="N173" t="n">
        <v>0</v>
      </c>
      <c r="O173" t="n">
        <v>1</v>
      </c>
      <c r="P173" t="n">
        <v>1</v>
      </c>
      <c r="Q173" t="n">
        <v>1</v>
      </c>
      <c r="R173" s="2" t="inlineStr">
        <is>
          <t>Knärot</t>
        </is>
      </c>
      <c r="S173">
        <f>HYPERLINK("https://klasma.github.io/Logging_2326/artfynd/A 9281-2026 artfynd.xlsx", "A 9281-2026")</f>
        <v/>
      </c>
      <c r="T173">
        <f>HYPERLINK("https://klasma.github.io/Logging_2326/kartor/A 9281-2026 karta.png", "A 9281-2026")</f>
        <v/>
      </c>
      <c r="U173">
        <f>HYPERLINK("https://klasma.github.io/Logging_2326/knärot/A 9281-2026 karta knärot.png", "A 9281-2026")</f>
        <v/>
      </c>
      <c r="V173">
        <f>HYPERLINK("https://klasma.github.io/Logging_2326/klagomål/A 9281-2026 FSC-klagomål.docx", "A 9281-2026")</f>
        <v/>
      </c>
      <c r="W173">
        <f>HYPERLINK("https://klasma.github.io/Logging_2326/klagomålsmail/A 9281-2026 FSC-klagomål mail.docx", "A 9281-2026")</f>
        <v/>
      </c>
      <c r="X173">
        <f>HYPERLINK("https://klasma.github.io/Logging_2326/tillsyn/A 9281-2026 tillsynsbegäran.docx", "A 9281-2026")</f>
        <v/>
      </c>
      <c r="Y173">
        <f>HYPERLINK("https://klasma.github.io/Logging_2326/tillsynsmail/A 9281-2026 tillsynsbegäran mail.docx", "A 9281-2026")</f>
        <v/>
      </c>
    </row>
    <row r="174" ht="15" customHeight="1">
      <c r="A174" t="inlineStr">
        <is>
          <t>A 23177-2024</t>
        </is>
      </c>
      <c r="B174" s="1" t="n">
        <v>45450</v>
      </c>
      <c r="C174" s="1" t="n">
        <v>46072</v>
      </c>
      <c r="D174" t="inlineStr">
        <is>
          <t>JÄMTLANDS LÄN</t>
        </is>
      </c>
      <c r="E174" t="inlineStr">
        <is>
          <t>BERG</t>
        </is>
      </c>
      <c r="F174" t="inlineStr">
        <is>
          <t>SCA</t>
        </is>
      </c>
      <c r="G174" t="n">
        <v>3.2</v>
      </c>
      <c r="H174" t="n">
        <v>0</v>
      </c>
      <c r="I174" t="n">
        <v>1</v>
      </c>
      <c r="J174" t="n">
        <v>0</v>
      </c>
      <c r="K174" t="n">
        <v>0</v>
      </c>
      <c r="L174" t="n">
        <v>0</v>
      </c>
      <c r="M174" t="n">
        <v>0</v>
      </c>
      <c r="N174" t="n">
        <v>0</v>
      </c>
      <c r="O174" t="n">
        <v>0</v>
      </c>
      <c r="P174" t="n">
        <v>0</v>
      </c>
      <c r="Q174" t="n">
        <v>1</v>
      </c>
      <c r="R174" s="2" t="inlineStr">
        <is>
          <t>Stuplav</t>
        </is>
      </c>
      <c r="S174">
        <f>HYPERLINK("https://klasma.github.io/Logging_2326/artfynd/A 23177-2024 artfynd.xlsx", "A 23177-2024")</f>
        <v/>
      </c>
      <c r="T174">
        <f>HYPERLINK("https://klasma.github.io/Logging_2326/kartor/A 23177-2024 karta.png", "A 23177-2024")</f>
        <v/>
      </c>
      <c r="V174">
        <f>HYPERLINK("https://klasma.github.io/Logging_2326/klagomål/A 23177-2024 FSC-klagomål.docx", "A 23177-2024")</f>
        <v/>
      </c>
      <c r="W174">
        <f>HYPERLINK("https://klasma.github.io/Logging_2326/klagomålsmail/A 23177-2024 FSC-klagomål mail.docx", "A 23177-2024")</f>
        <v/>
      </c>
      <c r="X174">
        <f>HYPERLINK("https://klasma.github.io/Logging_2326/tillsyn/A 23177-2024 tillsynsbegäran.docx", "A 23177-2024")</f>
        <v/>
      </c>
      <c r="Y174">
        <f>HYPERLINK("https://klasma.github.io/Logging_2326/tillsynsmail/A 23177-2024 tillsynsbegäran mail.docx", "A 23177-2024")</f>
        <v/>
      </c>
    </row>
    <row r="175" ht="15" customHeight="1">
      <c r="A175" t="inlineStr">
        <is>
          <t>A 53014-2022</t>
        </is>
      </c>
      <c r="B175" s="1" t="n">
        <v>44875</v>
      </c>
      <c r="C175" s="1" t="n">
        <v>46072</v>
      </c>
      <c r="D175" t="inlineStr">
        <is>
          <t>JÄMTLANDS LÄN</t>
        </is>
      </c>
      <c r="E175" t="inlineStr">
        <is>
          <t>BERG</t>
        </is>
      </c>
      <c r="F175" t="inlineStr">
        <is>
          <t>SCA</t>
        </is>
      </c>
      <c r="G175" t="n">
        <v>13</v>
      </c>
      <c r="H175" t="n">
        <v>0</v>
      </c>
      <c r="I175" t="n">
        <v>0</v>
      </c>
      <c r="J175" t="n">
        <v>0</v>
      </c>
      <c r="K175" t="n">
        <v>1</v>
      </c>
      <c r="L175" t="n">
        <v>0</v>
      </c>
      <c r="M175" t="n">
        <v>0</v>
      </c>
      <c r="N175" t="n">
        <v>0</v>
      </c>
      <c r="O175" t="n">
        <v>1</v>
      </c>
      <c r="P175" t="n">
        <v>1</v>
      </c>
      <c r="Q175" t="n">
        <v>1</v>
      </c>
      <c r="R175" s="2" t="inlineStr">
        <is>
          <t>Gräddporing</t>
        </is>
      </c>
      <c r="S175">
        <f>HYPERLINK("https://klasma.github.io/Logging_2326/artfynd/A 53014-2022 artfynd.xlsx", "A 53014-2022")</f>
        <v/>
      </c>
      <c r="T175">
        <f>HYPERLINK("https://klasma.github.io/Logging_2326/kartor/A 53014-2022 karta.png", "A 53014-2022")</f>
        <v/>
      </c>
      <c r="V175">
        <f>HYPERLINK("https://klasma.github.io/Logging_2326/klagomål/A 53014-2022 FSC-klagomål.docx", "A 53014-2022")</f>
        <v/>
      </c>
      <c r="W175">
        <f>HYPERLINK("https://klasma.github.io/Logging_2326/klagomålsmail/A 53014-2022 FSC-klagomål mail.docx", "A 53014-2022")</f>
        <v/>
      </c>
      <c r="X175">
        <f>HYPERLINK("https://klasma.github.io/Logging_2326/tillsyn/A 53014-2022 tillsynsbegäran.docx", "A 53014-2022")</f>
        <v/>
      </c>
      <c r="Y175">
        <f>HYPERLINK("https://klasma.github.io/Logging_2326/tillsynsmail/A 53014-2022 tillsynsbegäran mail.docx", "A 53014-2022")</f>
        <v/>
      </c>
    </row>
    <row r="176" ht="15" customHeight="1">
      <c r="A176" t="inlineStr">
        <is>
          <t>A 24309-2023</t>
        </is>
      </c>
      <c r="B176" s="1" t="n">
        <v>45079</v>
      </c>
      <c r="C176" s="1" t="n">
        <v>46072</v>
      </c>
      <c r="D176" t="inlineStr">
        <is>
          <t>JÄMTLANDS LÄN</t>
        </is>
      </c>
      <c r="E176" t="inlineStr">
        <is>
          <t>BERG</t>
        </is>
      </c>
      <c r="F176" t="inlineStr">
        <is>
          <t>SCA</t>
        </is>
      </c>
      <c r="G176" t="n">
        <v>3.3</v>
      </c>
      <c r="H176" t="n">
        <v>1</v>
      </c>
      <c r="I176" t="n">
        <v>0</v>
      </c>
      <c r="J176" t="n">
        <v>0</v>
      </c>
      <c r="K176" t="n">
        <v>0</v>
      </c>
      <c r="L176" t="n">
        <v>0</v>
      </c>
      <c r="M176" t="n">
        <v>0</v>
      </c>
      <c r="N176" t="n">
        <v>0</v>
      </c>
      <c r="O176" t="n">
        <v>0</v>
      </c>
      <c r="P176" t="n">
        <v>0</v>
      </c>
      <c r="Q176" t="n">
        <v>1</v>
      </c>
      <c r="R176" s="2" t="inlineStr">
        <is>
          <t>Vanlig groda</t>
        </is>
      </c>
      <c r="S176">
        <f>HYPERLINK("https://klasma.github.io/Logging_2326/artfynd/A 24309-2023 artfynd.xlsx", "A 24309-2023")</f>
        <v/>
      </c>
      <c r="T176">
        <f>HYPERLINK("https://klasma.github.io/Logging_2326/kartor/A 24309-2023 karta.png", "A 24309-2023")</f>
        <v/>
      </c>
      <c r="V176">
        <f>HYPERLINK("https://klasma.github.io/Logging_2326/klagomål/A 24309-2023 FSC-klagomål.docx", "A 24309-2023")</f>
        <v/>
      </c>
      <c r="W176">
        <f>HYPERLINK("https://klasma.github.io/Logging_2326/klagomålsmail/A 24309-2023 FSC-klagomål mail.docx", "A 24309-2023")</f>
        <v/>
      </c>
      <c r="X176">
        <f>HYPERLINK("https://klasma.github.io/Logging_2326/tillsyn/A 24309-2023 tillsynsbegäran.docx", "A 24309-2023")</f>
        <v/>
      </c>
      <c r="Y176">
        <f>HYPERLINK("https://klasma.github.io/Logging_2326/tillsynsmail/A 24309-2023 tillsynsbegäran mail.docx", "A 24309-2023")</f>
        <v/>
      </c>
    </row>
    <row r="177" ht="15" customHeight="1">
      <c r="A177" t="inlineStr">
        <is>
          <t>A 32686-2022</t>
        </is>
      </c>
      <c r="B177" s="1" t="n">
        <v>44776</v>
      </c>
      <c r="C177" s="1" t="n">
        <v>46072</v>
      </c>
      <c r="D177" t="inlineStr">
        <is>
          <t>JÄMTLANDS LÄN</t>
        </is>
      </c>
      <c r="E177" t="inlineStr">
        <is>
          <t>BERG</t>
        </is>
      </c>
      <c r="G177" t="n">
        <v>4.8</v>
      </c>
      <c r="H177" t="n">
        <v>1</v>
      </c>
      <c r="I177" t="n">
        <v>0</v>
      </c>
      <c r="J177" t="n">
        <v>0</v>
      </c>
      <c r="K177" t="n">
        <v>1</v>
      </c>
      <c r="L177" t="n">
        <v>0</v>
      </c>
      <c r="M177" t="n">
        <v>0</v>
      </c>
      <c r="N177" t="n">
        <v>0</v>
      </c>
      <c r="O177" t="n">
        <v>1</v>
      </c>
      <c r="P177" t="n">
        <v>1</v>
      </c>
      <c r="Q177" t="n">
        <v>1</v>
      </c>
      <c r="R177" s="2" t="inlineStr">
        <is>
          <t>Knärot</t>
        </is>
      </c>
      <c r="S177">
        <f>HYPERLINK("https://klasma.github.io/Logging_2326/artfynd/A 32686-2022 artfynd.xlsx", "A 32686-2022")</f>
        <v/>
      </c>
      <c r="T177">
        <f>HYPERLINK("https://klasma.github.io/Logging_2326/kartor/A 32686-2022 karta.png", "A 32686-2022")</f>
        <v/>
      </c>
      <c r="U177">
        <f>HYPERLINK("https://klasma.github.io/Logging_2326/knärot/A 32686-2022 karta knärot.png", "A 32686-2022")</f>
        <v/>
      </c>
      <c r="V177">
        <f>HYPERLINK("https://klasma.github.io/Logging_2326/klagomål/A 32686-2022 FSC-klagomål.docx", "A 32686-2022")</f>
        <v/>
      </c>
      <c r="W177">
        <f>HYPERLINK("https://klasma.github.io/Logging_2326/klagomålsmail/A 32686-2022 FSC-klagomål mail.docx", "A 32686-2022")</f>
        <v/>
      </c>
      <c r="X177">
        <f>HYPERLINK("https://klasma.github.io/Logging_2326/tillsyn/A 32686-2022 tillsynsbegäran.docx", "A 32686-2022")</f>
        <v/>
      </c>
      <c r="Y177">
        <f>HYPERLINK("https://klasma.github.io/Logging_2326/tillsynsmail/A 32686-2022 tillsynsbegäran mail.docx", "A 32686-2022")</f>
        <v/>
      </c>
    </row>
    <row r="178" ht="15" customHeight="1">
      <c r="A178" t="inlineStr">
        <is>
          <t>A 68434-2021</t>
        </is>
      </c>
      <c r="B178" s="1" t="n">
        <v>44529</v>
      </c>
      <c r="C178" s="1" t="n">
        <v>46072</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33083-2024</t>
        </is>
      </c>
      <c r="B179" s="1" t="n">
        <v>45517.675</v>
      </c>
      <c r="C179" s="1" t="n">
        <v>46072</v>
      </c>
      <c r="D179" t="inlineStr">
        <is>
          <t>JÄMTLANDS LÄN</t>
        </is>
      </c>
      <c r="E179" t="inlineStr">
        <is>
          <t>BERG</t>
        </is>
      </c>
      <c r="G179" t="n">
        <v>0.2</v>
      </c>
      <c r="H179" t="n">
        <v>0</v>
      </c>
      <c r="I179" t="n">
        <v>0</v>
      </c>
      <c r="J179" t="n">
        <v>1</v>
      </c>
      <c r="K179" t="n">
        <v>0</v>
      </c>
      <c r="L179" t="n">
        <v>0</v>
      </c>
      <c r="M179" t="n">
        <v>0</v>
      </c>
      <c r="N179" t="n">
        <v>0</v>
      </c>
      <c r="O179" t="n">
        <v>1</v>
      </c>
      <c r="P179" t="n">
        <v>0</v>
      </c>
      <c r="Q179" t="n">
        <v>1</v>
      </c>
      <c r="R179" s="2" t="inlineStr">
        <is>
          <t>Garnlav</t>
        </is>
      </c>
      <c r="S179">
        <f>HYPERLINK("https://klasma.github.io/Logging_2326/artfynd/A 33083-2024 artfynd.xlsx", "A 33083-2024")</f>
        <v/>
      </c>
      <c r="T179">
        <f>HYPERLINK("https://klasma.github.io/Logging_2326/kartor/A 33083-2024 karta.png", "A 33083-2024")</f>
        <v/>
      </c>
      <c r="V179">
        <f>HYPERLINK("https://klasma.github.io/Logging_2326/klagomål/A 33083-2024 FSC-klagomål.docx", "A 33083-2024")</f>
        <v/>
      </c>
      <c r="W179">
        <f>HYPERLINK("https://klasma.github.io/Logging_2326/klagomålsmail/A 33083-2024 FSC-klagomål mail.docx", "A 33083-2024")</f>
        <v/>
      </c>
      <c r="X179">
        <f>HYPERLINK("https://klasma.github.io/Logging_2326/tillsyn/A 33083-2024 tillsynsbegäran.docx", "A 33083-2024")</f>
        <v/>
      </c>
      <c r="Y179">
        <f>HYPERLINK("https://klasma.github.io/Logging_2326/tillsynsmail/A 33083-2024 tillsynsbegäran mail.docx", "A 33083-2024")</f>
        <v/>
      </c>
    </row>
    <row r="180" ht="15" customHeight="1">
      <c r="A180" t="inlineStr">
        <is>
          <t>A 40440-2024</t>
        </is>
      </c>
      <c r="B180" s="1" t="n">
        <v>45555.48267361111</v>
      </c>
      <c r="C180" s="1" t="n">
        <v>46072</v>
      </c>
      <c r="D180" t="inlineStr">
        <is>
          <t>JÄMTLANDS LÄN</t>
        </is>
      </c>
      <c r="E180" t="inlineStr">
        <is>
          <t>BERG</t>
        </is>
      </c>
      <c r="G180" t="n">
        <v>3.6</v>
      </c>
      <c r="H180" t="n">
        <v>1</v>
      </c>
      <c r="I180" t="n">
        <v>0</v>
      </c>
      <c r="J180" t="n">
        <v>0</v>
      </c>
      <c r="K180" t="n">
        <v>0</v>
      </c>
      <c r="L180" t="n">
        <v>0</v>
      </c>
      <c r="M180" t="n">
        <v>0</v>
      </c>
      <c r="N180" t="n">
        <v>0</v>
      </c>
      <c r="O180" t="n">
        <v>0</v>
      </c>
      <c r="P180" t="n">
        <v>0</v>
      </c>
      <c r="Q180" t="n">
        <v>1</v>
      </c>
      <c r="R180" s="2" t="inlineStr">
        <is>
          <t>Fläcknycklar</t>
        </is>
      </c>
      <c r="S180">
        <f>HYPERLINK("https://klasma.github.io/Logging_2326/artfynd/A 40440-2024 artfynd.xlsx", "A 40440-2024")</f>
        <v/>
      </c>
      <c r="T180">
        <f>HYPERLINK("https://klasma.github.io/Logging_2326/kartor/A 40440-2024 karta.png", "A 40440-2024")</f>
        <v/>
      </c>
      <c r="V180">
        <f>HYPERLINK("https://klasma.github.io/Logging_2326/klagomål/A 40440-2024 FSC-klagomål.docx", "A 40440-2024")</f>
        <v/>
      </c>
      <c r="W180">
        <f>HYPERLINK("https://klasma.github.io/Logging_2326/klagomålsmail/A 40440-2024 FSC-klagomål mail.docx", "A 40440-2024")</f>
        <v/>
      </c>
      <c r="X180">
        <f>HYPERLINK("https://klasma.github.io/Logging_2326/tillsyn/A 40440-2024 tillsynsbegäran.docx", "A 40440-2024")</f>
        <v/>
      </c>
      <c r="Y180">
        <f>HYPERLINK("https://klasma.github.io/Logging_2326/tillsynsmail/A 40440-2024 tillsynsbegäran mail.docx", "A 40440-2024")</f>
        <v/>
      </c>
    </row>
    <row r="181" ht="15" customHeight="1">
      <c r="A181" t="inlineStr">
        <is>
          <t>A 12733-2024</t>
        </is>
      </c>
      <c r="B181" s="1" t="n">
        <v>45384</v>
      </c>
      <c r="C181" s="1" t="n">
        <v>46072</v>
      </c>
      <c r="D181" t="inlineStr">
        <is>
          <t>JÄMTLANDS LÄN</t>
        </is>
      </c>
      <c r="E181" t="inlineStr">
        <is>
          <t>BERG</t>
        </is>
      </c>
      <c r="G181" t="n">
        <v>9.9</v>
      </c>
      <c r="H181" t="n">
        <v>0</v>
      </c>
      <c r="I181" t="n">
        <v>0</v>
      </c>
      <c r="J181" t="n">
        <v>1</v>
      </c>
      <c r="K181" t="n">
        <v>0</v>
      </c>
      <c r="L181" t="n">
        <v>0</v>
      </c>
      <c r="M181" t="n">
        <v>0</v>
      </c>
      <c r="N181" t="n">
        <v>0</v>
      </c>
      <c r="O181" t="n">
        <v>1</v>
      </c>
      <c r="P181" t="n">
        <v>0</v>
      </c>
      <c r="Q181" t="n">
        <v>1</v>
      </c>
      <c r="R181" s="2" t="inlineStr">
        <is>
          <t>Lunglav</t>
        </is>
      </c>
      <c r="S181">
        <f>HYPERLINK("https://klasma.github.io/Logging_2326/artfynd/A 12733-2024 artfynd.xlsx", "A 12733-2024")</f>
        <v/>
      </c>
      <c r="T181">
        <f>HYPERLINK("https://klasma.github.io/Logging_2326/kartor/A 12733-2024 karta.png", "A 12733-2024")</f>
        <v/>
      </c>
      <c r="V181">
        <f>HYPERLINK("https://klasma.github.io/Logging_2326/klagomål/A 12733-2024 FSC-klagomål.docx", "A 12733-2024")</f>
        <v/>
      </c>
      <c r="W181">
        <f>HYPERLINK("https://klasma.github.io/Logging_2326/klagomålsmail/A 12733-2024 FSC-klagomål mail.docx", "A 12733-2024")</f>
        <v/>
      </c>
      <c r="X181">
        <f>HYPERLINK("https://klasma.github.io/Logging_2326/tillsyn/A 12733-2024 tillsynsbegäran.docx", "A 12733-2024")</f>
        <v/>
      </c>
      <c r="Y181">
        <f>HYPERLINK("https://klasma.github.io/Logging_2326/tillsynsmail/A 12733-2024 tillsynsbegäran mail.docx", "A 12733-2024")</f>
        <v/>
      </c>
    </row>
    <row r="182" ht="15" customHeight="1">
      <c r="A182" t="inlineStr">
        <is>
          <t>A 50556-2024</t>
        </is>
      </c>
      <c r="B182" s="1" t="n">
        <v>45601.59604166666</v>
      </c>
      <c r="C182" s="1" t="n">
        <v>46072</v>
      </c>
      <c r="D182" t="inlineStr">
        <is>
          <t>JÄMTLANDS LÄN</t>
        </is>
      </c>
      <c r="E182" t="inlineStr">
        <is>
          <t>BERG</t>
        </is>
      </c>
      <c r="G182" t="n">
        <v>5.7</v>
      </c>
      <c r="H182" t="n">
        <v>0</v>
      </c>
      <c r="I182" t="n">
        <v>0</v>
      </c>
      <c r="J182" t="n">
        <v>1</v>
      </c>
      <c r="K182" t="n">
        <v>0</v>
      </c>
      <c r="L182" t="n">
        <v>0</v>
      </c>
      <c r="M182" t="n">
        <v>0</v>
      </c>
      <c r="N182" t="n">
        <v>0</v>
      </c>
      <c r="O182" t="n">
        <v>1</v>
      </c>
      <c r="P182" t="n">
        <v>0</v>
      </c>
      <c r="Q182" t="n">
        <v>1</v>
      </c>
      <c r="R182" s="2" t="inlineStr">
        <is>
          <t>Kalkbräken</t>
        </is>
      </c>
      <c r="S182">
        <f>HYPERLINK("https://klasma.github.io/Logging_2326/artfynd/A 50556-2024 artfynd.xlsx", "A 50556-2024")</f>
        <v/>
      </c>
      <c r="T182">
        <f>HYPERLINK("https://klasma.github.io/Logging_2326/kartor/A 50556-2024 karta.png", "A 50556-2024")</f>
        <v/>
      </c>
      <c r="V182">
        <f>HYPERLINK("https://klasma.github.io/Logging_2326/klagomål/A 50556-2024 FSC-klagomål.docx", "A 50556-2024")</f>
        <v/>
      </c>
      <c r="W182">
        <f>HYPERLINK("https://klasma.github.io/Logging_2326/klagomålsmail/A 50556-2024 FSC-klagomål mail.docx", "A 50556-2024")</f>
        <v/>
      </c>
      <c r="X182">
        <f>HYPERLINK("https://klasma.github.io/Logging_2326/tillsyn/A 50556-2024 tillsynsbegäran.docx", "A 50556-2024")</f>
        <v/>
      </c>
      <c r="Y182">
        <f>HYPERLINK("https://klasma.github.io/Logging_2326/tillsynsmail/A 50556-2024 tillsynsbegäran mail.docx", "A 50556-2024")</f>
        <v/>
      </c>
    </row>
    <row r="183" ht="15" customHeight="1">
      <c r="A183" t="inlineStr">
        <is>
          <t>A 41635-2024</t>
        </is>
      </c>
      <c r="B183" s="1" t="n">
        <v>45560.61601851852</v>
      </c>
      <c r="C183" s="1" t="n">
        <v>46072</v>
      </c>
      <c r="D183" t="inlineStr">
        <is>
          <t>JÄMTLANDS LÄN</t>
        </is>
      </c>
      <c r="E183" t="inlineStr">
        <is>
          <t>BERG</t>
        </is>
      </c>
      <c r="F183" t="inlineStr">
        <is>
          <t>SCA</t>
        </is>
      </c>
      <c r="G183" t="n">
        <v>4.2</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41635-2024 artfynd.xlsx", "A 41635-2024")</f>
        <v/>
      </c>
      <c r="T183">
        <f>HYPERLINK("https://klasma.github.io/Logging_2326/kartor/A 41635-2024 karta.png", "A 41635-2024")</f>
        <v/>
      </c>
      <c r="V183">
        <f>HYPERLINK("https://klasma.github.io/Logging_2326/klagomål/A 41635-2024 FSC-klagomål.docx", "A 41635-2024")</f>
        <v/>
      </c>
      <c r="W183">
        <f>HYPERLINK("https://klasma.github.io/Logging_2326/klagomålsmail/A 41635-2024 FSC-klagomål mail.docx", "A 41635-2024")</f>
        <v/>
      </c>
      <c r="X183">
        <f>HYPERLINK("https://klasma.github.io/Logging_2326/tillsyn/A 41635-2024 tillsynsbegäran.docx", "A 41635-2024")</f>
        <v/>
      </c>
      <c r="Y183">
        <f>HYPERLINK("https://klasma.github.io/Logging_2326/tillsynsmail/A 41635-2024 tillsynsbegäran mail.docx", "A 41635-2024")</f>
        <v/>
      </c>
    </row>
    <row r="184" ht="15" customHeight="1">
      <c r="A184" t="inlineStr">
        <is>
          <t>A 40382-2024</t>
        </is>
      </c>
      <c r="B184" s="1" t="n">
        <v>45555.42225694445</v>
      </c>
      <c r="C184" s="1" t="n">
        <v>46072</v>
      </c>
      <c r="D184" t="inlineStr">
        <is>
          <t>JÄMTLANDS LÄN</t>
        </is>
      </c>
      <c r="E184" t="inlineStr">
        <is>
          <t>BERG</t>
        </is>
      </c>
      <c r="G184" t="n">
        <v>1.5</v>
      </c>
      <c r="H184" t="n">
        <v>0</v>
      </c>
      <c r="I184" t="n">
        <v>0</v>
      </c>
      <c r="J184" t="n">
        <v>1</v>
      </c>
      <c r="K184" t="n">
        <v>0</v>
      </c>
      <c r="L184" t="n">
        <v>0</v>
      </c>
      <c r="M184" t="n">
        <v>0</v>
      </c>
      <c r="N184" t="n">
        <v>0</v>
      </c>
      <c r="O184" t="n">
        <v>1</v>
      </c>
      <c r="P184" t="n">
        <v>0</v>
      </c>
      <c r="Q184" t="n">
        <v>1</v>
      </c>
      <c r="R184" s="2" t="inlineStr">
        <is>
          <t>Backruta</t>
        </is>
      </c>
      <c r="S184">
        <f>HYPERLINK("https://klasma.github.io/Logging_2326/artfynd/A 40382-2024 artfynd.xlsx", "A 40382-2024")</f>
        <v/>
      </c>
      <c r="T184">
        <f>HYPERLINK("https://klasma.github.io/Logging_2326/kartor/A 40382-2024 karta.png", "A 40382-2024")</f>
        <v/>
      </c>
      <c r="V184">
        <f>HYPERLINK("https://klasma.github.io/Logging_2326/klagomål/A 40382-2024 FSC-klagomål.docx", "A 40382-2024")</f>
        <v/>
      </c>
      <c r="W184">
        <f>HYPERLINK("https://klasma.github.io/Logging_2326/klagomålsmail/A 40382-2024 FSC-klagomål mail.docx", "A 40382-2024")</f>
        <v/>
      </c>
      <c r="X184">
        <f>HYPERLINK("https://klasma.github.io/Logging_2326/tillsyn/A 40382-2024 tillsynsbegäran.docx", "A 40382-2024")</f>
        <v/>
      </c>
      <c r="Y184">
        <f>HYPERLINK("https://klasma.github.io/Logging_2326/tillsynsmail/A 40382-2024 tillsynsbegäran mail.docx", "A 40382-2024")</f>
        <v/>
      </c>
    </row>
    <row r="185" ht="15" customHeight="1">
      <c r="A185" t="inlineStr">
        <is>
          <t>A 20444-2025</t>
        </is>
      </c>
      <c r="B185" s="1" t="n">
        <v>45775.48989583334</v>
      </c>
      <c r="C185" s="1" t="n">
        <v>46072</v>
      </c>
      <c r="D185" t="inlineStr">
        <is>
          <t>JÄMTLANDS LÄN</t>
        </is>
      </c>
      <c r="E185" t="inlineStr">
        <is>
          <t>BERG</t>
        </is>
      </c>
      <c r="F185" t="inlineStr">
        <is>
          <t>SCA</t>
        </is>
      </c>
      <c r="G185" t="n">
        <v>2.3</v>
      </c>
      <c r="H185" t="n">
        <v>0</v>
      </c>
      <c r="I185" t="n">
        <v>0</v>
      </c>
      <c r="J185" t="n">
        <v>0</v>
      </c>
      <c r="K185" t="n">
        <v>1</v>
      </c>
      <c r="L185" t="n">
        <v>0</v>
      </c>
      <c r="M185" t="n">
        <v>0</v>
      </c>
      <c r="N185" t="n">
        <v>0</v>
      </c>
      <c r="O185" t="n">
        <v>1</v>
      </c>
      <c r="P185" t="n">
        <v>1</v>
      </c>
      <c r="Q185" t="n">
        <v>1</v>
      </c>
      <c r="R185" s="2" t="inlineStr">
        <is>
          <t>Gräddporing</t>
        </is>
      </c>
      <c r="S185">
        <f>HYPERLINK("https://klasma.github.io/Logging_2326/artfynd/A 20444-2025 artfynd.xlsx", "A 20444-2025")</f>
        <v/>
      </c>
      <c r="T185">
        <f>HYPERLINK("https://klasma.github.io/Logging_2326/kartor/A 20444-2025 karta.png", "A 20444-2025")</f>
        <v/>
      </c>
      <c r="V185">
        <f>HYPERLINK("https://klasma.github.io/Logging_2326/klagomål/A 20444-2025 FSC-klagomål.docx", "A 20444-2025")</f>
        <v/>
      </c>
      <c r="W185">
        <f>HYPERLINK("https://klasma.github.io/Logging_2326/klagomålsmail/A 20444-2025 FSC-klagomål mail.docx", "A 20444-2025")</f>
        <v/>
      </c>
      <c r="X185">
        <f>HYPERLINK("https://klasma.github.io/Logging_2326/tillsyn/A 20444-2025 tillsynsbegäran.docx", "A 20444-2025")</f>
        <v/>
      </c>
      <c r="Y185">
        <f>HYPERLINK("https://klasma.github.io/Logging_2326/tillsynsmail/A 20444-2025 tillsynsbegäran mail.docx", "A 20444-2025")</f>
        <v/>
      </c>
    </row>
    <row r="186" ht="15" customHeight="1">
      <c r="A186" t="inlineStr">
        <is>
          <t>A 21681-2025</t>
        </is>
      </c>
      <c r="B186" s="1" t="n">
        <v>45783.49015046296</v>
      </c>
      <c r="C186" s="1" t="n">
        <v>46072</v>
      </c>
      <c r="D186" t="inlineStr">
        <is>
          <t>JÄMTLANDS LÄN</t>
        </is>
      </c>
      <c r="E186" t="inlineStr">
        <is>
          <t>BERG</t>
        </is>
      </c>
      <c r="F186" t="inlineStr">
        <is>
          <t>SCA</t>
        </is>
      </c>
      <c r="G186" t="n">
        <v>10.2</v>
      </c>
      <c r="H186" t="n">
        <v>0</v>
      </c>
      <c r="I186" t="n">
        <v>0</v>
      </c>
      <c r="J186" t="n">
        <v>0</v>
      </c>
      <c r="K186" t="n">
        <v>1</v>
      </c>
      <c r="L186" t="n">
        <v>0</v>
      </c>
      <c r="M186" t="n">
        <v>0</v>
      </c>
      <c r="N186" t="n">
        <v>0</v>
      </c>
      <c r="O186" t="n">
        <v>1</v>
      </c>
      <c r="P186" t="n">
        <v>1</v>
      </c>
      <c r="Q186" t="n">
        <v>1</v>
      </c>
      <c r="R186" s="2" t="inlineStr">
        <is>
          <t>Gräddporing</t>
        </is>
      </c>
      <c r="S186">
        <f>HYPERLINK("https://klasma.github.io/Logging_2326/artfynd/A 21681-2025 artfynd.xlsx", "A 21681-2025")</f>
        <v/>
      </c>
      <c r="T186">
        <f>HYPERLINK("https://klasma.github.io/Logging_2326/kartor/A 21681-2025 karta.png", "A 21681-2025")</f>
        <v/>
      </c>
      <c r="V186">
        <f>HYPERLINK("https://klasma.github.io/Logging_2326/klagomål/A 21681-2025 FSC-klagomål.docx", "A 21681-2025")</f>
        <v/>
      </c>
      <c r="W186">
        <f>HYPERLINK("https://klasma.github.io/Logging_2326/klagomålsmail/A 21681-2025 FSC-klagomål mail.docx", "A 21681-2025")</f>
        <v/>
      </c>
      <c r="X186">
        <f>HYPERLINK("https://klasma.github.io/Logging_2326/tillsyn/A 21681-2025 tillsynsbegäran.docx", "A 21681-2025")</f>
        <v/>
      </c>
      <c r="Y186">
        <f>HYPERLINK("https://klasma.github.io/Logging_2326/tillsynsmail/A 21681-2025 tillsynsbegäran mail.docx", "A 21681-2025")</f>
        <v/>
      </c>
    </row>
    <row r="187" ht="15" customHeight="1">
      <c r="A187" t="inlineStr">
        <is>
          <t>A 49196-2022</t>
        </is>
      </c>
      <c r="B187" s="1" t="n">
        <v>44860.95508101852</v>
      </c>
      <c r="C187" s="1" t="n">
        <v>46072</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46072</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46072</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46072</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46072</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46072</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46072</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46072</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28883-2021</t>
        </is>
      </c>
      <c r="B195" s="1" t="n">
        <v>44357</v>
      </c>
      <c r="C195" s="1" t="n">
        <v>46072</v>
      </c>
      <c r="D195" t="inlineStr">
        <is>
          <t>JÄMTLANDS LÄN</t>
        </is>
      </c>
      <c r="E195" t="inlineStr">
        <is>
          <t>BERG</t>
        </is>
      </c>
      <c r="F195" t="inlineStr">
        <is>
          <t>Kyrkan</t>
        </is>
      </c>
      <c r="G195" t="n">
        <v>7.3</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46072</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46072</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46072</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46072</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46072</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43296-2022</t>
        </is>
      </c>
      <c r="B201" s="1" t="n">
        <v>44834</v>
      </c>
      <c r="C201" s="1" t="n">
        <v>46072</v>
      </c>
      <c r="D201" t="inlineStr">
        <is>
          <t>JÄMTLANDS LÄN</t>
        </is>
      </c>
      <c r="E201" t="inlineStr">
        <is>
          <t>BERG</t>
        </is>
      </c>
      <c r="G201" t="n">
        <v>3.7</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46072</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46072</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46072</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46072</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46072</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46072</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46072</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46072</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46072</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46072</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46072</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46072</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46072</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46072</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46072</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46072</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46072</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46072</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46072</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46072</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46072</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46072</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46072</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46072</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46072</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46072</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46072</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46072</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46072</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46072</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46072</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46072</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46072</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46072</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46072</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46072</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46072</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46072</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46072</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46072</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46072</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46072</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46072</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46072</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46072</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46072</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46072</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46072</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46072</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46072</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46072</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9482-2024</t>
        </is>
      </c>
      <c r="B253" s="1" t="n">
        <v>45359.57847222222</v>
      </c>
      <c r="C253" s="1" t="n">
        <v>46072</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65209-2023</t>
        </is>
      </c>
      <c r="B254" s="1" t="n">
        <v>45289</v>
      </c>
      <c r="C254" s="1" t="n">
        <v>46072</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10230-2024</t>
        </is>
      </c>
      <c r="B255" s="1" t="n">
        <v>45365.31883101852</v>
      </c>
      <c r="C255" s="1" t="n">
        <v>46072</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46072</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46072</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46072</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36287-2024</t>
        </is>
      </c>
      <c r="B259" s="1" t="n">
        <v>45534</v>
      </c>
      <c r="C259" s="1" t="n">
        <v>46072</v>
      </c>
      <c r="D259" t="inlineStr">
        <is>
          <t>JÄMTLANDS LÄN</t>
        </is>
      </c>
      <c r="E259" t="inlineStr">
        <is>
          <t>BERG</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10974-2025</t>
        </is>
      </c>
      <c r="B260" s="1" t="n">
        <v>45723.38790509259</v>
      </c>
      <c r="C260" s="1" t="n">
        <v>46072</v>
      </c>
      <c r="D260" t="inlineStr">
        <is>
          <t>JÄMTLANDS LÄN</t>
        </is>
      </c>
      <c r="E260" t="inlineStr">
        <is>
          <t>BERG</t>
        </is>
      </c>
      <c r="G260" t="n">
        <v>6.9</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46072</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44110-2022</t>
        </is>
      </c>
      <c r="B262" s="1" t="n">
        <v>44837</v>
      </c>
      <c r="C262" s="1" t="n">
        <v>46072</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46072</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46072</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56490-2024</t>
        </is>
      </c>
      <c r="B265" s="1" t="n">
        <v>45625.48765046296</v>
      </c>
      <c r="C265" s="1" t="n">
        <v>46072</v>
      </c>
      <c r="D265" t="inlineStr">
        <is>
          <t>JÄMTLANDS LÄN</t>
        </is>
      </c>
      <c r="E265" t="inlineStr">
        <is>
          <t>BERG</t>
        </is>
      </c>
      <c r="G265" t="n">
        <v>5.9</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46072</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46072</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45231.53321759259</v>
      </c>
      <c r="C268" s="1" t="n">
        <v>46072</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8238-2024</t>
        </is>
      </c>
      <c r="B269" s="1" t="n">
        <v>45351.98450231482</v>
      </c>
      <c r="C269" s="1" t="n">
        <v>46072</v>
      </c>
      <c r="D269" t="inlineStr">
        <is>
          <t>JÄMTLANDS LÄN</t>
        </is>
      </c>
      <c r="E269" t="inlineStr">
        <is>
          <t>BERG</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29581-2024</t>
        </is>
      </c>
      <c r="B270" s="1" t="n">
        <v>45484.5740162037</v>
      </c>
      <c r="C270" s="1" t="n">
        <v>46072</v>
      </c>
      <c r="D270" t="inlineStr">
        <is>
          <t>JÄMTLANDS LÄN</t>
        </is>
      </c>
      <c r="E270" t="inlineStr">
        <is>
          <t>BERG</t>
        </is>
      </c>
      <c r="G270" t="n">
        <v>16.7</v>
      </c>
      <c r="H270" t="n">
        <v>0</v>
      </c>
      <c r="I270" t="n">
        <v>0</v>
      </c>
      <c r="J270" t="n">
        <v>0</v>
      </c>
      <c r="K270" t="n">
        <v>0</v>
      </c>
      <c r="L270" t="n">
        <v>0</v>
      </c>
      <c r="M270" t="n">
        <v>0</v>
      </c>
      <c r="N270" t="n">
        <v>0</v>
      </c>
      <c r="O270" t="n">
        <v>0</v>
      </c>
      <c r="P270" t="n">
        <v>0</v>
      </c>
      <c r="Q270" t="n">
        <v>0</v>
      </c>
      <c r="R270" s="2" t="inlineStr"/>
    </row>
    <row r="271" ht="15" customHeight="1">
      <c r="A271" t="inlineStr">
        <is>
          <t>A 38682-2023</t>
        </is>
      </c>
      <c r="B271" s="1" t="n">
        <v>45162</v>
      </c>
      <c r="C271" s="1" t="n">
        <v>46072</v>
      </c>
      <c r="D271" t="inlineStr">
        <is>
          <t>JÄMTLANDS LÄN</t>
        </is>
      </c>
      <c r="E271" t="inlineStr">
        <is>
          <t>BERG</t>
        </is>
      </c>
      <c r="F271" t="inlineStr">
        <is>
          <t>SCA</t>
        </is>
      </c>
      <c r="G271" t="n">
        <v>21.3</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46072</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43403-2023</t>
        </is>
      </c>
      <c r="B273" s="1" t="n">
        <v>45183</v>
      </c>
      <c r="C273" s="1" t="n">
        <v>46072</v>
      </c>
      <c r="D273" t="inlineStr">
        <is>
          <t>JÄMTLANDS LÄN</t>
        </is>
      </c>
      <c r="E273" t="inlineStr">
        <is>
          <t>BERG</t>
        </is>
      </c>
      <c r="F273" t="inlineStr">
        <is>
          <t>SCA</t>
        </is>
      </c>
      <c r="G273" t="n">
        <v>0.1</v>
      </c>
      <c r="H273" t="n">
        <v>0</v>
      </c>
      <c r="I273" t="n">
        <v>0</v>
      </c>
      <c r="J273" t="n">
        <v>0</v>
      </c>
      <c r="K273" t="n">
        <v>0</v>
      </c>
      <c r="L273" t="n">
        <v>0</v>
      </c>
      <c r="M273" t="n">
        <v>0</v>
      </c>
      <c r="N273" t="n">
        <v>0</v>
      </c>
      <c r="O273" t="n">
        <v>0</v>
      </c>
      <c r="P273" t="n">
        <v>0</v>
      </c>
      <c r="Q273" t="n">
        <v>0</v>
      </c>
      <c r="R273" s="2" t="inlineStr"/>
    </row>
    <row r="274" ht="15" customHeight="1">
      <c r="A274" t="inlineStr">
        <is>
          <t>A 46366-2024</t>
        </is>
      </c>
      <c r="B274" s="1" t="n">
        <v>45582.36490740741</v>
      </c>
      <c r="C274" s="1" t="n">
        <v>46072</v>
      </c>
      <c r="D274" t="inlineStr">
        <is>
          <t>JÄMTLANDS LÄN</t>
        </is>
      </c>
      <c r="E274" t="inlineStr">
        <is>
          <t>BERG</t>
        </is>
      </c>
      <c r="G274" t="n">
        <v>5</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46072</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45419.5853587963</v>
      </c>
      <c r="C276" s="1" t="n">
        <v>46072</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45583.69847222222</v>
      </c>
      <c r="C277" s="1" t="n">
        <v>46072</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22724-2025</t>
        </is>
      </c>
      <c r="B278" s="1" t="n">
        <v>45789.57361111111</v>
      </c>
      <c r="C278" s="1" t="n">
        <v>46072</v>
      </c>
      <c r="D278" t="inlineStr">
        <is>
          <t>JÄMTLANDS LÄN</t>
        </is>
      </c>
      <c r="E278" t="inlineStr">
        <is>
          <t>BERG</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14834-2025</t>
        </is>
      </c>
      <c r="B279" s="1" t="n">
        <v>45743.38224537037</v>
      </c>
      <c r="C279" s="1" t="n">
        <v>46072</v>
      </c>
      <c r="D279" t="inlineStr">
        <is>
          <t>JÄMTLANDS LÄN</t>
        </is>
      </c>
      <c r="E279" t="inlineStr">
        <is>
          <t>BERG</t>
        </is>
      </c>
      <c r="G279" t="n">
        <v>3.8</v>
      </c>
      <c r="H279" t="n">
        <v>0</v>
      </c>
      <c r="I279" t="n">
        <v>0</v>
      </c>
      <c r="J279" t="n">
        <v>0</v>
      </c>
      <c r="K279" t="n">
        <v>0</v>
      </c>
      <c r="L279" t="n">
        <v>0</v>
      </c>
      <c r="M279" t="n">
        <v>0</v>
      </c>
      <c r="N279" t="n">
        <v>0</v>
      </c>
      <c r="O279" t="n">
        <v>0</v>
      </c>
      <c r="P279" t="n">
        <v>0</v>
      </c>
      <c r="Q279" t="n">
        <v>0</v>
      </c>
      <c r="R279" s="2" t="inlineStr"/>
    </row>
    <row r="280" ht="15" customHeight="1">
      <c r="A280" t="inlineStr">
        <is>
          <t>A 55575-2025</t>
        </is>
      </c>
      <c r="B280" s="1" t="n">
        <v>45971.66145833334</v>
      </c>
      <c r="C280" s="1" t="n">
        <v>46072</v>
      </c>
      <c r="D280" t="inlineStr">
        <is>
          <t>JÄMTLANDS LÄN</t>
        </is>
      </c>
      <c r="E280" t="inlineStr">
        <is>
          <t>BERG</t>
        </is>
      </c>
      <c r="G280" t="n">
        <v>3.5</v>
      </c>
      <c r="H280" t="n">
        <v>0</v>
      </c>
      <c r="I280" t="n">
        <v>0</v>
      </c>
      <c r="J280" t="n">
        <v>0</v>
      </c>
      <c r="K280" t="n">
        <v>0</v>
      </c>
      <c r="L280" t="n">
        <v>0</v>
      </c>
      <c r="M280" t="n">
        <v>0</v>
      </c>
      <c r="N280" t="n">
        <v>0</v>
      </c>
      <c r="O280" t="n">
        <v>0</v>
      </c>
      <c r="P280" t="n">
        <v>0</v>
      </c>
      <c r="Q280" t="n">
        <v>0</v>
      </c>
      <c r="R280" s="2" t="inlineStr"/>
    </row>
    <row r="281" ht="15" customHeight="1">
      <c r="A281" t="inlineStr">
        <is>
          <t>A 44911-2021</t>
        </is>
      </c>
      <c r="B281" s="1" t="n">
        <v>44435</v>
      </c>
      <c r="C281" s="1" t="n">
        <v>46072</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45686.62828703703</v>
      </c>
      <c r="C282" s="1" t="n">
        <v>46072</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18217-2023</t>
        </is>
      </c>
      <c r="B283" s="1" t="n">
        <v>45040</v>
      </c>
      <c r="C283" s="1" t="n">
        <v>46072</v>
      </c>
      <c r="D283" t="inlineStr">
        <is>
          <t>JÄMTLANDS LÄN</t>
        </is>
      </c>
      <c r="E283" t="inlineStr">
        <is>
          <t>BERG</t>
        </is>
      </c>
      <c r="G283" t="n">
        <v>4.5</v>
      </c>
      <c r="H283" t="n">
        <v>0</v>
      </c>
      <c r="I283" t="n">
        <v>0</v>
      </c>
      <c r="J283" t="n">
        <v>0</v>
      </c>
      <c r="K283" t="n">
        <v>0</v>
      </c>
      <c r="L283" t="n">
        <v>0</v>
      </c>
      <c r="M283" t="n">
        <v>0</v>
      </c>
      <c r="N283" t="n">
        <v>0</v>
      </c>
      <c r="O283" t="n">
        <v>0</v>
      </c>
      <c r="P283" t="n">
        <v>0</v>
      </c>
      <c r="Q283" t="n">
        <v>0</v>
      </c>
      <c r="R283" s="2" t="inlineStr"/>
    </row>
    <row r="284" ht="15" customHeight="1">
      <c r="A284" t="inlineStr">
        <is>
          <t>A 22672-2025</t>
        </is>
      </c>
      <c r="B284" s="1" t="n">
        <v>45789.4903587963</v>
      </c>
      <c r="C284" s="1" t="n">
        <v>46072</v>
      </c>
      <c r="D284" t="inlineStr">
        <is>
          <t>JÄMTLANDS LÄN</t>
        </is>
      </c>
      <c r="E284" t="inlineStr">
        <is>
          <t>BERG</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22653-2025</t>
        </is>
      </c>
      <c r="B285" s="1" t="n">
        <v>45789.46931712963</v>
      </c>
      <c r="C285" s="1" t="n">
        <v>46072</v>
      </c>
      <c r="D285" t="inlineStr">
        <is>
          <t>JÄMTLANDS LÄN</t>
        </is>
      </c>
      <c r="E285" t="inlineStr">
        <is>
          <t>BERG</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63819-2023</t>
        </is>
      </c>
      <c r="B286" s="1" t="n">
        <v>45278.44128472222</v>
      </c>
      <c r="C286" s="1" t="n">
        <v>46072</v>
      </c>
      <c r="D286" t="inlineStr">
        <is>
          <t>JÄMTLANDS LÄN</t>
        </is>
      </c>
      <c r="E286" t="inlineStr">
        <is>
          <t>BERG</t>
        </is>
      </c>
      <c r="G286" t="n">
        <v>1.8</v>
      </c>
      <c r="H286" t="n">
        <v>0</v>
      </c>
      <c r="I286" t="n">
        <v>0</v>
      </c>
      <c r="J286" t="n">
        <v>0</v>
      </c>
      <c r="K286" t="n">
        <v>0</v>
      </c>
      <c r="L286" t="n">
        <v>0</v>
      </c>
      <c r="M286" t="n">
        <v>0</v>
      </c>
      <c r="N286" t="n">
        <v>0</v>
      </c>
      <c r="O286" t="n">
        <v>0</v>
      </c>
      <c r="P286" t="n">
        <v>0</v>
      </c>
      <c r="Q286" t="n">
        <v>0</v>
      </c>
      <c r="R286" s="2" t="inlineStr"/>
    </row>
    <row r="287" ht="15" customHeight="1">
      <c r="A287" t="inlineStr">
        <is>
          <t>A 64490-2023</t>
        </is>
      </c>
      <c r="B287" s="1" t="n">
        <v>45280</v>
      </c>
      <c r="C287" s="1" t="n">
        <v>46072</v>
      </c>
      <c r="D287" t="inlineStr">
        <is>
          <t>JÄMTLANDS LÄN</t>
        </is>
      </c>
      <c r="E287" t="inlineStr">
        <is>
          <t>BERG</t>
        </is>
      </c>
      <c r="F287" t="inlineStr">
        <is>
          <t>Övriga Aktiebolag</t>
        </is>
      </c>
      <c r="G287" t="n">
        <v>7.7</v>
      </c>
      <c r="H287" t="n">
        <v>0</v>
      </c>
      <c r="I287" t="n">
        <v>0</v>
      </c>
      <c r="J287" t="n">
        <v>0</v>
      </c>
      <c r="K287" t="n">
        <v>0</v>
      </c>
      <c r="L287" t="n">
        <v>0</v>
      </c>
      <c r="M287" t="n">
        <v>0</v>
      </c>
      <c r="N287" t="n">
        <v>0</v>
      </c>
      <c r="O287" t="n">
        <v>0</v>
      </c>
      <c r="P287" t="n">
        <v>0</v>
      </c>
      <c r="Q287" t="n">
        <v>0</v>
      </c>
      <c r="R287" s="2" t="inlineStr"/>
    </row>
    <row r="288" ht="15" customHeight="1">
      <c r="A288" t="inlineStr">
        <is>
          <t>A 22478-2025</t>
        </is>
      </c>
      <c r="B288" s="1" t="n">
        <v>45786.6349537037</v>
      </c>
      <c r="C288" s="1" t="n">
        <v>46072</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34650-2024</t>
        </is>
      </c>
      <c r="B289" s="1" t="n">
        <v>45526.48329861111</v>
      </c>
      <c r="C289" s="1" t="n">
        <v>46072</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22991-2025</t>
        </is>
      </c>
      <c r="B290" s="1" t="n">
        <v>45790.57836805555</v>
      </c>
      <c r="C290" s="1" t="n">
        <v>46072</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3419-2025</t>
        </is>
      </c>
      <c r="B291" s="1" t="n">
        <v>45680.4165625</v>
      </c>
      <c r="C291" s="1" t="n">
        <v>46072</v>
      </c>
      <c r="D291" t="inlineStr">
        <is>
          <t>JÄMTLANDS LÄN</t>
        </is>
      </c>
      <c r="E291" t="inlineStr">
        <is>
          <t>BERG</t>
        </is>
      </c>
      <c r="G291" t="n">
        <v>0.8</v>
      </c>
      <c r="H291" t="n">
        <v>0</v>
      </c>
      <c r="I291" t="n">
        <v>0</v>
      </c>
      <c r="J291" t="n">
        <v>0</v>
      </c>
      <c r="K291" t="n">
        <v>0</v>
      </c>
      <c r="L291" t="n">
        <v>0</v>
      </c>
      <c r="M291" t="n">
        <v>0</v>
      </c>
      <c r="N291" t="n">
        <v>0</v>
      </c>
      <c r="O291" t="n">
        <v>0</v>
      </c>
      <c r="P291" t="n">
        <v>0</v>
      </c>
      <c r="Q291" t="n">
        <v>0</v>
      </c>
      <c r="R291" s="2" t="inlineStr"/>
    </row>
    <row r="292" ht="15" customHeight="1">
      <c r="A292" t="inlineStr">
        <is>
          <t>A 46991-2024</t>
        </is>
      </c>
      <c r="B292" s="1" t="n">
        <v>45586.365625</v>
      </c>
      <c r="C292" s="1" t="n">
        <v>46072</v>
      </c>
      <c r="D292" t="inlineStr">
        <is>
          <t>JÄMTLANDS LÄN</t>
        </is>
      </c>
      <c r="E292" t="inlineStr">
        <is>
          <t>BERG</t>
        </is>
      </c>
      <c r="G292" t="n">
        <v>2.9</v>
      </c>
      <c r="H292" t="n">
        <v>0</v>
      </c>
      <c r="I292" t="n">
        <v>0</v>
      </c>
      <c r="J292" t="n">
        <v>0</v>
      </c>
      <c r="K292" t="n">
        <v>0</v>
      </c>
      <c r="L292" t="n">
        <v>0</v>
      </c>
      <c r="M292" t="n">
        <v>0</v>
      </c>
      <c r="N292" t="n">
        <v>0</v>
      </c>
      <c r="O292" t="n">
        <v>0</v>
      </c>
      <c r="P292" t="n">
        <v>0</v>
      </c>
      <c r="Q292" t="n">
        <v>0</v>
      </c>
      <c r="R292" s="2" t="inlineStr"/>
    </row>
    <row r="293" ht="15" customHeight="1">
      <c r="A293" t="inlineStr">
        <is>
          <t>A 23026-2025</t>
        </is>
      </c>
      <c r="B293" s="1" t="n">
        <v>45790.65690972222</v>
      </c>
      <c r="C293" s="1" t="n">
        <v>46072</v>
      </c>
      <c r="D293" t="inlineStr">
        <is>
          <t>JÄMTLANDS LÄN</t>
        </is>
      </c>
      <c r="E293" t="inlineStr">
        <is>
          <t>BERG</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22995-2025</t>
        </is>
      </c>
      <c r="B294" s="1" t="n">
        <v>45790.58265046297</v>
      </c>
      <c r="C294" s="1" t="n">
        <v>46072</v>
      </c>
      <c r="D294" t="inlineStr">
        <is>
          <t>JÄMTLANDS LÄN</t>
        </is>
      </c>
      <c r="E294" t="inlineStr">
        <is>
          <t>BERG</t>
        </is>
      </c>
      <c r="G294" t="n">
        <v>0.6</v>
      </c>
      <c r="H294" t="n">
        <v>0</v>
      </c>
      <c r="I294" t="n">
        <v>0</v>
      </c>
      <c r="J294" t="n">
        <v>0</v>
      </c>
      <c r="K294" t="n">
        <v>0</v>
      </c>
      <c r="L294" t="n">
        <v>0</v>
      </c>
      <c r="M294" t="n">
        <v>0</v>
      </c>
      <c r="N294" t="n">
        <v>0</v>
      </c>
      <c r="O294" t="n">
        <v>0</v>
      </c>
      <c r="P294" t="n">
        <v>0</v>
      </c>
      <c r="Q294" t="n">
        <v>0</v>
      </c>
      <c r="R294" s="2" t="inlineStr"/>
    </row>
    <row r="295" ht="15" customHeight="1">
      <c r="A295" t="inlineStr">
        <is>
          <t>A 29540-2024</t>
        </is>
      </c>
      <c r="B295" s="1" t="n">
        <v>45484</v>
      </c>
      <c r="C295" s="1" t="n">
        <v>46072</v>
      </c>
      <c r="D295" t="inlineStr">
        <is>
          <t>JÄMTLANDS LÄN</t>
        </is>
      </c>
      <c r="E295" t="inlineStr">
        <is>
          <t>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54799-2021</t>
        </is>
      </c>
      <c r="B296" s="1" t="n">
        <v>44473</v>
      </c>
      <c r="C296" s="1" t="n">
        <v>46072</v>
      </c>
      <c r="D296" t="inlineStr">
        <is>
          <t>JÄMTLANDS LÄN</t>
        </is>
      </c>
      <c r="E296" t="inlineStr">
        <is>
          <t>BERG</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5014-2024</t>
        </is>
      </c>
      <c r="B297" s="1" t="n">
        <v>45329</v>
      </c>
      <c r="C297" s="1" t="n">
        <v>46072</v>
      </c>
      <c r="D297" t="inlineStr">
        <is>
          <t>JÄMTLANDS LÄN</t>
        </is>
      </c>
      <c r="E297" t="inlineStr">
        <is>
          <t>BERG</t>
        </is>
      </c>
      <c r="G297" t="n">
        <v>1.1</v>
      </c>
      <c r="H297" t="n">
        <v>0</v>
      </c>
      <c r="I297" t="n">
        <v>0</v>
      </c>
      <c r="J297" t="n">
        <v>0</v>
      </c>
      <c r="K297" t="n">
        <v>0</v>
      </c>
      <c r="L297" t="n">
        <v>0</v>
      </c>
      <c r="M297" t="n">
        <v>0</v>
      </c>
      <c r="N297" t="n">
        <v>0</v>
      </c>
      <c r="O297" t="n">
        <v>0</v>
      </c>
      <c r="P297" t="n">
        <v>0</v>
      </c>
      <c r="Q297" t="n">
        <v>0</v>
      </c>
      <c r="R297" s="2" t="inlineStr"/>
    </row>
    <row r="298" ht="15" customHeight="1">
      <c r="A298" t="inlineStr">
        <is>
          <t>A 19428-2025</t>
        </is>
      </c>
      <c r="B298" s="1" t="n">
        <v>45769.79763888889</v>
      </c>
      <c r="C298" s="1" t="n">
        <v>46072</v>
      </c>
      <c r="D298" t="inlineStr">
        <is>
          <t>JÄMTLANDS LÄN</t>
        </is>
      </c>
      <c r="E298" t="inlineStr">
        <is>
          <t>BERG</t>
        </is>
      </c>
      <c r="G298" t="n">
        <v>7.1</v>
      </c>
      <c r="H298" t="n">
        <v>0</v>
      </c>
      <c r="I298" t="n">
        <v>0</v>
      </c>
      <c r="J298" t="n">
        <v>0</v>
      </c>
      <c r="K298" t="n">
        <v>0</v>
      </c>
      <c r="L298" t="n">
        <v>0</v>
      </c>
      <c r="M298" t="n">
        <v>0</v>
      </c>
      <c r="N298" t="n">
        <v>0</v>
      </c>
      <c r="O298" t="n">
        <v>0</v>
      </c>
      <c r="P298" t="n">
        <v>0</v>
      </c>
      <c r="Q298" t="n">
        <v>0</v>
      </c>
      <c r="R298" s="2" t="inlineStr"/>
    </row>
    <row r="299" ht="15" customHeight="1">
      <c r="A299" t="inlineStr">
        <is>
          <t>A 23766-2025</t>
        </is>
      </c>
      <c r="B299" s="1" t="n">
        <v>45793.46954861111</v>
      </c>
      <c r="C299" s="1" t="n">
        <v>46072</v>
      </c>
      <c r="D299" t="inlineStr">
        <is>
          <t>JÄMTLANDS LÄN</t>
        </is>
      </c>
      <c r="E299" t="inlineStr">
        <is>
          <t>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23913-2025</t>
        </is>
      </c>
      <c r="B300" s="1" t="n">
        <v>45795.34442129629</v>
      </c>
      <c r="C300" s="1" t="n">
        <v>46072</v>
      </c>
      <c r="D300" t="inlineStr">
        <is>
          <t>JÄMTLANDS LÄN</t>
        </is>
      </c>
      <c r="E300" t="inlineStr">
        <is>
          <t>BERG</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23919-2025</t>
        </is>
      </c>
      <c r="B301" s="1" t="n">
        <v>45795.34497685185</v>
      </c>
      <c r="C301" s="1" t="n">
        <v>46072</v>
      </c>
      <c r="D301" t="inlineStr">
        <is>
          <t>JÄMTLANDS LÄN</t>
        </is>
      </c>
      <c r="E301" t="inlineStr">
        <is>
          <t>BERG</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56199-2025</t>
        </is>
      </c>
      <c r="B302" s="1" t="n">
        <v>45974.45790509259</v>
      </c>
      <c r="C302" s="1" t="n">
        <v>46072</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24324-2025</t>
        </is>
      </c>
      <c r="B303" s="1" t="n">
        <v>45797.56049768518</v>
      </c>
      <c r="C303" s="1" t="n">
        <v>46072</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39418-2025</t>
        </is>
      </c>
      <c r="B304" s="1" t="n">
        <v>45889</v>
      </c>
      <c r="C304" s="1" t="n">
        <v>46072</v>
      </c>
      <c r="D304" t="inlineStr">
        <is>
          <t>JÄMTLANDS LÄN</t>
        </is>
      </c>
      <c r="E304" t="inlineStr">
        <is>
          <t>BERG</t>
        </is>
      </c>
      <c r="G304" t="n">
        <v>19.8</v>
      </c>
      <c r="H304" t="n">
        <v>0</v>
      </c>
      <c r="I304" t="n">
        <v>0</v>
      </c>
      <c r="J304" t="n">
        <v>0</v>
      </c>
      <c r="K304" t="n">
        <v>0</v>
      </c>
      <c r="L304" t="n">
        <v>0</v>
      </c>
      <c r="M304" t="n">
        <v>0</v>
      </c>
      <c r="N304" t="n">
        <v>0</v>
      </c>
      <c r="O304" t="n">
        <v>0</v>
      </c>
      <c r="P304" t="n">
        <v>0</v>
      </c>
      <c r="Q304" t="n">
        <v>0</v>
      </c>
      <c r="R304" s="2" t="inlineStr"/>
    </row>
    <row r="305" ht="15" customHeight="1">
      <c r="A305" t="inlineStr">
        <is>
          <t>A 39004-2025</t>
        </is>
      </c>
      <c r="B305" s="1" t="n">
        <v>45888.34472222222</v>
      </c>
      <c r="C305" s="1" t="n">
        <v>46072</v>
      </c>
      <c r="D305" t="inlineStr">
        <is>
          <t>JÄMTLANDS LÄN</t>
        </is>
      </c>
      <c r="E305" t="inlineStr">
        <is>
          <t>BERG</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23900-2025</t>
        </is>
      </c>
      <c r="B306" s="1" t="n">
        <v>45794.34425925926</v>
      </c>
      <c r="C306" s="1" t="n">
        <v>46072</v>
      </c>
      <c r="D306" t="inlineStr">
        <is>
          <t>JÄMTLANDS LÄN</t>
        </is>
      </c>
      <c r="E306" t="inlineStr">
        <is>
          <t>BERG</t>
        </is>
      </c>
      <c r="F306" t="inlineStr">
        <is>
          <t>SCA</t>
        </is>
      </c>
      <c r="G306" t="n">
        <v>4.4</v>
      </c>
      <c r="H306" t="n">
        <v>0</v>
      </c>
      <c r="I306" t="n">
        <v>0</v>
      </c>
      <c r="J306" t="n">
        <v>0</v>
      </c>
      <c r="K306" t="n">
        <v>0</v>
      </c>
      <c r="L306" t="n">
        <v>0</v>
      </c>
      <c r="M306" t="n">
        <v>0</v>
      </c>
      <c r="N306" t="n">
        <v>0</v>
      </c>
      <c r="O306" t="n">
        <v>0</v>
      </c>
      <c r="P306" t="n">
        <v>0</v>
      </c>
      <c r="Q306" t="n">
        <v>0</v>
      </c>
      <c r="R306" s="2" t="inlineStr"/>
    </row>
    <row r="307" ht="15" customHeight="1">
      <c r="A307" t="inlineStr">
        <is>
          <t>A 23915-2025</t>
        </is>
      </c>
      <c r="B307" s="1" t="n">
        <v>45795.3446412037</v>
      </c>
      <c r="C307" s="1" t="n">
        <v>46072</v>
      </c>
      <c r="D307" t="inlineStr">
        <is>
          <t>JÄMTLANDS LÄN</t>
        </is>
      </c>
      <c r="E307" t="inlineStr">
        <is>
          <t>BERG</t>
        </is>
      </c>
      <c r="F307" t="inlineStr">
        <is>
          <t>SCA</t>
        </is>
      </c>
      <c r="G307" t="n">
        <v>16.7</v>
      </c>
      <c r="H307" t="n">
        <v>0</v>
      </c>
      <c r="I307" t="n">
        <v>0</v>
      </c>
      <c r="J307" t="n">
        <v>0</v>
      </c>
      <c r="K307" t="n">
        <v>0</v>
      </c>
      <c r="L307" t="n">
        <v>0</v>
      </c>
      <c r="M307" t="n">
        <v>0</v>
      </c>
      <c r="N307" t="n">
        <v>0</v>
      </c>
      <c r="O307" t="n">
        <v>0</v>
      </c>
      <c r="P307" t="n">
        <v>0</v>
      </c>
      <c r="Q307" t="n">
        <v>0</v>
      </c>
      <c r="R307" s="2" t="inlineStr"/>
    </row>
    <row r="308" ht="15" customHeight="1">
      <c r="A308" t="inlineStr">
        <is>
          <t>A 56457-2025</t>
        </is>
      </c>
      <c r="B308" s="1" t="n">
        <v>45975.36277777778</v>
      </c>
      <c r="C308" s="1" t="n">
        <v>46072</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23916-2025</t>
        </is>
      </c>
      <c r="B309" s="1" t="n">
        <v>45795.34472222222</v>
      </c>
      <c r="C309" s="1" t="n">
        <v>46072</v>
      </c>
      <c r="D309" t="inlineStr">
        <is>
          <t>JÄMTLANDS LÄN</t>
        </is>
      </c>
      <c r="E309" t="inlineStr">
        <is>
          <t>BERG</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61085-2024</t>
        </is>
      </c>
      <c r="B310" s="1" t="n">
        <v>45645.53202546296</v>
      </c>
      <c r="C310" s="1" t="n">
        <v>46072</v>
      </c>
      <c r="D310" t="inlineStr">
        <is>
          <t>JÄMTLANDS LÄN</t>
        </is>
      </c>
      <c r="E310" t="inlineStr">
        <is>
          <t>BERG</t>
        </is>
      </c>
      <c r="F310" t="inlineStr">
        <is>
          <t>SCA</t>
        </is>
      </c>
      <c r="G310" t="n">
        <v>12.2</v>
      </c>
      <c r="H310" t="n">
        <v>0</v>
      </c>
      <c r="I310" t="n">
        <v>0</v>
      </c>
      <c r="J310" t="n">
        <v>0</v>
      </c>
      <c r="K310" t="n">
        <v>0</v>
      </c>
      <c r="L310" t="n">
        <v>0</v>
      </c>
      <c r="M310" t="n">
        <v>0</v>
      </c>
      <c r="N310" t="n">
        <v>0</v>
      </c>
      <c r="O310" t="n">
        <v>0</v>
      </c>
      <c r="P310" t="n">
        <v>0</v>
      </c>
      <c r="Q310" t="n">
        <v>0</v>
      </c>
      <c r="R310" s="2" t="inlineStr"/>
    </row>
    <row r="311" ht="15" customHeight="1">
      <c r="A311" t="inlineStr">
        <is>
          <t>A 24360-2025</t>
        </is>
      </c>
      <c r="B311" s="1" t="n">
        <v>45797.59502314815</v>
      </c>
      <c r="C311" s="1" t="n">
        <v>46072</v>
      </c>
      <c r="D311" t="inlineStr">
        <is>
          <t>JÄMTLANDS LÄN</t>
        </is>
      </c>
      <c r="E311" t="inlineStr">
        <is>
          <t>BERG</t>
        </is>
      </c>
      <c r="F311" t="inlineStr">
        <is>
          <t>SCA</t>
        </is>
      </c>
      <c r="G311" t="n">
        <v>10.5</v>
      </c>
      <c r="H311" t="n">
        <v>0</v>
      </c>
      <c r="I311" t="n">
        <v>0</v>
      </c>
      <c r="J311" t="n">
        <v>0</v>
      </c>
      <c r="K311" t="n">
        <v>0</v>
      </c>
      <c r="L311" t="n">
        <v>0</v>
      </c>
      <c r="M311" t="n">
        <v>0</v>
      </c>
      <c r="N311" t="n">
        <v>0</v>
      </c>
      <c r="O311" t="n">
        <v>0</v>
      </c>
      <c r="P311" t="n">
        <v>0</v>
      </c>
      <c r="Q311" t="n">
        <v>0</v>
      </c>
      <c r="R311" s="2" t="inlineStr"/>
    </row>
    <row r="312" ht="15" customHeight="1">
      <c r="A312" t="inlineStr">
        <is>
          <t>A 33386-2025</t>
        </is>
      </c>
      <c r="B312" s="1" t="n">
        <v>45841.40587962963</v>
      </c>
      <c r="C312" s="1" t="n">
        <v>46072</v>
      </c>
      <c r="D312" t="inlineStr">
        <is>
          <t>JÄMTLANDS LÄN</t>
        </is>
      </c>
      <c r="E312" t="inlineStr">
        <is>
          <t>BERG</t>
        </is>
      </c>
      <c r="G312" t="n">
        <v>37.7</v>
      </c>
      <c r="H312" t="n">
        <v>0</v>
      </c>
      <c r="I312" t="n">
        <v>0</v>
      </c>
      <c r="J312" t="n">
        <v>0</v>
      </c>
      <c r="K312" t="n">
        <v>0</v>
      </c>
      <c r="L312" t="n">
        <v>0</v>
      </c>
      <c r="M312" t="n">
        <v>0</v>
      </c>
      <c r="N312" t="n">
        <v>0</v>
      </c>
      <c r="O312" t="n">
        <v>0</v>
      </c>
      <c r="P312" t="n">
        <v>0</v>
      </c>
      <c r="Q312" t="n">
        <v>0</v>
      </c>
      <c r="R312" s="2" t="inlineStr"/>
    </row>
    <row r="313" ht="15" customHeight="1">
      <c r="A313" t="inlineStr">
        <is>
          <t>A 24060-2025</t>
        </is>
      </c>
      <c r="B313" s="1" t="n">
        <v>45796.5216087963</v>
      </c>
      <c r="C313" s="1" t="n">
        <v>46072</v>
      </c>
      <c r="D313" t="inlineStr">
        <is>
          <t>JÄMTLANDS LÄN</t>
        </is>
      </c>
      <c r="E313" t="inlineStr">
        <is>
          <t>BERG</t>
        </is>
      </c>
      <c r="G313" t="n">
        <v>4.7</v>
      </c>
      <c r="H313" t="n">
        <v>0</v>
      </c>
      <c r="I313" t="n">
        <v>0</v>
      </c>
      <c r="J313" t="n">
        <v>0</v>
      </c>
      <c r="K313" t="n">
        <v>0</v>
      </c>
      <c r="L313" t="n">
        <v>0</v>
      </c>
      <c r="M313" t="n">
        <v>0</v>
      </c>
      <c r="N313" t="n">
        <v>0</v>
      </c>
      <c r="O313" t="n">
        <v>0</v>
      </c>
      <c r="P313" t="n">
        <v>0</v>
      </c>
      <c r="Q313" t="n">
        <v>0</v>
      </c>
      <c r="R313" s="2" t="inlineStr"/>
    </row>
    <row r="314" ht="15" customHeight="1">
      <c r="A314" t="inlineStr">
        <is>
          <t>A 39601-2025</t>
        </is>
      </c>
      <c r="B314" s="1" t="n">
        <v>45890.55284722222</v>
      </c>
      <c r="C314" s="1" t="n">
        <v>46072</v>
      </c>
      <c r="D314" t="inlineStr">
        <is>
          <t>JÄMTLANDS LÄN</t>
        </is>
      </c>
      <c r="E314" t="inlineStr">
        <is>
          <t>BERG</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41927-2023</t>
        </is>
      </c>
      <c r="B315" s="1" t="n">
        <v>45176</v>
      </c>
      <c r="C315" s="1" t="n">
        <v>46072</v>
      </c>
      <c r="D315" t="inlineStr">
        <is>
          <t>JÄMTLANDS LÄN</t>
        </is>
      </c>
      <c r="E315" t="inlineStr">
        <is>
          <t>BERG</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39698-2025</t>
        </is>
      </c>
      <c r="B316" s="1" t="n">
        <v>45890.69837962963</v>
      </c>
      <c r="C316" s="1" t="n">
        <v>46072</v>
      </c>
      <c r="D316" t="inlineStr">
        <is>
          <t>JÄMTLANDS LÄN</t>
        </is>
      </c>
      <c r="E316" t="inlineStr">
        <is>
          <t>BERG</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24390-2025</t>
        </is>
      </c>
      <c r="B317" s="1" t="n">
        <v>45797.63576388889</v>
      </c>
      <c r="C317" s="1" t="n">
        <v>46072</v>
      </c>
      <c r="D317" t="inlineStr">
        <is>
          <t>JÄMTLANDS LÄN</t>
        </is>
      </c>
      <c r="E317" t="inlineStr">
        <is>
          <t>BERG</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5187-2025</t>
        </is>
      </c>
      <c r="B318" s="1" t="n">
        <v>45691.64266203704</v>
      </c>
      <c r="C318" s="1" t="n">
        <v>46072</v>
      </c>
      <c r="D318" t="inlineStr">
        <is>
          <t>JÄMTLANDS LÄN</t>
        </is>
      </c>
      <c r="E318" t="inlineStr">
        <is>
          <t>BERG</t>
        </is>
      </c>
      <c r="G318" t="n">
        <v>2.5</v>
      </c>
      <c r="H318" t="n">
        <v>0</v>
      </c>
      <c r="I318" t="n">
        <v>0</v>
      </c>
      <c r="J318" t="n">
        <v>0</v>
      </c>
      <c r="K318" t="n">
        <v>0</v>
      </c>
      <c r="L318" t="n">
        <v>0</v>
      </c>
      <c r="M318" t="n">
        <v>0</v>
      </c>
      <c r="N318" t="n">
        <v>0</v>
      </c>
      <c r="O318" t="n">
        <v>0</v>
      </c>
      <c r="P318" t="n">
        <v>0</v>
      </c>
      <c r="Q318" t="n">
        <v>0</v>
      </c>
      <c r="R318" s="2" t="inlineStr"/>
    </row>
    <row r="319" ht="15" customHeight="1">
      <c r="A319" t="inlineStr">
        <is>
          <t>A 23901-2025</t>
        </is>
      </c>
      <c r="B319" s="1" t="n">
        <v>45794.34436342592</v>
      </c>
      <c r="C319" s="1" t="n">
        <v>46072</v>
      </c>
      <c r="D319" t="inlineStr">
        <is>
          <t>JÄMTLANDS LÄN</t>
        </is>
      </c>
      <c r="E319" t="inlineStr">
        <is>
          <t>BERG</t>
        </is>
      </c>
      <c r="F319" t="inlineStr">
        <is>
          <t>SCA</t>
        </is>
      </c>
      <c r="G319" t="n">
        <v>4.3</v>
      </c>
      <c r="H319" t="n">
        <v>0</v>
      </c>
      <c r="I319" t="n">
        <v>0</v>
      </c>
      <c r="J319" t="n">
        <v>0</v>
      </c>
      <c r="K319" t="n">
        <v>0</v>
      </c>
      <c r="L319" t="n">
        <v>0</v>
      </c>
      <c r="M319" t="n">
        <v>0</v>
      </c>
      <c r="N319" t="n">
        <v>0</v>
      </c>
      <c r="O319" t="n">
        <v>0</v>
      </c>
      <c r="P319" t="n">
        <v>0</v>
      </c>
      <c r="Q319" t="n">
        <v>0</v>
      </c>
      <c r="R319" s="2" t="inlineStr"/>
    </row>
    <row r="320" ht="15" customHeight="1">
      <c r="A320" t="inlineStr">
        <is>
          <t>A 23920-2025</t>
        </is>
      </c>
      <c r="B320" s="1" t="n">
        <v>45795.34505787037</v>
      </c>
      <c r="C320" s="1" t="n">
        <v>46072</v>
      </c>
      <c r="D320" t="inlineStr">
        <is>
          <t>JÄMTLANDS LÄN</t>
        </is>
      </c>
      <c r="E320" t="inlineStr">
        <is>
          <t>BERG</t>
        </is>
      </c>
      <c r="F320" t="inlineStr">
        <is>
          <t>SCA</t>
        </is>
      </c>
      <c r="G320" t="n">
        <v>8.5</v>
      </c>
      <c r="H320" t="n">
        <v>0</v>
      </c>
      <c r="I320" t="n">
        <v>0</v>
      </c>
      <c r="J320" t="n">
        <v>0</v>
      </c>
      <c r="K320" t="n">
        <v>0</v>
      </c>
      <c r="L320" t="n">
        <v>0</v>
      </c>
      <c r="M320" t="n">
        <v>0</v>
      </c>
      <c r="N320" t="n">
        <v>0</v>
      </c>
      <c r="O320" t="n">
        <v>0</v>
      </c>
      <c r="P320" t="n">
        <v>0</v>
      </c>
      <c r="Q320" t="n">
        <v>0</v>
      </c>
      <c r="R320" s="2" t="inlineStr"/>
    </row>
    <row r="321" ht="15" customHeight="1">
      <c r="A321" t="inlineStr">
        <is>
          <t>A 39544-2025</t>
        </is>
      </c>
      <c r="B321" s="1" t="n">
        <v>45890.45547453704</v>
      </c>
      <c r="C321" s="1" t="n">
        <v>46072</v>
      </c>
      <c r="D321" t="inlineStr">
        <is>
          <t>JÄMTLANDS LÄN</t>
        </is>
      </c>
      <c r="E321" t="inlineStr">
        <is>
          <t>BERG</t>
        </is>
      </c>
      <c r="G321" t="n">
        <v>7.5</v>
      </c>
      <c r="H321" t="n">
        <v>0</v>
      </c>
      <c r="I321" t="n">
        <v>0</v>
      </c>
      <c r="J321" t="n">
        <v>0</v>
      </c>
      <c r="K321" t="n">
        <v>0</v>
      </c>
      <c r="L321" t="n">
        <v>0</v>
      </c>
      <c r="M321" t="n">
        <v>0</v>
      </c>
      <c r="N321" t="n">
        <v>0</v>
      </c>
      <c r="O321" t="n">
        <v>0</v>
      </c>
      <c r="P321" t="n">
        <v>0</v>
      </c>
      <c r="Q321" t="n">
        <v>0</v>
      </c>
      <c r="R321" s="2" t="inlineStr"/>
    </row>
    <row r="322" ht="15" customHeight="1">
      <c r="A322" t="inlineStr">
        <is>
          <t>A 23902-2025</t>
        </is>
      </c>
      <c r="B322" s="1" t="n">
        <v>45794.34447916667</v>
      </c>
      <c r="C322" s="1" t="n">
        <v>46072</v>
      </c>
      <c r="D322" t="inlineStr">
        <is>
          <t>JÄMTLANDS LÄN</t>
        </is>
      </c>
      <c r="E322" t="inlineStr">
        <is>
          <t>BERG</t>
        </is>
      </c>
      <c r="F322" t="inlineStr">
        <is>
          <t>SCA</t>
        </is>
      </c>
      <c r="G322" t="n">
        <v>14.3</v>
      </c>
      <c r="H322" t="n">
        <v>0</v>
      </c>
      <c r="I322" t="n">
        <v>0</v>
      </c>
      <c r="J322" t="n">
        <v>0</v>
      </c>
      <c r="K322" t="n">
        <v>0</v>
      </c>
      <c r="L322" t="n">
        <v>0</v>
      </c>
      <c r="M322" t="n">
        <v>0</v>
      </c>
      <c r="N322" t="n">
        <v>0</v>
      </c>
      <c r="O322" t="n">
        <v>0</v>
      </c>
      <c r="P322" t="n">
        <v>0</v>
      </c>
      <c r="Q322" t="n">
        <v>0</v>
      </c>
      <c r="R322" s="2" t="inlineStr"/>
    </row>
    <row r="323" ht="15" customHeight="1">
      <c r="A323" t="inlineStr">
        <is>
          <t>A 18007-2024</t>
        </is>
      </c>
      <c r="B323" s="1" t="n">
        <v>45419.94912037037</v>
      </c>
      <c r="C323" s="1" t="n">
        <v>46072</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56234-2025</t>
        </is>
      </c>
      <c r="B324" s="1" t="n">
        <v>45974.53696759259</v>
      </c>
      <c r="C324" s="1" t="n">
        <v>46072</v>
      </c>
      <c r="D324" t="inlineStr">
        <is>
          <t>JÄMTLANDS LÄN</t>
        </is>
      </c>
      <c r="E324" t="inlineStr">
        <is>
          <t>BERG</t>
        </is>
      </c>
      <c r="G324" t="n">
        <v>11.7</v>
      </c>
      <c r="H324" t="n">
        <v>0</v>
      </c>
      <c r="I324" t="n">
        <v>0</v>
      </c>
      <c r="J324" t="n">
        <v>0</v>
      </c>
      <c r="K324" t="n">
        <v>0</v>
      </c>
      <c r="L324" t="n">
        <v>0</v>
      </c>
      <c r="M324" t="n">
        <v>0</v>
      </c>
      <c r="N324" t="n">
        <v>0</v>
      </c>
      <c r="O324" t="n">
        <v>0</v>
      </c>
      <c r="P324" t="n">
        <v>0</v>
      </c>
      <c r="Q324" t="n">
        <v>0</v>
      </c>
      <c r="R324" s="2" t="inlineStr"/>
    </row>
    <row r="325" ht="15" customHeight="1">
      <c r="A325" t="inlineStr">
        <is>
          <t>A 39539-2025</t>
        </is>
      </c>
      <c r="B325" s="1" t="n">
        <v>45890.4525</v>
      </c>
      <c r="C325" s="1" t="n">
        <v>46072</v>
      </c>
      <c r="D325" t="inlineStr">
        <is>
          <t>JÄMTLANDS LÄN</t>
        </is>
      </c>
      <c r="E325" t="inlineStr">
        <is>
          <t>BERG</t>
        </is>
      </c>
      <c r="G325" t="n">
        <v>7.7</v>
      </c>
      <c r="H325" t="n">
        <v>0</v>
      </c>
      <c r="I325" t="n">
        <v>0</v>
      </c>
      <c r="J325" t="n">
        <v>0</v>
      </c>
      <c r="K325" t="n">
        <v>0</v>
      </c>
      <c r="L325" t="n">
        <v>0</v>
      </c>
      <c r="M325" t="n">
        <v>0</v>
      </c>
      <c r="N325" t="n">
        <v>0</v>
      </c>
      <c r="O325" t="n">
        <v>0</v>
      </c>
      <c r="P325" t="n">
        <v>0</v>
      </c>
      <c r="Q325" t="n">
        <v>0</v>
      </c>
      <c r="R325" s="2" t="inlineStr"/>
    </row>
    <row r="326" ht="15" customHeight="1">
      <c r="A326" t="inlineStr">
        <is>
          <t>A 40266-2025</t>
        </is>
      </c>
      <c r="B326" s="1" t="n">
        <v>45895.34478009259</v>
      </c>
      <c r="C326" s="1" t="n">
        <v>46072</v>
      </c>
      <c r="D326" t="inlineStr">
        <is>
          <t>JÄMTLANDS LÄN</t>
        </is>
      </c>
      <c r="E326" t="inlineStr">
        <is>
          <t>BERG</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40060-2025</t>
        </is>
      </c>
      <c r="B327" s="1" t="n">
        <v>45894.42746527777</v>
      </c>
      <c r="C327" s="1" t="n">
        <v>46072</v>
      </c>
      <c r="D327" t="inlineStr">
        <is>
          <t>JÄMTLANDS LÄN</t>
        </is>
      </c>
      <c r="E327" t="inlineStr">
        <is>
          <t>BERG</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40410-2025</t>
        </is>
      </c>
      <c r="B328" s="1" t="n">
        <v>45895.57349537037</v>
      </c>
      <c r="C328" s="1" t="n">
        <v>46072</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40341-2025</t>
        </is>
      </c>
      <c r="B329" s="1" t="n">
        <v>45895</v>
      </c>
      <c r="C329" s="1" t="n">
        <v>46072</v>
      </c>
      <c r="D329" t="inlineStr">
        <is>
          <t>JÄMTLANDS LÄN</t>
        </is>
      </c>
      <c r="E329" t="inlineStr">
        <is>
          <t>BERG</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3842-2023</t>
        </is>
      </c>
      <c r="B330" s="1" t="n">
        <v>44951</v>
      </c>
      <c r="C330" s="1" t="n">
        <v>46072</v>
      </c>
      <c r="D330" t="inlineStr">
        <is>
          <t>JÄMTLANDS LÄN</t>
        </is>
      </c>
      <c r="E330" t="inlineStr">
        <is>
          <t>BERG</t>
        </is>
      </c>
      <c r="G330" t="n">
        <v>0.3</v>
      </c>
      <c r="H330" t="n">
        <v>0</v>
      </c>
      <c r="I330" t="n">
        <v>0</v>
      </c>
      <c r="J330" t="n">
        <v>0</v>
      </c>
      <c r="K330" t="n">
        <v>0</v>
      </c>
      <c r="L330" t="n">
        <v>0</v>
      </c>
      <c r="M330" t="n">
        <v>0</v>
      </c>
      <c r="N330" t="n">
        <v>0</v>
      </c>
      <c r="O330" t="n">
        <v>0</v>
      </c>
      <c r="P330" t="n">
        <v>0</v>
      </c>
      <c r="Q330" t="n">
        <v>0</v>
      </c>
      <c r="R330" s="2" t="inlineStr"/>
    </row>
    <row r="331" ht="15" customHeight="1">
      <c r="A331" t="inlineStr">
        <is>
          <t>A 24954-2025</t>
        </is>
      </c>
      <c r="B331" s="1" t="n">
        <v>45799.57385416667</v>
      </c>
      <c r="C331" s="1" t="n">
        <v>46072</v>
      </c>
      <c r="D331" t="inlineStr">
        <is>
          <t>JÄMTLANDS LÄN</t>
        </is>
      </c>
      <c r="E331" t="inlineStr">
        <is>
          <t>BERG</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24786-2025</t>
        </is>
      </c>
      <c r="B332" s="1" t="n">
        <v>45799.42777777778</v>
      </c>
      <c r="C332" s="1" t="n">
        <v>46072</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24869-2025</t>
        </is>
      </c>
      <c r="B333" s="1" t="n">
        <v>45799.48994212963</v>
      </c>
      <c r="C333" s="1" t="n">
        <v>46072</v>
      </c>
      <c r="D333" t="inlineStr">
        <is>
          <t>JÄMTLANDS LÄN</t>
        </is>
      </c>
      <c r="E333" t="inlineStr">
        <is>
          <t>BERG</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24442-2025</t>
        </is>
      </c>
      <c r="B334" s="1" t="n">
        <v>45797.96236111111</v>
      </c>
      <c r="C334" s="1" t="n">
        <v>46072</v>
      </c>
      <c r="D334" t="inlineStr">
        <is>
          <t>JÄMTLANDS LÄN</t>
        </is>
      </c>
      <c r="E334" t="inlineStr">
        <is>
          <t>BERG</t>
        </is>
      </c>
      <c r="G334" t="n">
        <v>9</v>
      </c>
      <c r="H334" t="n">
        <v>0</v>
      </c>
      <c r="I334" t="n">
        <v>0</v>
      </c>
      <c r="J334" t="n">
        <v>0</v>
      </c>
      <c r="K334" t="n">
        <v>0</v>
      </c>
      <c r="L334" t="n">
        <v>0</v>
      </c>
      <c r="M334" t="n">
        <v>0</v>
      </c>
      <c r="N334" t="n">
        <v>0</v>
      </c>
      <c r="O334" t="n">
        <v>0</v>
      </c>
      <c r="P334" t="n">
        <v>0</v>
      </c>
      <c r="Q334" t="n">
        <v>0</v>
      </c>
      <c r="R334" s="2" t="inlineStr"/>
    </row>
    <row r="335" ht="15" customHeight="1">
      <c r="A335" t="inlineStr">
        <is>
          <t>A 24849-2025</t>
        </is>
      </c>
      <c r="B335" s="1" t="n">
        <v>45799.46949074074</v>
      </c>
      <c r="C335" s="1" t="n">
        <v>46072</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40918-2025</t>
        </is>
      </c>
      <c r="B336" s="1" t="n">
        <v>45897.6292824074</v>
      </c>
      <c r="C336" s="1" t="n">
        <v>46072</v>
      </c>
      <c r="D336" t="inlineStr">
        <is>
          <t>JÄMTLANDS LÄN</t>
        </is>
      </c>
      <c r="E336" t="inlineStr">
        <is>
          <t>BERG</t>
        </is>
      </c>
      <c r="G336" t="n">
        <v>1.7</v>
      </c>
      <c r="H336" t="n">
        <v>0</v>
      </c>
      <c r="I336" t="n">
        <v>0</v>
      </c>
      <c r="J336" t="n">
        <v>0</v>
      </c>
      <c r="K336" t="n">
        <v>0</v>
      </c>
      <c r="L336" t="n">
        <v>0</v>
      </c>
      <c r="M336" t="n">
        <v>0</v>
      </c>
      <c r="N336" t="n">
        <v>0</v>
      </c>
      <c r="O336" t="n">
        <v>0</v>
      </c>
      <c r="P336" t="n">
        <v>0</v>
      </c>
      <c r="Q336" t="n">
        <v>0</v>
      </c>
      <c r="R336" s="2" t="inlineStr"/>
    </row>
    <row r="337" ht="15" customHeight="1">
      <c r="A337" t="inlineStr">
        <is>
          <t>A 59526-2024</t>
        </is>
      </c>
      <c r="B337" s="1" t="n">
        <v>45638.58019675926</v>
      </c>
      <c r="C337" s="1" t="n">
        <v>46072</v>
      </c>
      <c r="D337" t="inlineStr">
        <is>
          <t>JÄMTLANDS LÄN</t>
        </is>
      </c>
      <c r="E337" t="inlineStr">
        <is>
          <t>BERG</t>
        </is>
      </c>
      <c r="G337" t="n">
        <v>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46072</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40737-2025</t>
        </is>
      </c>
      <c r="B339" s="1" t="n">
        <v>45897.36572916667</v>
      </c>
      <c r="C339" s="1" t="n">
        <v>46072</v>
      </c>
      <c r="D339" t="inlineStr">
        <is>
          <t>JÄMTLANDS LÄN</t>
        </is>
      </c>
      <c r="E339" t="inlineStr">
        <is>
          <t>BERG</t>
        </is>
      </c>
      <c r="G339" t="n">
        <v>2.8</v>
      </c>
      <c r="H339" t="n">
        <v>0</v>
      </c>
      <c r="I339" t="n">
        <v>0</v>
      </c>
      <c r="J339" t="n">
        <v>0</v>
      </c>
      <c r="K339" t="n">
        <v>0</v>
      </c>
      <c r="L339" t="n">
        <v>0</v>
      </c>
      <c r="M339" t="n">
        <v>0</v>
      </c>
      <c r="N339" t="n">
        <v>0</v>
      </c>
      <c r="O339" t="n">
        <v>0</v>
      </c>
      <c r="P339" t="n">
        <v>0</v>
      </c>
      <c r="Q339" t="n">
        <v>0</v>
      </c>
      <c r="R339" s="2" t="inlineStr"/>
    </row>
    <row r="340" ht="15" customHeight="1">
      <c r="A340" t="inlineStr">
        <is>
          <t>A 25452-2025</t>
        </is>
      </c>
      <c r="B340" s="1" t="n">
        <v>45802.34440972222</v>
      </c>
      <c r="C340" s="1" t="n">
        <v>46072</v>
      </c>
      <c r="D340" t="inlineStr">
        <is>
          <t>JÄMTLANDS LÄN</t>
        </is>
      </c>
      <c r="E340" t="inlineStr">
        <is>
          <t>BERG</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57046-2025</t>
        </is>
      </c>
      <c r="B341" s="1" t="n">
        <v>45979.34672453703</v>
      </c>
      <c r="C341" s="1" t="n">
        <v>46072</v>
      </c>
      <c r="D341" t="inlineStr">
        <is>
          <t>JÄMTLANDS LÄN</t>
        </is>
      </c>
      <c r="E341" t="inlineStr">
        <is>
          <t>BERG</t>
        </is>
      </c>
      <c r="F341" t="inlineStr">
        <is>
          <t>SCA</t>
        </is>
      </c>
      <c r="G341" t="n">
        <v>10.8</v>
      </c>
      <c r="H341" t="n">
        <v>0</v>
      </c>
      <c r="I341" t="n">
        <v>0</v>
      </c>
      <c r="J341" t="n">
        <v>0</v>
      </c>
      <c r="K341" t="n">
        <v>0</v>
      </c>
      <c r="L341" t="n">
        <v>0</v>
      </c>
      <c r="M341" t="n">
        <v>0</v>
      </c>
      <c r="N341" t="n">
        <v>0</v>
      </c>
      <c r="O341" t="n">
        <v>0</v>
      </c>
      <c r="P341" t="n">
        <v>0</v>
      </c>
      <c r="Q341" t="n">
        <v>0</v>
      </c>
      <c r="R341" s="2" t="inlineStr"/>
    </row>
    <row r="342" ht="15" customHeight="1">
      <c r="A342" t="inlineStr">
        <is>
          <t>A 40630-2025</t>
        </is>
      </c>
      <c r="B342" s="1" t="n">
        <v>45896</v>
      </c>
      <c r="C342" s="1" t="n">
        <v>46072</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60409-2023</t>
        </is>
      </c>
      <c r="B343" s="1" t="n">
        <v>45259.47972222222</v>
      </c>
      <c r="C343" s="1" t="n">
        <v>46072</v>
      </c>
      <c r="D343" t="inlineStr">
        <is>
          <t>JÄMTLANDS LÄN</t>
        </is>
      </c>
      <c r="E343" t="inlineStr">
        <is>
          <t>BERG</t>
        </is>
      </c>
      <c r="G343" t="n">
        <v>5.8</v>
      </c>
      <c r="H343" t="n">
        <v>0</v>
      </c>
      <c r="I343" t="n">
        <v>0</v>
      </c>
      <c r="J343" t="n">
        <v>0</v>
      </c>
      <c r="K343" t="n">
        <v>0</v>
      </c>
      <c r="L343" t="n">
        <v>0</v>
      </c>
      <c r="M343" t="n">
        <v>0</v>
      </c>
      <c r="N343" t="n">
        <v>0</v>
      </c>
      <c r="O343" t="n">
        <v>0</v>
      </c>
      <c r="P343" t="n">
        <v>0</v>
      </c>
      <c r="Q343" t="n">
        <v>0</v>
      </c>
      <c r="R343" s="2" t="inlineStr"/>
    </row>
    <row r="344" ht="15" customHeight="1">
      <c r="A344" t="inlineStr">
        <is>
          <t>A 29378-2024</t>
        </is>
      </c>
      <c r="B344" s="1" t="n">
        <v>45483.59328703704</v>
      </c>
      <c r="C344" s="1" t="n">
        <v>46072</v>
      </c>
      <c r="D344" t="inlineStr">
        <is>
          <t>JÄMTLANDS LÄN</t>
        </is>
      </c>
      <c r="E344" t="inlineStr">
        <is>
          <t>BERG</t>
        </is>
      </c>
      <c r="G344" t="n">
        <v>5.6</v>
      </c>
      <c r="H344" t="n">
        <v>0</v>
      </c>
      <c r="I344" t="n">
        <v>0</v>
      </c>
      <c r="J344" t="n">
        <v>0</v>
      </c>
      <c r="K344" t="n">
        <v>0</v>
      </c>
      <c r="L344" t="n">
        <v>0</v>
      </c>
      <c r="M344" t="n">
        <v>0</v>
      </c>
      <c r="N344" t="n">
        <v>0</v>
      </c>
      <c r="O344" t="n">
        <v>0</v>
      </c>
      <c r="P344" t="n">
        <v>0</v>
      </c>
      <c r="Q344" t="n">
        <v>0</v>
      </c>
      <c r="R344" s="2" t="inlineStr"/>
    </row>
    <row r="345" ht="15" customHeight="1">
      <c r="A345" t="inlineStr">
        <is>
          <t>A 21508-2024</t>
        </is>
      </c>
      <c r="B345" s="1" t="n">
        <v>45441.56905092593</v>
      </c>
      <c r="C345" s="1" t="n">
        <v>46072</v>
      </c>
      <c r="D345" t="inlineStr">
        <is>
          <t>JÄMTLANDS LÄN</t>
        </is>
      </c>
      <c r="E345" t="inlineStr">
        <is>
          <t>BERG</t>
        </is>
      </c>
      <c r="G345" t="n">
        <v>3.2</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46072</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46072</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40617-2025</t>
        </is>
      </c>
      <c r="B348" s="1" t="n">
        <v>45896.58326388889</v>
      </c>
      <c r="C348" s="1" t="n">
        <v>46072</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57039-2025</t>
        </is>
      </c>
      <c r="B349" s="1" t="n">
        <v>45979.34543981482</v>
      </c>
      <c r="C349" s="1" t="n">
        <v>46072</v>
      </c>
      <c r="D349" t="inlineStr">
        <is>
          <t>JÄMTLANDS LÄN</t>
        </is>
      </c>
      <c r="E349" t="inlineStr">
        <is>
          <t>BERG</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25454-2025</t>
        </is>
      </c>
      <c r="B350" s="1" t="n">
        <v>45802.34460648148</v>
      </c>
      <c r="C350" s="1" t="n">
        <v>46072</v>
      </c>
      <c r="D350" t="inlineStr">
        <is>
          <t>JÄMTLANDS LÄN</t>
        </is>
      </c>
      <c r="E350" t="inlineStr">
        <is>
          <t>BERG</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57192-2025</t>
        </is>
      </c>
      <c r="B351" s="1" t="n">
        <v>45979.57696759259</v>
      </c>
      <c r="C351" s="1" t="n">
        <v>46072</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25453-2025</t>
        </is>
      </c>
      <c r="B352" s="1" t="n">
        <v>45802.34451388889</v>
      </c>
      <c r="C352" s="1" t="n">
        <v>46072</v>
      </c>
      <c r="D352" t="inlineStr">
        <is>
          <t>JÄMTLANDS LÄN</t>
        </is>
      </c>
      <c r="E352" t="inlineStr">
        <is>
          <t>BERG</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41247-2025</t>
        </is>
      </c>
      <c r="B353" s="1" t="n">
        <v>45898.60109953704</v>
      </c>
      <c r="C353" s="1" t="n">
        <v>46072</v>
      </c>
      <c r="D353" t="inlineStr">
        <is>
          <t>JÄMTLANDS LÄN</t>
        </is>
      </c>
      <c r="E353" t="inlineStr">
        <is>
          <t>BERG</t>
        </is>
      </c>
      <c r="G353" t="n">
        <v>17.5</v>
      </c>
      <c r="H353" t="n">
        <v>0</v>
      </c>
      <c r="I353" t="n">
        <v>0</v>
      </c>
      <c r="J353" t="n">
        <v>0</v>
      </c>
      <c r="K353" t="n">
        <v>0</v>
      </c>
      <c r="L353" t="n">
        <v>0</v>
      </c>
      <c r="M353" t="n">
        <v>0</v>
      </c>
      <c r="N353" t="n">
        <v>0</v>
      </c>
      <c r="O353" t="n">
        <v>0</v>
      </c>
      <c r="P353" t="n">
        <v>0</v>
      </c>
      <c r="Q353" t="n">
        <v>0</v>
      </c>
      <c r="R353" s="2" t="inlineStr"/>
    </row>
    <row r="354" ht="15" customHeight="1">
      <c r="A354" t="inlineStr">
        <is>
          <t>A 41263-2025</t>
        </is>
      </c>
      <c r="B354" s="1" t="n">
        <v>45898.61517361111</v>
      </c>
      <c r="C354" s="1" t="n">
        <v>46072</v>
      </c>
      <c r="D354" t="inlineStr">
        <is>
          <t>JÄMTLANDS LÄN</t>
        </is>
      </c>
      <c r="E354" t="inlineStr">
        <is>
          <t>BERG</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25441-2025</t>
        </is>
      </c>
      <c r="B355" s="1" t="n">
        <v>45801.34476851852</v>
      </c>
      <c r="C355" s="1" t="n">
        <v>46072</v>
      </c>
      <c r="D355" t="inlineStr">
        <is>
          <t>JÄMTLANDS LÄN</t>
        </is>
      </c>
      <c r="E355" t="inlineStr">
        <is>
          <t>BERG</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41295-2025</t>
        </is>
      </c>
      <c r="B356" s="1" t="n">
        <v>45898.65660879629</v>
      </c>
      <c r="C356" s="1" t="n">
        <v>46072</v>
      </c>
      <c r="D356" t="inlineStr">
        <is>
          <t>JÄMTLANDS LÄN</t>
        </is>
      </c>
      <c r="E356" t="inlineStr">
        <is>
          <t>BERG</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57602-2025</t>
        </is>
      </c>
      <c r="B357" s="1" t="n">
        <v>45981.31667824074</v>
      </c>
      <c r="C357" s="1" t="n">
        <v>46072</v>
      </c>
      <c r="D357" t="inlineStr">
        <is>
          <t>JÄMTLANDS LÄN</t>
        </is>
      </c>
      <c r="E357" t="inlineStr">
        <is>
          <t>BERG</t>
        </is>
      </c>
      <c r="G357" t="n">
        <v>2.7</v>
      </c>
      <c r="H357" t="n">
        <v>0</v>
      </c>
      <c r="I357" t="n">
        <v>0</v>
      </c>
      <c r="J357" t="n">
        <v>0</v>
      </c>
      <c r="K357" t="n">
        <v>0</v>
      </c>
      <c r="L357" t="n">
        <v>0</v>
      </c>
      <c r="M357" t="n">
        <v>0</v>
      </c>
      <c r="N357" t="n">
        <v>0</v>
      </c>
      <c r="O357" t="n">
        <v>0</v>
      </c>
      <c r="P357" t="n">
        <v>0</v>
      </c>
      <c r="Q357" t="n">
        <v>0</v>
      </c>
      <c r="R357" s="2" t="inlineStr"/>
    </row>
    <row r="358" ht="15" customHeight="1">
      <c r="A358" t="inlineStr">
        <is>
          <t>A 26013-2025</t>
        </is>
      </c>
      <c r="B358" s="1" t="n">
        <v>45804.67760416667</v>
      </c>
      <c r="C358" s="1" t="n">
        <v>46072</v>
      </c>
      <c r="D358" t="inlineStr">
        <is>
          <t>JÄMTLANDS LÄN</t>
        </is>
      </c>
      <c r="E358" t="inlineStr">
        <is>
          <t>BERG</t>
        </is>
      </c>
      <c r="F358" t="inlineStr">
        <is>
          <t>SCA</t>
        </is>
      </c>
      <c r="G358" t="n">
        <v>11.7</v>
      </c>
      <c r="H358" t="n">
        <v>0</v>
      </c>
      <c r="I358" t="n">
        <v>0</v>
      </c>
      <c r="J358" t="n">
        <v>0</v>
      </c>
      <c r="K358" t="n">
        <v>0</v>
      </c>
      <c r="L358" t="n">
        <v>0</v>
      </c>
      <c r="M358" t="n">
        <v>0</v>
      </c>
      <c r="N358" t="n">
        <v>0</v>
      </c>
      <c r="O358" t="n">
        <v>0</v>
      </c>
      <c r="P358" t="n">
        <v>0</v>
      </c>
      <c r="Q358" t="n">
        <v>0</v>
      </c>
      <c r="R358" s="2" t="inlineStr"/>
    </row>
    <row r="359" ht="15" customHeight="1">
      <c r="A359" t="inlineStr">
        <is>
          <t>A 25976-2025</t>
        </is>
      </c>
      <c r="B359" s="1" t="n">
        <v>45804.63596064815</v>
      </c>
      <c r="C359" s="1" t="n">
        <v>46072</v>
      </c>
      <c r="D359" t="inlineStr">
        <is>
          <t>JÄMTLANDS LÄN</t>
        </is>
      </c>
      <c r="E359" t="inlineStr">
        <is>
          <t>BERG</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25979-2025</t>
        </is>
      </c>
      <c r="B360" s="1" t="n">
        <v>45804.63642361111</v>
      </c>
      <c r="C360" s="1" t="n">
        <v>46072</v>
      </c>
      <c r="D360" t="inlineStr">
        <is>
          <t>JÄMTLANDS LÄN</t>
        </is>
      </c>
      <c r="E360" t="inlineStr">
        <is>
          <t>BERG</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41265-2025</t>
        </is>
      </c>
      <c r="B361" s="1" t="n">
        <v>45898.6153587963</v>
      </c>
      <c r="C361" s="1" t="n">
        <v>46072</v>
      </c>
      <c r="D361" t="inlineStr">
        <is>
          <t>JÄMTLANDS LÄN</t>
        </is>
      </c>
      <c r="E361" t="inlineStr">
        <is>
          <t>BERG</t>
        </is>
      </c>
      <c r="G361" t="n">
        <v>1.6</v>
      </c>
      <c r="H361" t="n">
        <v>0</v>
      </c>
      <c r="I361" t="n">
        <v>0</v>
      </c>
      <c r="J361" t="n">
        <v>0</v>
      </c>
      <c r="K361" t="n">
        <v>0</v>
      </c>
      <c r="L361" t="n">
        <v>0</v>
      </c>
      <c r="M361" t="n">
        <v>0</v>
      </c>
      <c r="N361" t="n">
        <v>0</v>
      </c>
      <c r="O361" t="n">
        <v>0</v>
      </c>
      <c r="P361" t="n">
        <v>0</v>
      </c>
      <c r="Q361" t="n">
        <v>0</v>
      </c>
      <c r="R361" s="2" t="inlineStr"/>
    </row>
    <row r="362" ht="15" customHeight="1">
      <c r="A362" t="inlineStr">
        <is>
          <t>A 26053-2025</t>
        </is>
      </c>
      <c r="B362" s="1" t="n">
        <v>45804.75445601852</v>
      </c>
      <c r="C362" s="1" t="n">
        <v>46072</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25951-2025</t>
        </is>
      </c>
      <c r="B363" s="1" t="n">
        <v>45804.5984375</v>
      </c>
      <c r="C363" s="1" t="n">
        <v>46072</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25885-2025</t>
        </is>
      </c>
      <c r="B364" s="1" t="n">
        <v>45804.51075231482</v>
      </c>
      <c r="C364" s="1" t="n">
        <v>46072</v>
      </c>
      <c r="D364" t="inlineStr">
        <is>
          <t>JÄMTLANDS LÄN</t>
        </is>
      </c>
      <c r="E364" t="inlineStr">
        <is>
          <t>BERG</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25887-2025</t>
        </is>
      </c>
      <c r="B365" s="1" t="n">
        <v>45804.51104166666</v>
      </c>
      <c r="C365" s="1" t="n">
        <v>46072</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25960-2025</t>
        </is>
      </c>
      <c r="B366" s="1" t="n">
        <v>45804.60972222222</v>
      </c>
      <c r="C366" s="1" t="n">
        <v>46072</v>
      </c>
      <c r="D366" t="inlineStr">
        <is>
          <t>JÄMTLANDS LÄN</t>
        </is>
      </c>
      <c r="E366" t="inlineStr">
        <is>
          <t>BERG</t>
        </is>
      </c>
      <c r="G366" t="n">
        <v>7.3</v>
      </c>
      <c r="H366" t="n">
        <v>0</v>
      </c>
      <c r="I366" t="n">
        <v>0</v>
      </c>
      <c r="J366" t="n">
        <v>0</v>
      </c>
      <c r="K366" t="n">
        <v>0</v>
      </c>
      <c r="L366" t="n">
        <v>0</v>
      </c>
      <c r="M366" t="n">
        <v>0</v>
      </c>
      <c r="N366" t="n">
        <v>0</v>
      </c>
      <c r="O366" t="n">
        <v>0</v>
      </c>
      <c r="P366" t="n">
        <v>0</v>
      </c>
      <c r="Q366" t="n">
        <v>0</v>
      </c>
      <c r="R366" s="2" t="inlineStr"/>
    </row>
    <row r="367" ht="15" customHeight="1">
      <c r="A367" t="inlineStr">
        <is>
          <t>A 64709-2021</t>
        </is>
      </c>
      <c r="B367" s="1" t="n">
        <v>44512</v>
      </c>
      <c r="C367" s="1" t="n">
        <v>46072</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25938-2025</t>
        </is>
      </c>
      <c r="B368" s="1" t="n">
        <v>45804.59414351852</v>
      </c>
      <c r="C368" s="1" t="n">
        <v>46072</v>
      </c>
      <c r="D368" t="inlineStr">
        <is>
          <t>JÄMTLANDS LÄN</t>
        </is>
      </c>
      <c r="E368" t="inlineStr">
        <is>
          <t>BERG</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57763-2025</t>
        </is>
      </c>
      <c r="B369" s="1" t="n">
        <v>45981.55693287037</v>
      </c>
      <c r="C369" s="1" t="n">
        <v>46072</v>
      </c>
      <c r="D369" t="inlineStr">
        <is>
          <t>JÄMTLANDS LÄN</t>
        </is>
      </c>
      <c r="E369" t="inlineStr">
        <is>
          <t>BERG</t>
        </is>
      </c>
      <c r="F369" t="inlineStr">
        <is>
          <t>Övriga Aktiebolag</t>
        </is>
      </c>
      <c r="G369" t="n">
        <v>13.1</v>
      </c>
      <c r="H369" t="n">
        <v>0</v>
      </c>
      <c r="I369" t="n">
        <v>0</v>
      </c>
      <c r="J369" t="n">
        <v>0</v>
      </c>
      <c r="K369" t="n">
        <v>0</v>
      </c>
      <c r="L369" t="n">
        <v>0</v>
      </c>
      <c r="M369" t="n">
        <v>0</v>
      </c>
      <c r="N369" t="n">
        <v>0</v>
      </c>
      <c r="O369" t="n">
        <v>0</v>
      </c>
      <c r="P369" t="n">
        <v>0</v>
      </c>
      <c r="Q369" t="n">
        <v>0</v>
      </c>
      <c r="R369" s="2" t="inlineStr"/>
    </row>
    <row r="370" ht="15" customHeight="1">
      <c r="A370" t="inlineStr">
        <is>
          <t>A 41098-2023</t>
        </is>
      </c>
      <c r="B370" s="1" t="n">
        <v>45170</v>
      </c>
      <c r="C370" s="1" t="n">
        <v>46072</v>
      </c>
      <c r="D370" t="inlineStr">
        <is>
          <t>JÄMTLANDS LÄN</t>
        </is>
      </c>
      <c r="E370" t="inlineStr">
        <is>
          <t>BERG</t>
        </is>
      </c>
      <c r="G370" t="n">
        <v>3.1</v>
      </c>
      <c r="H370" t="n">
        <v>0</v>
      </c>
      <c r="I370" t="n">
        <v>0</v>
      </c>
      <c r="J370" t="n">
        <v>0</v>
      </c>
      <c r="K370" t="n">
        <v>0</v>
      </c>
      <c r="L370" t="n">
        <v>0</v>
      </c>
      <c r="M370" t="n">
        <v>0</v>
      </c>
      <c r="N370" t="n">
        <v>0</v>
      </c>
      <c r="O370" t="n">
        <v>0</v>
      </c>
      <c r="P370" t="n">
        <v>0</v>
      </c>
      <c r="Q370" t="n">
        <v>0</v>
      </c>
      <c r="R370" s="2" t="inlineStr"/>
    </row>
    <row r="371" ht="15" customHeight="1">
      <c r="A371" t="inlineStr">
        <is>
          <t>A 25886-2025</t>
        </is>
      </c>
      <c r="B371" s="1" t="n">
        <v>45804.51092592593</v>
      </c>
      <c r="C371" s="1" t="n">
        <v>46072</v>
      </c>
      <c r="D371" t="inlineStr">
        <is>
          <t>JÄMTLANDS LÄN</t>
        </is>
      </c>
      <c r="E371" t="inlineStr">
        <is>
          <t>BERG</t>
        </is>
      </c>
      <c r="F371" t="inlineStr">
        <is>
          <t>SCA</t>
        </is>
      </c>
      <c r="G371" t="n">
        <v>18.3</v>
      </c>
      <c r="H371" t="n">
        <v>0</v>
      </c>
      <c r="I371" t="n">
        <v>0</v>
      </c>
      <c r="J371" t="n">
        <v>0</v>
      </c>
      <c r="K371" t="n">
        <v>0</v>
      </c>
      <c r="L371" t="n">
        <v>0</v>
      </c>
      <c r="M371" t="n">
        <v>0</v>
      </c>
      <c r="N371" t="n">
        <v>0</v>
      </c>
      <c r="O371" t="n">
        <v>0</v>
      </c>
      <c r="P371" t="n">
        <v>0</v>
      </c>
      <c r="Q371" t="n">
        <v>0</v>
      </c>
      <c r="R371" s="2" t="inlineStr"/>
    </row>
    <row r="372" ht="15" customHeight="1">
      <c r="A372" t="inlineStr">
        <is>
          <t>A 433-2023</t>
        </is>
      </c>
      <c r="B372" s="1" t="n">
        <v>44923</v>
      </c>
      <c r="C372" s="1" t="n">
        <v>46072</v>
      </c>
      <c r="D372" t="inlineStr">
        <is>
          <t>JÄMTLANDS LÄN</t>
        </is>
      </c>
      <c r="E372" t="inlineStr">
        <is>
          <t>BERG</t>
        </is>
      </c>
      <c r="G372" t="n">
        <v>1.5</v>
      </c>
      <c r="H372" t="n">
        <v>0</v>
      </c>
      <c r="I372" t="n">
        <v>0</v>
      </c>
      <c r="J372" t="n">
        <v>0</v>
      </c>
      <c r="K372" t="n">
        <v>0</v>
      </c>
      <c r="L372" t="n">
        <v>0</v>
      </c>
      <c r="M372" t="n">
        <v>0</v>
      </c>
      <c r="N372" t="n">
        <v>0</v>
      </c>
      <c r="O372" t="n">
        <v>0</v>
      </c>
      <c r="P372" t="n">
        <v>0</v>
      </c>
      <c r="Q372" t="n">
        <v>0</v>
      </c>
      <c r="R372" s="2" t="inlineStr"/>
    </row>
    <row r="373" ht="15" customHeight="1">
      <c r="A373" t="inlineStr">
        <is>
          <t>A 42003-2025</t>
        </is>
      </c>
      <c r="B373" s="1" t="n">
        <v>45903.55403935185</v>
      </c>
      <c r="C373" s="1" t="n">
        <v>46072</v>
      </c>
      <c r="D373" t="inlineStr">
        <is>
          <t>JÄMTLANDS LÄN</t>
        </is>
      </c>
      <c r="E373" t="inlineStr">
        <is>
          <t>BERG</t>
        </is>
      </c>
      <c r="F373" t="inlineStr">
        <is>
          <t>Övriga statliga verk och myndigheter</t>
        </is>
      </c>
      <c r="G373" t="n">
        <v>10.5</v>
      </c>
      <c r="H373" t="n">
        <v>0</v>
      </c>
      <c r="I373" t="n">
        <v>0</v>
      </c>
      <c r="J373" t="n">
        <v>0</v>
      </c>
      <c r="K373" t="n">
        <v>0</v>
      </c>
      <c r="L373" t="n">
        <v>0</v>
      </c>
      <c r="M373" t="n">
        <v>0</v>
      </c>
      <c r="N373" t="n">
        <v>0</v>
      </c>
      <c r="O373" t="n">
        <v>0</v>
      </c>
      <c r="P373" t="n">
        <v>0</v>
      </c>
      <c r="Q373" t="n">
        <v>0</v>
      </c>
      <c r="R373" s="2" t="inlineStr"/>
    </row>
    <row r="374" ht="15" customHeight="1">
      <c r="A374" t="inlineStr">
        <is>
          <t>A 32147-2024</t>
        </is>
      </c>
      <c r="B374" s="1" t="n">
        <v>45511.55600694445</v>
      </c>
      <c r="C374" s="1" t="n">
        <v>46072</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46872-2023</t>
        </is>
      </c>
      <c r="B375" s="1" t="n">
        <v>45200</v>
      </c>
      <c r="C375" s="1" t="n">
        <v>46072</v>
      </c>
      <c r="D375" t="inlineStr">
        <is>
          <t>JÄMTLANDS LÄN</t>
        </is>
      </c>
      <c r="E375" t="inlineStr">
        <is>
          <t>BERG</t>
        </is>
      </c>
      <c r="F375" t="inlineStr">
        <is>
          <t>Naturvårdsverket</t>
        </is>
      </c>
      <c r="G375" t="n">
        <v>1.2</v>
      </c>
      <c r="H375" t="n">
        <v>0</v>
      </c>
      <c r="I375" t="n">
        <v>0</v>
      </c>
      <c r="J375" t="n">
        <v>0</v>
      </c>
      <c r="K375" t="n">
        <v>0</v>
      </c>
      <c r="L375" t="n">
        <v>0</v>
      </c>
      <c r="M375" t="n">
        <v>0</v>
      </c>
      <c r="N375" t="n">
        <v>0</v>
      </c>
      <c r="O375" t="n">
        <v>0</v>
      </c>
      <c r="P375" t="n">
        <v>0</v>
      </c>
      <c r="Q375" t="n">
        <v>0</v>
      </c>
      <c r="R375" s="2" t="inlineStr"/>
      <c r="U375">
        <f>HYPERLINK("https://klasma.github.io/Logging_2326/knärot/A 46872-2023 karta knärot.png", "A 46872-2023")</f>
        <v/>
      </c>
      <c r="V375">
        <f>HYPERLINK("https://klasma.github.io/Logging_2326/klagomål/A 46872-2023 FSC-klagomål.docx", "A 46872-2023")</f>
        <v/>
      </c>
      <c r="W375">
        <f>HYPERLINK("https://klasma.github.io/Logging_2326/klagomålsmail/A 46872-2023 FSC-klagomål mail.docx", "A 46872-2023")</f>
        <v/>
      </c>
      <c r="X375">
        <f>HYPERLINK("https://klasma.github.io/Logging_2326/tillsyn/A 46872-2023 tillsynsbegäran.docx", "A 46872-2023")</f>
        <v/>
      </c>
      <c r="Y375">
        <f>HYPERLINK("https://klasma.github.io/Logging_2326/tillsynsmail/A 46872-2023 tillsynsbegäran mail.docx", "A 46872-2023")</f>
        <v/>
      </c>
    </row>
    <row r="376" ht="15" customHeight="1">
      <c r="A376" t="inlineStr">
        <is>
          <t>A 26186-2025</t>
        </is>
      </c>
      <c r="B376" s="1" t="n">
        <v>45805.47840277778</v>
      </c>
      <c r="C376" s="1" t="n">
        <v>46072</v>
      </c>
      <c r="D376" t="inlineStr">
        <is>
          <t>JÄMTLANDS LÄN</t>
        </is>
      </c>
      <c r="E376" t="inlineStr">
        <is>
          <t>BERG</t>
        </is>
      </c>
      <c r="G376" t="n">
        <v>5.3</v>
      </c>
      <c r="H376" t="n">
        <v>0</v>
      </c>
      <c r="I376" t="n">
        <v>0</v>
      </c>
      <c r="J376" t="n">
        <v>0</v>
      </c>
      <c r="K376" t="n">
        <v>0</v>
      </c>
      <c r="L376" t="n">
        <v>0</v>
      </c>
      <c r="M376" t="n">
        <v>0</v>
      </c>
      <c r="N376" t="n">
        <v>0</v>
      </c>
      <c r="O376" t="n">
        <v>0</v>
      </c>
      <c r="P376" t="n">
        <v>0</v>
      </c>
      <c r="Q376" t="n">
        <v>0</v>
      </c>
      <c r="R376" s="2" t="inlineStr"/>
    </row>
    <row r="377" ht="15" customHeight="1">
      <c r="A377" t="inlineStr">
        <is>
          <t>A 26275-2025</t>
        </is>
      </c>
      <c r="B377" s="1" t="n">
        <v>45805.60230324074</v>
      </c>
      <c r="C377" s="1" t="n">
        <v>46072</v>
      </c>
      <c r="D377" t="inlineStr">
        <is>
          <t>JÄMTLANDS LÄN</t>
        </is>
      </c>
      <c r="E377" t="inlineStr">
        <is>
          <t>BERG</t>
        </is>
      </c>
      <c r="G377" t="n">
        <v>10.2</v>
      </c>
      <c r="H377" t="n">
        <v>0</v>
      </c>
      <c r="I377" t="n">
        <v>0</v>
      </c>
      <c r="J377" t="n">
        <v>0</v>
      </c>
      <c r="K377" t="n">
        <v>0</v>
      </c>
      <c r="L377" t="n">
        <v>0</v>
      </c>
      <c r="M377" t="n">
        <v>0</v>
      </c>
      <c r="N377" t="n">
        <v>0</v>
      </c>
      <c r="O377" t="n">
        <v>0</v>
      </c>
      <c r="P377" t="n">
        <v>0</v>
      </c>
      <c r="Q377" t="n">
        <v>0</v>
      </c>
      <c r="R377" s="2" t="inlineStr"/>
    </row>
    <row r="378" ht="15" customHeight="1">
      <c r="A378" t="inlineStr">
        <is>
          <t>A 25980-2025</t>
        </is>
      </c>
      <c r="B378" s="1" t="n">
        <v>45804.63658564815</v>
      </c>
      <c r="C378" s="1" t="n">
        <v>46072</v>
      </c>
      <c r="D378" t="inlineStr">
        <is>
          <t>JÄMTLANDS LÄN</t>
        </is>
      </c>
      <c r="E378" t="inlineStr">
        <is>
          <t>BERG</t>
        </is>
      </c>
      <c r="F378" t="inlineStr">
        <is>
          <t>SCA</t>
        </is>
      </c>
      <c r="G378" t="n">
        <v>8.9</v>
      </c>
      <c r="H378" t="n">
        <v>0</v>
      </c>
      <c r="I378" t="n">
        <v>0</v>
      </c>
      <c r="J378" t="n">
        <v>0</v>
      </c>
      <c r="K378" t="n">
        <v>0</v>
      </c>
      <c r="L378" t="n">
        <v>0</v>
      </c>
      <c r="M378" t="n">
        <v>0</v>
      </c>
      <c r="N378" t="n">
        <v>0</v>
      </c>
      <c r="O378" t="n">
        <v>0</v>
      </c>
      <c r="P378" t="n">
        <v>0</v>
      </c>
      <c r="Q378" t="n">
        <v>0</v>
      </c>
      <c r="R378" s="2" t="inlineStr"/>
    </row>
    <row r="379" ht="15" customHeight="1">
      <c r="A379" t="inlineStr">
        <is>
          <t>A 41930-2025</t>
        </is>
      </c>
      <c r="B379" s="1" t="n">
        <v>45903.43454861111</v>
      </c>
      <c r="C379" s="1" t="n">
        <v>46072</v>
      </c>
      <c r="D379" t="inlineStr">
        <is>
          <t>JÄMTLANDS LÄN</t>
        </is>
      </c>
      <c r="E379" t="inlineStr">
        <is>
          <t>BERG</t>
        </is>
      </c>
      <c r="F379" t="inlineStr">
        <is>
          <t>Övriga statliga verk och myndigheter</t>
        </is>
      </c>
      <c r="G379" t="n">
        <v>2.4</v>
      </c>
      <c r="H379" t="n">
        <v>0</v>
      </c>
      <c r="I379" t="n">
        <v>0</v>
      </c>
      <c r="J379" t="n">
        <v>0</v>
      </c>
      <c r="K379" t="n">
        <v>0</v>
      </c>
      <c r="L379" t="n">
        <v>0</v>
      </c>
      <c r="M379" t="n">
        <v>0</v>
      </c>
      <c r="N379" t="n">
        <v>0</v>
      </c>
      <c r="O379" t="n">
        <v>0</v>
      </c>
      <c r="P379" t="n">
        <v>0</v>
      </c>
      <c r="Q379" t="n">
        <v>0</v>
      </c>
      <c r="R379" s="2" t="inlineStr"/>
    </row>
    <row r="380" ht="15" customHeight="1">
      <c r="A380" t="inlineStr">
        <is>
          <t>A 41997-2025</t>
        </is>
      </c>
      <c r="B380" s="1" t="n">
        <v>45903.55162037037</v>
      </c>
      <c r="C380" s="1" t="n">
        <v>46072</v>
      </c>
      <c r="D380" t="inlineStr">
        <is>
          <t>JÄMTLANDS LÄN</t>
        </is>
      </c>
      <c r="E380" t="inlineStr">
        <is>
          <t>BERG</t>
        </is>
      </c>
      <c r="F380" t="inlineStr">
        <is>
          <t>Övriga statliga verk och myndigheter</t>
        </is>
      </c>
      <c r="G380" t="n">
        <v>2.2</v>
      </c>
      <c r="H380" t="n">
        <v>0</v>
      </c>
      <c r="I380" t="n">
        <v>0</v>
      </c>
      <c r="J380" t="n">
        <v>0</v>
      </c>
      <c r="K380" t="n">
        <v>0</v>
      </c>
      <c r="L380" t="n">
        <v>0</v>
      </c>
      <c r="M380" t="n">
        <v>0</v>
      </c>
      <c r="N380" t="n">
        <v>0</v>
      </c>
      <c r="O380" t="n">
        <v>0</v>
      </c>
      <c r="P380" t="n">
        <v>0</v>
      </c>
      <c r="Q380" t="n">
        <v>0</v>
      </c>
      <c r="R380" s="2" t="inlineStr"/>
    </row>
    <row r="381" ht="15" customHeight="1">
      <c r="A381" t="inlineStr">
        <is>
          <t>A 26378-2025</t>
        </is>
      </c>
      <c r="B381" s="1" t="n">
        <v>45806.48989583334</v>
      </c>
      <c r="C381" s="1" t="n">
        <v>46072</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26374-2025</t>
        </is>
      </c>
      <c r="B382" s="1" t="n">
        <v>45806.42745370371</v>
      </c>
      <c r="C382" s="1" t="n">
        <v>46072</v>
      </c>
      <c r="D382" t="inlineStr">
        <is>
          <t>JÄMTLANDS LÄN</t>
        </is>
      </c>
      <c r="E382" t="inlineStr">
        <is>
          <t>BERG</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33962-2024</t>
        </is>
      </c>
      <c r="B383" s="1" t="n">
        <v>45523.48854166667</v>
      </c>
      <c r="C383" s="1" t="n">
        <v>46072</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26743-2025</t>
        </is>
      </c>
      <c r="B384" s="1" t="n">
        <v>45810.53163194445</v>
      </c>
      <c r="C384" s="1" t="n">
        <v>46072</v>
      </c>
      <c r="D384" t="inlineStr">
        <is>
          <t>JÄMTLANDS LÄN</t>
        </is>
      </c>
      <c r="E384" t="inlineStr">
        <is>
          <t>BERG</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31024-2025</t>
        </is>
      </c>
      <c r="B385" s="1" t="n">
        <v>45832.52571759259</v>
      </c>
      <c r="C385" s="1" t="n">
        <v>46072</v>
      </c>
      <c r="D385" t="inlineStr">
        <is>
          <t>JÄMTLANDS LÄN</t>
        </is>
      </c>
      <c r="E385" t="inlineStr">
        <is>
          <t>BERG</t>
        </is>
      </c>
      <c r="G385" t="n">
        <v>3.6</v>
      </c>
      <c r="H385" t="n">
        <v>0</v>
      </c>
      <c r="I385" t="n">
        <v>0</v>
      </c>
      <c r="J385" t="n">
        <v>0</v>
      </c>
      <c r="K385" t="n">
        <v>0</v>
      </c>
      <c r="L385" t="n">
        <v>0</v>
      </c>
      <c r="M385" t="n">
        <v>0</v>
      </c>
      <c r="N385" t="n">
        <v>0</v>
      </c>
      <c r="O385" t="n">
        <v>0</v>
      </c>
      <c r="P385" t="n">
        <v>0</v>
      </c>
      <c r="Q385" t="n">
        <v>0</v>
      </c>
      <c r="R385" s="2" t="inlineStr"/>
    </row>
    <row r="386" ht="15" customHeight="1">
      <c r="A386" t="inlineStr">
        <is>
          <t>A 27044-2025</t>
        </is>
      </c>
      <c r="B386" s="1" t="n">
        <v>45811.61496527777</v>
      </c>
      <c r="C386" s="1" t="n">
        <v>46072</v>
      </c>
      <c r="D386" t="inlineStr">
        <is>
          <t>JÄMTLANDS LÄN</t>
        </is>
      </c>
      <c r="E386" t="inlineStr">
        <is>
          <t>BERG</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22297-2022</t>
        </is>
      </c>
      <c r="B387" s="1" t="n">
        <v>44712</v>
      </c>
      <c r="C387" s="1" t="n">
        <v>46072</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42415-2025</t>
        </is>
      </c>
      <c r="B388" s="1" t="n">
        <v>45905.39195601852</v>
      </c>
      <c r="C388" s="1" t="n">
        <v>46072</v>
      </c>
      <c r="D388" t="inlineStr">
        <is>
          <t>JÄMTLANDS LÄN</t>
        </is>
      </c>
      <c r="E388" t="inlineStr">
        <is>
          <t>BERG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42378-2025</t>
        </is>
      </c>
      <c r="B389" s="1" t="n">
        <v>45905.34423611111</v>
      </c>
      <c r="C389" s="1" t="n">
        <v>46072</v>
      </c>
      <c r="D389" t="inlineStr">
        <is>
          <t>JÄMTLANDS LÄN</t>
        </is>
      </c>
      <c r="E389" t="inlineStr">
        <is>
          <t>BERG</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57861-2025</t>
        </is>
      </c>
      <c r="B390" s="1" t="n">
        <v>45981.64236111111</v>
      </c>
      <c r="C390" s="1" t="n">
        <v>46072</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42439-2025</t>
        </is>
      </c>
      <c r="B391" s="1" t="n">
        <v>45905.42969907408</v>
      </c>
      <c r="C391" s="1" t="n">
        <v>46072</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57503-2025</t>
        </is>
      </c>
      <c r="B392" s="1" t="n">
        <v>45980.59431712963</v>
      </c>
      <c r="C392" s="1" t="n">
        <v>46072</v>
      </c>
      <c r="D392" t="inlineStr">
        <is>
          <t>JÄMTLANDS LÄN</t>
        </is>
      </c>
      <c r="E392" t="inlineStr">
        <is>
          <t>BERG</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27063-2025</t>
        </is>
      </c>
      <c r="B393" s="1" t="n">
        <v>45811.63626157407</v>
      </c>
      <c r="C393" s="1" t="n">
        <v>46072</v>
      </c>
      <c r="D393" t="inlineStr">
        <is>
          <t>JÄMTLANDS LÄN</t>
        </is>
      </c>
      <c r="E393" t="inlineStr">
        <is>
          <t>BERG</t>
        </is>
      </c>
      <c r="F393" t="inlineStr">
        <is>
          <t>SCA</t>
        </is>
      </c>
      <c r="G393" t="n">
        <v>18.9</v>
      </c>
      <c r="H393" t="n">
        <v>0</v>
      </c>
      <c r="I393" t="n">
        <v>0</v>
      </c>
      <c r="J393" t="n">
        <v>0</v>
      </c>
      <c r="K393" t="n">
        <v>0</v>
      </c>
      <c r="L393" t="n">
        <v>0</v>
      </c>
      <c r="M393" t="n">
        <v>0</v>
      </c>
      <c r="N393" t="n">
        <v>0</v>
      </c>
      <c r="O393" t="n">
        <v>0</v>
      </c>
      <c r="P393" t="n">
        <v>0</v>
      </c>
      <c r="Q393" t="n">
        <v>0</v>
      </c>
      <c r="R393" s="2" t="inlineStr"/>
    </row>
    <row r="394" ht="15" customHeight="1">
      <c r="A394" t="inlineStr">
        <is>
          <t>A 61251-2022</t>
        </is>
      </c>
      <c r="B394" s="1" t="n">
        <v>44909</v>
      </c>
      <c r="C394" s="1" t="n">
        <v>46072</v>
      </c>
      <c r="D394" t="inlineStr">
        <is>
          <t>JÄMTLANDS LÄN</t>
        </is>
      </c>
      <c r="E394" t="inlineStr">
        <is>
          <t>BERG</t>
        </is>
      </c>
      <c r="G394" t="n">
        <v>3</v>
      </c>
      <c r="H394" t="n">
        <v>0</v>
      </c>
      <c r="I394" t="n">
        <v>0</v>
      </c>
      <c r="J394" t="n">
        <v>0</v>
      </c>
      <c r="K394" t="n">
        <v>0</v>
      </c>
      <c r="L394" t="n">
        <v>0</v>
      </c>
      <c r="M394" t="n">
        <v>0</v>
      </c>
      <c r="N394" t="n">
        <v>0</v>
      </c>
      <c r="O394" t="n">
        <v>0</v>
      </c>
      <c r="P394" t="n">
        <v>0</v>
      </c>
      <c r="Q394" t="n">
        <v>0</v>
      </c>
      <c r="R394" s="2" t="inlineStr"/>
    </row>
    <row r="395" ht="15" customHeight="1">
      <c r="A395" t="inlineStr">
        <is>
          <t>A 61255-2022</t>
        </is>
      </c>
      <c r="B395" s="1" t="n">
        <v>44909</v>
      </c>
      <c r="C395" s="1" t="n">
        <v>46072</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47626-2023</t>
        </is>
      </c>
      <c r="B396" s="1" t="n">
        <v>45203</v>
      </c>
      <c r="C396" s="1" t="n">
        <v>46072</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60331-2023</t>
        </is>
      </c>
      <c r="B397" s="1" t="n">
        <v>45258</v>
      </c>
      <c r="C397" s="1" t="n">
        <v>46072</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42862-2025</t>
        </is>
      </c>
      <c r="B398" s="1" t="n">
        <v>45908.61515046296</v>
      </c>
      <c r="C398" s="1" t="n">
        <v>46072</v>
      </c>
      <c r="D398" t="inlineStr">
        <is>
          <t>JÄMTLANDS LÄN</t>
        </is>
      </c>
      <c r="E398" t="inlineStr">
        <is>
          <t>BERG</t>
        </is>
      </c>
      <c r="G398" t="n">
        <v>1.8</v>
      </c>
      <c r="H398" t="n">
        <v>0</v>
      </c>
      <c r="I398" t="n">
        <v>0</v>
      </c>
      <c r="J398" t="n">
        <v>0</v>
      </c>
      <c r="K398" t="n">
        <v>0</v>
      </c>
      <c r="L398" t="n">
        <v>0</v>
      </c>
      <c r="M398" t="n">
        <v>0</v>
      </c>
      <c r="N398" t="n">
        <v>0</v>
      </c>
      <c r="O398" t="n">
        <v>0</v>
      </c>
      <c r="P398" t="n">
        <v>0</v>
      </c>
      <c r="Q398" t="n">
        <v>0</v>
      </c>
      <c r="R398" s="2" t="inlineStr"/>
    </row>
    <row r="399" ht="15" customHeight="1">
      <c r="A399" t="inlineStr">
        <is>
          <t>A 47083-2024</t>
        </is>
      </c>
      <c r="B399" s="1" t="n">
        <v>45586.50625</v>
      </c>
      <c r="C399" s="1" t="n">
        <v>46072</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27317-2025</t>
        </is>
      </c>
      <c r="B400" s="1" t="n">
        <v>45812.59011574074</v>
      </c>
      <c r="C400" s="1" t="n">
        <v>46072</v>
      </c>
      <c r="D400" t="inlineStr">
        <is>
          <t>JÄMTLANDS LÄN</t>
        </is>
      </c>
      <c r="E400" t="inlineStr">
        <is>
          <t>BERG</t>
        </is>
      </c>
      <c r="G400" t="n">
        <v>6.2</v>
      </c>
      <c r="H400" t="n">
        <v>0</v>
      </c>
      <c r="I400" t="n">
        <v>0</v>
      </c>
      <c r="J400" t="n">
        <v>0</v>
      </c>
      <c r="K400" t="n">
        <v>0</v>
      </c>
      <c r="L400" t="n">
        <v>0</v>
      </c>
      <c r="M400" t="n">
        <v>0</v>
      </c>
      <c r="N400" t="n">
        <v>0</v>
      </c>
      <c r="O400" t="n">
        <v>0</v>
      </c>
      <c r="P400" t="n">
        <v>0</v>
      </c>
      <c r="Q400" t="n">
        <v>0</v>
      </c>
      <c r="R400" s="2" t="inlineStr"/>
    </row>
    <row r="401" ht="15" customHeight="1">
      <c r="A401" t="inlineStr">
        <is>
          <t>A 27459-2025</t>
        </is>
      </c>
      <c r="B401" s="1" t="n">
        <v>45813.34561342592</v>
      </c>
      <c r="C401" s="1" t="n">
        <v>46072</v>
      </c>
      <c r="D401" t="inlineStr">
        <is>
          <t>JÄMTLANDS LÄN</t>
        </is>
      </c>
      <c r="E401" t="inlineStr">
        <is>
          <t>BERG</t>
        </is>
      </c>
      <c r="F401" t="inlineStr">
        <is>
          <t>SCA</t>
        </is>
      </c>
      <c r="G401" t="n">
        <v>19.2</v>
      </c>
      <c r="H401" t="n">
        <v>0</v>
      </c>
      <c r="I401" t="n">
        <v>0</v>
      </c>
      <c r="J401" t="n">
        <v>0</v>
      </c>
      <c r="K401" t="n">
        <v>0</v>
      </c>
      <c r="L401" t="n">
        <v>0</v>
      </c>
      <c r="M401" t="n">
        <v>0</v>
      </c>
      <c r="N401" t="n">
        <v>0</v>
      </c>
      <c r="O401" t="n">
        <v>0</v>
      </c>
      <c r="P401" t="n">
        <v>0</v>
      </c>
      <c r="Q401" t="n">
        <v>0</v>
      </c>
      <c r="R401" s="2" t="inlineStr"/>
    </row>
    <row r="402" ht="15" customHeight="1">
      <c r="A402" t="inlineStr">
        <is>
          <t>A 57849-2025</t>
        </is>
      </c>
      <c r="B402" s="1" t="n">
        <v>45981.63472222222</v>
      </c>
      <c r="C402" s="1" t="n">
        <v>46072</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27575-2025</t>
        </is>
      </c>
      <c r="B403" s="1" t="n">
        <v>45813.49083333334</v>
      </c>
      <c r="C403" s="1" t="n">
        <v>46072</v>
      </c>
      <c r="D403" t="inlineStr">
        <is>
          <t>JÄMTLANDS LÄN</t>
        </is>
      </c>
      <c r="E403" t="inlineStr">
        <is>
          <t>BERG</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43015-2025</t>
        </is>
      </c>
      <c r="B404" s="1" t="n">
        <v>45909.49278935185</v>
      </c>
      <c r="C404" s="1" t="n">
        <v>46072</v>
      </c>
      <c r="D404" t="inlineStr">
        <is>
          <t>JÄMTLANDS LÄN</t>
        </is>
      </c>
      <c r="E404" t="inlineStr">
        <is>
          <t>BERG</t>
        </is>
      </c>
      <c r="G404" t="n">
        <v>1.3</v>
      </c>
      <c r="H404" t="n">
        <v>0</v>
      </c>
      <c r="I404" t="n">
        <v>0</v>
      </c>
      <c r="J404" t="n">
        <v>0</v>
      </c>
      <c r="K404" t="n">
        <v>0</v>
      </c>
      <c r="L404" t="n">
        <v>0</v>
      </c>
      <c r="M404" t="n">
        <v>0</v>
      </c>
      <c r="N404" t="n">
        <v>0</v>
      </c>
      <c r="O404" t="n">
        <v>0</v>
      </c>
      <c r="P404" t="n">
        <v>0</v>
      </c>
      <c r="Q404" t="n">
        <v>0</v>
      </c>
      <c r="R404" s="2" t="inlineStr"/>
    </row>
    <row r="405" ht="15" customHeight="1">
      <c r="A405" t="inlineStr">
        <is>
          <t>A 43442-2025</t>
        </is>
      </c>
      <c r="B405" s="1" t="n">
        <v>45911.44244212963</v>
      </c>
      <c r="C405" s="1" t="n">
        <v>46072</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27603-2025</t>
        </is>
      </c>
      <c r="B406" s="1" t="n">
        <v>45813.53174768519</v>
      </c>
      <c r="C406" s="1" t="n">
        <v>46072</v>
      </c>
      <c r="D406" t="inlineStr">
        <is>
          <t>JÄMTLANDS LÄN</t>
        </is>
      </c>
      <c r="E406" t="inlineStr">
        <is>
          <t>BERG</t>
        </is>
      </c>
      <c r="F406" t="inlineStr">
        <is>
          <t>SCA</t>
        </is>
      </c>
      <c r="G406" t="n">
        <v>11.3</v>
      </c>
      <c r="H406" t="n">
        <v>0</v>
      </c>
      <c r="I406" t="n">
        <v>0</v>
      </c>
      <c r="J406" t="n">
        <v>0</v>
      </c>
      <c r="K406" t="n">
        <v>0</v>
      </c>
      <c r="L406" t="n">
        <v>0</v>
      </c>
      <c r="M406" t="n">
        <v>0</v>
      </c>
      <c r="N406" t="n">
        <v>0</v>
      </c>
      <c r="O406" t="n">
        <v>0</v>
      </c>
      <c r="P406" t="n">
        <v>0</v>
      </c>
      <c r="Q406" t="n">
        <v>0</v>
      </c>
      <c r="R406" s="2" t="inlineStr"/>
    </row>
    <row r="407" ht="15" customHeight="1">
      <c r="A407" t="inlineStr">
        <is>
          <t>A 43443-2025</t>
        </is>
      </c>
      <c r="B407" s="1" t="n">
        <v>45911.44350694444</v>
      </c>
      <c r="C407" s="1" t="n">
        <v>46072</v>
      </c>
      <c r="D407" t="inlineStr">
        <is>
          <t>JÄMTLANDS LÄN</t>
        </is>
      </c>
      <c r="E407" t="inlineStr">
        <is>
          <t>BERG</t>
        </is>
      </c>
      <c r="G407" t="n">
        <v>2.7</v>
      </c>
      <c r="H407" t="n">
        <v>0</v>
      </c>
      <c r="I407" t="n">
        <v>0</v>
      </c>
      <c r="J407" t="n">
        <v>0</v>
      </c>
      <c r="K407" t="n">
        <v>0</v>
      </c>
      <c r="L407" t="n">
        <v>0</v>
      </c>
      <c r="M407" t="n">
        <v>0</v>
      </c>
      <c r="N407" t="n">
        <v>0</v>
      </c>
      <c r="O407" t="n">
        <v>0</v>
      </c>
      <c r="P407" t="n">
        <v>0</v>
      </c>
      <c r="Q407" t="n">
        <v>0</v>
      </c>
      <c r="R407" s="2" t="inlineStr"/>
    </row>
    <row r="408" ht="15" customHeight="1">
      <c r="A408" t="inlineStr">
        <is>
          <t>A 27569-2025</t>
        </is>
      </c>
      <c r="B408" s="1" t="n">
        <v>45813.49018518518</v>
      </c>
      <c r="C408" s="1" t="n">
        <v>46072</v>
      </c>
      <c r="D408" t="inlineStr">
        <is>
          <t>JÄMTLANDS LÄN</t>
        </is>
      </c>
      <c r="E408" t="inlineStr">
        <is>
          <t>BERG</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58157-2021</t>
        </is>
      </c>
      <c r="B409" s="1" t="n">
        <v>44487.60703703704</v>
      </c>
      <c r="C409" s="1" t="n">
        <v>46072</v>
      </c>
      <c r="D409" t="inlineStr">
        <is>
          <t>JÄMTLANDS LÄN</t>
        </is>
      </c>
      <c r="E409" t="inlineStr">
        <is>
          <t>BERG</t>
        </is>
      </c>
      <c r="G409" t="n">
        <v>4.5</v>
      </c>
      <c r="H409" t="n">
        <v>0</v>
      </c>
      <c r="I409" t="n">
        <v>0</v>
      </c>
      <c r="J409" t="n">
        <v>0</v>
      </c>
      <c r="K409" t="n">
        <v>0</v>
      </c>
      <c r="L409" t="n">
        <v>0</v>
      </c>
      <c r="M409" t="n">
        <v>0</v>
      </c>
      <c r="N409" t="n">
        <v>0</v>
      </c>
      <c r="O409" t="n">
        <v>0</v>
      </c>
      <c r="P409" t="n">
        <v>0</v>
      </c>
      <c r="Q409" t="n">
        <v>0</v>
      </c>
      <c r="R409" s="2" t="inlineStr"/>
    </row>
    <row r="410" ht="15" customHeight="1">
      <c r="A410" t="inlineStr">
        <is>
          <t>A 27312-2025</t>
        </is>
      </c>
      <c r="B410" s="1" t="n">
        <v>45812.58002314815</v>
      </c>
      <c r="C410" s="1" t="n">
        <v>46072</v>
      </c>
      <c r="D410" t="inlineStr">
        <is>
          <t>JÄMTLANDS LÄN</t>
        </is>
      </c>
      <c r="E410" t="inlineStr">
        <is>
          <t>BERG</t>
        </is>
      </c>
      <c r="G410" t="n">
        <v>6</v>
      </c>
      <c r="H410" t="n">
        <v>0</v>
      </c>
      <c r="I410" t="n">
        <v>0</v>
      </c>
      <c r="J410" t="n">
        <v>0</v>
      </c>
      <c r="K410" t="n">
        <v>0</v>
      </c>
      <c r="L410" t="n">
        <v>0</v>
      </c>
      <c r="M410" t="n">
        <v>0</v>
      </c>
      <c r="N410" t="n">
        <v>0</v>
      </c>
      <c r="O410" t="n">
        <v>0</v>
      </c>
      <c r="P410" t="n">
        <v>0</v>
      </c>
      <c r="Q410" t="n">
        <v>0</v>
      </c>
      <c r="R410" s="2" t="inlineStr"/>
    </row>
    <row r="411" ht="15" customHeight="1">
      <c r="A411" t="inlineStr">
        <is>
          <t>A 26944-2022</t>
        </is>
      </c>
      <c r="B411" s="1" t="n">
        <v>44740</v>
      </c>
      <c r="C411" s="1" t="n">
        <v>46072</v>
      </c>
      <c r="D411" t="inlineStr">
        <is>
          <t>JÄMTLANDS LÄN</t>
        </is>
      </c>
      <c r="E411" t="inlineStr">
        <is>
          <t>BERG</t>
        </is>
      </c>
      <c r="G411" t="n">
        <v>3.3</v>
      </c>
      <c r="H411" t="n">
        <v>0</v>
      </c>
      <c r="I411" t="n">
        <v>0</v>
      </c>
      <c r="J411" t="n">
        <v>0</v>
      </c>
      <c r="K411" t="n">
        <v>0</v>
      </c>
      <c r="L411" t="n">
        <v>0</v>
      </c>
      <c r="M411" t="n">
        <v>0</v>
      </c>
      <c r="N411" t="n">
        <v>0</v>
      </c>
      <c r="O411" t="n">
        <v>0</v>
      </c>
      <c r="P411" t="n">
        <v>0</v>
      </c>
      <c r="Q411" t="n">
        <v>0</v>
      </c>
      <c r="R411" s="2" t="inlineStr"/>
    </row>
    <row r="412" ht="15" customHeight="1">
      <c r="A412" t="inlineStr">
        <is>
          <t>A 41264-2025</t>
        </is>
      </c>
      <c r="B412" s="1" t="n">
        <v>45898</v>
      </c>
      <c r="C412" s="1" t="n">
        <v>46072</v>
      </c>
      <c r="D412" t="inlineStr">
        <is>
          <t>JÄMTLANDS LÄN</t>
        </is>
      </c>
      <c r="E412" t="inlineStr">
        <is>
          <t>BERG</t>
        </is>
      </c>
      <c r="G412" t="n">
        <v>17.4</v>
      </c>
      <c r="H412" t="n">
        <v>0</v>
      </c>
      <c r="I412" t="n">
        <v>0</v>
      </c>
      <c r="J412" t="n">
        <v>0</v>
      </c>
      <c r="K412" t="n">
        <v>0</v>
      </c>
      <c r="L412" t="n">
        <v>0</v>
      </c>
      <c r="M412" t="n">
        <v>0</v>
      </c>
      <c r="N412" t="n">
        <v>0</v>
      </c>
      <c r="O412" t="n">
        <v>0</v>
      </c>
      <c r="P412" t="n">
        <v>0</v>
      </c>
      <c r="Q412" t="n">
        <v>0</v>
      </c>
      <c r="R412" s="2" t="inlineStr"/>
    </row>
    <row r="413" ht="15" customHeight="1">
      <c r="A413" t="inlineStr">
        <is>
          <t>A 62555-2023</t>
        </is>
      </c>
      <c r="B413" s="1" t="n">
        <v>45268.9262962963</v>
      </c>
      <c r="C413" s="1" t="n">
        <v>46072</v>
      </c>
      <c r="D413" t="inlineStr">
        <is>
          <t>JÄMTLANDS LÄN</t>
        </is>
      </c>
      <c r="E413" t="inlineStr">
        <is>
          <t>BERG</t>
        </is>
      </c>
      <c r="G413" t="n">
        <v>5</v>
      </c>
      <c r="H413" t="n">
        <v>0</v>
      </c>
      <c r="I413" t="n">
        <v>0</v>
      </c>
      <c r="J413" t="n">
        <v>0</v>
      </c>
      <c r="K413" t="n">
        <v>0</v>
      </c>
      <c r="L413" t="n">
        <v>0</v>
      </c>
      <c r="M413" t="n">
        <v>0</v>
      </c>
      <c r="N413" t="n">
        <v>0</v>
      </c>
      <c r="O413" t="n">
        <v>0</v>
      </c>
      <c r="P413" t="n">
        <v>0</v>
      </c>
      <c r="Q413" t="n">
        <v>0</v>
      </c>
      <c r="R413" s="2" t="inlineStr"/>
    </row>
    <row r="414" ht="15" customHeight="1">
      <c r="A414" t="inlineStr">
        <is>
          <t>A 47407-2024</t>
        </is>
      </c>
      <c r="B414" s="1" t="n">
        <v>45587.47828703704</v>
      </c>
      <c r="C414" s="1" t="n">
        <v>46072</v>
      </c>
      <c r="D414" t="inlineStr">
        <is>
          <t>JÄMTLANDS LÄN</t>
        </is>
      </c>
      <c r="E414" t="inlineStr">
        <is>
          <t>BERG</t>
        </is>
      </c>
      <c r="G414" t="n">
        <v>2.7</v>
      </c>
      <c r="H414" t="n">
        <v>0</v>
      </c>
      <c r="I414" t="n">
        <v>0</v>
      </c>
      <c r="J414" t="n">
        <v>0</v>
      </c>
      <c r="K414" t="n">
        <v>0</v>
      </c>
      <c r="L414" t="n">
        <v>0</v>
      </c>
      <c r="M414" t="n">
        <v>0</v>
      </c>
      <c r="N414" t="n">
        <v>0</v>
      </c>
      <c r="O414" t="n">
        <v>0</v>
      </c>
      <c r="P414" t="n">
        <v>0</v>
      </c>
      <c r="Q414" t="n">
        <v>0</v>
      </c>
      <c r="R414" s="2" t="inlineStr"/>
    </row>
    <row r="415" ht="15" customHeight="1">
      <c r="A415" t="inlineStr">
        <is>
          <t>A 43567-2025</t>
        </is>
      </c>
      <c r="B415" s="1" t="n">
        <v>45911.6327662037</v>
      </c>
      <c r="C415" s="1" t="n">
        <v>46072</v>
      </c>
      <c r="D415" t="inlineStr">
        <is>
          <t>JÄMTLANDS LÄN</t>
        </is>
      </c>
      <c r="E415" t="inlineStr">
        <is>
          <t>BERG</t>
        </is>
      </c>
      <c r="G415" t="n">
        <v>7.7</v>
      </c>
      <c r="H415" t="n">
        <v>0</v>
      </c>
      <c r="I415" t="n">
        <v>0</v>
      </c>
      <c r="J415" t="n">
        <v>0</v>
      </c>
      <c r="K415" t="n">
        <v>0</v>
      </c>
      <c r="L415" t="n">
        <v>0</v>
      </c>
      <c r="M415" t="n">
        <v>0</v>
      </c>
      <c r="N415" t="n">
        <v>0</v>
      </c>
      <c r="O415" t="n">
        <v>0</v>
      </c>
      <c r="P415" t="n">
        <v>0</v>
      </c>
      <c r="Q415" t="n">
        <v>0</v>
      </c>
      <c r="R415" s="2" t="inlineStr"/>
    </row>
    <row r="416" ht="15" customHeight="1">
      <c r="A416" t="inlineStr">
        <is>
          <t>A 43441-2025</t>
        </is>
      </c>
      <c r="B416" s="1" t="n">
        <v>45911.44184027778</v>
      </c>
      <c r="C416" s="1" t="n">
        <v>46072</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43456-2025</t>
        </is>
      </c>
      <c r="B417" s="1" t="n">
        <v>45911.46148148148</v>
      </c>
      <c r="C417" s="1" t="n">
        <v>46072</v>
      </c>
      <c r="D417" t="inlineStr">
        <is>
          <t>JÄMTLANDS LÄN</t>
        </is>
      </c>
      <c r="E417" t="inlineStr">
        <is>
          <t>BERG</t>
        </is>
      </c>
      <c r="G417" t="n">
        <v>1</v>
      </c>
      <c r="H417" t="n">
        <v>0</v>
      </c>
      <c r="I417" t="n">
        <v>0</v>
      </c>
      <c r="J417" t="n">
        <v>0</v>
      </c>
      <c r="K417" t="n">
        <v>0</v>
      </c>
      <c r="L417" t="n">
        <v>0</v>
      </c>
      <c r="M417" t="n">
        <v>0</v>
      </c>
      <c r="N417" t="n">
        <v>0</v>
      </c>
      <c r="O417" t="n">
        <v>0</v>
      </c>
      <c r="P417" t="n">
        <v>0</v>
      </c>
      <c r="Q417" t="n">
        <v>0</v>
      </c>
      <c r="R417" s="2" t="inlineStr"/>
    </row>
    <row r="418" ht="15" customHeight="1">
      <c r="A418" t="inlineStr">
        <is>
          <t>A 43560-2025</t>
        </is>
      </c>
      <c r="B418" s="1" t="n">
        <v>45911.62758101852</v>
      </c>
      <c r="C418" s="1" t="n">
        <v>46072</v>
      </c>
      <c r="D418" t="inlineStr">
        <is>
          <t>JÄMTLANDS LÄN</t>
        </is>
      </c>
      <c r="E418" t="inlineStr">
        <is>
          <t>BERG</t>
        </is>
      </c>
      <c r="G418" t="n">
        <v>10</v>
      </c>
      <c r="H418" t="n">
        <v>0</v>
      </c>
      <c r="I418" t="n">
        <v>0</v>
      </c>
      <c r="J418" t="n">
        <v>0</v>
      </c>
      <c r="K418" t="n">
        <v>0</v>
      </c>
      <c r="L418" t="n">
        <v>0</v>
      </c>
      <c r="M418" t="n">
        <v>0</v>
      </c>
      <c r="N418" t="n">
        <v>0</v>
      </c>
      <c r="O418" t="n">
        <v>0</v>
      </c>
      <c r="P418" t="n">
        <v>0</v>
      </c>
      <c r="Q418" t="n">
        <v>0</v>
      </c>
      <c r="R418" s="2" t="inlineStr"/>
    </row>
    <row r="419" ht="15" customHeight="1">
      <c r="A419" t="inlineStr">
        <is>
          <t>A 13524-2024</t>
        </is>
      </c>
      <c r="B419" s="1" t="n">
        <v>45387.78174768519</v>
      </c>
      <c r="C419" s="1" t="n">
        <v>46072</v>
      </c>
      <c r="D419" t="inlineStr">
        <is>
          <t>JÄMTLANDS LÄN</t>
        </is>
      </c>
      <c r="E419" t="inlineStr">
        <is>
          <t>BERG</t>
        </is>
      </c>
      <c r="G419" t="n">
        <v>0.6</v>
      </c>
      <c r="H419" t="n">
        <v>0</v>
      </c>
      <c r="I419" t="n">
        <v>0</v>
      </c>
      <c r="J419" t="n">
        <v>0</v>
      </c>
      <c r="K419" t="n">
        <v>0</v>
      </c>
      <c r="L419" t="n">
        <v>0</v>
      </c>
      <c r="M419" t="n">
        <v>0</v>
      </c>
      <c r="N419" t="n">
        <v>0</v>
      </c>
      <c r="O419" t="n">
        <v>0</v>
      </c>
      <c r="P419" t="n">
        <v>0</v>
      </c>
      <c r="Q419" t="n">
        <v>0</v>
      </c>
      <c r="R419" s="2" t="inlineStr"/>
    </row>
    <row r="420" ht="15" customHeight="1">
      <c r="A420" t="inlineStr">
        <is>
          <t>A 43364-2025</t>
        </is>
      </c>
      <c r="B420" s="1" t="n">
        <v>45911.34483796296</v>
      </c>
      <c r="C420" s="1" t="n">
        <v>46072</v>
      </c>
      <c r="D420" t="inlineStr">
        <is>
          <t>JÄMTLANDS LÄN</t>
        </is>
      </c>
      <c r="E420" t="inlineStr">
        <is>
          <t>BERG</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27737-2025</t>
        </is>
      </c>
      <c r="B421" s="1" t="n">
        <v>45815.34414351852</v>
      </c>
      <c r="C421" s="1" t="n">
        <v>46072</v>
      </c>
      <c r="D421" t="inlineStr">
        <is>
          <t>JÄMTLANDS LÄN</t>
        </is>
      </c>
      <c r="E421" t="inlineStr">
        <is>
          <t>BERG</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28079-2025</t>
        </is>
      </c>
      <c r="B422" s="1" t="n">
        <v>45817.69681712963</v>
      </c>
      <c r="C422" s="1" t="n">
        <v>46072</v>
      </c>
      <c r="D422" t="inlineStr">
        <is>
          <t>JÄMTLANDS LÄN</t>
        </is>
      </c>
      <c r="E422" t="inlineStr">
        <is>
          <t>BERG</t>
        </is>
      </c>
      <c r="G422" t="n">
        <v>3.7</v>
      </c>
      <c r="H422" t="n">
        <v>0</v>
      </c>
      <c r="I422" t="n">
        <v>0</v>
      </c>
      <c r="J422" t="n">
        <v>0</v>
      </c>
      <c r="K422" t="n">
        <v>0</v>
      </c>
      <c r="L422" t="n">
        <v>0</v>
      </c>
      <c r="M422" t="n">
        <v>0</v>
      </c>
      <c r="N422" t="n">
        <v>0</v>
      </c>
      <c r="O422" t="n">
        <v>0</v>
      </c>
      <c r="P422" t="n">
        <v>0</v>
      </c>
      <c r="Q422" t="n">
        <v>0</v>
      </c>
      <c r="R422" s="2" t="inlineStr"/>
    </row>
    <row r="423" ht="15" customHeight="1">
      <c r="A423" t="inlineStr">
        <is>
          <t>A 28077-2025</t>
        </is>
      </c>
      <c r="B423" s="1" t="n">
        <v>45817.68596064814</v>
      </c>
      <c r="C423" s="1" t="n">
        <v>46072</v>
      </c>
      <c r="D423" t="inlineStr">
        <is>
          <t>JÄMTLANDS LÄN</t>
        </is>
      </c>
      <c r="E423" t="inlineStr">
        <is>
          <t>BERG</t>
        </is>
      </c>
      <c r="G423" t="n">
        <v>6</v>
      </c>
      <c r="H423" t="n">
        <v>0</v>
      </c>
      <c r="I423" t="n">
        <v>0</v>
      </c>
      <c r="J423" t="n">
        <v>0</v>
      </c>
      <c r="K423" t="n">
        <v>0</v>
      </c>
      <c r="L423" t="n">
        <v>0</v>
      </c>
      <c r="M423" t="n">
        <v>0</v>
      </c>
      <c r="N423" t="n">
        <v>0</v>
      </c>
      <c r="O423" t="n">
        <v>0</v>
      </c>
      <c r="P423" t="n">
        <v>0</v>
      </c>
      <c r="Q423" t="n">
        <v>0</v>
      </c>
      <c r="R423" s="2" t="inlineStr"/>
    </row>
    <row r="424" ht="15" customHeight="1">
      <c r="A424" t="inlineStr">
        <is>
          <t>A 7040-2024</t>
        </is>
      </c>
      <c r="B424" s="1" t="n">
        <v>45343</v>
      </c>
      <c r="C424" s="1" t="n">
        <v>46072</v>
      </c>
      <c r="D424" t="inlineStr">
        <is>
          <t>JÄMTLANDS LÄN</t>
        </is>
      </c>
      <c r="E424" t="inlineStr">
        <is>
          <t>BERG</t>
        </is>
      </c>
      <c r="G424" t="n">
        <v>15.9</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46072</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46072</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27716-2025</t>
        </is>
      </c>
      <c r="B427" s="1" t="n">
        <v>45813.961875</v>
      </c>
      <c r="C427" s="1" t="n">
        <v>46072</v>
      </c>
      <c r="D427" t="inlineStr">
        <is>
          <t>JÄMTLANDS LÄN</t>
        </is>
      </c>
      <c r="E427" t="inlineStr">
        <is>
          <t>BERG</t>
        </is>
      </c>
      <c r="G427" t="n">
        <v>6.7</v>
      </c>
      <c r="H427" t="n">
        <v>0</v>
      </c>
      <c r="I427" t="n">
        <v>0</v>
      </c>
      <c r="J427" t="n">
        <v>0</v>
      </c>
      <c r="K427" t="n">
        <v>0</v>
      </c>
      <c r="L427" t="n">
        <v>0</v>
      </c>
      <c r="M427" t="n">
        <v>0</v>
      </c>
      <c r="N427" t="n">
        <v>0</v>
      </c>
      <c r="O427" t="n">
        <v>0</v>
      </c>
      <c r="P427" t="n">
        <v>0</v>
      </c>
      <c r="Q427" t="n">
        <v>0</v>
      </c>
      <c r="R427" s="2" t="inlineStr"/>
    </row>
    <row r="428" ht="15" customHeight="1">
      <c r="A428" t="inlineStr">
        <is>
          <t>A 27750-2025</t>
        </is>
      </c>
      <c r="B428" s="1" t="n">
        <v>45815.68543981481</v>
      </c>
      <c r="C428" s="1" t="n">
        <v>46072</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44302-2025</t>
        </is>
      </c>
      <c r="B429" s="1" t="n">
        <v>45915</v>
      </c>
      <c r="C429" s="1" t="n">
        <v>46072</v>
      </c>
      <c r="D429" t="inlineStr">
        <is>
          <t>JÄMTLANDS LÄN</t>
        </is>
      </c>
      <c r="E429" t="inlineStr">
        <is>
          <t>BERG</t>
        </is>
      </c>
      <c r="G429" t="n">
        <v>1.6</v>
      </c>
      <c r="H429" t="n">
        <v>0</v>
      </c>
      <c r="I429" t="n">
        <v>0</v>
      </c>
      <c r="J429" t="n">
        <v>0</v>
      </c>
      <c r="K429" t="n">
        <v>0</v>
      </c>
      <c r="L429" t="n">
        <v>0</v>
      </c>
      <c r="M429" t="n">
        <v>0</v>
      </c>
      <c r="N429" t="n">
        <v>0</v>
      </c>
      <c r="O429" t="n">
        <v>0</v>
      </c>
      <c r="P429" t="n">
        <v>0</v>
      </c>
      <c r="Q429" t="n">
        <v>0</v>
      </c>
      <c r="R429" s="2" t="inlineStr"/>
    </row>
    <row r="430" ht="15" customHeight="1">
      <c r="A430" t="inlineStr">
        <is>
          <t>A 28232-2025</t>
        </is>
      </c>
      <c r="B430" s="1" t="n">
        <v>45818.48989583334</v>
      </c>
      <c r="C430" s="1" t="n">
        <v>46072</v>
      </c>
      <c r="D430" t="inlineStr">
        <is>
          <t>JÄMTLANDS LÄN</t>
        </is>
      </c>
      <c r="E430" t="inlineStr">
        <is>
          <t>BERG</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28257-2025</t>
        </is>
      </c>
      <c r="B431" s="1" t="n">
        <v>45818.55263888889</v>
      </c>
      <c r="C431" s="1" t="n">
        <v>46072</v>
      </c>
      <c r="D431" t="inlineStr">
        <is>
          <t>JÄMTLANDS LÄN</t>
        </is>
      </c>
      <c r="E431" t="inlineStr">
        <is>
          <t>BERG</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44031-2025</t>
        </is>
      </c>
      <c r="B432" s="1" t="n">
        <v>45915.49019675926</v>
      </c>
      <c r="C432" s="1" t="n">
        <v>46072</v>
      </c>
      <c r="D432" t="inlineStr">
        <is>
          <t>JÄMTLANDS LÄN</t>
        </is>
      </c>
      <c r="E432" t="inlineStr">
        <is>
          <t>BERG</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28657-2025</t>
        </is>
      </c>
      <c r="B433" s="1" t="n">
        <v>45819.65709490741</v>
      </c>
      <c r="C433" s="1" t="n">
        <v>46072</v>
      </c>
      <c r="D433" t="inlineStr">
        <is>
          <t>JÄMTLANDS LÄN</t>
        </is>
      </c>
      <c r="E433" t="inlineStr">
        <is>
          <t>BERG</t>
        </is>
      </c>
      <c r="G433" t="n">
        <v>2.4</v>
      </c>
      <c r="H433" t="n">
        <v>0</v>
      </c>
      <c r="I433" t="n">
        <v>0</v>
      </c>
      <c r="J433" t="n">
        <v>0</v>
      </c>
      <c r="K433" t="n">
        <v>0</v>
      </c>
      <c r="L433" t="n">
        <v>0</v>
      </c>
      <c r="M433" t="n">
        <v>0</v>
      </c>
      <c r="N433" t="n">
        <v>0</v>
      </c>
      <c r="O433" t="n">
        <v>0</v>
      </c>
      <c r="P433" t="n">
        <v>0</v>
      </c>
      <c r="Q433" t="n">
        <v>0</v>
      </c>
      <c r="R433" s="2" t="inlineStr"/>
    </row>
    <row r="434" ht="15" customHeight="1">
      <c r="A434" t="inlineStr">
        <is>
          <t>A 43968-2025</t>
        </is>
      </c>
      <c r="B434" s="1" t="n">
        <v>45915</v>
      </c>
      <c r="C434" s="1" t="n">
        <v>46072</v>
      </c>
      <c r="D434" t="inlineStr">
        <is>
          <t>JÄMTLANDS LÄN</t>
        </is>
      </c>
      <c r="E434" t="inlineStr">
        <is>
          <t>BERG</t>
        </is>
      </c>
      <c r="G434" t="n">
        <v>2</v>
      </c>
      <c r="H434" t="n">
        <v>0</v>
      </c>
      <c r="I434" t="n">
        <v>0</v>
      </c>
      <c r="J434" t="n">
        <v>0</v>
      </c>
      <c r="K434" t="n">
        <v>0</v>
      </c>
      <c r="L434" t="n">
        <v>0</v>
      </c>
      <c r="M434" t="n">
        <v>0</v>
      </c>
      <c r="N434" t="n">
        <v>0</v>
      </c>
      <c r="O434" t="n">
        <v>0</v>
      </c>
      <c r="P434" t="n">
        <v>0</v>
      </c>
      <c r="Q434" t="n">
        <v>0</v>
      </c>
      <c r="R434" s="2" t="inlineStr"/>
    </row>
    <row r="435" ht="15" customHeight="1">
      <c r="A435" t="inlineStr">
        <is>
          <t>A 28196-2025</t>
        </is>
      </c>
      <c r="B435" s="1" t="n">
        <v>45818.42753472222</v>
      </c>
      <c r="C435" s="1" t="n">
        <v>46072</v>
      </c>
      <c r="D435" t="inlineStr">
        <is>
          <t>JÄMTLANDS LÄN</t>
        </is>
      </c>
      <c r="E435" t="inlineStr">
        <is>
          <t>BERG</t>
        </is>
      </c>
      <c r="F435" t="inlineStr">
        <is>
          <t>SCA</t>
        </is>
      </c>
      <c r="G435" t="n">
        <v>6.6</v>
      </c>
      <c r="H435" t="n">
        <v>0</v>
      </c>
      <c r="I435" t="n">
        <v>0</v>
      </c>
      <c r="J435" t="n">
        <v>0</v>
      </c>
      <c r="K435" t="n">
        <v>0</v>
      </c>
      <c r="L435" t="n">
        <v>0</v>
      </c>
      <c r="M435" t="n">
        <v>0</v>
      </c>
      <c r="N435" t="n">
        <v>0</v>
      </c>
      <c r="O435" t="n">
        <v>0</v>
      </c>
      <c r="P435" t="n">
        <v>0</v>
      </c>
      <c r="Q435" t="n">
        <v>0</v>
      </c>
      <c r="R435" s="2" t="inlineStr"/>
    </row>
    <row r="436" ht="15" customHeight="1">
      <c r="A436" t="inlineStr">
        <is>
          <t>A 37248-2023</t>
        </is>
      </c>
      <c r="B436" s="1" t="n">
        <v>45155.954375</v>
      </c>
      <c r="C436" s="1" t="n">
        <v>46072</v>
      </c>
      <c r="D436" t="inlineStr">
        <is>
          <t>JÄMTLANDS LÄN</t>
        </is>
      </c>
      <c r="E436" t="inlineStr">
        <is>
          <t>BERG</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44303-2025</t>
        </is>
      </c>
      <c r="B437" s="1" t="n">
        <v>45915</v>
      </c>
      <c r="C437" s="1" t="n">
        <v>46072</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58413-2025</t>
        </is>
      </c>
      <c r="B438" s="1" t="n">
        <v>45985.57662037037</v>
      </c>
      <c r="C438" s="1" t="n">
        <v>46072</v>
      </c>
      <c r="D438" t="inlineStr">
        <is>
          <t>JÄMTLANDS LÄN</t>
        </is>
      </c>
      <c r="E438" t="inlineStr">
        <is>
          <t>BERG</t>
        </is>
      </c>
      <c r="G438" t="n">
        <v>4.2</v>
      </c>
      <c r="H438" t="n">
        <v>0</v>
      </c>
      <c r="I438" t="n">
        <v>0</v>
      </c>
      <c r="J438" t="n">
        <v>0</v>
      </c>
      <c r="K438" t="n">
        <v>0</v>
      </c>
      <c r="L438" t="n">
        <v>0</v>
      </c>
      <c r="M438" t="n">
        <v>0</v>
      </c>
      <c r="N438" t="n">
        <v>0</v>
      </c>
      <c r="O438" t="n">
        <v>0</v>
      </c>
      <c r="P438" t="n">
        <v>0</v>
      </c>
      <c r="Q438" t="n">
        <v>0</v>
      </c>
      <c r="R438" s="2" t="inlineStr"/>
    </row>
    <row r="439" ht="15" customHeight="1">
      <c r="A439" t="inlineStr">
        <is>
          <t>A 58438-2025</t>
        </is>
      </c>
      <c r="B439" s="1" t="n">
        <v>45985.61513888889</v>
      </c>
      <c r="C439" s="1" t="n">
        <v>46072</v>
      </c>
      <c r="D439" t="inlineStr">
        <is>
          <t>JÄMTLANDS LÄN</t>
        </is>
      </c>
      <c r="E439" t="inlineStr">
        <is>
          <t>BERG</t>
        </is>
      </c>
      <c r="G439" t="n">
        <v>5.1</v>
      </c>
      <c r="H439" t="n">
        <v>0</v>
      </c>
      <c r="I439" t="n">
        <v>0</v>
      </c>
      <c r="J439" t="n">
        <v>0</v>
      </c>
      <c r="K439" t="n">
        <v>0</v>
      </c>
      <c r="L439" t="n">
        <v>0</v>
      </c>
      <c r="M439" t="n">
        <v>0</v>
      </c>
      <c r="N439" t="n">
        <v>0</v>
      </c>
      <c r="O439" t="n">
        <v>0</v>
      </c>
      <c r="P439" t="n">
        <v>0</v>
      </c>
      <c r="Q439" t="n">
        <v>0</v>
      </c>
      <c r="R439" s="2" t="inlineStr"/>
    </row>
    <row r="440" ht="15" customHeight="1">
      <c r="A440" t="inlineStr">
        <is>
          <t>A 28401-2025</t>
        </is>
      </c>
      <c r="B440" s="1" t="n">
        <v>45819.34469907408</v>
      </c>
      <c r="C440" s="1" t="n">
        <v>46072</v>
      </c>
      <c r="D440" t="inlineStr">
        <is>
          <t>JÄMTLANDS LÄN</t>
        </is>
      </c>
      <c r="E440" t="inlineStr">
        <is>
          <t>BERG</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44572-2025</t>
        </is>
      </c>
      <c r="B441" s="1" t="n">
        <v>45917</v>
      </c>
      <c r="C441" s="1" t="n">
        <v>46072</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28453-2025</t>
        </is>
      </c>
      <c r="B442" s="1" t="n">
        <v>45819.40668981482</v>
      </c>
      <c r="C442" s="1" t="n">
        <v>46072</v>
      </c>
      <c r="D442" t="inlineStr">
        <is>
          <t>JÄMTLANDS LÄN</t>
        </is>
      </c>
      <c r="E442" t="inlineStr">
        <is>
          <t>BERG</t>
        </is>
      </c>
      <c r="G442" t="n">
        <v>4.1</v>
      </c>
      <c r="H442" t="n">
        <v>0</v>
      </c>
      <c r="I442" t="n">
        <v>0</v>
      </c>
      <c r="J442" t="n">
        <v>0</v>
      </c>
      <c r="K442" t="n">
        <v>0</v>
      </c>
      <c r="L442" t="n">
        <v>0</v>
      </c>
      <c r="M442" t="n">
        <v>0</v>
      </c>
      <c r="N442" t="n">
        <v>0</v>
      </c>
      <c r="O442" t="n">
        <v>0</v>
      </c>
      <c r="P442" t="n">
        <v>0</v>
      </c>
      <c r="Q442" t="n">
        <v>0</v>
      </c>
      <c r="R442" s="2" t="inlineStr"/>
    </row>
    <row r="443" ht="15" customHeight="1">
      <c r="A443" t="inlineStr">
        <is>
          <t>A 28157-2025</t>
        </is>
      </c>
      <c r="B443" s="1" t="n">
        <v>45818.36512731481</v>
      </c>
      <c r="C443" s="1" t="n">
        <v>46072</v>
      </c>
      <c r="D443" t="inlineStr">
        <is>
          <t>JÄMTLANDS LÄN</t>
        </is>
      </c>
      <c r="E443" t="inlineStr">
        <is>
          <t>BERG</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28454-2025</t>
        </is>
      </c>
      <c r="B444" s="1" t="n">
        <v>45819.40679398148</v>
      </c>
      <c r="C444" s="1" t="n">
        <v>46072</v>
      </c>
      <c r="D444" t="inlineStr">
        <is>
          <t>JÄMTLANDS LÄN</t>
        </is>
      </c>
      <c r="E444" t="inlineStr">
        <is>
          <t>BERG</t>
        </is>
      </c>
      <c r="G444" t="n">
        <v>3.8</v>
      </c>
      <c r="H444" t="n">
        <v>0</v>
      </c>
      <c r="I444" t="n">
        <v>0</v>
      </c>
      <c r="J444" t="n">
        <v>0</v>
      </c>
      <c r="K444" t="n">
        <v>0</v>
      </c>
      <c r="L444" t="n">
        <v>0</v>
      </c>
      <c r="M444" t="n">
        <v>0</v>
      </c>
      <c r="N444" t="n">
        <v>0</v>
      </c>
      <c r="O444" t="n">
        <v>0</v>
      </c>
      <c r="P444" t="n">
        <v>0</v>
      </c>
      <c r="Q444" t="n">
        <v>0</v>
      </c>
      <c r="R444" s="2" t="inlineStr"/>
    </row>
    <row r="445" ht="15" customHeight="1">
      <c r="A445" t="inlineStr">
        <is>
          <t>A 44697-2025</t>
        </is>
      </c>
      <c r="B445" s="1" t="n">
        <v>45917.59888888889</v>
      </c>
      <c r="C445" s="1" t="n">
        <v>46072</v>
      </c>
      <c r="D445" t="inlineStr">
        <is>
          <t>JÄMTLANDS LÄN</t>
        </is>
      </c>
      <c r="E445" t="inlineStr">
        <is>
          <t>BERG</t>
        </is>
      </c>
      <c r="G445" t="n">
        <v>2.6</v>
      </c>
      <c r="H445" t="n">
        <v>0</v>
      </c>
      <c r="I445" t="n">
        <v>0</v>
      </c>
      <c r="J445" t="n">
        <v>0</v>
      </c>
      <c r="K445" t="n">
        <v>0</v>
      </c>
      <c r="L445" t="n">
        <v>0</v>
      </c>
      <c r="M445" t="n">
        <v>0</v>
      </c>
      <c r="N445" t="n">
        <v>0</v>
      </c>
      <c r="O445" t="n">
        <v>0</v>
      </c>
      <c r="P445" t="n">
        <v>0</v>
      </c>
      <c r="Q445" t="n">
        <v>0</v>
      </c>
      <c r="R445" s="2" t="inlineStr"/>
    </row>
    <row r="446" ht="15" customHeight="1">
      <c r="A446" t="inlineStr">
        <is>
          <t>A 45249-2025</t>
        </is>
      </c>
      <c r="B446" s="1" t="n">
        <v>45919.61225694444</v>
      </c>
      <c r="C446" s="1" t="n">
        <v>46072</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14226-2021</t>
        </is>
      </c>
      <c r="B447" s="1" t="n">
        <v>44277</v>
      </c>
      <c r="C447" s="1" t="n">
        <v>46072</v>
      </c>
      <c r="D447" t="inlineStr">
        <is>
          <t>JÄMTLANDS LÄN</t>
        </is>
      </c>
      <c r="E447" t="inlineStr">
        <is>
          <t>BERG</t>
        </is>
      </c>
      <c r="G447" t="n">
        <v>23.7</v>
      </c>
      <c r="H447" t="n">
        <v>0</v>
      </c>
      <c r="I447" t="n">
        <v>0</v>
      </c>
      <c r="J447" t="n">
        <v>0</v>
      </c>
      <c r="K447" t="n">
        <v>0</v>
      </c>
      <c r="L447" t="n">
        <v>0</v>
      </c>
      <c r="M447" t="n">
        <v>0</v>
      </c>
      <c r="N447" t="n">
        <v>0</v>
      </c>
      <c r="O447" t="n">
        <v>0</v>
      </c>
      <c r="P447" t="n">
        <v>0</v>
      </c>
      <c r="Q447" t="n">
        <v>0</v>
      </c>
      <c r="R447" s="2" t="inlineStr"/>
    </row>
    <row r="448" ht="15" customHeight="1">
      <c r="A448" t="inlineStr">
        <is>
          <t>A 45171-2025</t>
        </is>
      </c>
      <c r="B448" s="1" t="n">
        <v>45919.50256944444</v>
      </c>
      <c r="C448" s="1" t="n">
        <v>46072</v>
      </c>
      <c r="D448" t="inlineStr">
        <is>
          <t>JÄMTLANDS LÄN</t>
        </is>
      </c>
      <c r="E448" t="inlineStr">
        <is>
          <t>BERG</t>
        </is>
      </c>
      <c r="F448" t="inlineStr">
        <is>
          <t>Övriga Aktiebolag</t>
        </is>
      </c>
      <c r="G448" t="n">
        <v>10.7</v>
      </c>
      <c r="H448" t="n">
        <v>0</v>
      </c>
      <c r="I448" t="n">
        <v>0</v>
      </c>
      <c r="J448" t="n">
        <v>0</v>
      </c>
      <c r="K448" t="n">
        <v>0</v>
      </c>
      <c r="L448" t="n">
        <v>0</v>
      </c>
      <c r="M448" t="n">
        <v>0</v>
      </c>
      <c r="N448" t="n">
        <v>0</v>
      </c>
      <c r="O448" t="n">
        <v>0</v>
      </c>
      <c r="P448" t="n">
        <v>0</v>
      </c>
      <c r="Q448" t="n">
        <v>0</v>
      </c>
      <c r="R448" s="2" t="inlineStr"/>
    </row>
    <row r="449" ht="15" customHeight="1">
      <c r="A449" t="inlineStr">
        <is>
          <t>A 38962-2024</t>
        </is>
      </c>
      <c r="B449" s="1" t="n">
        <v>45548.36175925926</v>
      </c>
      <c r="C449" s="1" t="n">
        <v>46072</v>
      </c>
      <c r="D449" t="inlineStr">
        <is>
          <t>JÄMTLANDS LÄN</t>
        </is>
      </c>
      <c r="E449" t="inlineStr">
        <is>
          <t>BERG</t>
        </is>
      </c>
      <c r="G449" t="n">
        <v>2.2</v>
      </c>
      <c r="H449" t="n">
        <v>0</v>
      </c>
      <c r="I449" t="n">
        <v>0</v>
      </c>
      <c r="J449" t="n">
        <v>0</v>
      </c>
      <c r="K449" t="n">
        <v>0</v>
      </c>
      <c r="L449" t="n">
        <v>0</v>
      </c>
      <c r="M449" t="n">
        <v>0</v>
      </c>
      <c r="N449" t="n">
        <v>0</v>
      </c>
      <c r="O449" t="n">
        <v>0</v>
      </c>
      <c r="P449" t="n">
        <v>0</v>
      </c>
      <c r="Q449" t="n">
        <v>0</v>
      </c>
      <c r="R449" s="2" t="inlineStr"/>
    </row>
    <row r="450" ht="15" customHeight="1">
      <c r="A450" t="inlineStr">
        <is>
          <t>A 32879-2024</t>
        </is>
      </c>
      <c r="B450" s="1" t="n">
        <v>45516.68450231481</v>
      </c>
      <c r="C450" s="1" t="n">
        <v>46072</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58436-2025</t>
        </is>
      </c>
      <c r="B451" s="1" t="n">
        <v>45985.61510416667</v>
      </c>
      <c r="C451" s="1" t="n">
        <v>46072</v>
      </c>
      <c r="D451" t="inlineStr">
        <is>
          <t>JÄMTLANDS LÄN</t>
        </is>
      </c>
      <c r="E451" t="inlineStr">
        <is>
          <t>BERG</t>
        </is>
      </c>
      <c r="G451" t="n">
        <v>1.7</v>
      </c>
      <c r="H451" t="n">
        <v>0</v>
      </c>
      <c r="I451" t="n">
        <v>0</v>
      </c>
      <c r="J451" t="n">
        <v>0</v>
      </c>
      <c r="K451" t="n">
        <v>0</v>
      </c>
      <c r="L451" t="n">
        <v>0</v>
      </c>
      <c r="M451" t="n">
        <v>0</v>
      </c>
      <c r="N451" t="n">
        <v>0</v>
      </c>
      <c r="O451" t="n">
        <v>0</v>
      </c>
      <c r="P451" t="n">
        <v>0</v>
      </c>
      <c r="Q451" t="n">
        <v>0</v>
      </c>
      <c r="R451" s="2" t="inlineStr"/>
    </row>
    <row r="452" ht="15" customHeight="1">
      <c r="A452" t="inlineStr">
        <is>
          <t>A 45129-2025</t>
        </is>
      </c>
      <c r="B452" s="1" t="n">
        <v>45919.43584490741</v>
      </c>
      <c r="C452" s="1" t="n">
        <v>46072</v>
      </c>
      <c r="D452" t="inlineStr">
        <is>
          <t>JÄMTLANDS LÄN</t>
        </is>
      </c>
      <c r="E452" t="inlineStr">
        <is>
          <t>BERG</t>
        </is>
      </c>
      <c r="F452" t="inlineStr">
        <is>
          <t>Övriga Aktiebolag</t>
        </is>
      </c>
      <c r="G452" t="n">
        <v>3.3</v>
      </c>
      <c r="H452" t="n">
        <v>0</v>
      </c>
      <c r="I452" t="n">
        <v>0</v>
      </c>
      <c r="J452" t="n">
        <v>0</v>
      </c>
      <c r="K452" t="n">
        <v>0</v>
      </c>
      <c r="L452" t="n">
        <v>0</v>
      </c>
      <c r="M452" t="n">
        <v>0</v>
      </c>
      <c r="N452" t="n">
        <v>0</v>
      </c>
      <c r="O452" t="n">
        <v>0</v>
      </c>
      <c r="P452" t="n">
        <v>0</v>
      </c>
      <c r="Q452" t="n">
        <v>0</v>
      </c>
      <c r="R452" s="2" t="inlineStr"/>
    </row>
    <row r="453" ht="15" customHeight="1">
      <c r="A453" t="inlineStr">
        <is>
          <t>A 58470-2025</t>
        </is>
      </c>
      <c r="B453" s="1" t="n">
        <v>45985.63704861111</v>
      </c>
      <c r="C453" s="1" t="n">
        <v>46072</v>
      </c>
      <c r="D453" t="inlineStr">
        <is>
          <t>JÄMTLANDS LÄN</t>
        </is>
      </c>
      <c r="E453" t="inlineStr">
        <is>
          <t>BERG</t>
        </is>
      </c>
      <c r="G453" t="n">
        <v>3.6</v>
      </c>
      <c r="H453" t="n">
        <v>0</v>
      </c>
      <c r="I453" t="n">
        <v>0</v>
      </c>
      <c r="J453" t="n">
        <v>0</v>
      </c>
      <c r="K453" t="n">
        <v>0</v>
      </c>
      <c r="L453" t="n">
        <v>0</v>
      </c>
      <c r="M453" t="n">
        <v>0</v>
      </c>
      <c r="N453" t="n">
        <v>0</v>
      </c>
      <c r="O453" t="n">
        <v>0</v>
      </c>
      <c r="P453" t="n">
        <v>0</v>
      </c>
      <c r="Q453" t="n">
        <v>0</v>
      </c>
      <c r="R453" s="2" t="inlineStr"/>
    </row>
    <row r="454" ht="15" customHeight="1">
      <c r="A454" t="inlineStr">
        <is>
          <t>A 45150-2025</t>
        </is>
      </c>
      <c r="B454" s="1" t="n">
        <v>45919.47131944444</v>
      </c>
      <c r="C454" s="1" t="n">
        <v>46072</v>
      </c>
      <c r="D454" t="inlineStr">
        <is>
          <t>JÄMTLANDS LÄN</t>
        </is>
      </c>
      <c r="E454" t="inlineStr">
        <is>
          <t>BERG</t>
        </is>
      </c>
      <c r="F454" t="inlineStr">
        <is>
          <t>Övriga Aktiebolag</t>
        </is>
      </c>
      <c r="G454" t="n">
        <v>9.6</v>
      </c>
      <c r="H454" t="n">
        <v>0</v>
      </c>
      <c r="I454" t="n">
        <v>0</v>
      </c>
      <c r="J454" t="n">
        <v>0</v>
      </c>
      <c r="K454" t="n">
        <v>0</v>
      </c>
      <c r="L454" t="n">
        <v>0</v>
      </c>
      <c r="M454" t="n">
        <v>0</v>
      </c>
      <c r="N454" t="n">
        <v>0</v>
      </c>
      <c r="O454" t="n">
        <v>0</v>
      </c>
      <c r="P454" t="n">
        <v>0</v>
      </c>
      <c r="Q454" t="n">
        <v>0</v>
      </c>
      <c r="R454" s="2" t="inlineStr"/>
    </row>
    <row r="455" ht="15" customHeight="1">
      <c r="A455" t="inlineStr">
        <is>
          <t>A 22020-2024</t>
        </is>
      </c>
      <c r="B455" s="1" t="n">
        <v>45443.5894675926</v>
      </c>
      <c r="C455" s="1" t="n">
        <v>46072</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17748-2024</t>
        </is>
      </c>
      <c r="B456" s="1" t="n">
        <v>45418</v>
      </c>
      <c r="C456" s="1" t="n">
        <v>46072</v>
      </c>
      <c r="D456" t="inlineStr">
        <is>
          <t>JÄMTLANDS LÄN</t>
        </is>
      </c>
      <c r="E456" t="inlineStr">
        <is>
          <t>BERG</t>
        </is>
      </c>
      <c r="G456" t="n">
        <v>0.9</v>
      </c>
      <c r="H456" t="n">
        <v>0</v>
      </c>
      <c r="I456" t="n">
        <v>0</v>
      </c>
      <c r="J456" t="n">
        <v>0</v>
      </c>
      <c r="K456" t="n">
        <v>0</v>
      </c>
      <c r="L456" t="n">
        <v>0</v>
      </c>
      <c r="M456" t="n">
        <v>0</v>
      </c>
      <c r="N456" t="n">
        <v>0</v>
      </c>
      <c r="O456" t="n">
        <v>0</v>
      </c>
      <c r="P456" t="n">
        <v>0</v>
      </c>
      <c r="Q456" t="n">
        <v>0</v>
      </c>
      <c r="R456" s="2" t="inlineStr"/>
    </row>
    <row r="457" ht="15" customHeight="1">
      <c r="A457" t="inlineStr">
        <is>
          <t>A 44811-2025</t>
        </is>
      </c>
      <c r="B457" s="1" t="n">
        <v>45918.37195601852</v>
      </c>
      <c r="C457" s="1" t="n">
        <v>46072</v>
      </c>
      <c r="D457" t="inlineStr">
        <is>
          <t>JÄMTLANDS LÄN</t>
        </is>
      </c>
      <c r="E457" t="inlineStr">
        <is>
          <t>BERG</t>
        </is>
      </c>
      <c r="G457" t="n">
        <v>1.4</v>
      </c>
      <c r="H457" t="n">
        <v>0</v>
      </c>
      <c r="I457" t="n">
        <v>0</v>
      </c>
      <c r="J457" t="n">
        <v>0</v>
      </c>
      <c r="K457" t="n">
        <v>0</v>
      </c>
      <c r="L457" t="n">
        <v>0</v>
      </c>
      <c r="M457" t="n">
        <v>0</v>
      </c>
      <c r="N457" t="n">
        <v>0</v>
      </c>
      <c r="O457" t="n">
        <v>0</v>
      </c>
      <c r="P457" t="n">
        <v>0</v>
      </c>
      <c r="Q457" t="n">
        <v>0</v>
      </c>
      <c r="R457" s="2" t="inlineStr"/>
    </row>
    <row r="458" ht="15" customHeight="1">
      <c r="A458" t="inlineStr">
        <is>
          <t>A 45109-2025</t>
        </is>
      </c>
      <c r="B458" s="1" t="n">
        <v>45919.41850694444</v>
      </c>
      <c r="C458" s="1" t="n">
        <v>46072</v>
      </c>
      <c r="D458" t="inlineStr">
        <is>
          <t>JÄMTLANDS LÄN</t>
        </is>
      </c>
      <c r="E458" t="inlineStr">
        <is>
          <t>BERG</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29199-2025</t>
        </is>
      </c>
      <c r="B459" s="1" t="n">
        <v>45823.34459490741</v>
      </c>
      <c r="C459" s="1" t="n">
        <v>46072</v>
      </c>
      <c r="D459" t="inlineStr">
        <is>
          <t>JÄMTLANDS LÄN</t>
        </is>
      </c>
      <c r="E459" t="inlineStr">
        <is>
          <t>BERG</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45254-2025</t>
        </is>
      </c>
      <c r="B460" s="1" t="n">
        <v>45919.61523148148</v>
      </c>
      <c r="C460" s="1" t="n">
        <v>46072</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29197-2025</t>
        </is>
      </c>
      <c r="B461" s="1" t="n">
        <v>45823.34438657408</v>
      </c>
      <c r="C461" s="1" t="n">
        <v>46072</v>
      </c>
      <c r="D461" t="inlineStr">
        <is>
          <t>JÄMTLANDS LÄN</t>
        </is>
      </c>
      <c r="E461" t="inlineStr">
        <is>
          <t>BERG</t>
        </is>
      </c>
      <c r="F461" t="inlineStr">
        <is>
          <t>SCA</t>
        </is>
      </c>
      <c r="G461" t="n">
        <v>10</v>
      </c>
      <c r="H461" t="n">
        <v>0</v>
      </c>
      <c r="I461" t="n">
        <v>0</v>
      </c>
      <c r="J461" t="n">
        <v>0</v>
      </c>
      <c r="K461" t="n">
        <v>0</v>
      </c>
      <c r="L461" t="n">
        <v>0</v>
      </c>
      <c r="M461" t="n">
        <v>0</v>
      </c>
      <c r="N461" t="n">
        <v>0</v>
      </c>
      <c r="O461" t="n">
        <v>0</v>
      </c>
      <c r="P461" t="n">
        <v>0</v>
      </c>
      <c r="Q461" t="n">
        <v>0</v>
      </c>
      <c r="R461" s="2" t="inlineStr"/>
    </row>
    <row r="462" ht="15" customHeight="1">
      <c r="A462" t="inlineStr">
        <is>
          <t>A 18833-2024</t>
        </is>
      </c>
      <c r="B462" s="1" t="n">
        <v>45426.65157407407</v>
      </c>
      <c r="C462" s="1" t="n">
        <v>46072</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45640-2025</t>
        </is>
      </c>
      <c r="B463" s="1" t="n">
        <v>45922.961875</v>
      </c>
      <c r="C463" s="1" t="n">
        <v>46072</v>
      </c>
      <c r="D463" t="inlineStr">
        <is>
          <t>JÄMTLANDS LÄN</t>
        </is>
      </c>
      <c r="E463" t="inlineStr">
        <is>
          <t>BERG</t>
        </is>
      </c>
      <c r="G463" t="n">
        <v>2.3</v>
      </c>
      <c r="H463" t="n">
        <v>0</v>
      </c>
      <c r="I463" t="n">
        <v>0</v>
      </c>
      <c r="J463" t="n">
        <v>0</v>
      </c>
      <c r="K463" t="n">
        <v>0</v>
      </c>
      <c r="L463" t="n">
        <v>0</v>
      </c>
      <c r="M463" t="n">
        <v>0</v>
      </c>
      <c r="N463" t="n">
        <v>0</v>
      </c>
      <c r="O463" t="n">
        <v>0</v>
      </c>
      <c r="P463" t="n">
        <v>0</v>
      </c>
      <c r="Q463" t="n">
        <v>0</v>
      </c>
      <c r="R463" s="2" t="inlineStr"/>
    </row>
    <row r="464" ht="15" customHeight="1">
      <c r="A464" t="inlineStr">
        <is>
          <t>A 45568-2025</t>
        </is>
      </c>
      <c r="B464" s="1" t="n">
        <v>45922.65672453704</v>
      </c>
      <c r="C464" s="1" t="n">
        <v>46072</v>
      </c>
      <c r="D464" t="inlineStr">
        <is>
          <t>JÄMTLANDS LÄN</t>
        </is>
      </c>
      <c r="E464" t="inlineStr">
        <is>
          <t>BERG</t>
        </is>
      </c>
      <c r="F464" t="inlineStr">
        <is>
          <t>SCA</t>
        </is>
      </c>
      <c r="G464" t="n">
        <v>7.8</v>
      </c>
      <c r="H464" t="n">
        <v>0</v>
      </c>
      <c r="I464" t="n">
        <v>0</v>
      </c>
      <c r="J464" t="n">
        <v>0</v>
      </c>
      <c r="K464" t="n">
        <v>0</v>
      </c>
      <c r="L464" t="n">
        <v>0</v>
      </c>
      <c r="M464" t="n">
        <v>0</v>
      </c>
      <c r="N464" t="n">
        <v>0</v>
      </c>
      <c r="O464" t="n">
        <v>0</v>
      </c>
      <c r="P464" t="n">
        <v>0</v>
      </c>
      <c r="Q464" t="n">
        <v>0</v>
      </c>
      <c r="R464" s="2" t="inlineStr"/>
    </row>
    <row r="465" ht="15" customHeight="1">
      <c r="A465" t="inlineStr">
        <is>
          <t>A 29310-2025</t>
        </is>
      </c>
      <c r="B465" s="1" t="n">
        <v>45824.46353009259</v>
      </c>
      <c r="C465" s="1" t="n">
        <v>46072</v>
      </c>
      <c r="D465" t="inlineStr">
        <is>
          <t>JÄMTLANDS LÄN</t>
        </is>
      </c>
      <c r="E465" t="inlineStr">
        <is>
          <t>BERG</t>
        </is>
      </c>
      <c r="G465" t="n">
        <v>5.6</v>
      </c>
      <c r="H465" t="n">
        <v>0</v>
      </c>
      <c r="I465" t="n">
        <v>0</v>
      </c>
      <c r="J465" t="n">
        <v>0</v>
      </c>
      <c r="K465" t="n">
        <v>0</v>
      </c>
      <c r="L465" t="n">
        <v>0</v>
      </c>
      <c r="M465" t="n">
        <v>0</v>
      </c>
      <c r="N465" t="n">
        <v>0</v>
      </c>
      <c r="O465" t="n">
        <v>0</v>
      </c>
      <c r="P465" t="n">
        <v>0</v>
      </c>
      <c r="Q465" t="n">
        <v>0</v>
      </c>
      <c r="R465" s="2" t="inlineStr"/>
    </row>
    <row r="466" ht="15" customHeight="1">
      <c r="A466" t="inlineStr">
        <is>
          <t>A 29538-2025</t>
        </is>
      </c>
      <c r="B466" s="1" t="n">
        <v>45825.34517361111</v>
      </c>
      <c r="C466" s="1" t="n">
        <v>46072</v>
      </c>
      <c r="D466" t="inlineStr">
        <is>
          <t>JÄMTLANDS LÄN</t>
        </is>
      </c>
      <c r="E466" t="inlineStr">
        <is>
          <t>BERG</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29533-2025</t>
        </is>
      </c>
      <c r="B467" s="1" t="n">
        <v>45825.34466435185</v>
      </c>
      <c r="C467" s="1" t="n">
        <v>46072</v>
      </c>
      <c r="D467" t="inlineStr">
        <is>
          <t>JÄMTLANDS LÄN</t>
        </is>
      </c>
      <c r="E467" t="inlineStr">
        <is>
          <t>BERG</t>
        </is>
      </c>
      <c r="F467" t="inlineStr">
        <is>
          <t>SCA</t>
        </is>
      </c>
      <c r="G467" t="n">
        <v>10</v>
      </c>
      <c r="H467" t="n">
        <v>0</v>
      </c>
      <c r="I467" t="n">
        <v>0</v>
      </c>
      <c r="J467" t="n">
        <v>0</v>
      </c>
      <c r="K467" t="n">
        <v>0</v>
      </c>
      <c r="L467" t="n">
        <v>0</v>
      </c>
      <c r="M467" t="n">
        <v>0</v>
      </c>
      <c r="N467" t="n">
        <v>0</v>
      </c>
      <c r="O467" t="n">
        <v>0</v>
      </c>
      <c r="P467" t="n">
        <v>0</v>
      </c>
      <c r="Q467" t="n">
        <v>0</v>
      </c>
      <c r="R467" s="2" t="inlineStr"/>
    </row>
    <row r="468" ht="15" customHeight="1">
      <c r="A468" t="inlineStr">
        <is>
          <t>A 29279-2025</t>
        </is>
      </c>
      <c r="B468" s="1" t="n">
        <v>45824.42381944445</v>
      </c>
      <c r="C468" s="1" t="n">
        <v>46072</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45459-2025</t>
        </is>
      </c>
      <c r="B469" s="1" t="n">
        <v>45922.49230324074</v>
      </c>
      <c r="C469" s="1" t="n">
        <v>46072</v>
      </c>
      <c r="D469" t="inlineStr">
        <is>
          <t>JÄMTLANDS LÄN</t>
        </is>
      </c>
      <c r="E469" t="inlineStr">
        <is>
          <t>BERG</t>
        </is>
      </c>
      <c r="F469" t="inlineStr">
        <is>
          <t>Kyrkan</t>
        </is>
      </c>
      <c r="G469" t="n">
        <v>8</v>
      </c>
      <c r="H469" t="n">
        <v>0</v>
      </c>
      <c r="I469" t="n">
        <v>0</v>
      </c>
      <c r="J469" t="n">
        <v>0</v>
      </c>
      <c r="K469" t="n">
        <v>0</v>
      </c>
      <c r="L469" t="n">
        <v>0</v>
      </c>
      <c r="M469" t="n">
        <v>0</v>
      </c>
      <c r="N469" t="n">
        <v>0</v>
      </c>
      <c r="O469" t="n">
        <v>0</v>
      </c>
      <c r="P469" t="n">
        <v>0</v>
      </c>
      <c r="Q469" t="n">
        <v>0</v>
      </c>
      <c r="R469" s="2" t="inlineStr"/>
    </row>
    <row r="470" ht="15" customHeight="1">
      <c r="A470" t="inlineStr">
        <is>
          <t>A 45912-2025</t>
        </is>
      </c>
      <c r="B470" s="1" t="n">
        <v>45923</v>
      </c>
      <c r="C470" s="1" t="n">
        <v>46072</v>
      </c>
      <c r="D470" t="inlineStr">
        <is>
          <t>JÄMTLANDS LÄN</t>
        </is>
      </c>
      <c r="E470" t="inlineStr">
        <is>
          <t>BERG</t>
        </is>
      </c>
      <c r="G470" t="n">
        <v>1.1</v>
      </c>
      <c r="H470" t="n">
        <v>0</v>
      </c>
      <c r="I470" t="n">
        <v>0</v>
      </c>
      <c r="J470" t="n">
        <v>0</v>
      </c>
      <c r="K470" t="n">
        <v>0</v>
      </c>
      <c r="L470" t="n">
        <v>0</v>
      </c>
      <c r="M470" t="n">
        <v>0</v>
      </c>
      <c r="N470" t="n">
        <v>0</v>
      </c>
      <c r="O470" t="n">
        <v>0</v>
      </c>
      <c r="P470" t="n">
        <v>0</v>
      </c>
      <c r="Q470" t="n">
        <v>0</v>
      </c>
      <c r="R470" s="2" t="inlineStr"/>
    </row>
    <row r="471" ht="15" customHeight="1">
      <c r="A471" t="inlineStr">
        <is>
          <t>A 58176-2024</t>
        </is>
      </c>
      <c r="B471" s="1" t="n">
        <v>45632.46771990741</v>
      </c>
      <c r="C471" s="1" t="n">
        <v>46072</v>
      </c>
      <c r="D471" t="inlineStr">
        <is>
          <t>JÄMTLANDS LÄN</t>
        </is>
      </c>
      <c r="E471" t="inlineStr">
        <is>
          <t>BERG</t>
        </is>
      </c>
      <c r="G471" t="n">
        <v>14.4</v>
      </c>
      <c r="H471" t="n">
        <v>0</v>
      </c>
      <c r="I471" t="n">
        <v>0</v>
      </c>
      <c r="J471" t="n">
        <v>0</v>
      </c>
      <c r="K471" t="n">
        <v>0</v>
      </c>
      <c r="L471" t="n">
        <v>0</v>
      </c>
      <c r="M471" t="n">
        <v>0</v>
      </c>
      <c r="N471" t="n">
        <v>0</v>
      </c>
      <c r="O471" t="n">
        <v>0</v>
      </c>
      <c r="P471" t="n">
        <v>0</v>
      </c>
      <c r="Q471" t="n">
        <v>0</v>
      </c>
      <c r="R471" s="2" t="inlineStr"/>
    </row>
    <row r="472" ht="15" customHeight="1">
      <c r="A472" t="inlineStr">
        <is>
          <t>A 45657-2025</t>
        </is>
      </c>
      <c r="B472" s="1" t="n">
        <v>45923.34453703704</v>
      </c>
      <c r="C472" s="1" t="n">
        <v>46072</v>
      </c>
      <c r="D472" t="inlineStr">
        <is>
          <t>JÄMTLANDS LÄN</t>
        </is>
      </c>
      <c r="E472" t="inlineStr">
        <is>
          <t>BERG</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29198-2025</t>
        </is>
      </c>
      <c r="B473" s="1" t="n">
        <v>45823.34451388889</v>
      </c>
      <c r="C473" s="1" t="n">
        <v>46072</v>
      </c>
      <c r="D473" t="inlineStr">
        <is>
          <t>JÄMTLANDS LÄN</t>
        </is>
      </c>
      <c r="E473" t="inlineStr">
        <is>
          <t>BERG</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45390-2025</t>
        </is>
      </c>
      <c r="B474" s="1" t="n">
        <v>45922.40762731482</v>
      </c>
      <c r="C474" s="1" t="n">
        <v>46072</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29836-2025</t>
        </is>
      </c>
      <c r="B475" s="1" t="n">
        <v>45825.9468287037</v>
      </c>
      <c r="C475" s="1" t="n">
        <v>46072</v>
      </c>
      <c r="D475" t="inlineStr">
        <is>
          <t>JÄMTLANDS LÄN</t>
        </is>
      </c>
      <c r="E475" t="inlineStr">
        <is>
          <t>BERG</t>
        </is>
      </c>
      <c r="G475" t="n">
        <v>12.7</v>
      </c>
      <c r="H475" t="n">
        <v>0</v>
      </c>
      <c r="I475" t="n">
        <v>0</v>
      </c>
      <c r="J475" t="n">
        <v>0</v>
      </c>
      <c r="K475" t="n">
        <v>0</v>
      </c>
      <c r="L475" t="n">
        <v>0</v>
      </c>
      <c r="M475" t="n">
        <v>0</v>
      </c>
      <c r="N475" t="n">
        <v>0</v>
      </c>
      <c r="O475" t="n">
        <v>0</v>
      </c>
      <c r="P475" t="n">
        <v>0</v>
      </c>
      <c r="Q475" t="n">
        <v>0</v>
      </c>
      <c r="R475" s="2" t="inlineStr"/>
    </row>
    <row r="476" ht="15" customHeight="1">
      <c r="A476" t="inlineStr">
        <is>
          <t>A 53085-2024</t>
        </is>
      </c>
      <c r="B476" s="1" t="n">
        <v>45611.51072916666</v>
      </c>
      <c r="C476" s="1" t="n">
        <v>46072</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6982-2025</t>
        </is>
      </c>
      <c r="B477" s="1" t="n">
        <v>45701.55769675926</v>
      </c>
      <c r="C477" s="1" t="n">
        <v>46072</v>
      </c>
      <c r="D477" t="inlineStr">
        <is>
          <t>JÄMTLANDS LÄN</t>
        </is>
      </c>
      <c r="E477" t="inlineStr">
        <is>
          <t>BERG</t>
        </is>
      </c>
      <c r="G477" t="n">
        <v>6.8</v>
      </c>
      <c r="H477" t="n">
        <v>0</v>
      </c>
      <c r="I477" t="n">
        <v>0</v>
      </c>
      <c r="J477" t="n">
        <v>0</v>
      </c>
      <c r="K477" t="n">
        <v>0</v>
      </c>
      <c r="L477" t="n">
        <v>0</v>
      </c>
      <c r="M477" t="n">
        <v>0</v>
      </c>
      <c r="N477" t="n">
        <v>0</v>
      </c>
      <c r="O477" t="n">
        <v>0</v>
      </c>
      <c r="P477" t="n">
        <v>0</v>
      </c>
      <c r="Q477" t="n">
        <v>0</v>
      </c>
      <c r="R477" s="2" t="inlineStr"/>
    </row>
    <row r="478" ht="15" customHeight="1">
      <c r="A478" t="inlineStr">
        <is>
          <t>A 30017-2025</t>
        </is>
      </c>
      <c r="B478" s="1" t="n">
        <v>45826.55306712963</v>
      </c>
      <c r="C478" s="1" t="n">
        <v>46072</v>
      </c>
      <c r="D478" t="inlineStr">
        <is>
          <t>JÄMTLANDS LÄN</t>
        </is>
      </c>
      <c r="E478" t="inlineStr">
        <is>
          <t>BERG</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32064-2023</t>
        </is>
      </c>
      <c r="B479" s="1" t="n">
        <v>45119.57108796296</v>
      </c>
      <c r="C479" s="1" t="n">
        <v>46072</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30314-2025</t>
        </is>
      </c>
      <c r="B480" s="1" t="n">
        <v>45827.49047453704</v>
      </c>
      <c r="C480" s="1" t="n">
        <v>46072</v>
      </c>
      <c r="D480" t="inlineStr">
        <is>
          <t>JÄMTLANDS LÄN</t>
        </is>
      </c>
      <c r="E480" t="inlineStr">
        <is>
          <t>BERG</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29902-2025</t>
        </is>
      </c>
      <c r="B481" s="1" t="n">
        <v>45826</v>
      </c>
      <c r="C481" s="1" t="n">
        <v>46072</v>
      </c>
      <c r="D481" t="inlineStr">
        <is>
          <t>JÄMTLANDS LÄN</t>
        </is>
      </c>
      <c r="E481" t="inlineStr">
        <is>
          <t>BERG</t>
        </is>
      </c>
      <c r="G481" t="n">
        <v>9.1</v>
      </c>
      <c r="H481" t="n">
        <v>0</v>
      </c>
      <c r="I481" t="n">
        <v>0</v>
      </c>
      <c r="J481" t="n">
        <v>0</v>
      </c>
      <c r="K481" t="n">
        <v>0</v>
      </c>
      <c r="L481" t="n">
        <v>0</v>
      </c>
      <c r="M481" t="n">
        <v>0</v>
      </c>
      <c r="N481" t="n">
        <v>0</v>
      </c>
      <c r="O481" t="n">
        <v>0</v>
      </c>
      <c r="P481" t="n">
        <v>0</v>
      </c>
      <c r="Q481" t="n">
        <v>0</v>
      </c>
      <c r="R481" s="2" t="inlineStr"/>
    </row>
    <row r="482" ht="15" customHeight="1">
      <c r="A482" t="inlineStr">
        <is>
          <t>A 29908-2025</t>
        </is>
      </c>
      <c r="B482" s="1" t="n">
        <v>45826</v>
      </c>
      <c r="C482" s="1" t="n">
        <v>46072</v>
      </c>
      <c r="D482" t="inlineStr">
        <is>
          <t>JÄMTLANDS LÄN</t>
        </is>
      </c>
      <c r="E482" t="inlineStr">
        <is>
          <t>BERG</t>
        </is>
      </c>
      <c r="G482" t="n">
        <v>2.2</v>
      </c>
      <c r="H482" t="n">
        <v>0</v>
      </c>
      <c r="I482" t="n">
        <v>0</v>
      </c>
      <c r="J482" t="n">
        <v>0</v>
      </c>
      <c r="K482" t="n">
        <v>0</v>
      </c>
      <c r="L482" t="n">
        <v>0</v>
      </c>
      <c r="M482" t="n">
        <v>0</v>
      </c>
      <c r="N482" t="n">
        <v>0</v>
      </c>
      <c r="O482" t="n">
        <v>0</v>
      </c>
      <c r="P482" t="n">
        <v>0</v>
      </c>
      <c r="Q482" t="n">
        <v>0</v>
      </c>
      <c r="R482" s="2" t="inlineStr"/>
    </row>
    <row r="483" ht="15" customHeight="1">
      <c r="A483" t="inlineStr">
        <is>
          <t>A 46853-2025</t>
        </is>
      </c>
      <c r="B483" s="1" t="n">
        <v>45928.86563657408</v>
      </c>
      <c r="C483" s="1" t="n">
        <v>46072</v>
      </c>
      <c r="D483" t="inlineStr">
        <is>
          <t>JÄMTLANDS LÄN</t>
        </is>
      </c>
      <c r="E483" t="inlineStr">
        <is>
          <t>BERG</t>
        </is>
      </c>
      <c r="F483" t="inlineStr">
        <is>
          <t>Kyrkan</t>
        </is>
      </c>
      <c r="G483" t="n">
        <v>7.9</v>
      </c>
      <c r="H483" t="n">
        <v>0</v>
      </c>
      <c r="I483" t="n">
        <v>0</v>
      </c>
      <c r="J483" t="n">
        <v>0</v>
      </c>
      <c r="K483" t="n">
        <v>0</v>
      </c>
      <c r="L483" t="n">
        <v>0</v>
      </c>
      <c r="M483" t="n">
        <v>0</v>
      </c>
      <c r="N483" t="n">
        <v>0</v>
      </c>
      <c r="O483" t="n">
        <v>0</v>
      </c>
      <c r="P483" t="n">
        <v>0</v>
      </c>
      <c r="Q483" t="n">
        <v>0</v>
      </c>
      <c r="R483" s="2" t="inlineStr"/>
    </row>
    <row r="484" ht="15" customHeight="1">
      <c r="A484" t="inlineStr">
        <is>
          <t>A 58437-2025</t>
        </is>
      </c>
      <c r="B484" s="1" t="n">
        <v>45985.61512731481</v>
      </c>
      <c r="C484" s="1" t="n">
        <v>46072</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46854-2025</t>
        </is>
      </c>
      <c r="B485" s="1" t="n">
        <v>45928.87376157408</v>
      </c>
      <c r="C485" s="1" t="n">
        <v>46072</v>
      </c>
      <c r="D485" t="inlineStr">
        <is>
          <t>JÄMTLANDS LÄN</t>
        </is>
      </c>
      <c r="E485" t="inlineStr">
        <is>
          <t>BERG</t>
        </is>
      </c>
      <c r="F485" t="inlineStr">
        <is>
          <t>Kyrkan</t>
        </is>
      </c>
      <c r="G485" t="n">
        <v>4.8</v>
      </c>
      <c r="H485" t="n">
        <v>0</v>
      </c>
      <c r="I485" t="n">
        <v>0</v>
      </c>
      <c r="J485" t="n">
        <v>0</v>
      </c>
      <c r="K485" t="n">
        <v>0</v>
      </c>
      <c r="L485" t="n">
        <v>0</v>
      </c>
      <c r="M485" t="n">
        <v>0</v>
      </c>
      <c r="N485" t="n">
        <v>0</v>
      </c>
      <c r="O485" t="n">
        <v>0</v>
      </c>
      <c r="P485" t="n">
        <v>0</v>
      </c>
      <c r="Q485" t="n">
        <v>0</v>
      </c>
      <c r="R485" s="2" t="inlineStr"/>
    </row>
    <row r="486" ht="15" customHeight="1">
      <c r="A486" t="inlineStr">
        <is>
          <t>A 34819-2023</t>
        </is>
      </c>
      <c r="B486" s="1" t="n">
        <v>45140</v>
      </c>
      <c r="C486" s="1" t="n">
        <v>46072</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47137-2025</t>
        </is>
      </c>
      <c r="B487" s="1" t="n">
        <v>45929.69876157407</v>
      </c>
      <c r="C487" s="1" t="n">
        <v>46072</v>
      </c>
      <c r="D487" t="inlineStr">
        <is>
          <t>JÄMTLANDS LÄN</t>
        </is>
      </c>
      <c r="E487" t="inlineStr">
        <is>
          <t>BERG</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31015-2025</t>
        </is>
      </c>
      <c r="B488" s="1" t="n">
        <v>45832.51086805556</v>
      </c>
      <c r="C488" s="1" t="n">
        <v>46072</v>
      </c>
      <c r="D488" t="inlineStr">
        <is>
          <t>JÄMTLANDS LÄN</t>
        </is>
      </c>
      <c r="E488" t="inlineStr">
        <is>
          <t>BERG</t>
        </is>
      </c>
      <c r="F488" t="inlineStr">
        <is>
          <t>SCA</t>
        </is>
      </c>
      <c r="G488" t="n">
        <v>5.5</v>
      </c>
      <c r="H488" t="n">
        <v>0</v>
      </c>
      <c r="I488" t="n">
        <v>0</v>
      </c>
      <c r="J488" t="n">
        <v>0</v>
      </c>
      <c r="K488" t="n">
        <v>0</v>
      </c>
      <c r="L488" t="n">
        <v>0</v>
      </c>
      <c r="M488" t="n">
        <v>0</v>
      </c>
      <c r="N488" t="n">
        <v>0</v>
      </c>
      <c r="O488" t="n">
        <v>0</v>
      </c>
      <c r="P488" t="n">
        <v>0</v>
      </c>
      <c r="Q488" t="n">
        <v>0</v>
      </c>
      <c r="R488" s="2" t="inlineStr"/>
    </row>
    <row r="489" ht="15" customHeight="1">
      <c r="A489" t="inlineStr">
        <is>
          <t>A 31017-2025</t>
        </is>
      </c>
      <c r="B489" s="1" t="n">
        <v>45832.51111111111</v>
      </c>
      <c r="C489" s="1" t="n">
        <v>46072</v>
      </c>
      <c r="D489" t="inlineStr">
        <is>
          <t>JÄMTLANDS LÄN</t>
        </is>
      </c>
      <c r="E489" t="inlineStr">
        <is>
          <t>BERG</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47145-2025</t>
        </is>
      </c>
      <c r="B490" s="1" t="n">
        <v>45929.71310185185</v>
      </c>
      <c r="C490" s="1" t="n">
        <v>46072</v>
      </c>
      <c r="D490" t="inlineStr">
        <is>
          <t>JÄMTLANDS LÄN</t>
        </is>
      </c>
      <c r="E490" t="inlineStr">
        <is>
          <t>BERG</t>
        </is>
      </c>
      <c r="G490" t="n">
        <v>3.5</v>
      </c>
      <c r="H490" t="n">
        <v>0</v>
      </c>
      <c r="I490" t="n">
        <v>0</v>
      </c>
      <c r="J490" t="n">
        <v>0</v>
      </c>
      <c r="K490" t="n">
        <v>0</v>
      </c>
      <c r="L490" t="n">
        <v>0</v>
      </c>
      <c r="M490" t="n">
        <v>0</v>
      </c>
      <c r="N490" t="n">
        <v>0</v>
      </c>
      <c r="O490" t="n">
        <v>0</v>
      </c>
      <c r="P490" t="n">
        <v>0</v>
      </c>
      <c r="Q490" t="n">
        <v>0</v>
      </c>
      <c r="R490" s="2" t="inlineStr"/>
    </row>
    <row r="491" ht="15" customHeight="1">
      <c r="A491" t="inlineStr">
        <is>
          <t>A 31070-2025</t>
        </is>
      </c>
      <c r="B491" s="1" t="n">
        <v>45832.57887731482</v>
      </c>
      <c r="C491" s="1" t="n">
        <v>46072</v>
      </c>
      <c r="D491" t="inlineStr">
        <is>
          <t>JÄMTLANDS LÄN</t>
        </is>
      </c>
      <c r="E491" t="inlineStr">
        <is>
          <t>BERG</t>
        </is>
      </c>
      <c r="G491" t="n">
        <v>3.7</v>
      </c>
      <c r="H491" t="n">
        <v>0</v>
      </c>
      <c r="I491" t="n">
        <v>0</v>
      </c>
      <c r="J491" t="n">
        <v>0</v>
      </c>
      <c r="K491" t="n">
        <v>0</v>
      </c>
      <c r="L491" t="n">
        <v>0</v>
      </c>
      <c r="M491" t="n">
        <v>0</v>
      </c>
      <c r="N491" t="n">
        <v>0</v>
      </c>
      <c r="O491" t="n">
        <v>0</v>
      </c>
      <c r="P491" t="n">
        <v>0</v>
      </c>
      <c r="Q491" t="n">
        <v>0</v>
      </c>
      <c r="R491" s="2" t="inlineStr"/>
    </row>
    <row r="492" ht="15" customHeight="1">
      <c r="A492" t="inlineStr">
        <is>
          <t>A 50780-2021</t>
        </is>
      </c>
      <c r="B492" s="1" t="n">
        <v>44459</v>
      </c>
      <c r="C492" s="1" t="n">
        <v>46072</v>
      </c>
      <c r="D492" t="inlineStr">
        <is>
          <t>JÄMTLANDS LÄN</t>
        </is>
      </c>
      <c r="E492" t="inlineStr">
        <is>
          <t>BERG</t>
        </is>
      </c>
      <c r="G492" t="n">
        <v>3.5</v>
      </c>
      <c r="H492" t="n">
        <v>0</v>
      </c>
      <c r="I492" t="n">
        <v>0</v>
      </c>
      <c r="J492" t="n">
        <v>0</v>
      </c>
      <c r="K492" t="n">
        <v>0</v>
      </c>
      <c r="L492" t="n">
        <v>0</v>
      </c>
      <c r="M492" t="n">
        <v>0</v>
      </c>
      <c r="N492" t="n">
        <v>0</v>
      </c>
      <c r="O492" t="n">
        <v>0</v>
      </c>
      <c r="P492" t="n">
        <v>0</v>
      </c>
      <c r="Q492" t="n">
        <v>0</v>
      </c>
      <c r="R492" s="2" t="inlineStr"/>
    </row>
    <row r="493" ht="15" customHeight="1">
      <c r="A493" t="inlineStr">
        <is>
          <t>A 31090-2025</t>
        </is>
      </c>
      <c r="B493" s="1" t="n">
        <v>45832.59436342592</v>
      </c>
      <c r="C493" s="1" t="n">
        <v>46072</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47135-2025</t>
        </is>
      </c>
      <c r="B494" s="1" t="n">
        <v>45929.69799768519</v>
      </c>
      <c r="C494" s="1" t="n">
        <v>46072</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46072</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43279-2024</t>
        </is>
      </c>
      <c r="B496" s="1" t="n">
        <v>45568.3975462963</v>
      </c>
      <c r="C496" s="1" t="n">
        <v>46072</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47141-2025</t>
        </is>
      </c>
      <c r="B497" s="1" t="n">
        <v>45929.70355324074</v>
      </c>
      <c r="C497" s="1" t="n">
        <v>46072</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46584-2025</t>
        </is>
      </c>
      <c r="B498" s="1" t="n">
        <v>45926</v>
      </c>
      <c r="C498" s="1" t="n">
        <v>46072</v>
      </c>
      <c r="D498" t="inlineStr">
        <is>
          <t>JÄMTLANDS LÄN</t>
        </is>
      </c>
      <c r="E498" t="inlineStr">
        <is>
          <t>BERG</t>
        </is>
      </c>
      <c r="G498" t="n">
        <v>17.1</v>
      </c>
      <c r="H498" t="n">
        <v>0</v>
      </c>
      <c r="I498" t="n">
        <v>0</v>
      </c>
      <c r="J498" t="n">
        <v>0</v>
      </c>
      <c r="K498" t="n">
        <v>0</v>
      </c>
      <c r="L498" t="n">
        <v>0</v>
      </c>
      <c r="M498" t="n">
        <v>0</v>
      </c>
      <c r="N498" t="n">
        <v>0</v>
      </c>
      <c r="O498" t="n">
        <v>0</v>
      </c>
      <c r="P498" t="n">
        <v>0</v>
      </c>
      <c r="Q498" t="n">
        <v>0</v>
      </c>
      <c r="R498" s="2" t="inlineStr"/>
    </row>
    <row r="499" ht="15" customHeight="1">
      <c r="A499" t="inlineStr">
        <is>
          <t>A 31136-2025</t>
        </is>
      </c>
      <c r="B499" s="1" t="n">
        <v>45832.63599537037</v>
      </c>
      <c r="C499" s="1" t="n">
        <v>46072</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47428-2025</t>
        </is>
      </c>
      <c r="B500" s="1" t="n">
        <v>45930</v>
      </c>
      <c r="C500" s="1" t="n">
        <v>46072</v>
      </c>
      <c r="D500" t="inlineStr">
        <is>
          <t>JÄMTLANDS LÄN</t>
        </is>
      </c>
      <c r="E500" t="inlineStr">
        <is>
          <t>BERG</t>
        </is>
      </c>
      <c r="G500" t="n">
        <v>3.4</v>
      </c>
      <c r="H500" t="n">
        <v>0</v>
      </c>
      <c r="I500" t="n">
        <v>0</v>
      </c>
      <c r="J500" t="n">
        <v>0</v>
      </c>
      <c r="K500" t="n">
        <v>0</v>
      </c>
      <c r="L500" t="n">
        <v>0</v>
      </c>
      <c r="M500" t="n">
        <v>0</v>
      </c>
      <c r="N500" t="n">
        <v>0</v>
      </c>
      <c r="O500" t="n">
        <v>0</v>
      </c>
      <c r="P500" t="n">
        <v>0</v>
      </c>
      <c r="Q500" t="n">
        <v>0</v>
      </c>
      <c r="R500" s="2" t="inlineStr"/>
    </row>
    <row r="501" ht="15" customHeight="1">
      <c r="A501" t="inlineStr">
        <is>
          <t>A 47193-2025</t>
        </is>
      </c>
      <c r="B501" s="1" t="n">
        <v>45930.34469907408</v>
      </c>
      <c r="C501" s="1" t="n">
        <v>46072</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37093-2024</t>
        </is>
      </c>
      <c r="B502" s="1" t="n">
        <v>45539.50018518518</v>
      </c>
      <c r="C502" s="1" t="n">
        <v>46072</v>
      </c>
      <c r="D502" t="inlineStr">
        <is>
          <t>JÄMTLANDS LÄN</t>
        </is>
      </c>
      <c r="E502" t="inlineStr">
        <is>
          <t>BERG</t>
        </is>
      </c>
      <c r="F502" t="inlineStr">
        <is>
          <t>Övriga Aktiebolag</t>
        </is>
      </c>
      <c r="G502" t="n">
        <v>15.4</v>
      </c>
      <c r="H502" t="n">
        <v>0</v>
      </c>
      <c r="I502" t="n">
        <v>0</v>
      </c>
      <c r="J502" t="n">
        <v>0</v>
      </c>
      <c r="K502" t="n">
        <v>0</v>
      </c>
      <c r="L502" t="n">
        <v>0</v>
      </c>
      <c r="M502" t="n">
        <v>0</v>
      </c>
      <c r="N502" t="n">
        <v>0</v>
      </c>
      <c r="O502" t="n">
        <v>0</v>
      </c>
      <c r="P502" t="n">
        <v>0</v>
      </c>
      <c r="Q502" t="n">
        <v>0</v>
      </c>
      <c r="R502" s="2" t="inlineStr"/>
    </row>
    <row r="503" ht="15" customHeight="1">
      <c r="A503" t="inlineStr">
        <is>
          <t>A 47533-2025</t>
        </is>
      </c>
      <c r="B503" s="1" t="n">
        <v>45931.34659722223</v>
      </c>
      <c r="C503" s="1" t="n">
        <v>46072</v>
      </c>
      <c r="D503" t="inlineStr">
        <is>
          <t>JÄMTLANDS LÄN</t>
        </is>
      </c>
      <c r="E503" t="inlineStr">
        <is>
          <t>BERG</t>
        </is>
      </c>
      <c r="G503" t="n">
        <v>3.1</v>
      </c>
      <c r="H503" t="n">
        <v>0</v>
      </c>
      <c r="I503" t="n">
        <v>0</v>
      </c>
      <c r="J503" t="n">
        <v>0</v>
      </c>
      <c r="K503" t="n">
        <v>0</v>
      </c>
      <c r="L503" t="n">
        <v>0</v>
      </c>
      <c r="M503" t="n">
        <v>0</v>
      </c>
      <c r="N503" t="n">
        <v>0</v>
      </c>
      <c r="O503" t="n">
        <v>0</v>
      </c>
      <c r="P503" t="n">
        <v>0</v>
      </c>
      <c r="Q503" t="n">
        <v>0</v>
      </c>
      <c r="R503" s="2" t="inlineStr"/>
    </row>
    <row r="504" ht="15" customHeight="1">
      <c r="A504" t="inlineStr">
        <is>
          <t>A 47430-2025</t>
        </is>
      </c>
      <c r="B504" s="1" t="n">
        <v>45930.63619212963</v>
      </c>
      <c r="C504" s="1" t="n">
        <v>46072</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47431-2025</t>
        </is>
      </c>
      <c r="B505" s="1" t="n">
        <v>45930.63626157407</v>
      </c>
      <c r="C505" s="1" t="n">
        <v>46072</v>
      </c>
      <c r="D505" t="inlineStr">
        <is>
          <t>JÄMTLANDS LÄN</t>
        </is>
      </c>
      <c r="E505" t="inlineStr">
        <is>
          <t>BERG</t>
        </is>
      </c>
      <c r="F505" t="inlineStr">
        <is>
          <t>SCA</t>
        </is>
      </c>
      <c r="G505" t="n">
        <v>9.5</v>
      </c>
      <c r="H505" t="n">
        <v>0</v>
      </c>
      <c r="I505" t="n">
        <v>0</v>
      </c>
      <c r="J505" t="n">
        <v>0</v>
      </c>
      <c r="K505" t="n">
        <v>0</v>
      </c>
      <c r="L505" t="n">
        <v>0</v>
      </c>
      <c r="M505" t="n">
        <v>0</v>
      </c>
      <c r="N505" t="n">
        <v>0</v>
      </c>
      <c r="O505" t="n">
        <v>0</v>
      </c>
      <c r="P505" t="n">
        <v>0</v>
      </c>
      <c r="Q505" t="n">
        <v>0</v>
      </c>
      <c r="R505" s="2" t="inlineStr"/>
    </row>
    <row r="506" ht="15" customHeight="1">
      <c r="A506" t="inlineStr">
        <is>
          <t>A 47197-2025</t>
        </is>
      </c>
      <c r="B506" s="1" t="n">
        <v>45930.34533564815</v>
      </c>
      <c r="C506" s="1" t="n">
        <v>46072</v>
      </c>
      <c r="D506" t="inlineStr">
        <is>
          <t>JÄMTLANDS LÄN</t>
        </is>
      </c>
      <c r="E506" t="inlineStr">
        <is>
          <t>BERG</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47434-2025</t>
        </is>
      </c>
      <c r="B507" s="1" t="n">
        <v>45930.63659722222</v>
      </c>
      <c r="C507" s="1" t="n">
        <v>46072</v>
      </c>
      <c r="D507" t="inlineStr">
        <is>
          <t>JÄMTLANDS LÄN</t>
        </is>
      </c>
      <c r="E507" t="inlineStr">
        <is>
          <t>BERG</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47534-2025</t>
        </is>
      </c>
      <c r="B508" s="1" t="n">
        <v>45931.3466550926</v>
      </c>
      <c r="C508" s="1" t="n">
        <v>46072</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48250-2025</t>
        </is>
      </c>
      <c r="B509" s="1" t="n">
        <v>45933.55259259259</v>
      </c>
      <c r="C509" s="1" t="n">
        <v>46072</v>
      </c>
      <c r="D509" t="inlineStr">
        <is>
          <t>JÄMTLANDS LÄN</t>
        </is>
      </c>
      <c r="E509" t="inlineStr">
        <is>
          <t>BERG</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32160-2025</t>
        </is>
      </c>
      <c r="B510" s="1" t="n">
        <v>45835.54142361111</v>
      </c>
      <c r="C510" s="1" t="n">
        <v>46072</v>
      </c>
      <c r="D510" t="inlineStr">
        <is>
          <t>JÄMTLANDS LÄN</t>
        </is>
      </c>
      <c r="E510" t="inlineStr">
        <is>
          <t>BERG</t>
        </is>
      </c>
      <c r="G510" t="n">
        <v>10.3</v>
      </c>
      <c r="H510" t="n">
        <v>0</v>
      </c>
      <c r="I510" t="n">
        <v>0</v>
      </c>
      <c r="J510" t="n">
        <v>0</v>
      </c>
      <c r="K510" t="n">
        <v>0</v>
      </c>
      <c r="L510" t="n">
        <v>0</v>
      </c>
      <c r="M510" t="n">
        <v>0</v>
      </c>
      <c r="N510" t="n">
        <v>0</v>
      </c>
      <c r="O510" t="n">
        <v>0</v>
      </c>
      <c r="P510" t="n">
        <v>0</v>
      </c>
      <c r="Q510" t="n">
        <v>0</v>
      </c>
      <c r="R510" s="2" t="inlineStr"/>
    </row>
    <row r="511" ht="15" customHeight="1">
      <c r="A511" t="inlineStr">
        <is>
          <t>A 10861-2024</t>
        </is>
      </c>
      <c r="B511" s="1" t="n">
        <v>45370.01967592593</v>
      </c>
      <c r="C511" s="1" t="n">
        <v>46072</v>
      </c>
      <c r="D511" t="inlineStr">
        <is>
          <t>JÄMTLANDS LÄN</t>
        </is>
      </c>
      <c r="E511" t="inlineStr">
        <is>
          <t>BERG</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31820-2025</t>
        </is>
      </c>
      <c r="B512" s="1" t="n">
        <v>45834.57930555556</v>
      </c>
      <c r="C512" s="1" t="n">
        <v>46072</v>
      </c>
      <c r="D512" t="inlineStr">
        <is>
          <t>JÄMTLANDS LÄN</t>
        </is>
      </c>
      <c r="E512" t="inlineStr">
        <is>
          <t>BERG</t>
        </is>
      </c>
      <c r="G512" t="n">
        <v>13.9</v>
      </c>
      <c r="H512" t="n">
        <v>0</v>
      </c>
      <c r="I512" t="n">
        <v>0</v>
      </c>
      <c r="J512" t="n">
        <v>0</v>
      </c>
      <c r="K512" t="n">
        <v>0</v>
      </c>
      <c r="L512" t="n">
        <v>0</v>
      </c>
      <c r="M512" t="n">
        <v>0</v>
      </c>
      <c r="N512" t="n">
        <v>0</v>
      </c>
      <c r="O512" t="n">
        <v>0</v>
      </c>
      <c r="P512" t="n">
        <v>0</v>
      </c>
      <c r="Q512" t="n">
        <v>0</v>
      </c>
      <c r="R512" s="2" t="inlineStr"/>
    </row>
    <row r="513" ht="15" customHeight="1">
      <c r="A513" t="inlineStr">
        <is>
          <t>A 58581-2025</t>
        </is>
      </c>
      <c r="B513" s="1" t="n">
        <v>45986.38626157407</v>
      </c>
      <c r="C513" s="1" t="n">
        <v>46072</v>
      </c>
      <c r="D513" t="inlineStr">
        <is>
          <t>JÄMTLANDS LÄN</t>
        </is>
      </c>
      <c r="E513" t="inlineStr">
        <is>
          <t>BERG</t>
        </is>
      </c>
      <c r="G513" t="n">
        <v>6.9</v>
      </c>
      <c r="H513" t="n">
        <v>0</v>
      </c>
      <c r="I513" t="n">
        <v>0</v>
      </c>
      <c r="J513" t="n">
        <v>0</v>
      </c>
      <c r="K513" t="n">
        <v>0</v>
      </c>
      <c r="L513" t="n">
        <v>0</v>
      </c>
      <c r="M513" t="n">
        <v>0</v>
      </c>
      <c r="N513" t="n">
        <v>0</v>
      </c>
      <c r="O513" t="n">
        <v>0</v>
      </c>
      <c r="P513" t="n">
        <v>0</v>
      </c>
      <c r="Q513" t="n">
        <v>0</v>
      </c>
      <c r="R513" s="2" t="inlineStr"/>
    </row>
    <row r="514" ht="15" customHeight="1">
      <c r="A514" t="inlineStr">
        <is>
          <t>A 48168-2025</t>
        </is>
      </c>
      <c r="B514" s="1" t="n">
        <v>45933.43004629629</v>
      </c>
      <c r="C514" s="1" t="n">
        <v>46072</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48508-2025</t>
        </is>
      </c>
      <c r="B515" s="1" t="n">
        <v>45936.3859837963</v>
      </c>
      <c r="C515" s="1" t="n">
        <v>46072</v>
      </c>
      <c r="D515" t="inlineStr">
        <is>
          <t>JÄMTLANDS LÄN</t>
        </is>
      </c>
      <c r="E515" t="inlineStr">
        <is>
          <t>BERG</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21679-2023</t>
        </is>
      </c>
      <c r="B516" s="1" t="n">
        <v>45063.94199074074</v>
      </c>
      <c r="C516" s="1" t="n">
        <v>46072</v>
      </c>
      <c r="D516" t="inlineStr">
        <is>
          <t>JÄMTLANDS LÄN</t>
        </is>
      </c>
      <c r="E516" t="inlineStr">
        <is>
          <t>BERG</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32713-2025</t>
        </is>
      </c>
      <c r="B517" s="1" t="n">
        <v>45839.36935185185</v>
      </c>
      <c r="C517" s="1" t="n">
        <v>46072</v>
      </c>
      <c r="D517" t="inlineStr">
        <is>
          <t>JÄMTLANDS LÄN</t>
        </is>
      </c>
      <c r="E517" t="inlineStr">
        <is>
          <t>BERG</t>
        </is>
      </c>
      <c r="G517" t="n">
        <v>1.5</v>
      </c>
      <c r="H517" t="n">
        <v>0</v>
      </c>
      <c r="I517" t="n">
        <v>0</v>
      </c>
      <c r="J517" t="n">
        <v>0</v>
      </c>
      <c r="K517" t="n">
        <v>0</v>
      </c>
      <c r="L517" t="n">
        <v>0</v>
      </c>
      <c r="M517" t="n">
        <v>0</v>
      </c>
      <c r="N517" t="n">
        <v>0</v>
      </c>
      <c r="O517" t="n">
        <v>0</v>
      </c>
      <c r="P517" t="n">
        <v>0</v>
      </c>
      <c r="Q517" t="n">
        <v>0</v>
      </c>
      <c r="R517" s="2" t="inlineStr"/>
    </row>
    <row r="518" ht="15" customHeight="1">
      <c r="A518" t="inlineStr">
        <is>
          <t>A 28403-2025</t>
        </is>
      </c>
      <c r="B518" s="1" t="n">
        <v>45819</v>
      </c>
      <c r="C518" s="1" t="n">
        <v>46072</v>
      </c>
      <c r="D518" t="inlineStr">
        <is>
          <t>JÄMTLANDS LÄN</t>
        </is>
      </c>
      <c r="E518" t="inlineStr">
        <is>
          <t>BERG</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48511-2025</t>
        </is>
      </c>
      <c r="B519" s="1" t="n">
        <v>45936.3865162037</v>
      </c>
      <c r="C519" s="1" t="n">
        <v>46072</v>
      </c>
      <c r="D519" t="inlineStr">
        <is>
          <t>JÄMTLANDS LÄN</t>
        </is>
      </c>
      <c r="E519" t="inlineStr">
        <is>
          <t>BERG</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48704-2025</t>
        </is>
      </c>
      <c r="B520" s="1" t="n">
        <v>45936.6222337963</v>
      </c>
      <c r="C520" s="1" t="n">
        <v>46072</v>
      </c>
      <c r="D520" t="inlineStr">
        <is>
          <t>JÄMTLANDS LÄN</t>
        </is>
      </c>
      <c r="E520" t="inlineStr">
        <is>
          <t>BERG</t>
        </is>
      </c>
      <c r="G520" t="n">
        <v>2.7</v>
      </c>
      <c r="H520" t="n">
        <v>0</v>
      </c>
      <c r="I520" t="n">
        <v>0</v>
      </c>
      <c r="J520" t="n">
        <v>0</v>
      </c>
      <c r="K520" t="n">
        <v>0</v>
      </c>
      <c r="L520" t="n">
        <v>0</v>
      </c>
      <c r="M520" t="n">
        <v>0</v>
      </c>
      <c r="N520" t="n">
        <v>0</v>
      </c>
      <c r="O520" t="n">
        <v>0</v>
      </c>
      <c r="P520" t="n">
        <v>0</v>
      </c>
      <c r="Q520" t="n">
        <v>0</v>
      </c>
      <c r="R520" s="2" t="inlineStr"/>
    </row>
    <row r="521" ht="15" customHeight="1">
      <c r="A521" t="inlineStr">
        <is>
          <t>A 22947-2022</t>
        </is>
      </c>
      <c r="B521" s="1" t="n">
        <v>44715.92443287037</v>
      </c>
      <c r="C521" s="1" t="n">
        <v>46072</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20268-2024</t>
        </is>
      </c>
      <c r="B522" s="1" t="n">
        <v>45434.94887731481</v>
      </c>
      <c r="C522" s="1" t="n">
        <v>46072</v>
      </c>
      <c r="D522" t="inlineStr">
        <is>
          <t>JÄMTLANDS LÄN</t>
        </is>
      </c>
      <c r="E522" t="inlineStr">
        <is>
          <t>BERG</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32919-2025</t>
        </is>
      </c>
      <c r="B523" s="1" t="n">
        <v>45839.64721064815</v>
      </c>
      <c r="C523" s="1" t="n">
        <v>46072</v>
      </c>
      <c r="D523" t="inlineStr">
        <is>
          <t>JÄMTLANDS LÄN</t>
        </is>
      </c>
      <c r="E523" t="inlineStr">
        <is>
          <t>BERG</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59010-2025</t>
        </is>
      </c>
      <c r="B524" s="1" t="n">
        <v>45987</v>
      </c>
      <c r="C524" s="1" t="n">
        <v>46072</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12342-2023</t>
        </is>
      </c>
      <c r="B525" s="1" t="n">
        <v>44998</v>
      </c>
      <c r="C525" s="1" t="n">
        <v>46072</v>
      </c>
      <c r="D525" t="inlineStr">
        <is>
          <t>JÄMTLANDS LÄN</t>
        </is>
      </c>
      <c r="E525" t="inlineStr">
        <is>
          <t>BERG</t>
        </is>
      </c>
      <c r="G525" t="n">
        <v>11</v>
      </c>
      <c r="H525" t="n">
        <v>0</v>
      </c>
      <c r="I525" t="n">
        <v>0</v>
      </c>
      <c r="J525" t="n">
        <v>0</v>
      </c>
      <c r="K525" t="n">
        <v>0</v>
      </c>
      <c r="L525" t="n">
        <v>0</v>
      </c>
      <c r="M525" t="n">
        <v>0</v>
      </c>
      <c r="N525" t="n">
        <v>0</v>
      </c>
      <c r="O525" t="n">
        <v>0</v>
      </c>
      <c r="P525" t="n">
        <v>0</v>
      </c>
      <c r="Q525" t="n">
        <v>0</v>
      </c>
      <c r="R525" s="2" t="inlineStr"/>
    </row>
    <row r="526" ht="15" customHeight="1">
      <c r="A526" t="inlineStr">
        <is>
          <t>A 48865-2025</t>
        </is>
      </c>
      <c r="B526" s="1" t="n">
        <v>45937.44760416666</v>
      </c>
      <c r="C526" s="1" t="n">
        <v>46072</v>
      </c>
      <c r="D526" t="inlineStr">
        <is>
          <t>JÄMTLANDS LÄN</t>
        </is>
      </c>
      <c r="E526" t="inlineStr">
        <is>
          <t>BERG</t>
        </is>
      </c>
      <c r="G526" t="n">
        <v>5.8</v>
      </c>
      <c r="H526" t="n">
        <v>0</v>
      </c>
      <c r="I526" t="n">
        <v>0</v>
      </c>
      <c r="J526" t="n">
        <v>0</v>
      </c>
      <c r="K526" t="n">
        <v>0</v>
      </c>
      <c r="L526" t="n">
        <v>0</v>
      </c>
      <c r="M526" t="n">
        <v>0</v>
      </c>
      <c r="N526" t="n">
        <v>0</v>
      </c>
      <c r="O526" t="n">
        <v>0</v>
      </c>
      <c r="P526" t="n">
        <v>0</v>
      </c>
      <c r="Q526" t="n">
        <v>0</v>
      </c>
      <c r="R526" s="2" t="inlineStr"/>
    </row>
    <row r="527" ht="15" customHeight="1">
      <c r="A527" t="inlineStr">
        <is>
          <t>A 48968-2025</t>
        </is>
      </c>
      <c r="B527" s="1" t="n">
        <v>45937.56285879629</v>
      </c>
      <c r="C527" s="1" t="n">
        <v>46072</v>
      </c>
      <c r="D527" t="inlineStr">
        <is>
          <t>JÄMTLANDS LÄN</t>
        </is>
      </c>
      <c r="E527" t="inlineStr">
        <is>
          <t>BERG</t>
        </is>
      </c>
      <c r="G527" t="n">
        <v>20</v>
      </c>
      <c r="H527" t="n">
        <v>0</v>
      </c>
      <c r="I527" t="n">
        <v>0</v>
      </c>
      <c r="J527" t="n">
        <v>0</v>
      </c>
      <c r="K527" t="n">
        <v>0</v>
      </c>
      <c r="L527" t="n">
        <v>0</v>
      </c>
      <c r="M527" t="n">
        <v>0</v>
      </c>
      <c r="N527" t="n">
        <v>0</v>
      </c>
      <c r="O527" t="n">
        <v>0</v>
      </c>
      <c r="P527" t="n">
        <v>0</v>
      </c>
      <c r="Q527" t="n">
        <v>0</v>
      </c>
      <c r="R527" s="2" t="inlineStr"/>
    </row>
    <row r="528" ht="15" customHeight="1">
      <c r="A528" t="inlineStr">
        <is>
          <t>A 48770-2025</t>
        </is>
      </c>
      <c r="B528" s="1" t="n">
        <v>45936.91108796297</v>
      </c>
      <c r="C528" s="1" t="n">
        <v>46072</v>
      </c>
      <c r="D528" t="inlineStr">
        <is>
          <t>JÄMTLANDS LÄN</t>
        </is>
      </c>
      <c r="E528" t="inlineStr">
        <is>
          <t>BERG</t>
        </is>
      </c>
      <c r="G528" t="n">
        <v>1.7</v>
      </c>
      <c r="H528" t="n">
        <v>0</v>
      </c>
      <c r="I528" t="n">
        <v>0</v>
      </c>
      <c r="J528" t="n">
        <v>0</v>
      </c>
      <c r="K528" t="n">
        <v>0</v>
      </c>
      <c r="L528" t="n">
        <v>0</v>
      </c>
      <c r="M528" t="n">
        <v>0</v>
      </c>
      <c r="N528" t="n">
        <v>0</v>
      </c>
      <c r="O528" t="n">
        <v>0</v>
      </c>
      <c r="P528" t="n">
        <v>0</v>
      </c>
      <c r="Q528" t="n">
        <v>0</v>
      </c>
      <c r="R528" s="2" t="inlineStr"/>
    </row>
    <row r="529" ht="15" customHeight="1">
      <c r="A529" t="inlineStr">
        <is>
          <t>A 49391-2025</t>
        </is>
      </c>
      <c r="B529" s="1" t="n">
        <v>45938.65011574074</v>
      </c>
      <c r="C529" s="1" t="n">
        <v>46072</v>
      </c>
      <c r="D529" t="inlineStr">
        <is>
          <t>JÄMTLANDS LÄN</t>
        </is>
      </c>
      <c r="E529" t="inlineStr">
        <is>
          <t>BERG</t>
        </is>
      </c>
      <c r="G529" t="n">
        <v>3.7</v>
      </c>
      <c r="H529" t="n">
        <v>0</v>
      </c>
      <c r="I529" t="n">
        <v>0</v>
      </c>
      <c r="J529" t="n">
        <v>0</v>
      </c>
      <c r="K529" t="n">
        <v>0</v>
      </c>
      <c r="L529" t="n">
        <v>0</v>
      </c>
      <c r="M529" t="n">
        <v>0</v>
      </c>
      <c r="N529" t="n">
        <v>0</v>
      </c>
      <c r="O529" t="n">
        <v>0</v>
      </c>
      <c r="P529" t="n">
        <v>0</v>
      </c>
      <c r="Q529" t="n">
        <v>0</v>
      </c>
      <c r="R529" s="2" t="inlineStr"/>
    </row>
    <row r="530" ht="15" customHeight="1">
      <c r="A530" t="inlineStr">
        <is>
          <t>A 31155-2024</t>
        </is>
      </c>
      <c r="B530" s="1" t="n">
        <v>45503</v>
      </c>
      <c r="C530" s="1" t="n">
        <v>46072</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49041-2025</t>
        </is>
      </c>
      <c r="B531" s="1" t="n">
        <v>45937.63592592593</v>
      </c>
      <c r="C531" s="1" t="n">
        <v>46072</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33054-2025</t>
        </is>
      </c>
      <c r="B532" s="1" t="n">
        <v>45840.42746527777</v>
      </c>
      <c r="C532" s="1" t="n">
        <v>46072</v>
      </c>
      <c r="D532" t="inlineStr">
        <is>
          <t>JÄMTLANDS LÄN</t>
        </is>
      </c>
      <c r="E532" t="inlineStr">
        <is>
          <t>BERG</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51172-2024</t>
        </is>
      </c>
      <c r="B533" s="1" t="n">
        <v>45603.59056712963</v>
      </c>
      <c r="C533" s="1" t="n">
        <v>46072</v>
      </c>
      <c r="D533" t="inlineStr">
        <is>
          <t>JÄMTLANDS LÄN</t>
        </is>
      </c>
      <c r="E533" t="inlineStr">
        <is>
          <t>BERG</t>
        </is>
      </c>
      <c r="G533" t="n">
        <v>12.2</v>
      </c>
      <c r="H533" t="n">
        <v>0</v>
      </c>
      <c r="I533" t="n">
        <v>0</v>
      </c>
      <c r="J533" t="n">
        <v>0</v>
      </c>
      <c r="K533" t="n">
        <v>0</v>
      </c>
      <c r="L533" t="n">
        <v>0</v>
      </c>
      <c r="M533" t="n">
        <v>0</v>
      </c>
      <c r="N533" t="n">
        <v>0</v>
      </c>
      <c r="O533" t="n">
        <v>0</v>
      </c>
      <c r="P533" t="n">
        <v>0</v>
      </c>
      <c r="Q533" t="n">
        <v>0</v>
      </c>
      <c r="R533" s="2" t="inlineStr"/>
    </row>
    <row r="534" ht="15" customHeight="1">
      <c r="A534" t="inlineStr">
        <is>
          <t>A 58861-2025</t>
        </is>
      </c>
      <c r="B534" s="1" t="n">
        <v>45987.42820601852</v>
      </c>
      <c r="C534" s="1" t="n">
        <v>46072</v>
      </c>
      <c r="D534" t="inlineStr">
        <is>
          <t>JÄMTLANDS LÄN</t>
        </is>
      </c>
      <c r="E534" t="inlineStr">
        <is>
          <t>BERG</t>
        </is>
      </c>
      <c r="G534" t="n">
        <v>29.3</v>
      </c>
      <c r="H534" t="n">
        <v>0</v>
      </c>
      <c r="I534" t="n">
        <v>0</v>
      </c>
      <c r="J534" t="n">
        <v>0</v>
      </c>
      <c r="K534" t="n">
        <v>0</v>
      </c>
      <c r="L534" t="n">
        <v>0</v>
      </c>
      <c r="M534" t="n">
        <v>0</v>
      </c>
      <c r="N534" t="n">
        <v>0</v>
      </c>
      <c r="O534" t="n">
        <v>0</v>
      </c>
      <c r="P534" t="n">
        <v>0</v>
      </c>
      <c r="Q534" t="n">
        <v>0</v>
      </c>
      <c r="R534" s="2" t="inlineStr"/>
    </row>
    <row r="535" ht="15" customHeight="1">
      <c r="A535" t="inlineStr">
        <is>
          <t>A 49573-2025</t>
        </is>
      </c>
      <c r="B535" s="1" t="n">
        <v>45939.49037037037</v>
      </c>
      <c r="C535" s="1" t="n">
        <v>46072</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65210-2023</t>
        </is>
      </c>
      <c r="B536" s="1" t="n">
        <v>45289</v>
      </c>
      <c r="C536" s="1" t="n">
        <v>46072</v>
      </c>
      <c r="D536" t="inlineStr">
        <is>
          <t>JÄMTLANDS LÄN</t>
        </is>
      </c>
      <c r="E536" t="inlineStr">
        <is>
          <t>BERG</t>
        </is>
      </c>
      <c r="G536" t="n">
        <v>0.4</v>
      </c>
      <c r="H536" t="n">
        <v>0</v>
      </c>
      <c r="I536" t="n">
        <v>0</v>
      </c>
      <c r="J536" t="n">
        <v>0</v>
      </c>
      <c r="K536" t="n">
        <v>0</v>
      </c>
      <c r="L536" t="n">
        <v>0</v>
      </c>
      <c r="M536" t="n">
        <v>0</v>
      </c>
      <c r="N536" t="n">
        <v>0</v>
      </c>
      <c r="O536" t="n">
        <v>0</v>
      </c>
      <c r="P536" t="n">
        <v>0</v>
      </c>
      <c r="Q536" t="n">
        <v>0</v>
      </c>
      <c r="R536" s="2" t="inlineStr"/>
    </row>
    <row r="537" ht="15" customHeight="1">
      <c r="A537" t="inlineStr">
        <is>
          <t>A 49349-2025</t>
        </is>
      </c>
      <c r="B537" s="1" t="n">
        <v>45938.61060185185</v>
      </c>
      <c r="C537" s="1" t="n">
        <v>46072</v>
      </c>
      <c r="D537" t="inlineStr">
        <is>
          <t>JÄMTLANDS LÄN</t>
        </is>
      </c>
      <c r="E537" t="inlineStr">
        <is>
          <t>BERG</t>
        </is>
      </c>
      <c r="G537" t="n">
        <v>2.5</v>
      </c>
      <c r="H537" t="n">
        <v>0</v>
      </c>
      <c r="I537" t="n">
        <v>0</v>
      </c>
      <c r="J537" t="n">
        <v>0</v>
      </c>
      <c r="K537" t="n">
        <v>0</v>
      </c>
      <c r="L537" t="n">
        <v>0</v>
      </c>
      <c r="M537" t="n">
        <v>0</v>
      </c>
      <c r="N537" t="n">
        <v>0</v>
      </c>
      <c r="O537" t="n">
        <v>0</v>
      </c>
      <c r="P537" t="n">
        <v>0</v>
      </c>
      <c r="Q537" t="n">
        <v>0</v>
      </c>
      <c r="R537" s="2" t="inlineStr"/>
    </row>
    <row r="538" ht="15" customHeight="1">
      <c r="A538" t="inlineStr">
        <is>
          <t>A 33750-2025</t>
        </is>
      </c>
      <c r="B538" s="1" t="n">
        <v>45842.36243055556</v>
      </c>
      <c r="C538" s="1" t="n">
        <v>46072</v>
      </c>
      <c r="D538" t="inlineStr">
        <is>
          <t>JÄMTLANDS LÄN</t>
        </is>
      </c>
      <c r="E538" t="inlineStr">
        <is>
          <t>BERG</t>
        </is>
      </c>
      <c r="G538" t="n">
        <v>0.9</v>
      </c>
      <c r="H538" t="n">
        <v>0</v>
      </c>
      <c r="I538" t="n">
        <v>0</v>
      </c>
      <c r="J538" t="n">
        <v>0</v>
      </c>
      <c r="K538" t="n">
        <v>0</v>
      </c>
      <c r="L538" t="n">
        <v>0</v>
      </c>
      <c r="M538" t="n">
        <v>0</v>
      </c>
      <c r="N538" t="n">
        <v>0</v>
      </c>
      <c r="O538" t="n">
        <v>0</v>
      </c>
      <c r="P538" t="n">
        <v>0</v>
      </c>
      <c r="Q538" t="n">
        <v>0</v>
      </c>
      <c r="R538" s="2" t="inlineStr"/>
    </row>
    <row r="539" ht="15" customHeight="1">
      <c r="A539" t="inlineStr">
        <is>
          <t>A 49604-2025</t>
        </is>
      </c>
      <c r="B539" s="1" t="n">
        <v>45939.55241898148</v>
      </c>
      <c r="C539" s="1" t="n">
        <v>46072</v>
      </c>
      <c r="D539" t="inlineStr">
        <is>
          <t>JÄMTLANDS LÄN</t>
        </is>
      </c>
      <c r="E539" t="inlineStr">
        <is>
          <t>BERG</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49918-2025</t>
        </is>
      </c>
      <c r="B540" s="1" t="n">
        <v>45940.6290625</v>
      </c>
      <c r="C540" s="1" t="n">
        <v>46072</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33748-2025</t>
        </is>
      </c>
      <c r="B541" s="1" t="n">
        <v>45842.35685185185</v>
      </c>
      <c r="C541" s="1" t="n">
        <v>46072</v>
      </c>
      <c r="D541" t="inlineStr">
        <is>
          <t>JÄMTLANDS LÄN</t>
        </is>
      </c>
      <c r="E541" t="inlineStr">
        <is>
          <t>BERG</t>
        </is>
      </c>
      <c r="G541" t="n">
        <v>2.1</v>
      </c>
      <c r="H541" t="n">
        <v>0</v>
      </c>
      <c r="I541" t="n">
        <v>0</v>
      </c>
      <c r="J541" t="n">
        <v>0</v>
      </c>
      <c r="K541" t="n">
        <v>0</v>
      </c>
      <c r="L541" t="n">
        <v>0</v>
      </c>
      <c r="M541" t="n">
        <v>0</v>
      </c>
      <c r="N541" t="n">
        <v>0</v>
      </c>
      <c r="O541" t="n">
        <v>0</v>
      </c>
      <c r="P541" t="n">
        <v>0</v>
      </c>
      <c r="Q541" t="n">
        <v>0</v>
      </c>
      <c r="R541" s="2" t="inlineStr"/>
    </row>
    <row r="542" ht="15" customHeight="1">
      <c r="A542" t="inlineStr">
        <is>
          <t>A 12392-2025</t>
        </is>
      </c>
      <c r="B542" s="1" t="n">
        <v>45730.40104166666</v>
      </c>
      <c r="C542" s="1" t="n">
        <v>46072</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50024-2025</t>
        </is>
      </c>
      <c r="B543" s="1" t="n">
        <v>45943.37563657408</v>
      </c>
      <c r="C543" s="1" t="n">
        <v>46072</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50094-2025</t>
        </is>
      </c>
      <c r="B544" s="1" t="n">
        <v>45943.49340277778</v>
      </c>
      <c r="C544" s="1" t="n">
        <v>46072</v>
      </c>
      <c r="D544" t="inlineStr">
        <is>
          <t>JÄMTLANDS LÄN</t>
        </is>
      </c>
      <c r="E544" t="inlineStr">
        <is>
          <t>BERG</t>
        </is>
      </c>
      <c r="G544" t="n">
        <v>3</v>
      </c>
      <c r="H544" t="n">
        <v>0</v>
      </c>
      <c r="I544" t="n">
        <v>0</v>
      </c>
      <c r="J544" t="n">
        <v>0</v>
      </c>
      <c r="K544" t="n">
        <v>0</v>
      </c>
      <c r="L544" t="n">
        <v>0</v>
      </c>
      <c r="M544" t="n">
        <v>0</v>
      </c>
      <c r="N544" t="n">
        <v>0</v>
      </c>
      <c r="O544" t="n">
        <v>0</v>
      </c>
      <c r="P544" t="n">
        <v>0</v>
      </c>
      <c r="Q544" t="n">
        <v>0</v>
      </c>
      <c r="R544" s="2" t="inlineStr"/>
    </row>
    <row r="545" ht="15" customHeight="1">
      <c r="A545" t="inlineStr">
        <is>
          <t>A 34030-2025</t>
        </is>
      </c>
      <c r="B545" s="1" t="n">
        <v>45845.3633912037</v>
      </c>
      <c r="C545" s="1" t="n">
        <v>46072</v>
      </c>
      <c r="D545" t="inlineStr">
        <is>
          <t>JÄMTLANDS LÄN</t>
        </is>
      </c>
      <c r="E545" t="inlineStr">
        <is>
          <t>BERG</t>
        </is>
      </c>
      <c r="G545" t="n">
        <v>13.5</v>
      </c>
      <c r="H545" t="n">
        <v>0</v>
      </c>
      <c r="I545" t="n">
        <v>0</v>
      </c>
      <c r="J545" t="n">
        <v>0</v>
      </c>
      <c r="K545" t="n">
        <v>0</v>
      </c>
      <c r="L545" t="n">
        <v>0</v>
      </c>
      <c r="M545" t="n">
        <v>0</v>
      </c>
      <c r="N545" t="n">
        <v>0</v>
      </c>
      <c r="O545" t="n">
        <v>0</v>
      </c>
      <c r="P545" t="n">
        <v>0</v>
      </c>
      <c r="Q545" t="n">
        <v>0</v>
      </c>
      <c r="R545" s="2" t="inlineStr"/>
    </row>
    <row r="546" ht="15" customHeight="1">
      <c r="A546" t="inlineStr">
        <is>
          <t>A 33753-2025</t>
        </is>
      </c>
      <c r="B546" s="1" t="n">
        <v>45842.37199074074</v>
      </c>
      <c r="C546" s="1" t="n">
        <v>46072</v>
      </c>
      <c r="D546" t="inlineStr">
        <is>
          <t>JÄMTLANDS LÄN</t>
        </is>
      </c>
      <c r="E546" t="inlineStr">
        <is>
          <t>BERG</t>
        </is>
      </c>
      <c r="G546" t="n">
        <v>1</v>
      </c>
      <c r="H546" t="n">
        <v>0</v>
      </c>
      <c r="I546" t="n">
        <v>0</v>
      </c>
      <c r="J546" t="n">
        <v>0</v>
      </c>
      <c r="K546" t="n">
        <v>0</v>
      </c>
      <c r="L546" t="n">
        <v>0</v>
      </c>
      <c r="M546" t="n">
        <v>0</v>
      </c>
      <c r="N546" t="n">
        <v>0</v>
      </c>
      <c r="O546" t="n">
        <v>0</v>
      </c>
      <c r="P546" t="n">
        <v>0</v>
      </c>
      <c r="Q546" t="n">
        <v>0</v>
      </c>
      <c r="R546" s="2" t="inlineStr"/>
    </row>
    <row r="547" ht="15" customHeight="1">
      <c r="A547" t="inlineStr">
        <is>
          <t>A 64251-2023</t>
        </is>
      </c>
      <c r="B547" s="1" t="n">
        <v>45279.92756944444</v>
      </c>
      <c r="C547" s="1" t="n">
        <v>46072</v>
      </c>
      <c r="D547" t="inlineStr">
        <is>
          <t>JÄMTLANDS LÄN</t>
        </is>
      </c>
      <c r="E547" t="inlineStr">
        <is>
          <t>BERG</t>
        </is>
      </c>
      <c r="G547" t="n">
        <v>0.4</v>
      </c>
      <c r="H547" t="n">
        <v>0</v>
      </c>
      <c r="I547" t="n">
        <v>0</v>
      </c>
      <c r="J547" t="n">
        <v>0</v>
      </c>
      <c r="K547" t="n">
        <v>0</v>
      </c>
      <c r="L547" t="n">
        <v>0</v>
      </c>
      <c r="M547" t="n">
        <v>0</v>
      </c>
      <c r="N547" t="n">
        <v>0</v>
      </c>
      <c r="O547" t="n">
        <v>0</v>
      </c>
      <c r="P547" t="n">
        <v>0</v>
      </c>
      <c r="Q547" t="n">
        <v>0</v>
      </c>
      <c r="R547" s="2" t="inlineStr"/>
    </row>
    <row r="548" ht="15" customHeight="1">
      <c r="A548" t="inlineStr">
        <is>
          <t>A 34036-2025</t>
        </is>
      </c>
      <c r="B548" s="1" t="n">
        <v>45845.36954861111</v>
      </c>
      <c r="C548" s="1" t="n">
        <v>46072</v>
      </c>
      <c r="D548" t="inlineStr">
        <is>
          <t>JÄMTLANDS LÄN</t>
        </is>
      </c>
      <c r="E548" t="inlineStr">
        <is>
          <t>BERG</t>
        </is>
      </c>
      <c r="G548" t="n">
        <v>4.8</v>
      </c>
      <c r="H548" t="n">
        <v>0</v>
      </c>
      <c r="I548" t="n">
        <v>0</v>
      </c>
      <c r="J548" t="n">
        <v>0</v>
      </c>
      <c r="K548" t="n">
        <v>0</v>
      </c>
      <c r="L548" t="n">
        <v>0</v>
      </c>
      <c r="M548" t="n">
        <v>0</v>
      </c>
      <c r="N548" t="n">
        <v>0</v>
      </c>
      <c r="O548" t="n">
        <v>0</v>
      </c>
      <c r="P548" t="n">
        <v>0</v>
      </c>
      <c r="Q548" t="n">
        <v>0</v>
      </c>
      <c r="R548" s="2" t="inlineStr"/>
    </row>
    <row r="549" ht="15" customHeight="1">
      <c r="A549" t="inlineStr">
        <is>
          <t>A 33481-2023</t>
        </is>
      </c>
      <c r="B549" s="1" t="n">
        <v>45131</v>
      </c>
      <c r="C549" s="1" t="n">
        <v>46072</v>
      </c>
      <c r="D549" t="inlineStr">
        <is>
          <t>JÄMTLANDS LÄN</t>
        </is>
      </c>
      <c r="E549" t="inlineStr">
        <is>
          <t>BERG</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50020-2025</t>
        </is>
      </c>
      <c r="B550" s="1" t="n">
        <v>45943.36899305556</v>
      </c>
      <c r="C550" s="1" t="n">
        <v>46072</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50231-2025</t>
        </is>
      </c>
      <c r="B551" s="1" t="n">
        <v>45943.70643518519</v>
      </c>
      <c r="C551" s="1" t="n">
        <v>46072</v>
      </c>
      <c r="D551" t="inlineStr">
        <is>
          <t>JÄMTLANDS LÄN</t>
        </is>
      </c>
      <c r="E551" t="inlineStr">
        <is>
          <t>BERG</t>
        </is>
      </c>
      <c r="G551" t="n">
        <v>4.6</v>
      </c>
      <c r="H551" t="n">
        <v>0</v>
      </c>
      <c r="I551" t="n">
        <v>0</v>
      </c>
      <c r="J551" t="n">
        <v>0</v>
      </c>
      <c r="K551" t="n">
        <v>0</v>
      </c>
      <c r="L551" t="n">
        <v>0</v>
      </c>
      <c r="M551" t="n">
        <v>0</v>
      </c>
      <c r="N551" t="n">
        <v>0</v>
      </c>
      <c r="O551" t="n">
        <v>0</v>
      </c>
      <c r="P551" t="n">
        <v>0</v>
      </c>
      <c r="Q551" t="n">
        <v>0</v>
      </c>
      <c r="R551" s="2" t="inlineStr"/>
    </row>
    <row r="552" ht="15" customHeight="1">
      <c r="A552" t="inlineStr">
        <is>
          <t>A 50233-2025</t>
        </is>
      </c>
      <c r="B552" s="1" t="n">
        <v>45943.71228009259</v>
      </c>
      <c r="C552" s="1" t="n">
        <v>46072</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50227-2025</t>
        </is>
      </c>
      <c r="B553" s="1" t="n">
        <v>45943.69686342592</v>
      </c>
      <c r="C553" s="1" t="n">
        <v>46072</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50230-2025</t>
        </is>
      </c>
      <c r="B554" s="1" t="n">
        <v>45943.70216435185</v>
      </c>
      <c r="C554" s="1" t="n">
        <v>46072</v>
      </c>
      <c r="D554" t="inlineStr">
        <is>
          <t>JÄMTLANDS LÄN</t>
        </is>
      </c>
      <c r="E554" t="inlineStr">
        <is>
          <t>BERG</t>
        </is>
      </c>
      <c r="G554" t="n">
        <v>6.3</v>
      </c>
      <c r="H554" t="n">
        <v>0</v>
      </c>
      <c r="I554" t="n">
        <v>0</v>
      </c>
      <c r="J554" t="n">
        <v>0</v>
      </c>
      <c r="K554" t="n">
        <v>0</v>
      </c>
      <c r="L554" t="n">
        <v>0</v>
      </c>
      <c r="M554" t="n">
        <v>0</v>
      </c>
      <c r="N554" t="n">
        <v>0</v>
      </c>
      <c r="O554" t="n">
        <v>0</v>
      </c>
      <c r="P554" t="n">
        <v>0</v>
      </c>
      <c r="Q554" t="n">
        <v>0</v>
      </c>
      <c r="R554" s="2" t="inlineStr"/>
    </row>
    <row r="555" ht="15" customHeight="1">
      <c r="A555" t="inlineStr">
        <is>
          <t>A 50435-2025</t>
        </is>
      </c>
      <c r="B555" s="1" t="n">
        <v>45944.6984837963</v>
      </c>
      <c r="C555" s="1" t="n">
        <v>46072</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50273-2025</t>
        </is>
      </c>
      <c r="B556" s="1" t="n">
        <v>45944.36600694444</v>
      </c>
      <c r="C556" s="1" t="n">
        <v>46072</v>
      </c>
      <c r="D556" t="inlineStr">
        <is>
          <t>JÄMTLANDS LÄN</t>
        </is>
      </c>
      <c r="E556" t="inlineStr">
        <is>
          <t>BERG</t>
        </is>
      </c>
      <c r="G556" t="n">
        <v>5.7</v>
      </c>
      <c r="H556" t="n">
        <v>0</v>
      </c>
      <c r="I556" t="n">
        <v>0</v>
      </c>
      <c r="J556" t="n">
        <v>0</v>
      </c>
      <c r="K556" t="n">
        <v>0</v>
      </c>
      <c r="L556" t="n">
        <v>0</v>
      </c>
      <c r="M556" t="n">
        <v>0</v>
      </c>
      <c r="N556" t="n">
        <v>0</v>
      </c>
      <c r="O556" t="n">
        <v>0</v>
      </c>
      <c r="P556" t="n">
        <v>0</v>
      </c>
      <c r="Q556" t="n">
        <v>0</v>
      </c>
      <c r="R556" s="2" t="inlineStr"/>
    </row>
    <row r="557" ht="15" customHeight="1">
      <c r="A557" t="inlineStr">
        <is>
          <t>A 50408-2025</t>
        </is>
      </c>
      <c r="B557" s="1" t="n">
        <v>45944.64006944445</v>
      </c>
      <c r="C557" s="1" t="n">
        <v>46072</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46072</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46072</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46072</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46072</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8711-2024</t>
        </is>
      </c>
      <c r="B562" s="1" t="n">
        <v>45356</v>
      </c>
      <c r="C562" s="1" t="n">
        <v>46072</v>
      </c>
      <c r="D562" t="inlineStr">
        <is>
          <t>JÄMTLANDS LÄN</t>
        </is>
      </c>
      <c r="E562" t="inlineStr">
        <is>
          <t>BERG</t>
        </is>
      </c>
      <c r="G562" t="n">
        <v>5.2</v>
      </c>
      <c r="H562" t="n">
        <v>0</v>
      </c>
      <c r="I562" t="n">
        <v>0</v>
      </c>
      <c r="J562" t="n">
        <v>0</v>
      </c>
      <c r="K562" t="n">
        <v>0</v>
      </c>
      <c r="L562" t="n">
        <v>0</v>
      </c>
      <c r="M562" t="n">
        <v>0</v>
      </c>
      <c r="N562" t="n">
        <v>0</v>
      </c>
      <c r="O562" t="n">
        <v>0</v>
      </c>
      <c r="P562" t="n">
        <v>0</v>
      </c>
      <c r="Q562" t="n">
        <v>0</v>
      </c>
      <c r="R562" s="2" t="inlineStr"/>
    </row>
    <row r="563" ht="15" customHeight="1">
      <c r="A563" t="inlineStr">
        <is>
          <t>A 14198-2023</t>
        </is>
      </c>
      <c r="B563" s="1" t="n">
        <v>45009.57518518518</v>
      </c>
      <c r="C563" s="1" t="n">
        <v>46072</v>
      </c>
      <c r="D563" t="inlineStr">
        <is>
          <t>JÄMTLANDS LÄN</t>
        </is>
      </c>
      <c r="E563" t="inlineStr">
        <is>
          <t>BERG</t>
        </is>
      </c>
      <c r="G563" t="n">
        <v>2.3</v>
      </c>
      <c r="H563" t="n">
        <v>0</v>
      </c>
      <c r="I563" t="n">
        <v>0</v>
      </c>
      <c r="J563" t="n">
        <v>0</v>
      </c>
      <c r="K563" t="n">
        <v>0</v>
      </c>
      <c r="L563" t="n">
        <v>0</v>
      </c>
      <c r="M563" t="n">
        <v>0</v>
      </c>
      <c r="N563" t="n">
        <v>0</v>
      </c>
      <c r="O563" t="n">
        <v>0</v>
      </c>
      <c r="P563" t="n">
        <v>0</v>
      </c>
      <c r="Q563" t="n">
        <v>0</v>
      </c>
      <c r="R563" s="2" t="inlineStr"/>
    </row>
    <row r="564" ht="15" customHeight="1">
      <c r="A564" t="inlineStr">
        <is>
          <t>A 34892-2025</t>
        </is>
      </c>
      <c r="B564" s="1" t="n">
        <v>45849.49047453704</v>
      </c>
      <c r="C564" s="1" t="n">
        <v>46072</v>
      </c>
      <c r="D564" t="inlineStr">
        <is>
          <t>JÄMTLANDS LÄN</t>
        </is>
      </c>
      <c r="E564" t="inlineStr">
        <is>
          <t>BERG</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1596-2024</t>
        </is>
      </c>
      <c r="B565" s="1" t="n">
        <v>45306</v>
      </c>
      <c r="C565" s="1" t="n">
        <v>46072</v>
      </c>
      <c r="D565" t="inlineStr">
        <is>
          <t>JÄMTLANDS LÄN</t>
        </is>
      </c>
      <c r="E565" t="inlineStr">
        <is>
          <t>BERG</t>
        </is>
      </c>
      <c r="G565" t="n">
        <v>0.8</v>
      </c>
      <c r="H565" t="n">
        <v>0</v>
      </c>
      <c r="I565" t="n">
        <v>0</v>
      </c>
      <c r="J565" t="n">
        <v>0</v>
      </c>
      <c r="K565" t="n">
        <v>0</v>
      </c>
      <c r="L565" t="n">
        <v>0</v>
      </c>
      <c r="M565" t="n">
        <v>0</v>
      </c>
      <c r="N565" t="n">
        <v>0</v>
      </c>
      <c r="O565" t="n">
        <v>0</v>
      </c>
      <c r="P565" t="n">
        <v>0</v>
      </c>
      <c r="Q565" t="n">
        <v>0</v>
      </c>
      <c r="R565" s="2" t="inlineStr"/>
    </row>
    <row r="566" ht="15" customHeight="1">
      <c r="A566" t="inlineStr">
        <is>
          <t>A 51203-2025</t>
        </is>
      </c>
      <c r="B566" s="1" t="n">
        <v>45947.63592592593</v>
      </c>
      <c r="C566" s="1" t="n">
        <v>46072</v>
      </c>
      <c r="D566" t="inlineStr">
        <is>
          <t>JÄMTLANDS LÄN</t>
        </is>
      </c>
      <c r="E566" t="inlineStr">
        <is>
          <t>BERG</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1520-2022</t>
        </is>
      </c>
      <c r="B567" s="1" t="n">
        <v>44572</v>
      </c>
      <c r="C567" s="1" t="n">
        <v>46072</v>
      </c>
      <c r="D567" t="inlineStr">
        <is>
          <t>JÄMTLANDS LÄN</t>
        </is>
      </c>
      <c r="E567" t="inlineStr">
        <is>
          <t>BERG</t>
        </is>
      </c>
      <c r="G567" t="n">
        <v>7.7</v>
      </c>
      <c r="H567" t="n">
        <v>0</v>
      </c>
      <c r="I567" t="n">
        <v>0</v>
      </c>
      <c r="J567" t="n">
        <v>0</v>
      </c>
      <c r="K567" t="n">
        <v>0</v>
      </c>
      <c r="L567" t="n">
        <v>0</v>
      </c>
      <c r="M567" t="n">
        <v>0</v>
      </c>
      <c r="N567" t="n">
        <v>0</v>
      </c>
      <c r="O567" t="n">
        <v>0</v>
      </c>
      <c r="P567" t="n">
        <v>0</v>
      </c>
      <c r="Q567" t="n">
        <v>0</v>
      </c>
      <c r="R567" s="2" t="inlineStr"/>
    </row>
    <row r="568" ht="15" customHeight="1">
      <c r="A568" t="inlineStr">
        <is>
          <t>A 27239-2023</t>
        </is>
      </c>
      <c r="B568" s="1" t="n">
        <v>45092</v>
      </c>
      <c r="C568" s="1" t="n">
        <v>46072</v>
      </c>
      <c r="D568" t="inlineStr">
        <is>
          <t>JÄMTLANDS LÄN</t>
        </is>
      </c>
      <c r="E568" t="inlineStr">
        <is>
          <t>BERG</t>
        </is>
      </c>
      <c r="G568" t="n">
        <v>5.3</v>
      </c>
      <c r="H568" t="n">
        <v>0</v>
      </c>
      <c r="I568" t="n">
        <v>0</v>
      </c>
      <c r="J568" t="n">
        <v>0</v>
      </c>
      <c r="K568" t="n">
        <v>0</v>
      </c>
      <c r="L568" t="n">
        <v>0</v>
      </c>
      <c r="M568" t="n">
        <v>0</v>
      </c>
      <c r="N568" t="n">
        <v>0</v>
      </c>
      <c r="O568" t="n">
        <v>0</v>
      </c>
      <c r="P568" t="n">
        <v>0</v>
      </c>
      <c r="Q568" t="n">
        <v>0</v>
      </c>
      <c r="R568" s="2" t="inlineStr"/>
    </row>
    <row r="569" ht="15" customHeight="1">
      <c r="A569" t="inlineStr">
        <is>
          <t>A 35183-2025</t>
        </is>
      </c>
      <c r="B569" s="1" t="n">
        <v>45853.29931712963</v>
      </c>
      <c r="C569" s="1" t="n">
        <v>46072</v>
      </c>
      <c r="D569" t="inlineStr">
        <is>
          <t>JÄMTLANDS LÄN</t>
        </is>
      </c>
      <c r="E569" t="inlineStr">
        <is>
          <t>BERG</t>
        </is>
      </c>
      <c r="G569" t="n">
        <v>2.8</v>
      </c>
      <c r="H569" t="n">
        <v>0</v>
      </c>
      <c r="I569" t="n">
        <v>0</v>
      </c>
      <c r="J569" t="n">
        <v>0</v>
      </c>
      <c r="K569" t="n">
        <v>0</v>
      </c>
      <c r="L569" t="n">
        <v>0</v>
      </c>
      <c r="M569" t="n">
        <v>0</v>
      </c>
      <c r="N569" t="n">
        <v>0</v>
      </c>
      <c r="O569" t="n">
        <v>0</v>
      </c>
      <c r="P569" t="n">
        <v>0</v>
      </c>
      <c r="Q569" t="n">
        <v>0</v>
      </c>
      <c r="R569" s="2" t="inlineStr"/>
    </row>
    <row r="570" ht="15" customHeight="1">
      <c r="A570" t="inlineStr">
        <is>
          <t>A 50698-2025</t>
        </is>
      </c>
      <c r="B570" s="1" t="n">
        <v>45945.91894675926</v>
      </c>
      <c r="C570" s="1" t="n">
        <v>46072</v>
      </c>
      <c r="D570" t="inlineStr">
        <is>
          <t>JÄMTLANDS LÄN</t>
        </is>
      </c>
      <c r="E570" t="inlineStr">
        <is>
          <t>BERG</t>
        </is>
      </c>
      <c r="G570" t="n">
        <v>1</v>
      </c>
      <c r="H570" t="n">
        <v>0</v>
      </c>
      <c r="I570" t="n">
        <v>0</v>
      </c>
      <c r="J570" t="n">
        <v>0</v>
      </c>
      <c r="K570" t="n">
        <v>0</v>
      </c>
      <c r="L570" t="n">
        <v>0</v>
      </c>
      <c r="M570" t="n">
        <v>0</v>
      </c>
      <c r="N570" t="n">
        <v>0</v>
      </c>
      <c r="O570" t="n">
        <v>0</v>
      </c>
      <c r="P570" t="n">
        <v>0</v>
      </c>
      <c r="Q570" t="n">
        <v>0</v>
      </c>
      <c r="R570" s="2" t="inlineStr"/>
    </row>
    <row r="571" ht="15" customHeight="1">
      <c r="A571" t="inlineStr">
        <is>
          <t>A 32248-2024</t>
        </is>
      </c>
      <c r="B571" s="1" t="n">
        <v>45511.95144675926</v>
      </c>
      <c r="C571" s="1" t="n">
        <v>46072</v>
      </c>
      <c r="D571" t="inlineStr">
        <is>
          <t>JÄMTLANDS LÄN</t>
        </is>
      </c>
      <c r="E571" t="inlineStr">
        <is>
          <t>BERG</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35213-2025</t>
        </is>
      </c>
      <c r="B572" s="1" t="n">
        <v>45853.46494212963</v>
      </c>
      <c r="C572" s="1" t="n">
        <v>46072</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39103-2024</t>
        </is>
      </c>
      <c r="B573" s="1" t="n">
        <v>45548.57025462963</v>
      </c>
      <c r="C573" s="1" t="n">
        <v>46072</v>
      </c>
      <c r="D573" t="inlineStr">
        <is>
          <t>JÄMTLANDS LÄN</t>
        </is>
      </c>
      <c r="E573" t="inlineStr">
        <is>
          <t>BERG</t>
        </is>
      </c>
      <c r="G573" t="n">
        <v>38.4</v>
      </c>
      <c r="H573" t="n">
        <v>0</v>
      </c>
      <c r="I573" t="n">
        <v>0</v>
      </c>
      <c r="J573" t="n">
        <v>0</v>
      </c>
      <c r="K573" t="n">
        <v>0</v>
      </c>
      <c r="L573" t="n">
        <v>0</v>
      </c>
      <c r="M573" t="n">
        <v>0</v>
      </c>
      <c r="N573" t="n">
        <v>0</v>
      </c>
      <c r="O573" t="n">
        <v>0</v>
      </c>
      <c r="P573" t="n">
        <v>0</v>
      </c>
      <c r="Q573" t="n">
        <v>0</v>
      </c>
      <c r="R573" s="2" t="inlineStr"/>
    </row>
    <row r="574" ht="15" customHeight="1">
      <c r="A574" t="inlineStr">
        <is>
          <t>A 8191-2025</t>
        </is>
      </c>
      <c r="B574" s="1" t="n">
        <v>45708.40821759259</v>
      </c>
      <c r="C574" s="1" t="n">
        <v>46072</v>
      </c>
      <c r="D574" t="inlineStr">
        <is>
          <t>JÄMTLANDS LÄN</t>
        </is>
      </c>
      <c r="E574" t="inlineStr">
        <is>
          <t>BERG</t>
        </is>
      </c>
      <c r="G574" t="n">
        <v>1.1</v>
      </c>
      <c r="H574" t="n">
        <v>0</v>
      </c>
      <c r="I574" t="n">
        <v>0</v>
      </c>
      <c r="J574" t="n">
        <v>0</v>
      </c>
      <c r="K574" t="n">
        <v>0</v>
      </c>
      <c r="L574" t="n">
        <v>0</v>
      </c>
      <c r="M574" t="n">
        <v>0</v>
      </c>
      <c r="N574" t="n">
        <v>0</v>
      </c>
      <c r="O574" t="n">
        <v>0</v>
      </c>
      <c r="P574" t="n">
        <v>0</v>
      </c>
      <c r="Q574" t="n">
        <v>0</v>
      </c>
      <c r="R574" s="2" t="inlineStr"/>
    </row>
    <row r="575" ht="15" customHeight="1">
      <c r="A575" t="inlineStr">
        <is>
          <t>A 35184-2025</t>
        </is>
      </c>
      <c r="B575" s="1" t="n">
        <v>45853.30270833334</v>
      </c>
      <c r="C575" s="1" t="n">
        <v>46072</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58822-2025</t>
        </is>
      </c>
      <c r="B576" s="1" t="n">
        <v>45987.34506944445</v>
      </c>
      <c r="C576" s="1" t="n">
        <v>46072</v>
      </c>
      <c r="D576" t="inlineStr">
        <is>
          <t>JÄMTLANDS LÄN</t>
        </is>
      </c>
      <c r="E576" t="inlineStr">
        <is>
          <t>BERG</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51083-2025</t>
        </is>
      </c>
      <c r="B577" s="1" t="n">
        <v>45947.4678587963</v>
      </c>
      <c r="C577" s="1" t="n">
        <v>46072</v>
      </c>
      <c r="D577" t="inlineStr">
        <is>
          <t>JÄMTLANDS LÄN</t>
        </is>
      </c>
      <c r="E577" t="inlineStr">
        <is>
          <t>BERG</t>
        </is>
      </c>
      <c r="F577" t="inlineStr">
        <is>
          <t>Övriga Aktiebolag</t>
        </is>
      </c>
      <c r="G577" t="n">
        <v>10.4</v>
      </c>
      <c r="H577" t="n">
        <v>0</v>
      </c>
      <c r="I577" t="n">
        <v>0</v>
      </c>
      <c r="J577" t="n">
        <v>0</v>
      </c>
      <c r="K577" t="n">
        <v>0</v>
      </c>
      <c r="L577" t="n">
        <v>0</v>
      </c>
      <c r="M577" t="n">
        <v>0</v>
      </c>
      <c r="N577" t="n">
        <v>0</v>
      </c>
      <c r="O577" t="n">
        <v>0</v>
      </c>
      <c r="P577" t="n">
        <v>0</v>
      </c>
      <c r="Q577" t="n">
        <v>0</v>
      </c>
      <c r="R577" s="2" t="inlineStr"/>
    </row>
    <row r="578" ht="15" customHeight="1">
      <c r="A578" t="inlineStr">
        <is>
          <t>A 51079-2025</t>
        </is>
      </c>
      <c r="B578" s="1" t="n">
        <v>45947.465</v>
      </c>
      <c r="C578" s="1" t="n">
        <v>46072</v>
      </c>
      <c r="D578" t="inlineStr">
        <is>
          <t>JÄMTLANDS LÄN</t>
        </is>
      </c>
      <c r="E578" t="inlineStr">
        <is>
          <t>BERG</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58708-2025</t>
        </is>
      </c>
      <c r="B579" s="1" t="n">
        <v>45986.60412037037</v>
      </c>
      <c r="C579" s="1" t="n">
        <v>46072</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51080-2025</t>
        </is>
      </c>
      <c r="B580" s="1" t="n">
        <v>45947.46655092593</v>
      </c>
      <c r="C580" s="1" t="n">
        <v>46072</v>
      </c>
      <c r="D580" t="inlineStr">
        <is>
          <t>JÄMTLANDS LÄN</t>
        </is>
      </c>
      <c r="E580" t="inlineStr">
        <is>
          <t>BERG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51301-2025</t>
        </is>
      </c>
      <c r="B581" s="1" t="n">
        <v>45950.36480324074</v>
      </c>
      <c r="C581" s="1" t="n">
        <v>46072</v>
      </c>
      <c r="D581" t="inlineStr">
        <is>
          <t>JÄMTLANDS LÄN</t>
        </is>
      </c>
      <c r="E581" t="inlineStr">
        <is>
          <t>BERG</t>
        </is>
      </c>
      <c r="G581" t="n">
        <v>3.1</v>
      </c>
      <c r="H581" t="n">
        <v>0</v>
      </c>
      <c r="I581" t="n">
        <v>0</v>
      </c>
      <c r="J581" t="n">
        <v>0</v>
      </c>
      <c r="K581" t="n">
        <v>0</v>
      </c>
      <c r="L581" t="n">
        <v>0</v>
      </c>
      <c r="M581" t="n">
        <v>0</v>
      </c>
      <c r="N581" t="n">
        <v>0</v>
      </c>
      <c r="O581" t="n">
        <v>0</v>
      </c>
      <c r="P581" t="n">
        <v>0</v>
      </c>
      <c r="Q581" t="n">
        <v>0</v>
      </c>
      <c r="R581" s="2" t="inlineStr"/>
    </row>
    <row r="582" ht="15" customHeight="1">
      <c r="A582" t="inlineStr">
        <is>
          <t>A 35363-2025</t>
        </is>
      </c>
      <c r="B582" s="1" t="n">
        <v>45854.67538194444</v>
      </c>
      <c r="C582" s="1" t="n">
        <v>46072</v>
      </c>
      <c r="D582" t="inlineStr">
        <is>
          <t>JÄMTLANDS LÄN</t>
        </is>
      </c>
      <c r="E582" t="inlineStr">
        <is>
          <t>BERG</t>
        </is>
      </c>
      <c r="G582" t="n">
        <v>9.5</v>
      </c>
      <c r="H582" t="n">
        <v>0</v>
      </c>
      <c r="I582" t="n">
        <v>0</v>
      </c>
      <c r="J582" t="n">
        <v>0</v>
      </c>
      <c r="K582" t="n">
        <v>0</v>
      </c>
      <c r="L582" t="n">
        <v>0</v>
      </c>
      <c r="M582" t="n">
        <v>0</v>
      </c>
      <c r="N582" t="n">
        <v>0</v>
      </c>
      <c r="O582" t="n">
        <v>0</v>
      </c>
      <c r="P582" t="n">
        <v>0</v>
      </c>
      <c r="Q582" t="n">
        <v>0</v>
      </c>
      <c r="R582" s="2" t="inlineStr"/>
    </row>
    <row r="583" ht="15" customHeight="1">
      <c r="A583" t="inlineStr">
        <is>
          <t>A 51675-2025</t>
        </is>
      </c>
      <c r="B583" s="1" t="n">
        <v>45951.50565972222</v>
      </c>
      <c r="C583" s="1" t="n">
        <v>46072</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35360-2025</t>
        </is>
      </c>
      <c r="B584" s="1" t="n">
        <v>45854.66877314815</v>
      </c>
      <c r="C584" s="1" t="n">
        <v>46072</v>
      </c>
      <c r="D584" t="inlineStr">
        <is>
          <t>JÄMTLANDS LÄN</t>
        </is>
      </c>
      <c r="E584" t="inlineStr">
        <is>
          <t>BERG</t>
        </is>
      </c>
      <c r="G584" t="n">
        <v>3.7</v>
      </c>
      <c r="H584" t="n">
        <v>0</v>
      </c>
      <c r="I584" t="n">
        <v>0</v>
      </c>
      <c r="J584" t="n">
        <v>0</v>
      </c>
      <c r="K584" t="n">
        <v>0</v>
      </c>
      <c r="L584" t="n">
        <v>0</v>
      </c>
      <c r="M584" t="n">
        <v>0</v>
      </c>
      <c r="N584" t="n">
        <v>0</v>
      </c>
      <c r="O584" t="n">
        <v>0</v>
      </c>
      <c r="P584" t="n">
        <v>0</v>
      </c>
      <c r="Q584" t="n">
        <v>0</v>
      </c>
      <c r="R584" s="2" t="inlineStr"/>
    </row>
    <row r="585" ht="15" customHeight="1">
      <c r="A585" t="inlineStr">
        <is>
          <t>A 35576-2025</t>
        </is>
      </c>
      <c r="B585" s="1" t="n">
        <v>45856.63608796296</v>
      </c>
      <c r="C585" s="1" t="n">
        <v>46072</v>
      </c>
      <c r="D585" t="inlineStr">
        <is>
          <t>JÄMTLANDS LÄN</t>
        </is>
      </c>
      <c r="E585" t="inlineStr">
        <is>
          <t>BERG</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51495-2025</t>
        </is>
      </c>
      <c r="B586" s="1" t="n">
        <v>45950.6366550926</v>
      </c>
      <c r="C586" s="1" t="n">
        <v>46072</v>
      </c>
      <c r="D586" t="inlineStr">
        <is>
          <t>JÄMTLANDS LÄN</t>
        </is>
      </c>
      <c r="E586" t="inlineStr">
        <is>
          <t>BERG</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18775-2024</t>
        </is>
      </c>
      <c r="B587" s="1" t="n">
        <v>45426</v>
      </c>
      <c r="C587" s="1" t="n">
        <v>46072</v>
      </c>
      <c r="D587" t="inlineStr">
        <is>
          <t>JÄMTLANDS LÄN</t>
        </is>
      </c>
      <c r="E587" t="inlineStr">
        <is>
          <t>BERG</t>
        </is>
      </c>
      <c r="G587" t="n">
        <v>13.9</v>
      </c>
      <c r="H587" t="n">
        <v>0</v>
      </c>
      <c r="I587" t="n">
        <v>0</v>
      </c>
      <c r="J587" t="n">
        <v>0</v>
      </c>
      <c r="K587" t="n">
        <v>0</v>
      </c>
      <c r="L587" t="n">
        <v>0</v>
      </c>
      <c r="M587" t="n">
        <v>0</v>
      </c>
      <c r="N587" t="n">
        <v>0</v>
      </c>
      <c r="O587" t="n">
        <v>0</v>
      </c>
      <c r="P587" t="n">
        <v>0</v>
      </c>
      <c r="Q587" t="n">
        <v>0</v>
      </c>
      <c r="R587" s="2" t="inlineStr"/>
    </row>
    <row r="588" ht="15" customHeight="1">
      <c r="A588" t="inlineStr">
        <is>
          <t>A 25565-2023</t>
        </is>
      </c>
      <c r="B588" s="1" t="n">
        <v>45082</v>
      </c>
      <c r="C588" s="1" t="n">
        <v>46072</v>
      </c>
      <c r="D588" t="inlineStr">
        <is>
          <t>JÄMTLANDS LÄN</t>
        </is>
      </c>
      <c r="E588" t="inlineStr">
        <is>
          <t>BERG</t>
        </is>
      </c>
      <c r="G588" t="n">
        <v>3.1</v>
      </c>
      <c r="H588" t="n">
        <v>0</v>
      </c>
      <c r="I588" t="n">
        <v>0</v>
      </c>
      <c r="J588" t="n">
        <v>0</v>
      </c>
      <c r="K588" t="n">
        <v>0</v>
      </c>
      <c r="L588" t="n">
        <v>0</v>
      </c>
      <c r="M588" t="n">
        <v>0</v>
      </c>
      <c r="N588" t="n">
        <v>0</v>
      </c>
      <c r="O588" t="n">
        <v>0</v>
      </c>
      <c r="P588" t="n">
        <v>0</v>
      </c>
      <c r="Q588" t="n">
        <v>0</v>
      </c>
      <c r="R588" s="2" t="inlineStr"/>
    </row>
    <row r="589" ht="15" customHeight="1">
      <c r="A589" t="inlineStr">
        <is>
          <t>A 35684-2025</t>
        </is>
      </c>
      <c r="B589" s="1" t="n">
        <v>45859.88079861111</v>
      </c>
      <c r="C589" s="1" t="n">
        <v>46072</v>
      </c>
      <c r="D589" t="inlineStr">
        <is>
          <t>JÄMTLANDS LÄN</t>
        </is>
      </c>
      <c r="E589" t="inlineStr">
        <is>
          <t>BERG</t>
        </is>
      </c>
      <c r="G589" t="n">
        <v>6.1</v>
      </c>
      <c r="H589" t="n">
        <v>0</v>
      </c>
      <c r="I589" t="n">
        <v>0</v>
      </c>
      <c r="J589" t="n">
        <v>0</v>
      </c>
      <c r="K589" t="n">
        <v>0</v>
      </c>
      <c r="L589" t="n">
        <v>0</v>
      </c>
      <c r="M589" t="n">
        <v>0</v>
      </c>
      <c r="N589" t="n">
        <v>0</v>
      </c>
      <c r="O589" t="n">
        <v>0</v>
      </c>
      <c r="P589" t="n">
        <v>0</v>
      </c>
      <c r="Q589" t="n">
        <v>0</v>
      </c>
      <c r="R589" s="2" t="inlineStr"/>
    </row>
    <row r="590" ht="15" customHeight="1">
      <c r="A590" t="inlineStr">
        <is>
          <t>A 57661-2024</t>
        </is>
      </c>
      <c r="B590" s="1" t="n">
        <v>45630.6140162037</v>
      </c>
      <c r="C590" s="1" t="n">
        <v>46072</v>
      </c>
      <c r="D590" t="inlineStr">
        <is>
          <t>JÄMTLANDS LÄN</t>
        </is>
      </c>
      <c r="E590" t="inlineStr">
        <is>
          <t>BERG</t>
        </is>
      </c>
      <c r="G590" t="n">
        <v>0.8</v>
      </c>
      <c r="H590" t="n">
        <v>0</v>
      </c>
      <c r="I590" t="n">
        <v>0</v>
      </c>
      <c r="J590" t="n">
        <v>0</v>
      </c>
      <c r="K590" t="n">
        <v>0</v>
      </c>
      <c r="L590" t="n">
        <v>0</v>
      </c>
      <c r="M590" t="n">
        <v>0</v>
      </c>
      <c r="N590" t="n">
        <v>0</v>
      </c>
      <c r="O590" t="n">
        <v>0</v>
      </c>
      <c r="P590" t="n">
        <v>0</v>
      </c>
      <c r="Q590" t="n">
        <v>0</v>
      </c>
      <c r="R590" s="2" t="inlineStr"/>
    </row>
    <row r="591" ht="15" customHeight="1">
      <c r="A591" t="inlineStr">
        <is>
          <t>A 45208-2024</t>
        </is>
      </c>
      <c r="B591" s="1" t="n">
        <v>45575.7077662037</v>
      </c>
      <c r="C591" s="1" t="n">
        <v>46072</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52341-2025</t>
        </is>
      </c>
      <c r="B592" s="1" t="n">
        <v>45953.71564814815</v>
      </c>
      <c r="C592" s="1" t="n">
        <v>46072</v>
      </c>
      <c r="D592" t="inlineStr">
        <is>
          <t>JÄMTLANDS LÄN</t>
        </is>
      </c>
      <c r="E592" t="inlineStr">
        <is>
          <t>BERG</t>
        </is>
      </c>
      <c r="G592" t="n">
        <v>12.2</v>
      </c>
      <c r="H592" t="n">
        <v>0</v>
      </c>
      <c r="I592" t="n">
        <v>0</v>
      </c>
      <c r="J592" t="n">
        <v>0</v>
      </c>
      <c r="K592" t="n">
        <v>0</v>
      </c>
      <c r="L592" t="n">
        <v>0</v>
      </c>
      <c r="M592" t="n">
        <v>0</v>
      </c>
      <c r="N592" t="n">
        <v>0</v>
      </c>
      <c r="O592" t="n">
        <v>0</v>
      </c>
      <c r="P592" t="n">
        <v>0</v>
      </c>
      <c r="Q592" t="n">
        <v>0</v>
      </c>
      <c r="R592" s="2" t="inlineStr"/>
    </row>
    <row r="593" ht="15" customHeight="1">
      <c r="A593" t="inlineStr">
        <is>
          <t>A 35691-2025</t>
        </is>
      </c>
      <c r="B593" s="1" t="n">
        <v>45860.344375</v>
      </c>
      <c r="C593" s="1" t="n">
        <v>46072</v>
      </c>
      <c r="D593" t="inlineStr">
        <is>
          <t>JÄMTLANDS LÄN</t>
        </is>
      </c>
      <c r="E593" t="inlineStr">
        <is>
          <t>BERG</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35866-2024</t>
        </is>
      </c>
      <c r="B594" s="1" t="n">
        <v>45533.3422337963</v>
      </c>
      <c r="C594" s="1" t="n">
        <v>46072</v>
      </c>
      <c r="D594" t="inlineStr">
        <is>
          <t>JÄMTLANDS LÄN</t>
        </is>
      </c>
      <c r="E594" t="inlineStr">
        <is>
          <t>BERG</t>
        </is>
      </c>
      <c r="G594" t="n">
        <v>2.5</v>
      </c>
      <c r="H594" t="n">
        <v>0</v>
      </c>
      <c r="I594" t="n">
        <v>0</v>
      </c>
      <c r="J594" t="n">
        <v>0</v>
      </c>
      <c r="K594" t="n">
        <v>0</v>
      </c>
      <c r="L594" t="n">
        <v>0</v>
      </c>
      <c r="M594" t="n">
        <v>0</v>
      </c>
      <c r="N594" t="n">
        <v>0</v>
      </c>
      <c r="O594" t="n">
        <v>0</v>
      </c>
      <c r="P594" t="n">
        <v>0</v>
      </c>
      <c r="Q594" t="n">
        <v>0</v>
      </c>
      <c r="R594" s="2" t="inlineStr"/>
    </row>
    <row r="595" ht="15" customHeight="1">
      <c r="A595" t="inlineStr">
        <is>
          <t>A 52128-2025</t>
        </is>
      </c>
      <c r="B595" s="1" t="n">
        <v>45952.72754629629</v>
      </c>
      <c r="C595" s="1" t="n">
        <v>46072</v>
      </c>
      <c r="D595" t="inlineStr">
        <is>
          <t>JÄMTLANDS LÄN</t>
        </is>
      </c>
      <c r="E595" t="inlineStr">
        <is>
          <t>BERG</t>
        </is>
      </c>
      <c r="G595" t="n">
        <v>2.1</v>
      </c>
      <c r="H595" t="n">
        <v>0</v>
      </c>
      <c r="I595" t="n">
        <v>0</v>
      </c>
      <c r="J595" t="n">
        <v>0</v>
      </c>
      <c r="K595" t="n">
        <v>0</v>
      </c>
      <c r="L595" t="n">
        <v>0</v>
      </c>
      <c r="M595" t="n">
        <v>0</v>
      </c>
      <c r="N595" t="n">
        <v>0</v>
      </c>
      <c r="O595" t="n">
        <v>0</v>
      </c>
      <c r="P595" t="n">
        <v>0</v>
      </c>
      <c r="Q595" t="n">
        <v>0</v>
      </c>
      <c r="R595" s="2" t="inlineStr"/>
    </row>
    <row r="596" ht="15" customHeight="1">
      <c r="A596" t="inlineStr">
        <is>
          <t>A 52256-2025</t>
        </is>
      </c>
      <c r="B596" s="1" t="n">
        <v>45953.50086805555</v>
      </c>
      <c r="C596" s="1" t="n">
        <v>46072</v>
      </c>
      <c r="D596" t="inlineStr">
        <is>
          <t>JÄMTLANDS LÄN</t>
        </is>
      </c>
      <c r="E596" t="inlineStr">
        <is>
          <t>BERG</t>
        </is>
      </c>
      <c r="G596" t="n">
        <v>3.9</v>
      </c>
      <c r="H596" t="n">
        <v>0</v>
      </c>
      <c r="I596" t="n">
        <v>0</v>
      </c>
      <c r="J596" t="n">
        <v>0</v>
      </c>
      <c r="K596" t="n">
        <v>0</v>
      </c>
      <c r="L596" t="n">
        <v>0</v>
      </c>
      <c r="M596" t="n">
        <v>0</v>
      </c>
      <c r="N596" t="n">
        <v>0</v>
      </c>
      <c r="O596" t="n">
        <v>0</v>
      </c>
      <c r="P596" t="n">
        <v>0</v>
      </c>
      <c r="Q596" t="n">
        <v>0</v>
      </c>
      <c r="R596" s="2" t="inlineStr"/>
    </row>
    <row r="597" ht="15" customHeight="1">
      <c r="A597" t="inlineStr">
        <is>
          <t>A 52340-2025</t>
        </is>
      </c>
      <c r="B597" s="1" t="n">
        <v>45953.70571759259</v>
      </c>
      <c r="C597" s="1" t="n">
        <v>46072</v>
      </c>
      <c r="D597" t="inlineStr">
        <is>
          <t>JÄMTLANDS LÄN</t>
        </is>
      </c>
      <c r="E597" t="inlineStr">
        <is>
          <t>BERG</t>
        </is>
      </c>
      <c r="G597" t="n">
        <v>6.7</v>
      </c>
      <c r="H597" t="n">
        <v>0</v>
      </c>
      <c r="I597" t="n">
        <v>0</v>
      </c>
      <c r="J597" t="n">
        <v>0</v>
      </c>
      <c r="K597" t="n">
        <v>0</v>
      </c>
      <c r="L597" t="n">
        <v>0</v>
      </c>
      <c r="M597" t="n">
        <v>0</v>
      </c>
      <c r="N597" t="n">
        <v>0</v>
      </c>
      <c r="O597" t="n">
        <v>0</v>
      </c>
      <c r="P597" t="n">
        <v>0</v>
      </c>
      <c r="Q597" t="n">
        <v>0</v>
      </c>
      <c r="R597" s="2" t="inlineStr"/>
    </row>
    <row r="598" ht="15" customHeight="1">
      <c r="A598" t="inlineStr">
        <is>
          <t>A 35681-2025</t>
        </is>
      </c>
      <c r="B598" s="1" t="n">
        <v>45859.77703703703</v>
      </c>
      <c r="C598" s="1" t="n">
        <v>46072</v>
      </c>
      <c r="D598" t="inlineStr">
        <is>
          <t>JÄMTLANDS LÄN</t>
        </is>
      </c>
      <c r="E598" t="inlineStr">
        <is>
          <t>BERG</t>
        </is>
      </c>
      <c r="G598" t="n">
        <v>27</v>
      </c>
      <c r="H598" t="n">
        <v>0</v>
      </c>
      <c r="I598" t="n">
        <v>0</v>
      </c>
      <c r="J598" t="n">
        <v>0</v>
      </c>
      <c r="K598" t="n">
        <v>0</v>
      </c>
      <c r="L598" t="n">
        <v>0</v>
      </c>
      <c r="M598" t="n">
        <v>0</v>
      </c>
      <c r="N598" t="n">
        <v>0</v>
      </c>
      <c r="O598" t="n">
        <v>0</v>
      </c>
      <c r="P598" t="n">
        <v>0</v>
      </c>
      <c r="Q598" t="n">
        <v>0</v>
      </c>
      <c r="R598" s="2" t="inlineStr"/>
    </row>
    <row r="599" ht="15" customHeight="1">
      <c r="A599" t="inlineStr">
        <is>
          <t>A 35683-2025</t>
        </is>
      </c>
      <c r="B599" s="1" t="n">
        <v>45859</v>
      </c>
      <c r="C599" s="1" t="n">
        <v>46072</v>
      </c>
      <c r="D599" t="inlineStr">
        <is>
          <t>JÄMTLANDS LÄN</t>
        </is>
      </c>
      <c r="E599" t="inlineStr">
        <is>
          <t>BERG</t>
        </is>
      </c>
      <c r="G599" t="n">
        <v>3.4</v>
      </c>
      <c r="H599" t="n">
        <v>0</v>
      </c>
      <c r="I599" t="n">
        <v>0</v>
      </c>
      <c r="J599" t="n">
        <v>0</v>
      </c>
      <c r="K599" t="n">
        <v>0</v>
      </c>
      <c r="L599" t="n">
        <v>0</v>
      </c>
      <c r="M599" t="n">
        <v>0</v>
      </c>
      <c r="N599" t="n">
        <v>0</v>
      </c>
      <c r="O599" t="n">
        <v>0</v>
      </c>
      <c r="P599" t="n">
        <v>0</v>
      </c>
      <c r="Q599" t="n">
        <v>0</v>
      </c>
      <c r="R599" s="2" t="inlineStr"/>
    </row>
    <row r="600" ht="15" customHeight="1">
      <c r="A600" t="inlineStr">
        <is>
          <t>A 52260-2025</t>
        </is>
      </c>
      <c r="B600" s="1" t="n">
        <v>45953.51113425926</v>
      </c>
      <c r="C600" s="1" t="n">
        <v>46072</v>
      </c>
      <c r="D600" t="inlineStr">
        <is>
          <t>JÄMTLANDS LÄN</t>
        </is>
      </c>
      <c r="E600" t="inlineStr">
        <is>
          <t>BERG</t>
        </is>
      </c>
      <c r="G600" t="n">
        <v>0.8</v>
      </c>
      <c r="H600" t="n">
        <v>0</v>
      </c>
      <c r="I600" t="n">
        <v>0</v>
      </c>
      <c r="J600" t="n">
        <v>0</v>
      </c>
      <c r="K600" t="n">
        <v>0</v>
      </c>
      <c r="L600" t="n">
        <v>0</v>
      </c>
      <c r="M600" t="n">
        <v>0</v>
      </c>
      <c r="N600" t="n">
        <v>0</v>
      </c>
      <c r="O600" t="n">
        <v>0</v>
      </c>
      <c r="P600" t="n">
        <v>0</v>
      </c>
      <c r="Q600" t="n">
        <v>0</v>
      </c>
      <c r="R600" s="2" t="inlineStr"/>
    </row>
    <row r="601" ht="15" customHeight="1">
      <c r="A601" t="inlineStr">
        <is>
          <t>A 51883-2025</t>
        </is>
      </c>
      <c r="B601" s="1" t="n">
        <v>45952.40701388889</v>
      </c>
      <c r="C601" s="1" t="n">
        <v>46072</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14772-2021</t>
        </is>
      </c>
      <c r="B602" s="1" t="n">
        <v>44280.62068287037</v>
      </c>
      <c r="C602" s="1" t="n">
        <v>46072</v>
      </c>
      <c r="D602" t="inlineStr">
        <is>
          <t>JÄMTLANDS LÄN</t>
        </is>
      </c>
      <c r="E602" t="inlineStr">
        <is>
          <t>BERG</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52348-2025</t>
        </is>
      </c>
      <c r="B603" s="1" t="n">
        <v>45953.72064814815</v>
      </c>
      <c r="C603" s="1" t="n">
        <v>46072</v>
      </c>
      <c r="D603" t="inlineStr">
        <is>
          <t>JÄMTLANDS LÄN</t>
        </is>
      </c>
      <c r="E603" t="inlineStr">
        <is>
          <t>BERG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52062-2025</t>
        </is>
      </c>
      <c r="B604" s="1" t="n">
        <v>45952.63679398148</v>
      </c>
      <c r="C604" s="1" t="n">
        <v>46072</v>
      </c>
      <c r="D604" t="inlineStr">
        <is>
          <t>JÄMTLANDS LÄN</t>
        </is>
      </c>
      <c r="E604" t="inlineStr">
        <is>
          <t>BERG</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52225-2025</t>
        </is>
      </c>
      <c r="B605" s="1" t="n">
        <v>45953.44831018519</v>
      </c>
      <c r="C605" s="1" t="n">
        <v>46072</v>
      </c>
      <c r="D605" t="inlineStr">
        <is>
          <t>JÄMTLANDS LÄN</t>
        </is>
      </c>
      <c r="E605" t="inlineStr">
        <is>
          <t>BERG</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52562-2025</t>
        </is>
      </c>
      <c r="B606" s="1" t="n">
        <v>45954.57357638889</v>
      </c>
      <c r="C606" s="1" t="n">
        <v>46072</v>
      </c>
      <c r="D606" t="inlineStr">
        <is>
          <t>JÄMTLANDS LÄN</t>
        </is>
      </c>
      <c r="E606" t="inlineStr">
        <is>
          <t>BERG</t>
        </is>
      </c>
      <c r="F606" t="inlineStr">
        <is>
          <t>SCA</t>
        </is>
      </c>
      <c r="G606" t="n">
        <v>5.4</v>
      </c>
      <c r="H606" t="n">
        <v>0</v>
      </c>
      <c r="I606" t="n">
        <v>0</v>
      </c>
      <c r="J606" t="n">
        <v>0</v>
      </c>
      <c r="K606" t="n">
        <v>0</v>
      </c>
      <c r="L606" t="n">
        <v>0</v>
      </c>
      <c r="M606" t="n">
        <v>0</v>
      </c>
      <c r="N606" t="n">
        <v>0</v>
      </c>
      <c r="O606" t="n">
        <v>0</v>
      </c>
      <c r="P606" t="n">
        <v>0</v>
      </c>
      <c r="Q606" t="n">
        <v>0</v>
      </c>
      <c r="R606" s="2" t="inlineStr"/>
    </row>
    <row r="607" ht="15" customHeight="1">
      <c r="A607" t="inlineStr">
        <is>
          <t>A 52933-2025</t>
        </is>
      </c>
      <c r="B607" s="1" t="n">
        <v>45957.62528935185</v>
      </c>
      <c r="C607" s="1" t="n">
        <v>46072</v>
      </c>
      <c r="D607" t="inlineStr">
        <is>
          <t>JÄMTLANDS LÄN</t>
        </is>
      </c>
      <c r="E607" t="inlineStr">
        <is>
          <t>BERG</t>
        </is>
      </c>
      <c r="G607" t="n">
        <v>10.1</v>
      </c>
      <c r="H607" t="n">
        <v>0</v>
      </c>
      <c r="I607" t="n">
        <v>0</v>
      </c>
      <c r="J607" t="n">
        <v>0</v>
      </c>
      <c r="K607" t="n">
        <v>0</v>
      </c>
      <c r="L607" t="n">
        <v>0</v>
      </c>
      <c r="M607" t="n">
        <v>0</v>
      </c>
      <c r="N607" t="n">
        <v>0</v>
      </c>
      <c r="O607" t="n">
        <v>0</v>
      </c>
      <c r="P607" t="n">
        <v>0</v>
      </c>
      <c r="Q607" t="n">
        <v>0</v>
      </c>
      <c r="R607" s="2" t="inlineStr"/>
    </row>
    <row r="608" ht="15" customHeight="1">
      <c r="A608" t="inlineStr">
        <is>
          <t>A 37101-2024</t>
        </is>
      </c>
      <c r="B608" s="1" t="n">
        <v>45539.5029050926</v>
      </c>
      <c r="C608" s="1" t="n">
        <v>46072</v>
      </c>
      <c r="D608" t="inlineStr">
        <is>
          <t>JÄMTLANDS LÄN</t>
        </is>
      </c>
      <c r="E608" t="inlineStr">
        <is>
          <t>BERG</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37067-2023</t>
        </is>
      </c>
      <c r="B609" s="1" t="n">
        <v>45154</v>
      </c>
      <c r="C609" s="1" t="n">
        <v>46072</v>
      </c>
      <c r="D609" t="inlineStr">
        <is>
          <t>JÄMTLANDS LÄN</t>
        </is>
      </c>
      <c r="E609" t="inlineStr">
        <is>
          <t>BERG</t>
        </is>
      </c>
      <c r="G609" t="n">
        <v>7.4</v>
      </c>
      <c r="H609" t="n">
        <v>0</v>
      </c>
      <c r="I609" t="n">
        <v>0</v>
      </c>
      <c r="J609" t="n">
        <v>0</v>
      </c>
      <c r="K609" t="n">
        <v>0</v>
      </c>
      <c r="L609" t="n">
        <v>0</v>
      </c>
      <c r="M609" t="n">
        <v>0</v>
      </c>
      <c r="N609" t="n">
        <v>0</v>
      </c>
      <c r="O609" t="n">
        <v>0</v>
      </c>
      <c r="P609" t="n">
        <v>0</v>
      </c>
      <c r="Q609" t="n">
        <v>0</v>
      </c>
      <c r="R609" s="2" t="inlineStr"/>
    </row>
    <row r="610" ht="15" customHeight="1">
      <c r="A610" t="inlineStr">
        <is>
          <t>A 52938-2025</t>
        </is>
      </c>
      <c r="B610" s="1" t="n">
        <v>45957.63680555556</v>
      </c>
      <c r="C610" s="1" t="n">
        <v>46072</v>
      </c>
      <c r="D610" t="inlineStr">
        <is>
          <t>JÄMTLANDS LÄN</t>
        </is>
      </c>
      <c r="E610" t="inlineStr">
        <is>
          <t>BERG</t>
        </is>
      </c>
      <c r="G610" t="n">
        <v>3.6</v>
      </c>
      <c r="H610" t="n">
        <v>0</v>
      </c>
      <c r="I610" t="n">
        <v>0</v>
      </c>
      <c r="J610" t="n">
        <v>0</v>
      </c>
      <c r="K610" t="n">
        <v>0</v>
      </c>
      <c r="L610" t="n">
        <v>0</v>
      </c>
      <c r="M610" t="n">
        <v>0</v>
      </c>
      <c r="N610" t="n">
        <v>0</v>
      </c>
      <c r="O610" t="n">
        <v>0</v>
      </c>
      <c r="P610" t="n">
        <v>0</v>
      </c>
      <c r="Q610" t="n">
        <v>0</v>
      </c>
      <c r="R610" s="2" t="inlineStr"/>
    </row>
    <row r="611" ht="15" customHeight="1">
      <c r="A611" t="inlineStr">
        <is>
          <t>A 43137-2025</t>
        </is>
      </c>
      <c r="B611" s="1" t="n">
        <v>45909.85438657407</v>
      </c>
      <c r="C611" s="1" t="n">
        <v>46072</v>
      </c>
      <c r="D611" t="inlineStr">
        <is>
          <t>JÄMTLANDS LÄN</t>
        </is>
      </c>
      <c r="E611" t="inlineStr">
        <is>
          <t>BERG</t>
        </is>
      </c>
      <c r="F611" t="inlineStr">
        <is>
          <t>Övriga statliga verk och myndigheter</t>
        </is>
      </c>
      <c r="G611" t="n">
        <v>11.6</v>
      </c>
      <c r="H611" t="n">
        <v>0</v>
      </c>
      <c r="I611" t="n">
        <v>0</v>
      </c>
      <c r="J611" t="n">
        <v>0</v>
      </c>
      <c r="K611" t="n">
        <v>0</v>
      </c>
      <c r="L611" t="n">
        <v>0</v>
      </c>
      <c r="M611" t="n">
        <v>0</v>
      </c>
      <c r="N611" t="n">
        <v>0</v>
      </c>
      <c r="O611" t="n">
        <v>0</v>
      </c>
      <c r="P611" t="n">
        <v>0</v>
      </c>
      <c r="Q611" t="n">
        <v>0</v>
      </c>
      <c r="R611" s="2" t="inlineStr"/>
    </row>
    <row r="612" ht="15" customHeight="1">
      <c r="A612" t="inlineStr">
        <is>
          <t>A 22030-2025</t>
        </is>
      </c>
      <c r="B612" s="1" t="n">
        <v>45785.25814814815</v>
      </c>
      <c r="C612" s="1" t="n">
        <v>46072</v>
      </c>
      <c r="D612" t="inlineStr">
        <is>
          <t>JÄMTLANDS LÄN</t>
        </is>
      </c>
      <c r="E612" t="inlineStr">
        <is>
          <t>BERG</t>
        </is>
      </c>
      <c r="G612" t="n">
        <v>5</v>
      </c>
      <c r="H612" t="n">
        <v>0</v>
      </c>
      <c r="I612" t="n">
        <v>0</v>
      </c>
      <c r="J612" t="n">
        <v>0</v>
      </c>
      <c r="K612" t="n">
        <v>0</v>
      </c>
      <c r="L612" t="n">
        <v>0</v>
      </c>
      <c r="M612" t="n">
        <v>0</v>
      </c>
      <c r="N612" t="n">
        <v>0</v>
      </c>
      <c r="O612" t="n">
        <v>0</v>
      </c>
      <c r="P612" t="n">
        <v>0</v>
      </c>
      <c r="Q612" t="n">
        <v>0</v>
      </c>
      <c r="R612" s="2" t="inlineStr"/>
    </row>
    <row r="613" ht="15" customHeight="1">
      <c r="A613" t="inlineStr">
        <is>
          <t>A 36377-2025</t>
        </is>
      </c>
      <c r="B613" s="1" t="n">
        <v>45868.57342592593</v>
      </c>
      <c r="C613" s="1" t="n">
        <v>46072</v>
      </c>
      <c r="D613" t="inlineStr">
        <is>
          <t>JÄMTLANDS LÄN</t>
        </is>
      </c>
      <c r="E613" t="inlineStr">
        <is>
          <t>BERG</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8733-2025</t>
        </is>
      </c>
      <c r="B614" s="1" t="n">
        <v>45712.53197916667</v>
      </c>
      <c r="C614" s="1" t="n">
        <v>46072</v>
      </c>
      <c r="D614" t="inlineStr">
        <is>
          <t>JÄMTLANDS LÄN</t>
        </is>
      </c>
      <c r="E614" t="inlineStr">
        <is>
          <t>BERG</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34601-2024</t>
        </is>
      </c>
      <c r="B615" s="1" t="n">
        <v>45526.4034375</v>
      </c>
      <c r="C615" s="1" t="n">
        <v>46072</v>
      </c>
      <c r="D615" t="inlineStr">
        <is>
          <t>JÄMTLANDS LÄN</t>
        </is>
      </c>
      <c r="E615" t="inlineStr">
        <is>
          <t>BERG</t>
        </is>
      </c>
      <c r="G615" t="n">
        <v>0.6</v>
      </c>
      <c r="H615" t="n">
        <v>0</v>
      </c>
      <c r="I615" t="n">
        <v>0</v>
      </c>
      <c r="J615" t="n">
        <v>0</v>
      </c>
      <c r="K615" t="n">
        <v>0</v>
      </c>
      <c r="L615" t="n">
        <v>0</v>
      </c>
      <c r="M615" t="n">
        <v>0</v>
      </c>
      <c r="N615" t="n">
        <v>0</v>
      </c>
      <c r="O615" t="n">
        <v>0</v>
      </c>
      <c r="P615" t="n">
        <v>0</v>
      </c>
      <c r="Q615" t="n">
        <v>0</v>
      </c>
      <c r="R615" s="2" t="inlineStr"/>
    </row>
    <row r="616" ht="15" customHeight="1">
      <c r="A616" t="inlineStr">
        <is>
          <t>A 53155-2025</t>
        </is>
      </c>
      <c r="B616" s="1" t="n">
        <v>45958.49011574074</v>
      </c>
      <c r="C616" s="1" t="n">
        <v>46072</v>
      </c>
      <c r="D616" t="inlineStr">
        <is>
          <t>JÄMTLANDS LÄN</t>
        </is>
      </c>
      <c r="E616" t="inlineStr">
        <is>
          <t>BERG</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53157-2025</t>
        </is>
      </c>
      <c r="B617" s="1" t="n">
        <v>45958.49056712963</v>
      </c>
      <c r="C617" s="1" t="n">
        <v>46072</v>
      </c>
      <c r="D617" t="inlineStr">
        <is>
          <t>JÄMTLANDS LÄN</t>
        </is>
      </c>
      <c r="E617" t="inlineStr">
        <is>
          <t>BERG</t>
        </is>
      </c>
      <c r="F617" t="inlineStr">
        <is>
          <t>SCA</t>
        </is>
      </c>
      <c r="G617" t="n">
        <v>9.5</v>
      </c>
      <c r="H617" t="n">
        <v>0</v>
      </c>
      <c r="I617" t="n">
        <v>0</v>
      </c>
      <c r="J617" t="n">
        <v>0</v>
      </c>
      <c r="K617" t="n">
        <v>0</v>
      </c>
      <c r="L617" t="n">
        <v>0</v>
      </c>
      <c r="M617" t="n">
        <v>0</v>
      </c>
      <c r="N617" t="n">
        <v>0</v>
      </c>
      <c r="O617" t="n">
        <v>0</v>
      </c>
      <c r="P617" t="n">
        <v>0</v>
      </c>
      <c r="Q617" t="n">
        <v>0</v>
      </c>
      <c r="R617" s="2" t="inlineStr"/>
    </row>
    <row r="618" ht="15" customHeight="1">
      <c r="A618" t="inlineStr">
        <is>
          <t>A 19258-2025</t>
        </is>
      </c>
      <c r="B618" s="1" t="n">
        <v>45769.49987268518</v>
      </c>
      <c r="C618" s="1" t="n">
        <v>46072</v>
      </c>
      <c r="D618" t="inlineStr">
        <is>
          <t>JÄMTLANDS LÄN</t>
        </is>
      </c>
      <c r="E618" t="inlineStr">
        <is>
          <t>BERG</t>
        </is>
      </c>
      <c r="G618" t="n">
        <v>10.9</v>
      </c>
      <c r="H618" t="n">
        <v>0</v>
      </c>
      <c r="I618" t="n">
        <v>0</v>
      </c>
      <c r="J618" t="n">
        <v>0</v>
      </c>
      <c r="K618" t="n">
        <v>0</v>
      </c>
      <c r="L618" t="n">
        <v>0</v>
      </c>
      <c r="M618" t="n">
        <v>0</v>
      </c>
      <c r="N618" t="n">
        <v>0</v>
      </c>
      <c r="O618" t="n">
        <v>0</v>
      </c>
      <c r="P618" t="n">
        <v>0</v>
      </c>
      <c r="Q618" t="n">
        <v>0</v>
      </c>
      <c r="R618" s="2" t="inlineStr"/>
    </row>
    <row r="619" ht="15" customHeight="1">
      <c r="A619" t="inlineStr">
        <is>
          <t>A 16022-2025</t>
        </is>
      </c>
      <c r="B619" s="1" t="n">
        <v>45749.60973379629</v>
      </c>
      <c r="C619" s="1" t="n">
        <v>46072</v>
      </c>
      <c r="D619" t="inlineStr">
        <is>
          <t>JÄMTLANDS LÄN</t>
        </is>
      </c>
      <c r="E619" t="inlineStr">
        <is>
          <t>BERG</t>
        </is>
      </c>
      <c r="G619" t="n">
        <v>2</v>
      </c>
      <c r="H619" t="n">
        <v>0</v>
      </c>
      <c r="I619" t="n">
        <v>0</v>
      </c>
      <c r="J619" t="n">
        <v>0</v>
      </c>
      <c r="K619" t="n">
        <v>0</v>
      </c>
      <c r="L619" t="n">
        <v>0</v>
      </c>
      <c r="M619" t="n">
        <v>0</v>
      </c>
      <c r="N619" t="n">
        <v>0</v>
      </c>
      <c r="O619" t="n">
        <v>0</v>
      </c>
      <c r="P619" t="n">
        <v>0</v>
      </c>
      <c r="Q619" t="n">
        <v>0</v>
      </c>
      <c r="R619" s="2" t="inlineStr"/>
    </row>
    <row r="620" ht="15" customHeight="1">
      <c r="A620" t="inlineStr">
        <is>
          <t>A 28098-2024</t>
        </is>
      </c>
      <c r="B620" s="1" t="n">
        <v>45476.61347222222</v>
      </c>
      <c r="C620" s="1" t="n">
        <v>46072</v>
      </c>
      <c r="D620" t="inlineStr">
        <is>
          <t>JÄMTLANDS LÄN</t>
        </is>
      </c>
      <c r="E620" t="inlineStr">
        <is>
          <t>BERG</t>
        </is>
      </c>
      <c r="G620" t="n">
        <v>0.4</v>
      </c>
      <c r="H620" t="n">
        <v>0</v>
      </c>
      <c r="I620" t="n">
        <v>0</v>
      </c>
      <c r="J620" t="n">
        <v>0</v>
      </c>
      <c r="K620" t="n">
        <v>0</v>
      </c>
      <c r="L620" t="n">
        <v>0</v>
      </c>
      <c r="M620" t="n">
        <v>0</v>
      </c>
      <c r="N620" t="n">
        <v>0</v>
      </c>
      <c r="O620" t="n">
        <v>0</v>
      </c>
      <c r="P620" t="n">
        <v>0</v>
      </c>
      <c r="Q620" t="n">
        <v>0</v>
      </c>
      <c r="R620" s="2" t="inlineStr"/>
    </row>
    <row r="621" ht="15" customHeight="1">
      <c r="A621" t="inlineStr">
        <is>
          <t>A 53349-2025</t>
        </is>
      </c>
      <c r="B621" s="1" t="n">
        <v>45959.43579861111</v>
      </c>
      <c r="C621" s="1" t="n">
        <v>46072</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12499-2021</t>
        </is>
      </c>
      <c r="B622" s="1" t="n">
        <v>44267</v>
      </c>
      <c r="C622" s="1" t="n">
        <v>46072</v>
      </c>
      <c r="D622" t="inlineStr">
        <is>
          <t>JÄMTLANDS LÄN</t>
        </is>
      </c>
      <c r="E622" t="inlineStr">
        <is>
          <t>BERG</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47099-2024</t>
        </is>
      </c>
      <c r="B623" s="1" t="n">
        <v>45586.53743055555</v>
      </c>
      <c r="C623" s="1" t="n">
        <v>46072</v>
      </c>
      <c r="D623" t="inlineStr">
        <is>
          <t>JÄMTLANDS LÄN</t>
        </is>
      </c>
      <c r="E623" t="inlineStr">
        <is>
          <t>BERG</t>
        </is>
      </c>
      <c r="G623" t="n">
        <v>5.9</v>
      </c>
      <c r="H623" t="n">
        <v>0</v>
      </c>
      <c r="I623" t="n">
        <v>0</v>
      </c>
      <c r="J623" t="n">
        <v>0</v>
      </c>
      <c r="K623" t="n">
        <v>0</v>
      </c>
      <c r="L623" t="n">
        <v>0</v>
      </c>
      <c r="M623" t="n">
        <v>0</v>
      </c>
      <c r="N623" t="n">
        <v>0</v>
      </c>
      <c r="O623" t="n">
        <v>0</v>
      </c>
      <c r="P623" t="n">
        <v>0</v>
      </c>
      <c r="Q623" t="n">
        <v>0</v>
      </c>
      <c r="R623" s="2" t="inlineStr"/>
    </row>
    <row r="624" ht="15" customHeight="1">
      <c r="A624" t="inlineStr">
        <is>
          <t>A 53085-2025</t>
        </is>
      </c>
      <c r="B624" s="1" t="n">
        <v>45958.40675925926</v>
      </c>
      <c r="C624" s="1" t="n">
        <v>46072</v>
      </c>
      <c r="D624" t="inlineStr">
        <is>
          <t>JÄMTLANDS LÄN</t>
        </is>
      </c>
      <c r="E624" t="inlineStr">
        <is>
          <t>BERG</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53625-2025</t>
        </is>
      </c>
      <c r="B625" s="1" t="n">
        <v>45960.49020833334</v>
      </c>
      <c r="C625" s="1" t="n">
        <v>46072</v>
      </c>
      <c r="D625" t="inlineStr">
        <is>
          <t>JÄMTLANDS LÄN</t>
        </is>
      </c>
      <c r="E625" t="inlineStr">
        <is>
          <t>BERG</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36668-2025</t>
        </is>
      </c>
      <c r="B626" s="1" t="n">
        <v>45873.38351851852</v>
      </c>
      <c r="C626" s="1" t="n">
        <v>46072</v>
      </c>
      <c r="D626" t="inlineStr">
        <is>
          <t>JÄMTLANDS LÄN</t>
        </is>
      </c>
      <c r="E626" t="inlineStr">
        <is>
          <t>BERG</t>
        </is>
      </c>
      <c r="G626" t="n">
        <v>6.7</v>
      </c>
      <c r="H626" t="n">
        <v>0</v>
      </c>
      <c r="I626" t="n">
        <v>0</v>
      </c>
      <c r="J626" t="n">
        <v>0</v>
      </c>
      <c r="K626" t="n">
        <v>0</v>
      </c>
      <c r="L626" t="n">
        <v>0</v>
      </c>
      <c r="M626" t="n">
        <v>0</v>
      </c>
      <c r="N626" t="n">
        <v>0</v>
      </c>
      <c r="O626" t="n">
        <v>0</v>
      </c>
      <c r="P626" t="n">
        <v>0</v>
      </c>
      <c r="Q626" t="n">
        <v>0</v>
      </c>
      <c r="R626" s="2" t="inlineStr"/>
    </row>
    <row r="627" ht="15" customHeight="1">
      <c r="A627" t="inlineStr">
        <is>
          <t>A 53610-2025</t>
        </is>
      </c>
      <c r="B627" s="1" t="n">
        <v>45960.46951388889</v>
      </c>
      <c r="C627" s="1" t="n">
        <v>46072</v>
      </c>
      <c r="D627" t="inlineStr">
        <is>
          <t>JÄMTLANDS LÄN</t>
        </is>
      </c>
      <c r="E627" t="inlineStr">
        <is>
          <t>BERG</t>
        </is>
      </c>
      <c r="F627" t="inlineStr">
        <is>
          <t>SCA</t>
        </is>
      </c>
      <c r="G627" t="n">
        <v>30.7</v>
      </c>
      <c r="H627" t="n">
        <v>0</v>
      </c>
      <c r="I627" t="n">
        <v>0</v>
      </c>
      <c r="J627" t="n">
        <v>0</v>
      </c>
      <c r="K627" t="n">
        <v>0</v>
      </c>
      <c r="L627" t="n">
        <v>0</v>
      </c>
      <c r="M627" t="n">
        <v>0</v>
      </c>
      <c r="N627" t="n">
        <v>0</v>
      </c>
      <c r="O627" t="n">
        <v>0</v>
      </c>
      <c r="P627" t="n">
        <v>0</v>
      </c>
      <c r="Q627" t="n">
        <v>0</v>
      </c>
      <c r="R627" s="2" t="inlineStr"/>
    </row>
    <row r="628" ht="15" customHeight="1">
      <c r="A628" t="inlineStr">
        <is>
          <t>A 53680-2025</t>
        </is>
      </c>
      <c r="B628" s="1" t="n">
        <v>45960.57361111111</v>
      </c>
      <c r="C628" s="1" t="n">
        <v>46072</v>
      </c>
      <c r="D628" t="inlineStr">
        <is>
          <t>JÄMTLANDS LÄN</t>
        </is>
      </c>
      <c r="E628" t="inlineStr">
        <is>
          <t>BERG</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53712-2025</t>
        </is>
      </c>
      <c r="B629" s="1" t="n">
        <v>45960.61547453704</v>
      </c>
      <c r="C629" s="1" t="n">
        <v>46072</v>
      </c>
      <c r="D629" t="inlineStr">
        <is>
          <t>JÄMTLANDS LÄN</t>
        </is>
      </c>
      <c r="E629" t="inlineStr">
        <is>
          <t>BERG</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37201-2025</t>
        </is>
      </c>
      <c r="B630" s="1" t="n">
        <v>45875.67797453704</v>
      </c>
      <c r="C630" s="1" t="n">
        <v>46072</v>
      </c>
      <c r="D630" t="inlineStr">
        <is>
          <t>JÄMTLANDS LÄN</t>
        </is>
      </c>
      <c r="E630" t="inlineStr">
        <is>
          <t>BERG</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37066-2025</t>
        </is>
      </c>
      <c r="B631" s="1" t="n">
        <v>45875.3862962963</v>
      </c>
      <c r="C631" s="1" t="n">
        <v>46072</v>
      </c>
      <c r="D631" t="inlineStr">
        <is>
          <t>JÄMTLANDS LÄN</t>
        </is>
      </c>
      <c r="E631" t="inlineStr">
        <is>
          <t>BERG</t>
        </is>
      </c>
      <c r="F631" t="inlineStr">
        <is>
          <t>SCA</t>
        </is>
      </c>
      <c r="G631" t="n">
        <v>9.6</v>
      </c>
      <c r="H631" t="n">
        <v>0</v>
      </c>
      <c r="I631" t="n">
        <v>0</v>
      </c>
      <c r="J631" t="n">
        <v>0</v>
      </c>
      <c r="K631" t="n">
        <v>0</v>
      </c>
      <c r="L631" t="n">
        <v>0</v>
      </c>
      <c r="M631" t="n">
        <v>0</v>
      </c>
      <c r="N631" t="n">
        <v>0</v>
      </c>
      <c r="O631" t="n">
        <v>0</v>
      </c>
      <c r="P631" t="n">
        <v>0</v>
      </c>
      <c r="Q631" t="n">
        <v>0</v>
      </c>
      <c r="R631" s="2" t="inlineStr"/>
    </row>
    <row r="632" ht="15" customHeight="1">
      <c r="A632" t="inlineStr">
        <is>
          <t>A 53859-2025</t>
        </is>
      </c>
      <c r="B632" s="1" t="n">
        <v>45961</v>
      </c>
      <c r="C632" s="1" t="n">
        <v>46072</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36896-2025</t>
        </is>
      </c>
      <c r="B633" s="1" t="n">
        <v>45874.4740625</v>
      </c>
      <c r="C633" s="1" t="n">
        <v>46072</v>
      </c>
      <c r="D633" t="inlineStr">
        <is>
          <t>JÄMTLANDS LÄN</t>
        </is>
      </c>
      <c r="E633" t="inlineStr">
        <is>
          <t>BERG</t>
        </is>
      </c>
      <c r="G633" t="n">
        <v>3.2</v>
      </c>
      <c r="H633" t="n">
        <v>0</v>
      </c>
      <c r="I633" t="n">
        <v>0</v>
      </c>
      <c r="J633" t="n">
        <v>0</v>
      </c>
      <c r="K633" t="n">
        <v>0</v>
      </c>
      <c r="L633" t="n">
        <v>0</v>
      </c>
      <c r="M633" t="n">
        <v>0</v>
      </c>
      <c r="N633" t="n">
        <v>0</v>
      </c>
      <c r="O633" t="n">
        <v>0</v>
      </c>
      <c r="P633" t="n">
        <v>0</v>
      </c>
      <c r="Q633" t="n">
        <v>0</v>
      </c>
      <c r="R633" s="2" t="inlineStr"/>
    </row>
    <row r="634" ht="15" customHeight="1">
      <c r="A634" t="inlineStr">
        <is>
          <t>A 36714-2025</t>
        </is>
      </c>
      <c r="B634" s="1" t="n">
        <v>45873.46881944445</v>
      </c>
      <c r="C634" s="1" t="n">
        <v>46072</v>
      </c>
      <c r="D634" t="inlineStr">
        <is>
          <t>JÄMTLANDS LÄN</t>
        </is>
      </c>
      <c r="E634" t="inlineStr">
        <is>
          <t>BERG</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36718-2025</t>
        </is>
      </c>
      <c r="B635" s="1" t="n">
        <v>45873.47069444445</v>
      </c>
      <c r="C635" s="1" t="n">
        <v>46072</v>
      </c>
      <c r="D635" t="inlineStr">
        <is>
          <t>JÄMTLANDS LÄN</t>
        </is>
      </c>
      <c r="E635" t="inlineStr">
        <is>
          <t>BERG</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37062-2025</t>
        </is>
      </c>
      <c r="B636" s="1" t="n">
        <v>45875.38579861111</v>
      </c>
      <c r="C636" s="1" t="n">
        <v>46072</v>
      </c>
      <c r="D636" t="inlineStr">
        <is>
          <t>JÄMTLANDS LÄN</t>
        </is>
      </c>
      <c r="E636" t="inlineStr">
        <is>
          <t>BERG</t>
        </is>
      </c>
      <c r="F636" t="inlineStr">
        <is>
          <t>SCA</t>
        </is>
      </c>
      <c r="G636" t="n">
        <v>8.5</v>
      </c>
      <c r="H636" t="n">
        <v>0</v>
      </c>
      <c r="I636" t="n">
        <v>0</v>
      </c>
      <c r="J636" t="n">
        <v>0</v>
      </c>
      <c r="K636" t="n">
        <v>0</v>
      </c>
      <c r="L636" t="n">
        <v>0</v>
      </c>
      <c r="M636" t="n">
        <v>0</v>
      </c>
      <c r="N636" t="n">
        <v>0</v>
      </c>
      <c r="O636" t="n">
        <v>0</v>
      </c>
      <c r="P636" t="n">
        <v>0</v>
      </c>
      <c r="Q636" t="n">
        <v>0</v>
      </c>
      <c r="R636" s="2" t="inlineStr"/>
    </row>
    <row r="637" ht="15" customHeight="1">
      <c r="A637" t="inlineStr">
        <is>
          <t>A 36341-2025</t>
        </is>
      </c>
      <c r="B637" s="1" t="n">
        <v>45868</v>
      </c>
      <c r="C637" s="1" t="n">
        <v>46072</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1495-2025</t>
        </is>
      </c>
      <c r="B638" s="1" t="n">
        <v>45670.40652777778</v>
      </c>
      <c r="C638" s="1" t="n">
        <v>46072</v>
      </c>
      <c r="D638" t="inlineStr">
        <is>
          <t>JÄMTLANDS LÄN</t>
        </is>
      </c>
      <c r="E638" t="inlineStr">
        <is>
          <t>BERG</t>
        </is>
      </c>
      <c r="G638" t="n">
        <v>0.3</v>
      </c>
      <c r="H638" t="n">
        <v>0</v>
      </c>
      <c r="I638" t="n">
        <v>0</v>
      </c>
      <c r="J638" t="n">
        <v>0</v>
      </c>
      <c r="K638" t="n">
        <v>0</v>
      </c>
      <c r="L638" t="n">
        <v>0</v>
      </c>
      <c r="M638" t="n">
        <v>0</v>
      </c>
      <c r="N638" t="n">
        <v>0</v>
      </c>
      <c r="O638" t="n">
        <v>0</v>
      </c>
      <c r="P638" t="n">
        <v>0</v>
      </c>
      <c r="Q638" t="n">
        <v>0</v>
      </c>
      <c r="R638" s="2" t="inlineStr"/>
    </row>
    <row r="639" ht="15" customHeight="1">
      <c r="A639" t="inlineStr">
        <is>
          <t>A 34367-2024</t>
        </is>
      </c>
      <c r="B639" s="1" t="n">
        <v>45525.38040509259</v>
      </c>
      <c r="C639" s="1" t="n">
        <v>46072</v>
      </c>
      <c r="D639" t="inlineStr">
        <is>
          <t>JÄMTLANDS LÄN</t>
        </is>
      </c>
      <c r="E639" t="inlineStr">
        <is>
          <t>BERG</t>
        </is>
      </c>
      <c r="G639" t="n">
        <v>0.4</v>
      </c>
      <c r="H639" t="n">
        <v>0</v>
      </c>
      <c r="I639" t="n">
        <v>0</v>
      </c>
      <c r="J639" t="n">
        <v>0</v>
      </c>
      <c r="K639" t="n">
        <v>0</v>
      </c>
      <c r="L639" t="n">
        <v>0</v>
      </c>
      <c r="M639" t="n">
        <v>0</v>
      </c>
      <c r="N639" t="n">
        <v>0</v>
      </c>
      <c r="O639" t="n">
        <v>0</v>
      </c>
      <c r="P639" t="n">
        <v>0</v>
      </c>
      <c r="Q639" t="n">
        <v>0</v>
      </c>
      <c r="R639" s="2" t="inlineStr"/>
    </row>
    <row r="640" ht="15" customHeight="1">
      <c r="A640" t="inlineStr">
        <is>
          <t>A 34369-2024</t>
        </is>
      </c>
      <c r="B640" s="1" t="n">
        <v>45525.38228009259</v>
      </c>
      <c r="C640" s="1" t="n">
        <v>46072</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37488-2025</t>
        </is>
      </c>
      <c r="B641" s="1" t="n">
        <v>45877.63582175926</v>
      </c>
      <c r="C641" s="1" t="n">
        <v>46072</v>
      </c>
      <c r="D641" t="inlineStr">
        <is>
          <t>JÄMTLANDS LÄN</t>
        </is>
      </c>
      <c r="E641" t="inlineStr">
        <is>
          <t>BERG</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37455-2025</t>
        </is>
      </c>
      <c r="B642" s="1" t="n">
        <v>45877.56710648148</v>
      </c>
      <c r="C642" s="1" t="n">
        <v>46072</v>
      </c>
      <c r="D642" t="inlineStr">
        <is>
          <t>JÄMTLANDS LÄN</t>
        </is>
      </c>
      <c r="E642" t="inlineStr">
        <is>
          <t>BERG</t>
        </is>
      </c>
      <c r="G642" t="n">
        <v>5.6</v>
      </c>
      <c r="H642" t="n">
        <v>0</v>
      </c>
      <c r="I642" t="n">
        <v>0</v>
      </c>
      <c r="J642" t="n">
        <v>0</v>
      </c>
      <c r="K642" t="n">
        <v>0</v>
      </c>
      <c r="L642" t="n">
        <v>0</v>
      </c>
      <c r="M642" t="n">
        <v>0</v>
      </c>
      <c r="N642" t="n">
        <v>0</v>
      </c>
      <c r="O642" t="n">
        <v>0</v>
      </c>
      <c r="P642" t="n">
        <v>0</v>
      </c>
      <c r="Q642" t="n">
        <v>0</v>
      </c>
      <c r="R642" s="2" t="inlineStr"/>
    </row>
    <row r="643" ht="15" customHeight="1">
      <c r="A643" t="inlineStr">
        <is>
          <t>A 37463-2025</t>
        </is>
      </c>
      <c r="B643" s="1" t="n">
        <v>45877.5738425926</v>
      </c>
      <c r="C643" s="1" t="n">
        <v>46072</v>
      </c>
      <c r="D643" t="inlineStr">
        <is>
          <t>JÄMTLANDS LÄN</t>
        </is>
      </c>
      <c r="E643" t="inlineStr">
        <is>
          <t>BERG</t>
        </is>
      </c>
      <c r="F643" t="inlineStr">
        <is>
          <t>SCA</t>
        </is>
      </c>
      <c r="G643" t="n">
        <v>13.3</v>
      </c>
      <c r="H643" t="n">
        <v>0</v>
      </c>
      <c r="I643" t="n">
        <v>0</v>
      </c>
      <c r="J643" t="n">
        <v>0</v>
      </c>
      <c r="K643" t="n">
        <v>0</v>
      </c>
      <c r="L643" t="n">
        <v>0</v>
      </c>
      <c r="M643" t="n">
        <v>0</v>
      </c>
      <c r="N643" t="n">
        <v>0</v>
      </c>
      <c r="O643" t="n">
        <v>0</v>
      </c>
      <c r="P643" t="n">
        <v>0</v>
      </c>
      <c r="Q643" t="n">
        <v>0</v>
      </c>
      <c r="R643" s="2" t="inlineStr"/>
    </row>
    <row r="644" ht="15" customHeight="1">
      <c r="A644" t="inlineStr">
        <is>
          <t>A 166-2024</t>
        </is>
      </c>
      <c r="B644" s="1" t="n">
        <v>45294</v>
      </c>
      <c r="C644" s="1" t="n">
        <v>46072</v>
      </c>
      <c r="D644" t="inlineStr">
        <is>
          <t>JÄMTLANDS LÄN</t>
        </is>
      </c>
      <c r="E644" t="inlineStr">
        <is>
          <t>BERG</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59401-2025</t>
        </is>
      </c>
      <c r="B645" s="1" t="n">
        <v>45989.48791666667</v>
      </c>
      <c r="C645" s="1" t="n">
        <v>46072</v>
      </c>
      <c r="D645" t="inlineStr">
        <is>
          <t>JÄMTLANDS LÄN</t>
        </is>
      </c>
      <c r="E645" t="inlineStr">
        <is>
          <t>BERG</t>
        </is>
      </c>
      <c r="G645" t="n">
        <v>4.6</v>
      </c>
      <c r="H645" t="n">
        <v>0</v>
      </c>
      <c r="I645" t="n">
        <v>0</v>
      </c>
      <c r="J645" t="n">
        <v>0</v>
      </c>
      <c r="K645" t="n">
        <v>0</v>
      </c>
      <c r="L645" t="n">
        <v>0</v>
      </c>
      <c r="M645" t="n">
        <v>0</v>
      </c>
      <c r="N645" t="n">
        <v>0</v>
      </c>
      <c r="O645" t="n">
        <v>0</v>
      </c>
      <c r="P645" t="n">
        <v>0</v>
      </c>
      <c r="Q645" t="n">
        <v>0</v>
      </c>
      <c r="R645" s="2" t="inlineStr"/>
    </row>
    <row r="646" ht="15" customHeight="1">
      <c r="A646" t="inlineStr">
        <is>
          <t>A 59411-2025</t>
        </is>
      </c>
      <c r="B646" s="1" t="n">
        <v>45989.49638888889</v>
      </c>
      <c r="C646" s="1" t="n">
        <v>46072</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59415-2025</t>
        </is>
      </c>
      <c r="B647" s="1" t="n">
        <v>45989.50196759259</v>
      </c>
      <c r="C647" s="1" t="n">
        <v>46072</v>
      </c>
      <c r="D647" t="inlineStr">
        <is>
          <t>JÄMTLANDS LÄN</t>
        </is>
      </c>
      <c r="E647" t="inlineStr">
        <is>
          <t>BERG</t>
        </is>
      </c>
      <c r="G647" t="n">
        <v>6.8</v>
      </c>
      <c r="H647" t="n">
        <v>0</v>
      </c>
      <c r="I647" t="n">
        <v>0</v>
      </c>
      <c r="J647" t="n">
        <v>0</v>
      </c>
      <c r="K647" t="n">
        <v>0</v>
      </c>
      <c r="L647" t="n">
        <v>0</v>
      </c>
      <c r="M647" t="n">
        <v>0</v>
      </c>
      <c r="N647" t="n">
        <v>0</v>
      </c>
      <c r="O647" t="n">
        <v>0</v>
      </c>
      <c r="P647" t="n">
        <v>0</v>
      </c>
      <c r="Q647" t="n">
        <v>0</v>
      </c>
      <c r="R647" s="2" t="inlineStr"/>
    </row>
    <row r="648" ht="15" customHeight="1">
      <c r="A648" t="inlineStr">
        <is>
          <t>A 3964-2025</t>
        </is>
      </c>
      <c r="B648" s="1" t="n">
        <v>45684.50761574074</v>
      </c>
      <c r="C648" s="1" t="n">
        <v>46072</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47982-2022</t>
        </is>
      </c>
      <c r="B649" s="1" t="n">
        <v>44853</v>
      </c>
      <c r="C649" s="1" t="n">
        <v>46072</v>
      </c>
      <c r="D649" t="inlineStr">
        <is>
          <t>JÄMTLANDS LÄN</t>
        </is>
      </c>
      <c r="E649" t="inlineStr">
        <is>
          <t>BERG</t>
        </is>
      </c>
      <c r="G649" t="n">
        <v>5.1</v>
      </c>
      <c r="H649" t="n">
        <v>0</v>
      </c>
      <c r="I649" t="n">
        <v>0</v>
      </c>
      <c r="J649" t="n">
        <v>0</v>
      </c>
      <c r="K649" t="n">
        <v>0</v>
      </c>
      <c r="L649" t="n">
        <v>0</v>
      </c>
      <c r="M649" t="n">
        <v>0</v>
      </c>
      <c r="N649" t="n">
        <v>0</v>
      </c>
      <c r="O649" t="n">
        <v>0</v>
      </c>
      <c r="P649" t="n">
        <v>0</v>
      </c>
      <c r="Q649" t="n">
        <v>0</v>
      </c>
      <c r="R649" s="2" t="inlineStr"/>
    </row>
    <row r="650" ht="15" customHeight="1">
      <c r="A650" t="inlineStr">
        <is>
          <t>A 61239-2022</t>
        </is>
      </c>
      <c r="B650" s="1" t="n">
        <v>44909</v>
      </c>
      <c r="C650" s="1" t="n">
        <v>46072</v>
      </c>
      <c r="D650" t="inlineStr">
        <is>
          <t>JÄMTLANDS LÄN</t>
        </is>
      </c>
      <c r="E650" t="inlineStr">
        <is>
          <t>BERG</t>
        </is>
      </c>
      <c r="G650" t="n">
        <v>13.5</v>
      </c>
      <c r="H650" t="n">
        <v>0</v>
      </c>
      <c r="I650" t="n">
        <v>0</v>
      </c>
      <c r="J650" t="n">
        <v>0</v>
      </c>
      <c r="K650" t="n">
        <v>0</v>
      </c>
      <c r="L650" t="n">
        <v>0</v>
      </c>
      <c r="M650" t="n">
        <v>0</v>
      </c>
      <c r="N650" t="n">
        <v>0</v>
      </c>
      <c r="O650" t="n">
        <v>0</v>
      </c>
      <c r="P650" t="n">
        <v>0</v>
      </c>
      <c r="Q650" t="n">
        <v>0</v>
      </c>
      <c r="R650" s="2" t="inlineStr"/>
    </row>
    <row r="651" ht="15" customHeight="1">
      <c r="A651" t="inlineStr">
        <is>
          <t>A 29087-2024</t>
        </is>
      </c>
      <c r="B651" s="1" t="n">
        <v>45481.92946759259</v>
      </c>
      <c r="C651" s="1" t="n">
        <v>46072</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7021-2025</t>
        </is>
      </c>
      <c r="B652" s="1" t="n">
        <v>45701.61520833334</v>
      </c>
      <c r="C652" s="1" t="n">
        <v>46072</v>
      </c>
      <c r="D652" t="inlineStr">
        <is>
          <t>JÄMTLANDS LÄN</t>
        </is>
      </c>
      <c r="E652" t="inlineStr">
        <is>
          <t>BERG</t>
        </is>
      </c>
      <c r="G652" t="n">
        <v>4.2</v>
      </c>
      <c r="H652" t="n">
        <v>0</v>
      </c>
      <c r="I652" t="n">
        <v>0</v>
      </c>
      <c r="J652" t="n">
        <v>0</v>
      </c>
      <c r="K652" t="n">
        <v>0</v>
      </c>
      <c r="L652" t="n">
        <v>0</v>
      </c>
      <c r="M652" t="n">
        <v>0</v>
      </c>
      <c r="N652" t="n">
        <v>0</v>
      </c>
      <c r="O652" t="n">
        <v>0</v>
      </c>
      <c r="P652" t="n">
        <v>0</v>
      </c>
      <c r="Q652" t="n">
        <v>0</v>
      </c>
      <c r="R652" s="2" t="inlineStr"/>
    </row>
    <row r="653" ht="15" customHeight="1">
      <c r="A653" t="inlineStr">
        <is>
          <t>A 37431-2025</t>
        </is>
      </c>
      <c r="B653" s="1" t="n">
        <v>45877.51092592593</v>
      </c>
      <c r="C653" s="1" t="n">
        <v>46072</v>
      </c>
      <c r="D653" t="inlineStr">
        <is>
          <t>JÄMTLANDS LÄN</t>
        </is>
      </c>
      <c r="E653" t="inlineStr">
        <is>
          <t>BERG</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19429-2025</t>
        </is>
      </c>
      <c r="B654" s="1" t="n">
        <v>45769.8025462963</v>
      </c>
      <c r="C654" s="1" t="n">
        <v>46072</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1287-2026</t>
        </is>
      </c>
      <c r="B655" s="1" t="n">
        <v>46031.49944444445</v>
      </c>
      <c r="C655" s="1" t="n">
        <v>46072</v>
      </c>
      <c r="D655" t="inlineStr">
        <is>
          <t>JÄMTLANDS LÄN</t>
        </is>
      </c>
      <c r="E655" t="inlineStr">
        <is>
          <t>BERG</t>
        </is>
      </c>
      <c r="G655" t="n">
        <v>2.2</v>
      </c>
      <c r="H655" t="n">
        <v>0</v>
      </c>
      <c r="I655" t="n">
        <v>0</v>
      </c>
      <c r="J655" t="n">
        <v>0</v>
      </c>
      <c r="K655" t="n">
        <v>0</v>
      </c>
      <c r="L655" t="n">
        <v>0</v>
      </c>
      <c r="M655" t="n">
        <v>0</v>
      </c>
      <c r="N655" t="n">
        <v>0</v>
      </c>
      <c r="O655" t="n">
        <v>0</v>
      </c>
      <c r="P655" t="n">
        <v>0</v>
      </c>
      <c r="Q655" t="n">
        <v>0</v>
      </c>
      <c r="R655" s="2" t="inlineStr"/>
    </row>
    <row r="656" ht="15" customHeight="1">
      <c r="A656" t="inlineStr">
        <is>
          <t>A 59404-2025</t>
        </is>
      </c>
      <c r="B656" s="1" t="n">
        <v>45989.48997685185</v>
      </c>
      <c r="C656" s="1" t="n">
        <v>46072</v>
      </c>
      <c r="D656" t="inlineStr">
        <is>
          <t>JÄMTLANDS LÄN</t>
        </is>
      </c>
      <c r="E656" t="inlineStr">
        <is>
          <t>BERG</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59447-2025</t>
        </is>
      </c>
      <c r="B657" s="1" t="n">
        <v>45989</v>
      </c>
      <c r="C657" s="1" t="n">
        <v>46072</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1386-2026</t>
        </is>
      </c>
      <c r="B658" s="1" t="n">
        <v>46031.62633101852</v>
      </c>
      <c r="C658" s="1" t="n">
        <v>46072</v>
      </c>
      <c r="D658" t="inlineStr">
        <is>
          <t>JÄMTLANDS LÄN</t>
        </is>
      </c>
      <c r="E658" t="inlineStr">
        <is>
          <t>BERG</t>
        </is>
      </c>
      <c r="G658" t="n">
        <v>1.9</v>
      </c>
      <c r="H658" t="n">
        <v>0</v>
      </c>
      <c r="I658" t="n">
        <v>0</v>
      </c>
      <c r="J658" t="n">
        <v>0</v>
      </c>
      <c r="K658" t="n">
        <v>0</v>
      </c>
      <c r="L658" t="n">
        <v>0</v>
      </c>
      <c r="M658" t="n">
        <v>0</v>
      </c>
      <c r="N658" t="n">
        <v>0</v>
      </c>
      <c r="O658" t="n">
        <v>0</v>
      </c>
      <c r="P658" t="n">
        <v>0</v>
      </c>
      <c r="Q658" t="n">
        <v>0</v>
      </c>
      <c r="R658" s="2" t="inlineStr"/>
    </row>
    <row r="659" ht="15" customHeight="1">
      <c r="A659" t="inlineStr">
        <is>
          <t>A 1391-2026</t>
        </is>
      </c>
      <c r="B659" s="1" t="n">
        <v>46031.63359953704</v>
      </c>
      <c r="C659" s="1" t="n">
        <v>46072</v>
      </c>
      <c r="D659" t="inlineStr">
        <is>
          <t>JÄMTLANDS LÄN</t>
        </is>
      </c>
      <c r="E659" t="inlineStr">
        <is>
          <t>BERG</t>
        </is>
      </c>
      <c r="G659" t="n">
        <v>1.5</v>
      </c>
      <c r="H659" t="n">
        <v>0</v>
      </c>
      <c r="I659" t="n">
        <v>0</v>
      </c>
      <c r="J659" t="n">
        <v>0</v>
      </c>
      <c r="K659" t="n">
        <v>0</v>
      </c>
      <c r="L659" t="n">
        <v>0</v>
      </c>
      <c r="M659" t="n">
        <v>0</v>
      </c>
      <c r="N659" t="n">
        <v>0</v>
      </c>
      <c r="O659" t="n">
        <v>0</v>
      </c>
      <c r="P659" t="n">
        <v>0</v>
      </c>
      <c r="Q659" t="n">
        <v>0</v>
      </c>
      <c r="R659" s="2" t="inlineStr"/>
    </row>
    <row r="660" ht="15" customHeight="1">
      <c r="A660" t="inlineStr">
        <is>
          <t>A 1401-2026</t>
        </is>
      </c>
      <c r="B660" s="1" t="n">
        <v>46031.64333333333</v>
      </c>
      <c r="C660" s="1" t="n">
        <v>46072</v>
      </c>
      <c r="D660" t="inlineStr">
        <is>
          <t>JÄMTLANDS LÄN</t>
        </is>
      </c>
      <c r="E660" t="inlineStr">
        <is>
          <t>BERG</t>
        </is>
      </c>
      <c r="G660" t="n">
        <v>2.1</v>
      </c>
      <c r="H660" t="n">
        <v>0</v>
      </c>
      <c r="I660" t="n">
        <v>0</v>
      </c>
      <c r="J660" t="n">
        <v>0</v>
      </c>
      <c r="K660" t="n">
        <v>0</v>
      </c>
      <c r="L660" t="n">
        <v>0</v>
      </c>
      <c r="M660" t="n">
        <v>0</v>
      </c>
      <c r="N660" t="n">
        <v>0</v>
      </c>
      <c r="O660" t="n">
        <v>0</v>
      </c>
      <c r="P660" t="n">
        <v>0</v>
      </c>
      <c r="Q660" t="n">
        <v>0</v>
      </c>
      <c r="R660" s="2" t="inlineStr"/>
    </row>
    <row r="661" ht="15" customHeight="1">
      <c r="A661" t="inlineStr">
        <is>
          <t>A 1407-2026</t>
        </is>
      </c>
      <c r="B661" s="1" t="n">
        <v>46031.64733796296</v>
      </c>
      <c r="C661" s="1" t="n">
        <v>46072</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59210-2025</t>
        </is>
      </c>
      <c r="B662" s="1" t="n">
        <v>45988.61516203704</v>
      </c>
      <c r="C662" s="1" t="n">
        <v>46072</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59253-2025</t>
        </is>
      </c>
      <c r="B663" s="1" t="n">
        <v>45988.65121527778</v>
      </c>
      <c r="C663" s="1" t="n">
        <v>46072</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59267-2025</t>
        </is>
      </c>
      <c r="B664" s="1" t="n">
        <v>45988.66127314815</v>
      </c>
      <c r="C664" s="1" t="n">
        <v>46072</v>
      </c>
      <c r="D664" t="inlineStr">
        <is>
          <t>JÄMTLANDS LÄN</t>
        </is>
      </c>
      <c r="E664" t="inlineStr">
        <is>
          <t>BERG</t>
        </is>
      </c>
      <c r="G664" t="n">
        <v>0.8</v>
      </c>
      <c r="H664" t="n">
        <v>0</v>
      </c>
      <c r="I664" t="n">
        <v>0</v>
      </c>
      <c r="J664" t="n">
        <v>0</v>
      </c>
      <c r="K664" t="n">
        <v>0</v>
      </c>
      <c r="L664" t="n">
        <v>0</v>
      </c>
      <c r="M664" t="n">
        <v>0</v>
      </c>
      <c r="N664" t="n">
        <v>0</v>
      </c>
      <c r="O664" t="n">
        <v>0</v>
      </c>
      <c r="P664" t="n">
        <v>0</v>
      </c>
      <c r="Q664" t="n">
        <v>0</v>
      </c>
      <c r="R664" s="2" t="inlineStr"/>
    </row>
    <row r="665" ht="15" customHeight="1">
      <c r="A665" t="inlineStr">
        <is>
          <t>A 59281-2025</t>
        </is>
      </c>
      <c r="B665" s="1" t="n">
        <v>45988.7234375</v>
      </c>
      <c r="C665" s="1" t="n">
        <v>46072</v>
      </c>
      <c r="D665" t="inlineStr">
        <is>
          <t>JÄMTLANDS LÄN</t>
        </is>
      </c>
      <c r="E665" t="inlineStr">
        <is>
          <t>BERG</t>
        </is>
      </c>
      <c r="G665" t="n">
        <v>16.7</v>
      </c>
      <c r="H665" t="n">
        <v>0</v>
      </c>
      <c r="I665" t="n">
        <v>0</v>
      </c>
      <c r="J665" t="n">
        <v>0</v>
      </c>
      <c r="K665" t="n">
        <v>0</v>
      </c>
      <c r="L665" t="n">
        <v>0</v>
      </c>
      <c r="M665" t="n">
        <v>0</v>
      </c>
      <c r="N665" t="n">
        <v>0</v>
      </c>
      <c r="O665" t="n">
        <v>0</v>
      </c>
      <c r="P665" t="n">
        <v>0</v>
      </c>
      <c r="Q665" t="n">
        <v>0</v>
      </c>
      <c r="R665" s="2" t="inlineStr"/>
    </row>
    <row r="666" ht="15" customHeight="1">
      <c r="A666" t="inlineStr">
        <is>
          <t>A 59424-2025</t>
        </is>
      </c>
      <c r="B666" s="1" t="n">
        <v>45989.53782407408</v>
      </c>
      <c r="C666" s="1" t="n">
        <v>46072</v>
      </c>
      <c r="D666" t="inlineStr">
        <is>
          <t>JÄMTLANDS LÄN</t>
        </is>
      </c>
      <c r="E666" t="inlineStr">
        <is>
          <t>BERG</t>
        </is>
      </c>
      <c r="G666" t="n">
        <v>3.9</v>
      </c>
      <c r="H666" t="n">
        <v>0</v>
      </c>
      <c r="I666" t="n">
        <v>0</v>
      </c>
      <c r="J666" t="n">
        <v>0</v>
      </c>
      <c r="K666" t="n">
        <v>0</v>
      </c>
      <c r="L666" t="n">
        <v>0</v>
      </c>
      <c r="M666" t="n">
        <v>0</v>
      </c>
      <c r="N666" t="n">
        <v>0</v>
      </c>
      <c r="O666" t="n">
        <v>0</v>
      </c>
      <c r="P666" t="n">
        <v>0</v>
      </c>
      <c r="Q666" t="n">
        <v>0</v>
      </c>
      <c r="R666" s="2" t="inlineStr"/>
    </row>
    <row r="667" ht="15" customHeight="1">
      <c r="A667" t="inlineStr">
        <is>
          <t>A 54852-2025</t>
        </is>
      </c>
      <c r="B667" s="1" t="n">
        <v>45966.71946759259</v>
      </c>
      <c r="C667" s="1" t="n">
        <v>46072</v>
      </c>
      <c r="D667" t="inlineStr">
        <is>
          <t>JÄMTLANDS LÄN</t>
        </is>
      </c>
      <c r="E667" t="inlineStr">
        <is>
          <t>BERG</t>
        </is>
      </c>
      <c r="G667" t="n">
        <v>1.7</v>
      </c>
      <c r="H667" t="n">
        <v>0</v>
      </c>
      <c r="I667" t="n">
        <v>0</v>
      </c>
      <c r="J667" t="n">
        <v>0</v>
      </c>
      <c r="K667" t="n">
        <v>0</v>
      </c>
      <c r="L667" t="n">
        <v>0</v>
      </c>
      <c r="M667" t="n">
        <v>0</v>
      </c>
      <c r="N667" t="n">
        <v>0</v>
      </c>
      <c r="O667" t="n">
        <v>0</v>
      </c>
      <c r="P667" t="n">
        <v>0</v>
      </c>
      <c r="Q667" t="n">
        <v>0</v>
      </c>
      <c r="R667" s="2" t="inlineStr"/>
    </row>
    <row r="668" ht="15" customHeight="1">
      <c r="A668" t="inlineStr">
        <is>
          <t>A 54720-2025</t>
        </is>
      </c>
      <c r="B668" s="1" t="n">
        <v>45966.53177083333</v>
      </c>
      <c r="C668" s="1" t="n">
        <v>46072</v>
      </c>
      <c r="D668" t="inlineStr">
        <is>
          <t>JÄMTLANDS LÄN</t>
        </is>
      </c>
      <c r="E668" t="inlineStr">
        <is>
          <t>BERG</t>
        </is>
      </c>
      <c r="G668" t="n">
        <v>0.6</v>
      </c>
      <c r="H668" t="n">
        <v>0</v>
      </c>
      <c r="I668" t="n">
        <v>0</v>
      </c>
      <c r="J668" t="n">
        <v>0</v>
      </c>
      <c r="K668" t="n">
        <v>0</v>
      </c>
      <c r="L668" t="n">
        <v>0</v>
      </c>
      <c r="M668" t="n">
        <v>0</v>
      </c>
      <c r="N668" t="n">
        <v>0</v>
      </c>
      <c r="O668" t="n">
        <v>0</v>
      </c>
      <c r="P668" t="n">
        <v>0</v>
      </c>
      <c r="Q668" t="n">
        <v>0</v>
      </c>
      <c r="R668" s="2" t="inlineStr"/>
    </row>
    <row r="669" ht="15" customHeight="1">
      <c r="A669" t="inlineStr">
        <is>
          <t>A 54825-2025</t>
        </is>
      </c>
      <c r="B669" s="1" t="n">
        <v>45966.66768518519</v>
      </c>
      <c r="C669" s="1" t="n">
        <v>46072</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1282-2026</t>
        </is>
      </c>
      <c r="B670" s="1" t="n">
        <v>46031.49096064815</v>
      </c>
      <c r="C670" s="1" t="n">
        <v>46072</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32178-2024</t>
        </is>
      </c>
      <c r="B671" s="1" t="n">
        <v>45511</v>
      </c>
      <c r="C671" s="1" t="n">
        <v>46072</v>
      </c>
      <c r="D671" t="inlineStr">
        <is>
          <t>JÄMTLANDS LÄN</t>
        </is>
      </c>
      <c r="E671" t="inlineStr">
        <is>
          <t>BERG</t>
        </is>
      </c>
      <c r="G671" t="n">
        <v>11.4</v>
      </c>
      <c r="H671" t="n">
        <v>0</v>
      </c>
      <c r="I671" t="n">
        <v>0</v>
      </c>
      <c r="J671" t="n">
        <v>0</v>
      </c>
      <c r="K671" t="n">
        <v>0</v>
      </c>
      <c r="L671" t="n">
        <v>0</v>
      </c>
      <c r="M671" t="n">
        <v>0</v>
      </c>
      <c r="N671" t="n">
        <v>0</v>
      </c>
      <c r="O671" t="n">
        <v>0</v>
      </c>
      <c r="P671" t="n">
        <v>0</v>
      </c>
      <c r="Q671" t="n">
        <v>0</v>
      </c>
      <c r="R671" s="2" t="inlineStr"/>
    </row>
    <row r="672" ht="15" customHeight="1">
      <c r="A672" t="inlineStr">
        <is>
          <t>A 55022-2025</t>
        </is>
      </c>
      <c r="B672" s="1" t="n">
        <v>45967.62862268519</v>
      </c>
      <c r="C672" s="1" t="n">
        <v>46072</v>
      </c>
      <c r="D672" t="inlineStr">
        <is>
          <t>JÄMTLANDS LÄN</t>
        </is>
      </c>
      <c r="E672" t="inlineStr">
        <is>
          <t>BERG</t>
        </is>
      </c>
      <c r="G672" t="n">
        <v>0.5</v>
      </c>
      <c r="H672" t="n">
        <v>0</v>
      </c>
      <c r="I672" t="n">
        <v>0</v>
      </c>
      <c r="J672" t="n">
        <v>0</v>
      </c>
      <c r="K672" t="n">
        <v>0</v>
      </c>
      <c r="L672" t="n">
        <v>0</v>
      </c>
      <c r="M672" t="n">
        <v>0</v>
      </c>
      <c r="N672" t="n">
        <v>0</v>
      </c>
      <c r="O672" t="n">
        <v>0</v>
      </c>
      <c r="P672" t="n">
        <v>0</v>
      </c>
      <c r="Q672" t="n">
        <v>0</v>
      </c>
      <c r="R672" s="2" t="inlineStr"/>
    </row>
    <row r="673" ht="15" customHeight="1">
      <c r="A673" t="inlineStr">
        <is>
          <t>A 55043-2025</t>
        </is>
      </c>
      <c r="B673" s="1" t="n">
        <v>45967.65983796296</v>
      </c>
      <c r="C673" s="1" t="n">
        <v>46072</v>
      </c>
      <c r="D673" t="inlineStr">
        <is>
          <t>JÄMTLANDS LÄN</t>
        </is>
      </c>
      <c r="E673" t="inlineStr">
        <is>
          <t>BERG</t>
        </is>
      </c>
      <c r="G673" t="n">
        <v>3</v>
      </c>
      <c r="H673" t="n">
        <v>0</v>
      </c>
      <c r="I673" t="n">
        <v>0</v>
      </c>
      <c r="J673" t="n">
        <v>0</v>
      </c>
      <c r="K673" t="n">
        <v>0</v>
      </c>
      <c r="L673" t="n">
        <v>0</v>
      </c>
      <c r="M673" t="n">
        <v>0</v>
      </c>
      <c r="N673" t="n">
        <v>0</v>
      </c>
      <c r="O673" t="n">
        <v>0</v>
      </c>
      <c r="P673" t="n">
        <v>0</v>
      </c>
      <c r="Q673" t="n">
        <v>0</v>
      </c>
      <c r="R673" s="2" t="inlineStr"/>
    </row>
    <row r="674" ht="15" customHeight="1">
      <c r="A674" t="inlineStr">
        <is>
          <t>A 47176-2023</t>
        </is>
      </c>
      <c r="B674" s="1" t="n">
        <v>45201.94844907407</v>
      </c>
      <c r="C674" s="1" t="n">
        <v>46072</v>
      </c>
      <c r="D674" t="inlineStr">
        <is>
          <t>JÄMTLANDS LÄN</t>
        </is>
      </c>
      <c r="E674" t="inlineStr">
        <is>
          <t>BERG</t>
        </is>
      </c>
      <c r="F674" t="inlineStr">
        <is>
          <t>SCA</t>
        </is>
      </c>
      <c r="G674" t="n">
        <v>32.3</v>
      </c>
      <c r="H674" t="n">
        <v>0</v>
      </c>
      <c r="I674" t="n">
        <v>0</v>
      </c>
      <c r="J674" t="n">
        <v>0</v>
      </c>
      <c r="K674" t="n">
        <v>0</v>
      </c>
      <c r="L674" t="n">
        <v>0</v>
      </c>
      <c r="M674" t="n">
        <v>0</v>
      </c>
      <c r="N674" t="n">
        <v>0</v>
      </c>
      <c r="O674" t="n">
        <v>0</v>
      </c>
      <c r="P674" t="n">
        <v>0</v>
      </c>
      <c r="Q674" t="n">
        <v>0</v>
      </c>
      <c r="R674" s="2" t="inlineStr"/>
    </row>
    <row r="675" ht="15" customHeight="1">
      <c r="A675" t="inlineStr">
        <is>
          <t>A 43616-2024</t>
        </is>
      </c>
      <c r="B675" s="1" t="n">
        <v>45569</v>
      </c>
      <c r="C675" s="1" t="n">
        <v>46072</v>
      </c>
      <c r="D675" t="inlineStr">
        <is>
          <t>JÄMTLANDS LÄN</t>
        </is>
      </c>
      <c r="E675" t="inlineStr">
        <is>
          <t>BERG</t>
        </is>
      </c>
      <c r="G675" t="n">
        <v>12.3</v>
      </c>
      <c r="H675" t="n">
        <v>0</v>
      </c>
      <c r="I675" t="n">
        <v>0</v>
      </c>
      <c r="J675" t="n">
        <v>0</v>
      </c>
      <c r="K675" t="n">
        <v>0</v>
      </c>
      <c r="L675" t="n">
        <v>0</v>
      </c>
      <c r="M675" t="n">
        <v>0</v>
      </c>
      <c r="N675" t="n">
        <v>0</v>
      </c>
      <c r="O675" t="n">
        <v>0</v>
      </c>
      <c r="P675" t="n">
        <v>0</v>
      </c>
      <c r="Q675" t="n">
        <v>0</v>
      </c>
      <c r="R675" s="2" t="inlineStr"/>
    </row>
    <row r="676" ht="15" customHeight="1">
      <c r="A676" t="inlineStr">
        <is>
          <t>A 13672-2024</t>
        </is>
      </c>
      <c r="B676" s="1" t="n">
        <v>45390</v>
      </c>
      <c r="C676" s="1" t="n">
        <v>46072</v>
      </c>
      <c r="D676" t="inlineStr">
        <is>
          <t>JÄMTLANDS LÄN</t>
        </is>
      </c>
      <c r="E676" t="inlineStr">
        <is>
          <t>BERG</t>
        </is>
      </c>
      <c r="G676" t="n">
        <v>0.3</v>
      </c>
      <c r="H676" t="n">
        <v>0</v>
      </c>
      <c r="I676" t="n">
        <v>0</v>
      </c>
      <c r="J676" t="n">
        <v>0</v>
      </c>
      <c r="K676" t="n">
        <v>0</v>
      </c>
      <c r="L676" t="n">
        <v>0</v>
      </c>
      <c r="M676" t="n">
        <v>0</v>
      </c>
      <c r="N676" t="n">
        <v>0</v>
      </c>
      <c r="O676" t="n">
        <v>0</v>
      </c>
      <c r="P676" t="n">
        <v>0</v>
      </c>
      <c r="Q676" t="n">
        <v>0</v>
      </c>
      <c r="R676" s="2" t="inlineStr"/>
    </row>
    <row r="677" ht="15" customHeight="1">
      <c r="A677" t="inlineStr">
        <is>
          <t>A 55553-2025</t>
        </is>
      </c>
      <c r="B677" s="1" t="n">
        <v>45971.64445601852</v>
      </c>
      <c r="C677" s="1" t="n">
        <v>46072</v>
      </c>
      <c r="D677" t="inlineStr">
        <is>
          <t>JÄMTLANDS LÄN</t>
        </is>
      </c>
      <c r="E677" t="inlineStr">
        <is>
          <t>BERG</t>
        </is>
      </c>
      <c r="G677" t="n">
        <v>2.9</v>
      </c>
      <c r="H677" t="n">
        <v>0</v>
      </c>
      <c r="I677" t="n">
        <v>0</v>
      </c>
      <c r="J677" t="n">
        <v>0</v>
      </c>
      <c r="K677" t="n">
        <v>0</v>
      </c>
      <c r="L677" t="n">
        <v>0</v>
      </c>
      <c r="M677" t="n">
        <v>0</v>
      </c>
      <c r="N677" t="n">
        <v>0</v>
      </c>
      <c r="O677" t="n">
        <v>0</v>
      </c>
      <c r="P677" t="n">
        <v>0</v>
      </c>
      <c r="Q677" t="n">
        <v>0</v>
      </c>
      <c r="R677" s="2" t="inlineStr"/>
    </row>
    <row r="678" ht="15" customHeight="1">
      <c r="A678" t="inlineStr">
        <is>
          <t>A 59652-2025</t>
        </is>
      </c>
      <c r="B678" s="1" t="n">
        <v>45992</v>
      </c>
      <c r="C678" s="1" t="n">
        <v>46072</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55472-2025</t>
        </is>
      </c>
      <c r="B679" s="1" t="n">
        <v>45971.54526620371</v>
      </c>
      <c r="C679" s="1" t="n">
        <v>46072</v>
      </c>
      <c r="D679" t="inlineStr">
        <is>
          <t>JÄMTLANDS LÄN</t>
        </is>
      </c>
      <c r="E679" t="inlineStr">
        <is>
          <t>BERG</t>
        </is>
      </c>
      <c r="G679" t="n">
        <v>3.2</v>
      </c>
      <c r="H679" t="n">
        <v>0</v>
      </c>
      <c r="I679" t="n">
        <v>0</v>
      </c>
      <c r="J679" t="n">
        <v>0</v>
      </c>
      <c r="K679" t="n">
        <v>0</v>
      </c>
      <c r="L679" t="n">
        <v>0</v>
      </c>
      <c r="M679" t="n">
        <v>0</v>
      </c>
      <c r="N679" t="n">
        <v>0</v>
      </c>
      <c r="O679" t="n">
        <v>0</v>
      </c>
      <c r="P679" t="n">
        <v>0</v>
      </c>
      <c r="Q679" t="n">
        <v>0</v>
      </c>
      <c r="R679" s="2" t="inlineStr"/>
    </row>
    <row r="680" ht="15" customHeight="1">
      <c r="A680" t="inlineStr">
        <is>
          <t>A 55497-2025</t>
        </is>
      </c>
      <c r="B680" s="1" t="n">
        <v>45971.58337962963</v>
      </c>
      <c r="C680" s="1" t="n">
        <v>46072</v>
      </c>
      <c r="D680" t="inlineStr">
        <is>
          <t>JÄMTLANDS LÄN</t>
        </is>
      </c>
      <c r="E680" t="inlineStr">
        <is>
          <t>BERG</t>
        </is>
      </c>
      <c r="G680" t="n">
        <v>15</v>
      </c>
      <c r="H680" t="n">
        <v>0</v>
      </c>
      <c r="I680" t="n">
        <v>0</v>
      </c>
      <c r="J680" t="n">
        <v>0</v>
      </c>
      <c r="K680" t="n">
        <v>0</v>
      </c>
      <c r="L680" t="n">
        <v>0</v>
      </c>
      <c r="M680" t="n">
        <v>0</v>
      </c>
      <c r="N680" t="n">
        <v>0</v>
      </c>
      <c r="O680" t="n">
        <v>0</v>
      </c>
      <c r="P680" t="n">
        <v>0</v>
      </c>
      <c r="Q680" t="n">
        <v>0</v>
      </c>
      <c r="R680" s="2" t="inlineStr"/>
    </row>
    <row r="681" ht="15" customHeight="1">
      <c r="A681" t="inlineStr">
        <is>
          <t>A 50612-2023</t>
        </is>
      </c>
      <c r="B681" s="1" t="n">
        <v>45217.444375</v>
      </c>
      <c r="C681" s="1" t="n">
        <v>46072</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55237-2025</t>
        </is>
      </c>
      <c r="B682" s="1" t="n">
        <v>45968</v>
      </c>
      <c r="C682" s="1" t="n">
        <v>46072</v>
      </c>
      <c r="D682" t="inlineStr">
        <is>
          <t>JÄMTLANDS LÄN</t>
        </is>
      </c>
      <c r="E682" t="inlineStr">
        <is>
          <t>BERG</t>
        </is>
      </c>
      <c r="G682" t="n">
        <v>11.9</v>
      </c>
      <c r="H682" t="n">
        <v>0</v>
      </c>
      <c r="I682" t="n">
        <v>0</v>
      </c>
      <c r="J682" t="n">
        <v>0</v>
      </c>
      <c r="K682" t="n">
        <v>0</v>
      </c>
      <c r="L682" t="n">
        <v>0</v>
      </c>
      <c r="M682" t="n">
        <v>0</v>
      </c>
      <c r="N682" t="n">
        <v>0</v>
      </c>
      <c r="O682" t="n">
        <v>0</v>
      </c>
      <c r="P682" t="n">
        <v>0</v>
      </c>
      <c r="Q682" t="n">
        <v>0</v>
      </c>
      <c r="R682" s="2" t="inlineStr"/>
    </row>
    <row r="683" ht="15" customHeight="1">
      <c r="A683" t="inlineStr">
        <is>
          <t>A 38082-2025</t>
        </is>
      </c>
      <c r="B683" s="1" t="n">
        <v>45882</v>
      </c>
      <c r="C683" s="1" t="n">
        <v>46072</v>
      </c>
      <c r="D683" t="inlineStr">
        <is>
          <t>JÄMTLANDS LÄN</t>
        </is>
      </c>
      <c r="E683" t="inlineStr">
        <is>
          <t>BERG</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55267-2025</t>
        </is>
      </c>
      <c r="B684" s="1" t="n">
        <v>45968.66726851852</v>
      </c>
      <c r="C684" s="1" t="n">
        <v>46072</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38408-2025</t>
        </is>
      </c>
      <c r="B685" s="1" t="n">
        <v>45883.59412037037</v>
      </c>
      <c r="C685" s="1" t="n">
        <v>46072</v>
      </c>
      <c r="D685" t="inlineStr">
        <is>
          <t>JÄMTLANDS LÄN</t>
        </is>
      </c>
      <c r="E685" t="inlineStr">
        <is>
          <t>BERG</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55239-2025</t>
        </is>
      </c>
      <c r="B686" s="1" t="n">
        <v>45968</v>
      </c>
      <c r="C686" s="1" t="n">
        <v>46072</v>
      </c>
      <c r="D686" t="inlineStr">
        <is>
          <t>JÄMTLANDS LÄN</t>
        </is>
      </c>
      <c r="E686" t="inlineStr">
        <is>
          <t>BERG</t>
        </is>
      </c>
      <c r="G686" t="n">
        <v>6.3</v>
      </c>
      <c r="H686" t="n">
        <v>0</v>
      </c>
      <c r="I686" t="n">
        <v>0</v>
      </c>
      <c r="J686" t="n">
        <v>0</v>
      </c>
      <c r="K686" t="n">
        <v>0</v>
      </c>
      <c r="L686" t="n">
        <v>0</v>
      </c>
      <c r="M686" t="n">
        <v>0</v>
      </c>
      <c r="N686" t="n">
        <v>0</v>
      </c>
      <c r="O686" t="n">
        <v>0</v>
      </c>
      <c r="P686" t="n">
        <v>0</v>
      </c>
      <c r="Q686" t="n">
        <v>0</v>
      </c>
      <c r="R686" s="2" t="inlineStr"/>
    </row>
    <row r="687" ht="15" customHeight="1">
      <c r="A687" t="inlineStr">
        <is>
          <t>A 55240-2025</t>
        </is>
      </c>
      <c r="B687" s="1" t="n">
        <v>45968</v>
      </c>
      <c r="C687" s="1" t="n">
        <v>46072</v>
      </c>
      <c r="D687" t="inlineStr">
        <is>
          <t>JÄMTLANDS LÄN</t>
        </is>
      </c>
      <c r="E687" t="inlineStr">
        <is>
          <t>BERG</t>
        </is>
      </c>
      <c r="G687" t="n">
        <v>11.2</v>
      </c>
      <c r="H687" t="n">
        <v>0</v>
      </c>
      <c r="I687" t="n">
        <v>0</v>
      </c>
      <c r="J687" t="n">
        <v>0</v>
      </c>
      <c r="K687" t="n">
        <v>0</v>
      </c>
      <c r="L687" t="n">
        <v>0</v>
      </c>
      <c r="M687" t="n">
        <v>0</v>
      </c>
      <c r="N687" t="n">
        <v>0</v>
      </c>
      <c r="O687" t="n">
        <v>0</v>
      </c>
      <c r="P687" t="n">
        <v>0</v>
      </c>
      <c r="Q687" t="n">
        <v>0</v>
      </c>
      <c r="R687" s="2" t="inlineStr"/>
    </row>
    <row r="688" ht="15" customHeight="1">
      <c r="A688" t="inlineStr">
        <is>
          <t>A 38388-2025</t>
        </is>
      </c>
      <c r="B688" s="1" t="n">
        <v>45883.57467592593</v>
      </c>
      <c r="C688" s="1" t="n">
        <v>46072</v>
      </c>
      <c r="D688" t="inlineStr">
        <is>
          <t>JÄMTLANDS LÄN</t>
        </is>
      </c>
      <c r="E688" t="inlineStr">
        <is>
          <t>BERG</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38428-2025</t>
        </is>
      </c>
      <c r="B689" s="1" t="n">
        <v>45883.63628472222</v>
      </c>
      <c r="C689" s="1" t="n">
        <v>46072</v>
      </c>
      <c r="D689" t="inlineStr">
        <is>
          <t>JÄMTLANDS LÄN</t>
        </is>
      </c>
      <c r="E689" t="inlineStr">
        <is>
          <t>BERG</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162-2024</t>
        </is>
      </c>
      <c r="B690" s="1" t="n">
        <v>45294</v>
      </c>
      <c r="C690" s="1" t="n">
        <v>46072</v>
      </c>
      <c r="D690" t="inlineStr">
        <is>
          <t>JÄMTLANDS LÄN</t>
        </is>
      </c>
      <c r="E690" t="inlineStr">
        <is>
          <t>BERG</t>
        </is>
      </c>
      <c r="F690" t="inlineStr">
        <is>
          <t>Kyrkan</t>
        </is>
      </c>
      <c r="G690" t="n">
        <v>2.2</v>
      </c>
      <c r="H690" t="n">
        <v>0</v>
      </c>
      <c r="I690" t="n">
        <v>0</v>
      </c>
      <c r="J690" t="n">
        <v>0</v>
      </c>
      <c r="K690" t="n">
        <v>0</v>
      </c>
      <c r="L690" t="n">
        <v>0</v>
      </c>
      <c r="M690" t="n">
        <v>0</v>
      </c>
      <c r="N690" t="n">
        <v>0</v>
      </c>
      <c r="O690" t="n">
        <v>0</v>
      </c>
      <c r="P690" t="n">
        <v>0</v>
      </c>
      <c r="Q690" t="n">
        <v>0</v>
      </c>
      <c r="R690" s="2" t="inlineStr"/>
    </row>
    <row r="691" ht="15" customHeight="1">
      <c r="A691" t="inlineStr">
        <is>
          <t>A 59890-2025</t>
        </is>
      </c>
      <c r="B691" s="1" t="n">
        <v>45993.33128472222</v>
      </c>
      <c r="C691" s="1" t="n">
        <v>46072</v>
      </c>
      <c r="D691" t="inlineStr">
        <is>
          <t>JÄMTLANDS LÄN</t>
        </is>
      </c>
      <c r="E691" t="inlineStr">
        <is>
          <t>BERG</t>
        </is>
      </c>
      <c r="G691" t="n">
        <v>4</v>
      </c>
      <c r="H691" t="n">
        <v>0</v>
      </c>
      <c r="I691" t="n">
        <v>0</v>
      </c>
      <c r="J691" t="n">
        <v>0</v>
      </c>
      <c r="K691" t="n">
        <v>0</v>
      </c>
      <c r="L691" t="n">
        <v>0</v>
      </c>
      <c r="M691" t="n">
        <v>0</v>
      </c>
      <c r="N691" t="n">
        <v>0</v>
      </c>
      <c r="O691" t="n">
        <v>0</v>
      </c>
      <c r="P691" t="n">
        <v>0</v>
      </c>
      <c r="Q691" t="n">
        <v>0</v>
      </c>
      <c r="R691" s="2" t="inlineStr"/>
    </row>
    <row r="692" ht="15" customHeight="1">
      <c r="A692" t="inlineStr">
        <is>
          <t>A 38080-2025</t>
        </is>
      </c>
      <c r="B692" s="1" t="n">
        <v>45882</v>
      </c>
      <c r="C692" s="1" t="n">
        <v>46072</v>
      </c>
      <c r="D692" t="inlineStr">
        <is>
          <t>JÄMTLANDS LÄN</t>
        </is>
      </c>
      <c r="E692" t="inlineStr">
        <is>
          <t>BERG</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46298-2024</t>
        </is>
      </c>
      <c r="B693" s="1" t="n">
        <v>45581.67739583334</v>
      </c>
      <c r="C693" s="1" t="n">
        <v>46072</v>
      </c>
      <c r="D693" t="inlineStr">
        <is>
          <t>JÄMTLANDS LÄN</t>
        </is>
      </c>
      <c r="E693" t="inlineStr">
        <is>
          <t>BERG</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36-2024</t>
        </is>
      </c>
      <c r="B694" s="1" t="n">
        <v>45293</v>
      </c>
      <c r="C694" s="1" t="n">
        <v>46072</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59763-2025</t>
        </is>
      </c>
      <c r="B695" s="1" t="n">
        <v>45992.59430555555</v>
      </c>
      <c r="C695" s="1" t="n">
        <v>46072</v>
      </c>
      <c r="D695" t="inlineStr">
        <is>
          <t>JÄMTLANDS LÄN</t>
        </is>
      </c>
      <c r="E695" t="inlineStr">
        <is>
          <t>BERG</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45206-2024</t>
        </is>
      </c>
      <c r="B696" s="1" t="n">
        <v>45575.69966435185</v>
      </c>
      <c r="C696" s="1" t="n">
        <v>46072</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1495-2026</t>
        </is>
      </c>
      <c r="B697" s="1" t="n">
        <v>46034.32285879629</v>
      </c>
      <c r="C697" s="1" t="n">
        <v>46072</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59841-2025</t>
        </is>
      </c>
      <c r="B698" s="1" t="n">
        <v>45992</v>
      </c>
      <c r="C698" s="1" t="n">
        <v>46072</v>
      </c>
      <c r="D698" t="inlineStr">
        <is>
          <t>JÄMTLANDS LÄN</t>
        </is>
      </c>
      <c r="E698" t="inlineStr">
        <is>
          <t>BERG</t>
        </is>
      </c>
      <c r="G698" t="n">
        <v>14.9</v>
      </c>
      <c r="H698" t="n">
        <v>0</v>
      </c>
      <c r="I698" t="n">
        <v>0</v>
      </c>
      <c r="J698" t="n">
        <v>0</v>
      </c>
      <c r="K698" t="n">
        <v>0</v>
      </c>
      <c r="L698" t="n">
        <v>0</v>
      </c>
      <c r="M698" t="n">
        <v>0</v>
      </c>
      <c r="N698" t="n">
        <v>0</v>
      </c>
      <c r="O698" t="n">
        <v>0</v>
      </c>
      <c r="P698" t="n">
        <v>0</v>
      </c>
      <c r="Q698" t="n">
        <v>0</v>
      </c>
      <c r="R698" s="2" t="inlineStr"/>
    </row>
    <row r="699" ht="15" customHeight="1">
      <c r="A699" t="inlineStr">
        <is>
          <t>A 60077-2025</t>
        </is>
      </c>
      <c r="B699" s="1" t="n">
        <v>45993.67987268518</v>
      </c>
      <c r="C699" s="1" t="n">
        <v>46072</v>
      </c>
      <c r="D699" t="inlineStr">
        <is>
          <t>JÄMTLANDS LÄN</t>
        </is>
      </c>
      <c r="E699" t="inlineStr">
        <is>
          <t>BERG</t>
        </is>
      </c>
      <c r="G699" t="n">
        <v>0.7</v>
      </c>
      <c r="H699" t="n">
        <v>0</v>
      </c>
      <c r="I699" t="n">
        <v>0</v>
      </c>
      <c r="J699" t="n">
        <v>0</v>
      </c>
      <c r="K699" t="n">
        <v>0</v>
      </c>
      <c r="L699" t="n">
        <v>0</v>
      </c>
      <c r="M699" t="n">
        <v>0</v>
      </c>
      <c r="N699" t="n">
        <v>0</v>
      </c>
      <c r="O699" t="n">
        <v>0</v>
      </c>
      <c r="P699" t="n">
        <v>0</v>
      </c>
      <c r="Q699" t="n">
        <v>0</v>
      </c>
      <c r="R699" s="2" t="inlineStr"/>
    </row>
    <row r="700" ht="15" customHeight="1">
      <c r="A700" t="inlineStr">
        <is>
          <t>A 23877-2024</t>
        </is>
      </c>
      <c r="B700" s="1" t="n">
        <v>45455.63024305556</v>
      </c>
      <c r="C700" s="1" t="n">
        <v>46072</v>
      </c>
      <c r="D700" t="inlineStr">
        <is>
          <t>JÄMTLANDS LÄN</t>
        </is>
      </c>
      <c r="E700" t="inlineStr">
        <is>
          <t>BERG</t>
        </is>
      </c>
      <c r="G700" t="n">
        <v>2</v>
      </c>
      <c r="H700" t="n">
        <v>0</v>
      </c>
      <c r="I700" t="n">
        <v>0</v>
      </c>
      <c r="J700" t="n">
        <v>0</v>
      </c>
      <c r="K700" t="n">
        <v>0</v>
      </c>
      <c r="L700" t="n">
        <v>0</v>
      </c>
      <c r="M700" t="n">
        <v>0</v>
      </c>
      <c r="N700" t="n">
        <v>0</v>
      </c>
      <c r="O700" t="n">
        <v>0</v>
      </c>
      <c r="P700" t="n">
        <v>0</v>
      </c>
      <c r="Q700" t="n">
        <v>0</v>
      </c>
      <c r="R700" s="2" t="inlineStr"/>
    </row>
    <row r="701" ht="15" customHeight="1">
      <c r="A701" t="inlineStr">
        <is>
          <t>A 23880-2024</t>
        </is>
      </c>
      <c r="B701" s="1" t="n">
        <v>45455.63731481481</v>
      </c>
      <c r="C701" s="1" t="n">
        <v>46072</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62299-2023</t>
        </is>
      </c>
      <c r="B702" s="1" t="n">
        <v>45266</v>
      </c>
      <c r="C702" s="1" t="n">
        <v>46072</v>
      </c>
      <c r="D702" t="inlineStr">
        <is>
          <t>JÄMTLANDS LÄN</t>
        </is>
      </c>
      <c r="E702" t="inlineStr">
        <is>
          <t>BERG</t>
        </is>
      </c>
      <c r="G702" t="n">
        <v>2.6</v>
      </c>
      <c r="H702" t="n">
        <v>0</v>
      </c>
      <c r="I702" t="n">
        <v>0</v>
      </c>
      <c r="J702" t="n">
        <v>0</v>
      </c>
      <c r="K702" t="n">
        <v>0</v>
      </c>
      <c r="L702" t="n">
        <v>0</v>
      </c>
      <c r="M702" t="n">
        <v>0</v>
      </c>
      <c r="N702" t="n">
        <v>0</v>
      </c>
      <c r="O702" t="n">
        <v>0</v>
      </c>
      <c r="P702" t="n">
        <v>0</v>
      </c>
      <c r="Q702" t="n">
        <v>0</v>
      </c>
      <c r="R702" s="2" t="inlineStr"/>
    </row>
    <row r="703" ht="15" customHeight="1">
      <c r="A703" t="inlineStr">
        <is>
          <t>A 60051-2025</t>
        </is>
      </c>
      <c r="B703" s="1" t="n">
        <v>45993.6353125</v>
      </c>
      <c r="C703" s="1" t="n">
        <v>46072</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1939-2026</t>
        </is>
      </c>
      <c r="B704" s="1" t="n">
        <v>46035.58862268519</v>
      </c>
      <c r="C704" s="1" t="n">
        <v>46072</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1498-2026</t>
        </is>
      </c>
      <c r="B705" s="1" t="n">
        <v>46034.331875</v>
      </c>
      <c r="C705" s="1" t="n">
        <v>46072</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60163-2025</t>
        </is>
      </c>
      <c r="B706" s="1" t="n">
        <v>45994.43094907407</v>
      </c>
      <c r="C706" s="1" t="n">
        <v>46072</v>
      </c>
      <c r="D706" t="inlineStr">
        <is>
          <t>JÄMTLANDS LÄN</t>
        </is>
      </c>
      <c r="E706" t="inlineStr">
        <is>
          <t>BERG</t>
        </is>
      </c>
      <c r="F706" t="inlineStr">
        <is>
          <t>Övriga Aktiebolag</t>
        </is>
      </c>
      <c r="G706" t="n">
        <v>7</v>
      </c>
      <c r="H706" t="n">
        <v>0</v>
      </c>
      <c r="I706" t="n">
        <v>0</v>
      </c>
      <c r="J706" t="n">
        <v>0</v>
      </c>
      <c r="K706" t="n">
        <v>0</v>
      </c>
      <c r="L706" t="n">
        <v>0</v>
      </c>
      <c r="M706" t="n">
        <v>0</v>
      </c>
      <c r="N706" t="n">
        <v>0</v>
      </c>
      <c r="O706" t="n">
        <v>0</v>
      </c>
      <c r="P706" t="n">
        <v>0</v>
      </c>
      <c r="Q706" t="n">
        <v>0</v>
      </c>
      <c r="R706" s="2" t="inlineStr"/>
    </row>
    <row r="707" ht="15" customHeight="1">
      <c r="A707" t="inlineStr">
        <is>
          <t>A 2312-2026</t>
        </is>
      </c>
      <c r="B707" s="1" t="n">
        <v>46036.59519675926</v>
      </c>
      <c r="C707" s="1" t="n">
        <v>46072</v>
      </c>
      <c r="D707" t="inlineStr">
        <is>
          <t>JÄMTLANDS LÄN</t>
        </is>
      </c>
      <c r="E707" t="inlineStr">
        <is>
          <t>BERG</t>
        </is>
      </c>
      <c r="G707" t="n">
        <v>5.4</v>
      </c>
      <c r="H707" t="n">
        <v>0</v>
      </c>
      <c r="I707" t="n">
        <v>0</v>
      </c>
      <c r="J707" t="n">
        <v>0</v>
      </c>
      <c r="K707" t="n">
        <v>0</v>
      </c>
      <c r="L707" t="n">
        <v>0</v>
      </c>
      <c r="M707" t="n">
        <v>0</v>
      </c>
      <c r="N707" t="n">
        <v>0</v>
      </c>
      <c r="O707" t="n">
        <v>0</v>
      </c>
      <c r="P707" t="n">
        <v>0</v>
      </c>
      <c r="Q707" t="n">
        <v>0</v>
      </c>
      <c r="R707" s="2" t="inlineStr"/>
    </row>
    <row r="708" ht="15" customHeight="1">
      <c r="A708" t="inlineStr">
        <is>
          <t>A 5644-2025</t>
        </is>
      </c>
      <c r="B708" s="1" t="n">
        <v>45693.6833449074</v>
      </c>
      <c r="C708" s="1" t="n">
        <v>46072</v>
      </c>
      <c r="D708" t="inlineStr">
        <is>
          <t>JÄMTLANDS LÄN</t>
        </is>
      </c>
      <c r="E708" t="inlineStr">
        <is>
          <t>BERG</t>
        </is>
      </c>
      <c r="G708" t="n">
        <v>2.1</v>
      </c>
      <c r="H708" t="n">
        <v>0</v>
      </c>
      <c r="I708" t="n">
        <v>0</v>
      </c>
      <c r="J708" t="n">
        <v>0</v>
      </c>
      <c r="K708" t="n">
        <v>0</v>
      </c>
      <c r="L708" t="n">
        <v>0</v>
      </c>
      <c r="M708" t="n">
        <v>0</v>
      </c>
      <c r="N708" t="n">
        <v>0</v>
      </c>
      <c r="O708" t="n">
        <v>0</v>
      </c>
      <c r="P708" t="n">
        <v>0</v>
      </c>
      <c r="Q708" t="n">
        <v>0</v>
      </c>
      <c r="R708" s="2" t="inlineStr"/>
    </row>
    <row r="709" ht="15" customHeight="1">
      <c r="A709" t="inlineStr">
        <is>
          <t>A 18872-2023</t>
        </is>
      </c>
      <c r="B709" s="1" t="n">
        <v>45042</v>
      </c>
      <c r="C709" s="1" t="n">
        <v>46072</v>
      </c>
      <c r="D709" t="inlineStr">
        <is>
          <t>JÄMTLANDS LÄN</t>
        </is>
      </c>
      <c r="E709" t="inlineStr">
        <is>
          <t>BERG</t>
        </is>
      </c>
      <c r="G709" t="n">
        <v>13.2</v>
      </c>
      <c r="H709" t="n">
        <v>0</v>
      </c>
      <c r="I709" t="n">
        <v>0</v>
      </c>
      <c r="J709" t="n">
        <v>0</v>
      </c>
      <c r="K709" t="n">
        <v>0</v>
      </c>
      <c r="L709" t="n">
        <v>0</v>
      </c>
      <c r="M709" t="n">
        <v>0</v>
      </c>
      <c r="N709" t="n">
        <v>0</v>
      </c>
      <c r="O709" t="n">
        <v>0</v>
      </c>
      <c r="P709" t="n">
        <v>0</v>
      </c>
      <c r="Q709" t="n">
        <v>0</v>
      </c>
      <c r="R709" s="2" t="inlineStr"/>
    </row>
    <row r="710" ht="15" customHeight="1">
      <c r="A710" t="inlineStr">
        <is>
          <t>A 29424-2024</t>
        </is>
      </c>
      <c r="B710" s="1" t="n">
        <v>45483.71451388889</v>
      </c>
      <c r="C710" s="1" t="n">
        <v>46072</v>
      </c>
      <c r="D710" t="inlineStr">
        <is>
          <t>JÄMTLANDS LÄN</t>
        </is>
      </c>
      <c r="E710" t="inlineStr">
        <is>
          <t>BERG</t>
        </is>
      </c>
      <c r="G710" t="n">
        <v>4</v>
      </c>
      <c r="H710" t="n">
        <v>0</v>
      </c>
      <c r="I710" t="n">
        <v>0</v>
      </c>
      <c r="J710" t="n">
        <v>0</v>
      </c>
      <c r="K710" t="n">
        <v>0</v>
      </c>
      <c r="L710" t="n">
        <v>0</v>
      </c>
      <c r="M710" t="n">
        <v>0</v>
      </c>
      <c r="N710" t="n">
        <v>0</v>
      </c>
      <c r="O710" t="n">
        <v>0</v>
      </c>
      <c r="P710" t="n">
        <v>0</v>
      </c>
      <c r="Q710" t="n">
        <v>0</v>
      </c>
      <c r="R710" s="2" t="inlineStr"/>
    </row>
    <row r="711" ht="15" customHeight="1">
      <c r="A711" t="inlineStr">
        <is>
          <t>A 60249-2022</t>
        </is>
      </c>
      <c r="B711" s="1" t="n">
        <v>44903</v>
      </c>
      <c r="C711" s="1" t="n">
        <v>46072</v>
      </c>
      <c r="D711" t="inlineStr">
        <is>
          <t>JÄMTLANDS LÄN</t>
        </is>
      </c>
      <c r="E711" t="inlineStr">
        <is>
          <t>BERG</t>
        </is>
      </c>
      <c r="G711" t="n">
        <v>6</v>
      </c>
      <c r="H711" t="n">
        <v>0</v>
      </c>
      <c r="I711" t="n">
        <v>0</v>
      </c>
      <c r="J711" t="n">
        <v>0</v>
      </c>
      <c r="K711" t="n">
        <v>0</v>
      </c>
      <c r="L711" t="n">
        <v>0</v>
      </c>
      <c r="M711" t="n">
        <v>0</v>
      </c>
      <c r="N711" t="n">
        <v>0</v>
      </c>
      <c r="O711" t="n">
        <v>0</v>
      </c>
      <c r="P711" t="n">
        <v>0</v>
      </c>
      <c r="Q711" t="n">
        <v>0</v>
      </c>
      <c r="R711" s="2" t="inlineStr"/>
    </row>
    <row r="712" ht="15" customHeight="1">
      <c r="A712" t="inlineStr">
        <is>
          <t>A 2632-2026</t>
        </is>
      </c>
      <c r="B712" s="1" t="n">
        <v>46035</v>
      </c>
      <c r="C712" s="1" t="n">
        <v>46072</v>
      </c>
      <c r="D712" t="inlineStr">
        <is>
          <t>JÄMTLANDS LÄN</t>
        </is>
      </c>
      <c r="E712" t="inlineStr">
        <is>
          <t>BERG</t>
        </is>
      </c>
      <c r="G712" t="n">
        <v>0.9</v>
      </c>
      <c r="H712" t="n">
        <v>0</v>
      </c>
      <c r="I712" t="n">
        <v>0</v>
      </c>
      <c r="J712" t="n">
        <v>0</v>
      </c>
      <c r="K712" t="n">
        <v>0</v>
      </c>
      <c r="L712" t="n">
        <v>0</v>
      </c>
      <c r="M712" t="n">
        <v>0</v>
      </c>
      <c r="N712" t="n">
        <v>0</v>
      </c>
      <c r="O712" t="n">
        <v>0</v>
      </c>
      <c r="P712" t="n">
        <v>0</v>
      </c>
      <c r="Q712" t="n">
        <v>0</v>
      </c>
      <c r="R712" s="2" t="inlineStr"/>
    </row>
    <row r="713" ht="15" customHeight="1">
      <c r="A713" t="inlineStr">
        <is>
          <t>A 8065-2024</t>
        </is>
      </c>
      <c r="B713" s="1" t="n">
        <v>45351.40697916667</v>
      </c>
      <c r="C713" s="1" t="n">
        <v>46072</v>
      </c>
      <c r="D713" t="inlineStr">
        <is>
          <t>JÄMTLANDS LÄN</t>
        </is>
      </c>
      <c r="E713" t="inlineStr">
        <is>
          <t>BERG</t>
        </is>
      </c>
      <c r="G713" t="n">
        <v>6.9</v>
      </c>
      <c r="H713" t="n">
        <v>0</v>
      </c>
      <c r="I713" t="n">
        <v>0</v>
      </c>
      <c r="J713" t="n">
        <v>0</v>
      </c>
      <c r="K713" t="n">
        <v>0</v>
      </c>
      <c r="L713" t="n">
        <v>0</v>
      </c>
      <c r="M713" t="n">
        <v>0</v>
      </c>
      <c r="N713" t="n">
        <v>0</v>
      </c>
      <c r="O713" t="n">
        <v>0</v>
      </c>
      <c r="P713" t="n">
        <v>0</v>
      </c>
      <c r="Q713" t="n">
        <v>0</v>
      </c>
      <c r="R713" s="2" t="inlineStr"/>
    </row>
    <row r="714" ht="15" customHeight="1">
      <c r="A714" t="inlineStr">
        <is>
          <t>A 35911-2024</t>
        </is>
      </c>
      <c r="B714" s="1" t="n">
        <v>45533.41498842592</v>
      </c>
      <c r="C714" s="1" t="n">
        <v>46072</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60463-2025</t>
        </is>
      </c>
      <c r="B715" s="1" t="n">
        <v>45995.55276620371</v>
      </c>
      <c r="C715" s="1" t="n">
        <v>46072</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61837-2023</t>
        </is>
      </c>
      <c r="B716" s="1" t="n">
        <v>45264</v>
      </c>
      <c r="C716" s="1" t="n">
        <v>46072</v>
      </c>
      <c r="D716" t="inlineStr">
        <is>
          <t>JÄMTLANDS LÄN</t>
        </is>
      </c>
      <c r="E716" t="inlineStr">
        <is>
          <t>BERG</t>
        </is>
      </c>
      <c r="G716" t="n">
        <v>0.6</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46072</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46072</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60028-2022</t>
        </is>
      </c>
      <c r="B719" s="1" t="n">
        <v>44902</v>
      </c>
      <c r="C719" s="1" t="n">
        <v>46072</v>
      </c>
      <c r="D719" t="inlineStr">
        <is>
          <t>JÄMTLANDS LÄN</t>
        </is>
      </c>
      <c r="E719" t="inlineStr">
        <is>
          <t>BERG</t>
        </is>
      </c>
      <c r="G719" t="n">
        <v>20</v>
      </c>
      <c r="H719" t="n">
        <v>0</v>
      </c>
      <c r="I719" t="n">
        <v>0</v>
      </c>
      <c r="J719" t="n">
        <v>0</v>
      </c>
      <c r="K719" t="n">
        <v>0</v>
      </c>
      <c r="L719" t="n">
        <v>0</v>
      </c>
      <c r="M719" t="n">
        <v>0</v>
      </c>
      <c r="N719" t="n">
        <v>0</v>
      </c>
      <c r="O719" t="n">
        <v>0</v>
      </c>
      <c r="P719" t="n">
        <v>0</v>
      </c>
      <c r="Q719" t="n">
        <v>0</v>
      </c>
      <c r="R719" s="2" t="inlineStr"/>
    </row>
    <row r="720" ht="15" customHeight="1">
      <c r="A720" t="inlineStr">
        <is>
          <t>A 2346-2026</t>
        </is>
      </c>
      <c r="B720" s="1" t="n">
        <v>46036.62737268519</v>
      </c>
      <c r="C720" s="1" t="n">
        <v>46072</v>
      </c>
      <c r="D720" t="inlineStr">
        <is>
          <t>JÄMTLANDS LÄN</t>
        </is>
      </c>
      <c r="E720" t="inlineStr">
        <is>
          <t>BERG</t>
        </is>
      </c>
      <c r="G720" t="n">
        <v>4.2</v>
      </c>
      <c r="H720" t="n">
        <v>0</v>
      </c>
      <c r="I720" t="n">
        <v>0</v>
      </c>
      <c r="J720" t="n">
        <v>0</v>
      </c>
      <c r="K720" t="n">
        <v>0</v>
      </c>
      <c r="L720" t="n">
        <v>0</v>
      </c>
      <c r="M720" t="n">
        <v>0</v>
      </c>
      <c r="N720" t="n">
        <v>0</v>
      </c>
      <c r="O720" t="n">
        <v>0</v>
      </c>
      <c r="P720" t="n">
        <v>0</v>
      </c>
      <c r="Q720" t="n">
        <v>0</v>
      </c>
      <c r="R720" s="2" t="inlineStr"/>
    </row>
    <row r="721" ht="15" customHeight="1">
      <c r="A721" t="inlineStr">
        <is>
          <t>A 32654-2025</t>
        </is>
      </c>
      <c r="B721" s="1" t="n">
        <v>45838.6778587963</v>
      </c>
      <c r="C721" s="1" t="n">
        <v>46072</v>
      </c>
      <c r="D721" t="inlineStr">
        <is>
          <t>JÄMTLANDS LÄN</t>
        </is>
      </c>
      <c r="E721" t="inlineStr">
        <is>
          <t>BERG</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60632-2025</t>
        </is>
      </c>
      <c r="B722" s="1" t="n">
        <v>45996.42769675926</v>
      </c>
      <c r="C722" s="1" t="n">
        <v>46072</v>
      </c>
      <c r="D722" t="inlineStr">
        <is>
          <t>JÄMTLANDS LÄN</t>
        </is>
      </c>
      <c r="E722" t="inlineStr">
        <is>
          <t>BERG</t>
        </is>
      </c>
      <c r="F722" t="inlineStr">
        <is>
          <t>SCA</t>
        </is>
      </c>
      <c r="G722" t="n">
        <v>18.2</v>
      </c>
      <c r="H722" t="n">
        <v>0</v>
      </c>
      <c r="I722" t="n">
        <v>0</v>
      </c>
      <c r="J722" t="n">
        <v>0</v>
      </c>
      <c r="K722" t="n">
        <v>0</v>
      </c>
      <c r="L722" t="n">
        <v>0</v>
      </c>
      <c r="M722" t="n">
        <v>0</v>
      </c>
      <c r="N722" t="n">
        <v>0</v>
      </c>
      <c r="O722" t="n">
        <v>0</v>
      </c>
      <c r="P722" t="n">
        <v>0</v>
      </c>
      <c r="Q722" t="n">
        <v>0</v>
      </c>
      <c r="R722" s="2" t="inlineStr"/>
    </row>
    <row r="723" ht="15" customHeight="1">
      <c r="A723" t="inlineStr">
        <is>
          <t>A 60635-2025</t>
        </is>
      </c>
      <c r="B723" s="1" t="n">
        <v>45996.42826388889</v>
      </c>
      <c r="C723" s="1" t="n">
        <v>46072</v>
      </c>
      <c r="D723" t="inlineStr">
        <is>
          <t>JÄMTLANDS LÄN</t>
        </is>
      </c>
      <c r="E723" t="inlineStr">
        <is>
          <t>BERG</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60634-2025</t>
        </is>
      </c>
      <c r="B724" s="1" t="n">
        <v>45996.42805555555</v>
      </c>
      <c r="C724" s="1" t="n">
        <v>46072</v>
      </c>
      <c r="D724" t="inlineStr">
        <is>
          <t>JÄMTLANDS LÄN</t>
        </is>
      </c>
      <c r="E724" t="inlineStr">
        <is>
          <t>BERG</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32465-2024</t>
        </is>
      </c>
      <c r="B725" s="1" t="n">
        <v>45512.96096064815</v>
      </c>
      <c r="C725" s="1" t="n">
        <v>46072</v>
      </c>
      <c r="D725" t="inlineStr">
        <is>
          <t>JÄMTLANDS LÄN</t>
        </is>
      </c>
      <c r="E725" t="inlineStr">
        <is>
          <t>BERG</t>
        </is>
      </c>
      <c r="G725" t="n">
        <v>6.7</v>
      </c>
      <c r="H725" t="n">
        <v>0</v>
      </c>
      <c r="I725" t="n">
        <v>0</v>
      </c>
      <c r="J725" t="n">
        <v>0</v>
      </c>
      <c r="K725" t="n">
        <v>0</v>
      </c>
      <c r="L725" t="n">
        <v>0</v>
      </c>
      <c r="M725" t="n">
        <v>0</v>
      </c>
      <c r="N725" t="n">
        <v>0</v>
      </c>
      <c r="O725" t="n">
        <v>0</v>
      </c>
      <c r="P725" t="n">
        <v>0</v>
      </c>
      <c r="Q725" t="n">
        <v>0</v>
      </c>
      <c r="R725" s="2" t="inlineStr"/>
    </row>
    <row r="726" ht="15" customHeight="1">
      <c r="A726" t="inlineStr">
        <is>
          <t>A 51548-2023</t>
        </is>
      </c>
      <c r="B726" s="1" t="n">
        <v>45215</v>
      </c>
      <c r="C726" s="1" t="n">
        <v>46072</v>
      </c>
      <c r="D726" t="inlineStr">
        <is>
          <t>JÄMTLANDS LÄN</t>
        </is>
      </c>
      <c r="E726" t="inlineStr">
        <is>
          <t>BERG</t>
        </is>
      </c>
      <c r="G726" t="n">
        <v>4.8</v>
      </c>
      <c r="H726" t="n">
        <v>0</v>
      </c>
      <c r="I726" t="n">
        <v>0</v>
      </c>
      <c r="J726" t="n">
        <v>0</v>
      </c>
      <c r="K726" t="n">
        <v>0</v>
      </c>
      <c r="L726" t="n">
        <v>0</v>
      </c>
      <c r="M726" t="n">
        <v>0</v>
      </c>
      <c r="N726" t="n">
        <v>0</v>
      </c>
      <c r="O726" t="n">
        <v>0</v>
      </c>
      <c r="P726" t="n">
        <v>0</v>
      </c>
      <c r="Q726" t="n">
        <v>0</v>
      </c>
      <c r="R726" s="2" t="inlineStr"/>
    </row>
    <row r="727" ht="15" customHeight="1">
      <c r="A727" t="inlineStr">
        <is>
          <t>A 60068-2022</t>
        </is>
      </c>
      <c r="B727" s="1" t="n">
        <v>44902</v>
      </c>
      <c r="C727" s="1" t="n">
        <v>46072</v>
      </c>
      <c r="D727" t="inlineStr">
        <is>
          <t>JÄMTLANDS LÄN</t>
        </is>
      </c>
      <c r="E727" t="inlineStr">
        <is>
          <t>BERG</t>
        </is>
      </c>
      <c r="G727" t="n">
        <v>5.2</v>
      </c>
      <c r="H727" t="n">
        <v>0</v>
      </c>
      <c r="I727" t="n">
        <v>0</v>
      </c>
      <c r="J727" t="n">
        <v>0</v>
      </c>
      <c r="K727" t="n">
        <v>0</v>
      </c>
      <c r="L727" t="n">
        <v>0</v>
      </c>
      <c r="M727" t="n">
        <v>0</v>
      </c>
      <c r="N727" t="n">
        <v>0</v>
      </c>
      <c r="O727" t="n">
        <v>0</v>
      </c>
      <c r="P727" t="n">
        <v>0</v>
      </c>
      <c r="Q727" t="n">
        <v>0</v>
      </c>
      <c r="R727" s="2" t="inlineStr"/>
    </row>
    <row r="728" ht="15" customHeight="1">
      <c r="A728" t="inlineStr">
        <is>
          <t>A 7482-2022</t>
        </is>
      </c>
      <c r="B728" s="1" t="n">
        <v>44606</v>
      </c>
      <c r="C728" s="1" t="n">
        <v>46072</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3241-2026</t>
        </is>
      </c>
      <c r="B729" s="1" t="n">
        <v>46041.56872685185</v>
      </c>
      <c r="C729" s="1" t="n">
        <v>46072</v>
      </c>
      <c r="D729" t="inlineStr">
        <is>
          <t>JÄMTLANDS LÄN</t>
        </is>
      </c>
      <c r="E729" t="inlineStr">
        <is>
          <t>BERG</t>
        </is>
      </c>
      <c r="G729" t="n">
        <v>2</v>
      </c>
      <c r="H729" t="n">
        <v>0</v>
      </c>
      <c r="I729" t="n">
        <v>0</v>
      </c>
      <c r="J729" t="n">
        <v>0</v>
      </c>
      <c r="K729" t="n">
        <v>0</v>
      </c>
      <c r="L729" t="n">
        <v>0</v>
      </c>
      <c r="M729" t="n">
        <v>0</v>
      </c>
      <c r="N729" t="n">
        <v>0</v>
      </c>
      <c r="O729" t="n">
        <v>0</v>
      </c>
      <c r="P729" t="n">
        <v>0</v>
      </c>
      <c r="Q729" t="n">
        <v>0</v>
      </c>
      <c r="R729" s="2" t="inlineStr"/>
    </row>
    <row r="730" ht="15" customHeight="1">
      <c r="A730" t="inlineStr">
        <is>
          <t>A 31641-2022</t>
        </is>
      </c>
      <c r="B730" s="1" t="n">
        <v>44775.94119212963</v>
      </c>
      <c r="C730" s="1" t="n">
        <v>46072</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3810-2026</t>
        </is>
      </c>
      <c r="B731" s="1" t="n">
        <v>46043.58373842593</v>
      </c>
      <c r="C731" s="1" t="n">
        <v>46072</v>
      </c>
      <c r="D731" t="inlineStr">
        <is>
          <t>JÄMTLANDS LÄN</t>
        </is>
      </c>
      <c r="E731" t="inlineStr">
        <is>
          <t>BERG</t>
        </is>
      </c>
      <c r="G731" t="n">
        <v>2.5</v>
      </c>
      <c r="H731" t="n">
        <v>0</v>
      </c>
      <c r="I731" t="n">
        <v>0</v>
      </c>
      <c r="J731" t="n">
        <v>0</v>
      </c>
      <c r="K731" t="n">
        <v>0</v>
      </c>
      <c r="L731" t="n">
        <v>0</v>
      </c>
      <c r="M731" t="n">
        <v>0</v>
      </c>
      <c r="N731" t="n">
        <v>0</v>
      </c>
      <c r="O731" t="n">
        <v>0</v>
      </c>
      <c r="P731" t="n">
        <v>0</v>
      </c>
      <c r="Q731" t="n">
        <v>0</v>
      </c>
      <c r="R731" s="2" t="inlineStr"/>
    </row>
    <row r="732" ht="15" customHeight="1">
      <c r="A732" t="inlineStr">
        <is>
          <t>A 61501-2025</t>
        </is>
      </c>
      <c r="B732" s="1" t="n">
        <v>46001.65951388889</v>
      </c>
      <c r="C732" s="1" t="n">
        <v>46072</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47168-2025</t>
        </is>
      </c>
      <c r="B733" s="1" t="n">
        <v>45929</v>
      </c>
      <c r="C733" s="1" t="n">
        <v>46072</v>
      </c>
      <c r="D733" t="inlineStr">
        <is>
          <t>JÄMTLANDS LÄN</t>
        </is>
      </c>
      <c r="E733" t="inlineStr">
        <is>
          <t>BERG</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16247-2024</t>
        </is>
      </c>
      <c r="B734" s="1" t="n">
        <v>45407.05797453703</v>
      </c>
      <c r="C734" s="1" t="n">
        <v>46072</v>
      </c>
      <c r="D734" t="inlineStr">
        <is>
          <t>JÄMTLANDS LÄN</t>
        </is>
      </c>
      <c r="E734" t="inlineStr">
        <is>
          <t>BERG</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46268-2023</t>
        </is>
      </c>
      <c r="B735" s="1" t="n">
        <v>45196</v>
      </c>
      <c r="C735" s="1" t="n">
        <v>46072</v>
      </c>
      <c r="D735" t="inlineStr">
        <is>
          <t>JÄMTLANDS LÄN</t>
        </is>
      </c>
      <c r="E735" t="inlineStr">
        <is>
          <t>BERG</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8069-2024</t>
        </is>
      </c>
      <c r="B736" s="1" t="n">
        <v>45351.41600694445</v>
      </c>
      <c r="C736" s="1" t="n">
        <v>46072</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61788-2023</t>
        </is>
      </c>
      <c r="B737" s="1" t="n">
        <v>45265.9577199074</v>
      </c>
      <c r="C737" s="1" t="n">
        <v>46072</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39785-2024</t>
        </is>
      </c>
      <c r="B738" s="1" t="n">
        <v>45553.29927083333</v>
      </c>
      <c r="C738" s="1" t="n">
        <v>46072</v>
      </c>
      <c r="D738" t="inlineStr">
        <is>
          <t>JÄMTLANDS LÄN</t>
        </is>
      </c>
      <c r="E738" t="inlineStr">
        <is>
          <t>BERG</t>
        </is>
      </c>
      <c r="G738" t="n">
        <v>16.1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46072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56226-2024</t>
        </is>
      </c>
      <c r="B740" s="1" t="n">
        <v>45624.61572916667</v>
      </c>
      <c r="C740" s="1" t="n">
        <v>46072</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41868-2024</t>
        </is>
      </c>
      <c r="B741" s="1" t="n">
        <v>45561.46900462963</v>
      </c>
      <c r="C741" s="1" t="n">
        <v>46072</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3796-2026</t>
        </is>
      </c>
      <c r="B742" s="1" t="n">
        <v>46043.57982638889</v>
      </c>
      <c r="C742" s="1" t="n">
        <v>46072</v>
      </c>
      <c r="D742" t="inlineStr">
        <is>
          <t>JÄMTLANDS LÄN</t>
        </is>
      </c>
      <c r="E742" t="inlineStr">
        <is>
          <t>BERG</t>
        </is>
      </c>
      <c r="G742" t="n">
        <v>2.5</v>
      </c>
      <c r="H742" t="n">
        <v>0</v>
      </c>
      <c r="I742" t="n">
        <v>0</v>
      </c>
      <c r="J742" t="n">
        <v>0</v>
      </c>
      <c r="K742" t="n">
        <v>0</v>
      </c>
      <c r="L742" t="n">
        <v>0</v>
      </c>
      <c r="M742" t="n">
        <v>0</v>
      </c>
      <c r="N742" t="n">
        <v>0</v>
      </c>
      <c r="O742" t="n">
        <v>0</v>
      </c>
      <c r="P742" t="n">
        <v>0</v>
      </c>
      <c r="Q742" t="n">
        <v>0</v>
      </c>
      <c r="R742" s="2" t="inlineStr"/>
    </row>
    <row r="743" ht="15" customHeight="1">
      <c r="A743" t="inlineStr">
        <is>
          <t>A 14431-2025</t>
        </is>
      </c>
      <c r="B743" s="1" t="n">
        <v>45741</v>
      </c>
      <c r="C743" s="1" t="n">
        <v>46072</v>
      </c>
      <c r="D743" t="inlineStr">
        <is>
          <t>JÄMTLANDS LÄN</t>
        </is>
      </c>
      <c r="E743" t="inlineStr">
        <is>
          <t>BERG</t>
        </is>
      </c>
      <c r="G743" t="n">
        <v>1.7</v>
      </c>
      <c r="H743" t="n">
        <v>0</v>
      </c>
      <c r="I743" t="n">
        <v>0</v>
      </c>
      <c r="J743" t="n">
        <v>0</v>
      </c>
      <c r="K743" t="n">
        <v>0</v>
      </c>
      <c r="L743" t="n">
        <v>0</v>
      </c>
      <c r="M743" t="n">
        <v>0</v>
      </c>
      <c r="N743" t="n">
        <v>0</v>
      </c>
      <c r="O743" t="n">
        <v>0</v>
      </c>
      <c r="P743" t="n">
        <v>0</v>
      </c>
      <c r="Q743" t="n">
        <v>0</v>
      </c>
      <c r="R743" s="2" t="inlineStr"/>
    </row>
    <row r="744" ht="15" customHeight="1">
      <c r="A744" t="inlineStr">
        <is>
          <t>A 61459-2025</t>
        </is>
      </c>
      <c r="B744" s="1" t="n">
        <v>46001.59416666667</v>
      </c>
      <c r="C744" s="1" t="n">
        <v>46072</v>
      </c>
      <c r="D744" t="inlineStr">
        <is>
          <t>JÄMTLANDS LÄN</t>
        </is>
      </c>
      <c r="E744" t="inlineStr">
        <is>
          <t>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61460-2025</t>
        </is>
      </c>
      <c r="B745" s="1" t="n">
        <v>46001.59425925926</v>
      </c>
      <c r="C745" s="1" t="n">
        <v>46072</v>
      </c>
      <c r="D745" t="inlineStr">
        <is>
          <t>JÄMTLANDS LÄN</t>
        </is>
      </c>
      <c r="E745" t="inlineStr">
        <is>
          <t>BERG</t>
        </is>
      </c>
      <c r="G745" t="n">
        <v>1.9</v>
      </c>
      <c r="H745" t="n">
        <v>0</v>
      </c>
      <c r="I745" t="n">
        <v>0</v>
      </c>
      <c r="J745" t="n">
        <v>0</v>
      </c>
      <c r="K745" t="n">
        <v>0</v>
      </c>
      <c r="L745" t="n">
        <v>0</v>
      </c>
      <c r="M745" t="n">
        <v>0</v>
      </c>
      <c r="N745" t="n">
        <v>0</v>
      </c>
      <c r="O745" t="n">
        <v>0</v>
      </c>
      <c r="P745" t="n">
        <v>0</v>
      </c>
      <c r="Q745" t="n">
        <v>0</v>
      </c>
      <c r="R745" s="2" t="inlineStr"/>
    </row>
    <row r="746" ht="15" customHeight="1">
      <c r="A746" t="inlineStr">
        <is>
          <t>A 18261-2022</t>
        </is>
      </c>
      <c r="B746" s="1" t="n">
        <v>44685.45633101852</v>
      </c>
      <c r="C746" s="1" t="n">
        <v>46072</v>
      </c>
      <c r="D746" t="inlineStr">
        <is>
          <t>JÄMTLANDS LÄN</t>
        </is>
      </c>
      <c r="E746" t="inlineStr">
        <is>
          <t>BERG</t>
        </is>
      </c>
      <c r="G746" t="n">
        <v>3</v>
      </c>
      <c r="H746" t="n">
        <v>0</v>
      </c>
      <c r="I746" t="n">
        <v>0</v>
      </c>
      <c r="J746" t="n">
        <v>0</v>
      </c>
      <c r="K746" t="n">
        <v>0</v>
      </c>
      <c r="L746" t="n">
        <v>0</v>
      </c>
      <c r="M746" t="n">
        <v>0</v>
      </c>
      <c r="N746" t="n">
        <v>0</v>
      </c>
      <c r="O746" t="n">
        <v>0</v>
      </c>
      <c r="P746" t="n">
        <v>0</v>
      </c>
      <c r="Q746" t="n">
        <v>0</v>
      </c>
      <c r="R746" s="2" t="inlineStr"/>
    </row>
    <row r="747" ht="15" customHeight="1">
      <c r="A747" t="inlineStr">
        <is>
          <t>A 4337-2026</t>
        </is>
      </c>
      <c r="B747" s="1" t="n">
        <v>46045</v>
      </c>
      <c r="C747" s="1" t="n">
        <v>46072</v>
      </c>
      <c r="D747" t="inlineStr">
        <is>
          <t>JÄMTLANDS LÄN</t>
        </is>
      </c>
      <c r="E747" t="inlineStr">
        <is>
          <t>BERG</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31682-2022</t>
        </is>
      </c>
      <c r="B748" s="1" t="n">
        <v>44776</v>
      </c>
      <c r="C748" s="1" t="n">
        <v>46072</v>
      </c>
      <c r="D748" t="inlineStr">
        <is>
          <t>JÄMTLANDS LÄN</t>
        </is>
      </c>
      <c r="E748" t="inlineStr">
        <is>
          <t>BERG</t>
        </is>
      </c>
      <c r="G748" t="n">
        <v>8</v>
      </c>
      <c r="H748" t="n">
        <v>0</v>
      </c>
      <c r="I748" t="n">
        <v>0</v>
      </c>
      <c r="J748" t="n">
        <v>0</v>
      </c>
      <c r="K748" t="n">
        <v>0</v>
      </c>
      <c r="L748" t="n">
        <v>0</v>
      </c>
      <c r="M748" t="n">
        <v>0</v>
      </c>
      <c r="N748" t="n">
        <v>0</v>
      </c>
      <c r="O748" t="n">
        <v>0</v>
      </c>
      <c r="P748" t="n">
        <v>0</v>
      </c>
      <c r="Q748" t="n">
        <v>0</v>
      </c>
      <c r="R748" s="2" t="inlineStr"/>
    </row>
    <row r="749" ht="15" customHeight="1">
      <c r="A749" t="inlineStr">
        <is>
          <t>A 44997-2021</t>
        </is>
      </c>
      <c r="B749" s="1" t="n">
        <v>44438</v>
      </c>
      <c r="C749" s="1" t="n">
        <v>46072</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1684-2026</t>
        </is>
      </c>
      <c r="B750" s="1" t="n">
        <v>46034.58386574074</v>
      </c>
      <c r="C750" s="1" t="n">
        <v>46072</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61647-2025</t>
        </is>
      </c>
      <c r="B751" s="1" t="n">
        <v>46002.4403587963</v>
      </c>
      <c r="C751" s="1" t="n">
        <v>46072</v>
      </c>
      <c r="D751" t="inlineStr">
        <is>
          <t>JÄMTLANDS LÄN</t>
        </is>
      </c>
      <c r="E751" t="inlineStr">
        <is>
          <t>BERG</t>
        </is>
      </c>
      <c r="G751" t="n">
        <v>3.2</v>
      </c>
      <c r="H751" t="n">
        <v>0</v>
      </c>
      <c r="I751" t="n">
        <v>0</v>
      </c>
      <c r="J751" t="n">
        <v>0</v>
      </c>
      <c r="K751" t="n">
        <v>0</v>
      </c>
      <c r="L751" t="n">
        <v>0</v>
      </c>
      <c r="M751" t="n">
        <v>0</v>
      </c>
      <c r="N751" t="n">
        <v>0</v>
      </c>
      <c r="O751" t="n">
        <v>0</v>
      </c>
      <c r="P751" t="n">
        <v>0</v>
      </c>
      <c r="Q751" t="n">
        <v>0</v>
      </c>
      <c r="R751" s="2" t="inlineStr"/>
    </row>
    <row r="752" ht="15" customHeight="1">
      <c r="A752" t="inlineStr">
        <is>
          <t>A 13473-2025</t>
        </is>
      </c>
      <c r="B752" s="1" t="n">
        <v>45736.40671296296</v>
      </c>
      <c r="C752" s="1" t="n">
        <v>46072</v>
      </c>
      <c r="D752" t="inlineStr">
        <is>
          <t>JÄMTLANDS LÄN</t>
        </is>
      </c>
      <c r="E752" t="inlineStr">
        <is>
          <t>BERG</t>
        </is>
      </c>
      <c r="F752" t="inlineStr">
        <is>
          <t>SCA</t>
        </is>
      </c>
      <c r="G752" t="n">
        <v>13.7</v>
      </c>
      <c r="H752" t="n">
        <v>0</v>
      </c>
      <c r="I752" t="n">
        <v>0</v>
      </c>
      <c r="J752" t="n">
        <v>0</v>
      </c>
      <c r="K752" t="n">
        <v>0</v>
      </c>
      <c r="L752" t="n">
        <v>0</v>
      </c>
      <c r="M752" t="n">
        <v>0</v>
      </c>
      <c r="N752" t="n">
        <v>0</v>
      </c>
      <c r="O752" t="n">
        <v>0</v>
      </c>
      <c r="P752" t="n">
        <v>0</v>
      </c>
      <c r="Q752" t="n">
        <v>0</v>
      </c>
      <c r="R752" s="2" t="inlineStr"/>
    </row>
    <row r="753" ht="15" customHeight="1">
      <c r="A753" t="inlineStr">
        <is>
          <t>A 61987-2025</t>
        </is>
      </c>
      <c r="B753" s="1" t="n">
        <v>46003.62914351852</v>
      </c>
      <c r="C753" s="1" t="n">
        <v>46072</v>
      </c>
      <c r="D753" t="inlineStr">
        <is>
          <t>JÄMTLANDS LÄN</t>
        </is>
      </c>
      <c r="E753" t="inlineStr">
        <is>
          <t>BERG</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59498-2024</t>
        </is>
      </c>
      <c r="B754" s="1" t="n">
        <v>45638.54635416667</v>
      </c>
      <c r="C754" s="1" t="n">
        <v>46072</v>
      </c>
      <c r="D754" t="inlineStr">
        <is>
          <t>JÄMTLANDS LÄN</t>
        </is>
      </c>
      <c r="E754" t="inlineStr">
        <is>
          <t>BERG</t>
        </is>
      </c>
      <c r="G754" t="n">
        <v>2.4</v>
      </c>
      <c r="H754" t="n">
        <v>0</v>
      </c>
      <c r="I754" t="n">
        <v>0</v>
      </c>
      <c r="J754" t="n">
        <v>0</v>
      </c>
      <c r="K754" t="n">
        <v>0</v>
      </c>
      <c r="L754" t="n">
        <v>0</v>
      </c>
      <c r="M754" t="n">
        <v>0</v>
      </c>
      <c r="N754" t="n">
        <v>0</v>
      </c>
      <c r="O754" t="n">
        <v>0</v>
      </c>
      <c r="P754" t="n">
        <v>0</v>
      </c>
      <c r="Q754" t="n">
        <v>0</v>
      </c>
      <c r="R754" s="2" t="inlineStr"/>
    </row>
    <row r="755" ht="15" customHeight="1">
      <c r="A755" t="inlineStr">
        <is>
          <t>A 61977-2025</t>
        </is>
      </c>
      <c r="B755" s="1" t="n">
        <v>46003.61158564815</v>
      </c>
      <c r="C755" s="1" t="n">
        <v>46072</v>
      </c>
      <c r="D755" t="inlineStr">
        <is>
          <t>JÄMTLANDS LÄN</t>
        </is>
      </c>
      <c r="E755" t="inlineStr">
        <is>
          <t>BERG</t>
        </is>
      </c>
      <c r="G755" t="n">
        <v>2.7</v>
      </c>
      <c r="H755" t="n">
        <v>0</v>
      </c>
      <c r="I755" t="n">
        <v>0</v>
      </c>
      <c r="J755" t="n">
        <v>0</v>
      </c>
      <c r="K755" t="n">
        <v>0</v>
      </c>
      <c r="L755" t="n">
        <v>0</v>
      </c>
      <c r="M755" t="n">
        <v>0</v>
      </c>
      <c r="N755" t="n">
        <v>0</v>
      </c>
      <c r="O755" t="n">
        <v>0</v>
      </c>
      <c r="P755" t="n">
        <v>0</v>
      </c>
      <c r="Q755" t="n">
        <v>0</v>
      </c>
      <c r="R755" s="2" t="inlineStr"/>
    </row>
    <row r="756" ht="15" customHeight="1">
      <c r="A756" t="inlineStr">
        <is>
          <t>A 61991-2025</t>
        </is>
      </c>
      <c r="B756" s="1" t="n">
        <v>46003.62962962963</v>
      </c>
      <c r="C756" s="1" t="n">
        <v>46072</v>
      </c>
      <c r="D756" t="inlineStr">
        <is>
          <t>JÄMTLANDS LÄN</t>
        </is>
      </c>
      <c r="E756" t="inlineStr">
        <is>
          <t>BERG</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4383-2026</t>
        </is>
      </c>
      <c r="B757" s="1" t="n">
        <v>46045.56296296296</v>
      </c>
      <c r="C757" s="1" t="n">
        <v>46072</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47119-2024</t>
        </is>
      </c>
      <c r="B758" s="1" t="n">
        <v>45586.56431712963</v>
      </c>
      <c r="C758" s="1" t="n">
        <v>46072</v>
      </c>
      <c r="D758" t="inlineStr">
        <is>
          <t>JÄMTLANDS LÄN</t>
        </is>
      </c>
      <c r="E758" t="inlineStr">
        <is>
          <t>BERG</t>
        </is>
      </c>
      <c r="G758" t="n">
        <v>5</v>
      </c>
      <c r="H758" t="n">
        <v>0</v>
      </c>
      <c r="I758" t="n">
        <v>0</v>
      </c>
      <c r="J758" t="n">
        <v>0</v>
      </c>
      <c r="K758" t="n">
        <v>0</v>
      </c>
      <c r="L758" t="n">
        <v>0</v>
      </c>
      <c r="M758" t="n">
        <v>0</v>
      </c>
      <c r="N758" t="n">
        <v>0</v>
      </c>
      <c r="O758" t="n">
        <v>0</v>
      </c>
      <c r="P758" t="n">
        <v>0</v>
      </c>
      <c r="Q758" t="n">
        <v>0</v>
      </c>
      <c r="R758" s="2" t="inlineStr"/>
    </row>
    <row r="759" ht="15" customHeight="1">
      <c r="A759" t="inlineStr">
        <is>
          <t>A 4833-2026</t>
        </is>
      </c>
      <c r="B759" s="1" t="n">
        <v>46048.60271990741</v>
      </c>
      <c r="C759" s="1" t="n">
        <v>46072</v>
      </c>
      <c r="D759" t="inlineStr">
        <is>
          <t>JÄMTLANDS LÄN</t>
        </is>
      </c>
      <c r="E759" t="inlineStr">
        <is>
          <t>BERG</t>
        </is>
      </c>
      <c r="G759" t="n">
        <v>0.8</v>
      </c>
      <c r="H759" t="n">
        <v>0</v>
      </c>
      <c r="I759" t="n">
        <v>0</v>
      </c>
      <c r="J759" t="n">
        <v>0</v>
      </c>
      <c r="K759" t="n">
        <v>0</v>
      </c>
      <c r="L759" t="n">
        <v>0</v>
      </c>
      <c r="M759" t="n">
        <v>0</v>
      </c>
      <c r="N759" t="n">
        <v>0</v>
      </c>
      <c r="O759" t="n">
        <v>0</v>
      </c>
      <c r="P759" t="n">
        <v>0</v>
      </c>
      <c r="Q759" t="n">
        <v>0</v>
      </c>
      <c r="R759" s="2" t="inlineStr"/>
    </row>
    <row r="760" ht="15" customHeight="1">
      <c r="A760" t="inlineStr">
        <is>
          <t>A 50169-2023</t>
        </is>
      </c>
      <c r="B760" s="1" t="n">
        <v>45208</v>
      </c>
      <c r="C760" s="1" t="n">
        <v>46072</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50172-2023</t>
        </is>
      </c>
      <c r="B761" s="1" t="n">
        <v>45208</v>
      </c>
      <c r="C761" s="1" t="n">
        <v>46072</v>
      </c>
      <c r="D761" t="inlineStr">
        <is>
          <t>JÄMTLANDS LÄN</t>
        </is>
      </c>
      <c r="E761" t="inlineStr">
        <is>
          <t>BERG</t>
        </is>
      </c>
      <c r="G761" t="n">
        <v>0.9</v>
      </c>
      <c r="H761" t="n">
        <v>0</v>
      </c>
      <c r="I761" t="n">
        <v>0</v>
      </c>
      <c r="J761" t="n">
        <v>0</v>
      </c>
      <c r="K761" t="n">
        <v>0</v>
      </c>
      <c r="L761" t="n">
        <v>0</v>
      </c>
      <c r="M761" t="n">
        <v>0</v>
      </c>
      <c r="N761" t="n">
        <v>0</v>
      </c>
      <c r="O761" t="n">
        <v>0</v>
      </c>
      <c r="P761" t="n">
        <v>0</v>
      </c>
      <c r="Q761" t="n">
        <v>0</v>
      </c>
      <c r="R761" s="2" t="inlineStr"/>
    </row>
    <row r="762" ht="15" customHeight="1">
      <c r="A762" t="inlineStr">
        <is>
          <t>A 2474-2025</t>
        </is>
      </c>
      <c r="B762" s="1" t="n">
        <v>45674.47496527778</v>
      </c>
      <c r="C762" s="1" t="n">
        <v>46072</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41886-2024</t>
        </is>
      </c>
      <c r="B763" s="1" t="n">
        <v>45561.48825231481</v>
      </c>
      <c r="C763" s="1" t="n">
        <v>46072</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49277-2024</t>
        </is>
      </c>
      <c r="B764" s="1" t="n">
        <v>45595.50820601852</v>
      </c>
      <c r="C764" s="1" t="n">
        <v>46072</v>
      </c>
      <c r="D764" t="inlineStr">
        <is>
          <t>JÄMTLANDS LÄN</t>
        </is>
      </c>
      <c r="E764" t="inlineStr">
        <is>
          <t>BERG</t>
        </is>
      </c>
      <c r="G764" t="n">
        <v>1.3</v>
      </c>
      <c r="H764" t="n">
        <v>0</v>
      </c>
      <c r="I764" t="n">
        <v>0</v>
      </c>
      <c r="J764" t="n">
        <v>0</v>
      </c>
      <c r="K764" t="n">
        <v>0</v>
      </c>
      <c r="L764" t="n">
        <v>0</v>
      </c>
      <c r="M764" t="n">
        <v>0</v>
      </c>
      <c r="N764" t="n">
        <v>0</v>
      </c>
      <c r="O764" t="n">
        <v>0</v>
      </c>
      <c r="P764" t="n">
        <v>0</v>
      </c>
      <c r="Q764" t="n">
        <v>0</v>
      </c>
      <c r="R764" s="2" t="inlineStr"/>
    </row>
    <row r="765" ht="15" customHeight="1">
      <c r="A765" t="inlineStr">
        <is>
          <t>A 34225-2024</t>
        </is>
      </c>
      <c r="B765" s="1" t="n">
        <v>45524.55398148148</v>
      </c>
      <c r="C765" s="1" t="n">
        <v>46072</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19538-2023</t>
        </is>
      </c>
      <c r="B766" s="1" t="n">
        <v>45050</v>
      </c>
      <c r="C766" s="1" t="n">
        <v>46072</v>
      </c>
      <c r="D766" t="inlineStr">
        <is>
          <t>JÄMTLANDS LÄN</t>
        </is>
      </c>
      <c r="E766" t="inlineStr">
        <is>
          <t>BERG</t>
        </is>
      </c>
      <c r="G766" t="n">
        <v>1.4</v>
      </c>
      <c r="H766" t="n">
        <v>0</v>
      </c>
      <c r="I766" t="n">
        <v>0</v>
      </c>
      <c r="J766" t="n">
        <v>0</v>
      </c>
      <c r="K766" t="n">
        <v>0</v>
      </c>
      <c r="L766" t="n">
        <v>0</v>
      </c>
      <c r="M766" t="n">
        <v>0</v>
      </c>
      <c r="N766" t="n">
        <v>0</v>
      </c>
      <c r="O766" t="n">
        <v>0</v>
      </c>
      <c r="P766" t="n">
        <v>0</v>
      </c>
      <c r="Q766" t="n">
        <v>0</v>
      </c>
      <c r="R766" s="2" t="inlineStr"/>
    </row>
    <row r="767" ht="15" customHeight="1">
      <c r="A767" t="inlineStr">
        <is>
          <t>A 9077-2023</t>
        </is>
      </c>
      <c r="B767" s="1" t="n">
        <v>44979</v>
      </c>
      <c r="C767" s="1" t="n">
        <v>46072</v>
      </c>
      <c r="D767" t="inlineStr">
        <is>
          <t>JÄMTLANDS LÄN</t>
        </is>
      </c>
      <c r="E767" t="inlineStr">
        <is>
          <t>BERG</t>
        </is>
      </c>
      <c r="G767" t="n">
        <v>3.6</v>
      </c>
      <c r="H767" t="n">
        <v>0</v>
      </c>
      <c r="I767" t="n">
        <v>0</v>
      </c>
      <c r="J767" t="n">
        <v>0</v>
      </c>
      <c r="K767" t="n">
        <v>0</v>
      </c>
      <c r="L767" t="n">
        <v>0</v>
      </c>
      <c r="M767" t="n">
        <v>0</v>
      </c>
      <c r="N767" t="n">
        <v>0</v>
      </c>
      <c r="O767" t="n">
        <v>0</v>
      </c>
      <c r="P767" t="n">
        <v>0</v>
      </c>
      <c r="Q767" t="n">
        <v>0</v>
      </c>
      <c r="R767" s="2" t="inlineStr"/>
    </row>
    <row r="768" ht="15" customHeight="1">
      <c r="A768" t="inlineStr">
        <is>
          <t>A 62052-2025</t>
        </is>
      </c>
      <c r="B768" s="1" t="n">
        <v>46006.32145833333</v>
      </c>
      <c r="C768" s="1" t="n">
        <v>46072</v>
      </c>
      <c r="D768" t="inlineStr">
        <is>
          <t>JÄMTLANDS LÄN</t>
        </is>
      </c>
      <c r="E768" t="inlineStr">
        <is>
          <t>BERG</t>
        </is>
      </c>
      <c r="G768" t="n">
        <v>11</v>
      </c>
      <c r="H768" t="n">
        <v>0</v>
      </c>
      <c r="I768" t="n">
        <v>0</v>
      </c>
      <c r="J768" t="n">
        <v>0</v>
      </c>
      <c r="K768" t="n">
        <v>0</v>
      </c>
      <c r="L768" t="n">
        <v>0</v>
      </c>
      <c r="M768" t="n">
        <v>0</v>
      </c>
      <c r="N768" t="n">
        <v>0</v>
      </c>
      <c r="O768" t="n">
        <v>0</v>
      </c>
      <c r="P768" t="n">
        <v>0</v>
      </c>
      <c r="Q768" t="n">
        <v>0</v>
      </c>
      <c r="R768" s="2" t="inlineStr"/>
    </row>
    <row r="769" ht="15" customHeight="1">
      <c r="A769" t="inlineStr">
        <is>
          <t>A 18752-2024</t>
        </is>
      </c>
      <c r="B769" s="1" t="n">
        <v>45426.54224537037</v>
      </c>
      <c r="C769" s="1" t="n">
        <v>46072</v>
      </c>
      <c r="D769" t="inlineStr">
        <is>
          <t>JÄMTLANDS LÄN</t>
        </is>
      </c>
      <c r="E769" t="inlineStr">
        <is>
          <t>BERG</t>
        </is>
      </c>
      <c r="G769" t="n">
        <v>0.7</v>
      </c>
      <c r="H769" t="n">
        <v>0</v>
      </c>
      <c r="I769" t="n">
        <v>0</v>
      </c>
      <c r="J769" t="n">
        <v>0</v>
      </c>
      <c r="K769" t="n">
        <v>0</v>
      </c>
      <c r="L769" t="n">
        <v>0</v>
      </c>
      <c r="M769" t="n">
        <v>0</v>
      </c>
      <c r="N769" t="n">
        <v>0</v>
      </c>
      <c r="O769" t="n">
        <v>0</v>
      </c>
      <c r="P769" t="n">
        <v>0</v>
      </c>
      <c r="Q769" t="n">
        <v>0</v>
      </c>
      <c r="R769" s="2" t="inlineStr"/>
    </row>
    <row r="770" ht="15" customHeight="1">
      <c r="A770" t="inlineStr">
        <is>
          <t>A 64486-2023</t>
        </is>
      </c>
      <c r="B770" s="1" t="n">
        <v>45280</v>
      </c>
      <c r="C770" s="1" t="n">
        <v>46072</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64488-2023</t>
        </is>
      </c>
      <c r="B771" s="1" t="n">
        <v>45280.92618055556</v>
      </c>
      <c r="C771" s="1" t="n">
        <v>46072</v>
      </c>
      <c r="D771" t="inlineStr">
        <is>
          <t>JÄMTLANDS LÄN</t>
        </is>
      </c>
      <c r="E771" t="inlineStr">
        <is>
          <t>BERG</t>
        </is>
      </c>
      <c r="F771" t="inlineStr">
        <is>
          <t>Övriga Aktiebolag</t>
        </is>
      </c>
      <c r="G771" t="n">
        <v>7.1</v>
      </c>
      <c r="H771" t="n">
        <v>0</v>
      </c>
      <c r="I771" t="n">
        <v>0</v>
      </c>
      <c r="J771" t="n">
        <v>0</v>
      </c>
      <c r="K771" t="n">
        <v>0</v>
      </c>
      <c r="L771" t="n">
        <v>0</v>
      </c>
      <c r="M771" t="n">
        <v>0</v>
      </c>
      <c r="N771" t="n">
        <v>0</v>
      </c>
      <c r="O771" t="n">
        <v>0</v>
      </c>
      <c r="P771" t="n">
        <v>0</v>
      </c>
      <c r="Q771" t="n">
        <v>0</v>
      </c>
      <c r="R771" s="2" t="inlineStr"/>
    </row>
    <row r="772" ht="15" customHeight="1">
      <c r="A772" t="inlineStr">
        <is>
          <t>A 58817-2024</t>
        </is>
      </c>
      <c r="B772" s="1" t="n">
        <v>45636.35909722222</v>
      </c>
      <c r="C772" s="1" t="n">
        <v>46072</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39809-2025</t>
        </is>
      </c>
      <c r="B773" s="1" t="n">
        <v>45891</v>
      </c>
      <c r="C773" s="1" t="n">
        <v>46072</v>
      </c>
      <c r="D773" t="inlineStr">
        <is>
          <t>JÄMTLANDS LÄN</t>
        </is>
      </c>
      <c r="E773" t="inlineStr">
        <is>
          <t>BERG</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5089-2026</t>
        </is>
      </c>
      <c r="B774" s="1" t="n">
        <v>46049.55258101852</v>
      </c>
      <c r="C774" s="1" t="n">
        <v>46072</v>
      </c>
      <c r="D774" t="inlineStr">
        <is>
          <t>JÄMTLANDS LÄN</t>
        </is>
      </c>
      <c r="E774" t="inlineStr">
        <is>
          <t>BERG</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5491-2026</t>
        </is>
      </c>
      <c r="B775" s="1" t="n">
        <v>46050.61548611111</v>
      </c>
      <c r="C775" s="1" t="n">
        <v>46072</v>
      </c>
      <c r="D775" t="inlineStr">
        <is>
          <t>JÄMTLANDS LÄN</t>
        </is>
      </c>
      <c r="E775" t="inlineStr">
        <is>
          <t>BERG</t>
        </is>
      </c>
      <c r="G775" t="n">
        <v>0.8</v>
      </c>
      <c r="H775" t="n">
        <v>0</v>
      </c>
      <c r="I775" t="n">
        <v>0</v>
      </c>
      <c r="J775" t="n">
        <v>0</v>
      </c>
      <c r="K775" t="n">
        <v>0</v>
      </c>
      <c r="L775" t="n">
        <v>0</v>
      </c>
      <c r="M775" t="n">
        <v>0</v>
      </c>
      <c r="N775" t="n">
        <v>0</v>
      </c>
      <c r="O775" t="n">
        <v>0</v>
      </c>
      <c r="P775" t="n">
        <v>0</v>
      </c>
      <c r="Q775" t="n">
        <v>0</v>
      </c>
      <c r="R775" s="2" t="inlineStr"/>
    </row>
    <row r="776" ht="15" customHeight="1">
      <c r="A776" t="inlineStr">
        <is>
          <t>A 13108-2025</t>
        </is>
      </c>
      <c r="B776" s="1" t="n">
        <v>45734</v>
      </c>
      <c r="C776" s="1" t="n">
        <v>46072</v>
      </c>
      <c r="D776" t="inlineStr">
        <is>
          <t>JÄMTLANDS LÄN</t>
        </is>
      </c>
      <c r="E776" t="inlineStr">
        <is>
          <t>BERG</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5215-2024</t>
        </is>
      </c>
      <c r="B777" s="1" t="n">
        <v>45330</v>
      </c>
      <c r="C777" s="1" t="n">
        <v>46072</v>
      </c>
      <c r="D777" t="inlineStr">
        <is>
          <t>JÄMTLANDS LÄN</t>
        </is>
      </c>
      <c r="E777" t="inlineStr">
        <is>
          <t>BERG</t>
        </is>
      </c>
      <c r="G777" t="n">
        <v>0.8</v>
      </c>
      <c r="H777" t="n">
        <v>0</v>
      </c>
      <c r="I777" t="n">
        <v>0</v>
      </c>
      <c r="J777" t="n">
        <v>0</v>
      </c>
      <c r="K777" t="n">
        <v>0</v>
      </c>
      <c r="L777" t="n">
        <v>0</v>
      </c>
      <c r="M777" t="n">
        <v>0</v>
      </c>
      <c r="N777" t="n">
        <v>0</v>
      </c>
      <c r="O777" t="n">
        <v>0</v>
      </c>
      <c r="P777" t="n">
        <v>0</v>
      </c>
      <c r="Q777" t="n">
        <v>0</v>
      </c>
      <c r="R777" s="2" t="inlineStr"/>
    </row>
    <row r="778" ht="15" customHeight="1">
      <c r="A778" t="inlineStr">
        <is>
          <t>A 5688-2026</t>
        </is>
      </c>
      <c r="B778" s="1" t="n">
        <v>46051.49005787037</v>
      </c>
      <c r="C778" s="1" t="n">
        <v>46072</v>
      </c>
      <c r="D778" t="inlineStr">
        <is>
          <t>JÄMTLANDS LÄN</t>
        </is>
      </c>
      <c r="E778" t="inlineStr">
        <is>
          <t>BERG</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62826-2025</t>
        </is>
      </c>
      <c r="B779" s="1" t="n">
        <v>46008.65883101852</v>
      </c>
      <c r="C779" s="1" t="n">
        <v>46072</v>
      </c>
      <c r="D779" t="inlineStr">
        <is>
          <t>JÄMTLANDS LÄN</t>
        </is>
      </c>
      <c r="E779" t="inlineStr">
        <is>
          <t>BERG</t>
        </is>
      </c>
      <c r="G779" t="n">
        <v>4</v>
      </c>
      <c r="H779" t="n">
        <v>0</v>
      </c>
      <c r="I779" t="n">
        <v>0</v>
      </c>
      <c r="J779" t="n">
        <v>0</v>
      </c>
      <c r="K779" t="n">
        <v>0</v>
      </c>
      <c r="L779" t="n">
        <v>0</v>
      </c>
      <c r="M779" t="n">
        <v>0</v>
      </c>
      <c r="N779" t="n">
        <v>0</v>
      </c>
      <c r="O779" t="n">
        <v>0</v>
      </c>
      <c r="P779" t="n">
        <v>0</v>
      </c>
      <c r="Q779" t="n">
        <v>0</v>
      </c>
      <c r="R779" s="2" t="inlineStr"/>
    </row>
    <row r="780" ht="15" customHeight="1">
      <c r="A780" t="inlineStr">
        <is>
          <t>A 16002-2025</t>
        </is>
      </c>
      <c r="B780" s="1" t="n">
        <v>45749.59398148148</v>
      </c>
      <c r="C780" s="1" t="n">
        <v>46072</v>
      </c>
      <c r="D780" t="inlineStr">
        <is>
          <t>JÄMTLANDS LÄN</t>
        </is>
      </c>
      <c r="E780" t="inlineStr">
        <is>
          <t>BERG</t>
        </is>
      </c>
      <c r="G780" t="n">
        <v>0.7</v>
      </c>
      <c r="H780" t="n">
        <v>0</v>
      </c>
      <c r="I780" t="n">
        <v>0</v>
      </c>
      <c r="J780" t="n">
        <v>0</v>
      </c>
      <c r="K780" t="n">
        <v>0</v>
      </c>
      <c r="L780" t="n">
        <v>0</v>
      </c>
      <c r="M780" t="n">
        <v>0</v>
      </c>
      <c r="N780" t="n">
        <v>0</v>
      </c>
      <c r="O780" t="n">
        <v>0</v>
      </c>
      <c r="P780" t="n">
        <v>0</v>
      </c>
      <c r="Q780" t="n">
        <v>0</v>
      </c>
      <c r="R780" s="2" t="inlineStr"/>
    </row>
    <row r="781" ht="15" customHeight="1">
      <c r="A781" t="inlineStr">
        <is>
          <t>A 53427-2025</t>
        </is>
      </c>
      <c r="B781" s="1" t="n">
        <v>45959</v>
      </c>
      <c r="C781" s="1" t="n">
        <v>46072</v>
      </c>
      <c r="D781" t="inlineStr">
        <is>
          <t>JÄMTLANDS LÄN</t>
        </is>
      </c>
      <c r="E781" t="inlineStr">
        <is>
          <t>BERG</t>
        </is>
      </c>
      <c r="F781" t="inlineStr">
        <is>
          <t>SCA</t>
        </is>
      </c>
      <c r="G781" t="n">
        <v>7.1</v>
      </c>
      <c r="H781" t="n">
        <v>0</v>
      </c>
      <c r="I781" t="n">
        <v>0</v>
      </c>
      <c r="J781" t="n">
        <v>0</v>
      </c>
      <c r="K781" t="n">
        <v>0</v>
      </c>
      <c r="L781" t="n">
        <v>0</v>
      </c>
      <c r="M781" t="n">
        <v>0</v>
      </c>
      <c r="N781" t="n">
        <v>0</v>
      </c>
      <c r="O781" t="n">
        <v>0</v>
      </c>
      <c r="P781" t="n">
        <v>0</v>
      </c>
      <c r="Q781" t="n">
        <v>0</v>
      </c>
      <c r="R781" s="2" t="inlineStr"/>
    </row>
    <row r="782" ht="15" customHeight="1">
      <c r="A782" t="inlineStr">
        <is>
          <t>A 62814-2025</t>
        </is>
      </c>
      <c r="B782" s="1" t="n">
        <v>46008.6502662037</v>
      </c>
      <c r="C782" s="1" t="n">
        <v>46072</v>
      </c>
      <c r="D782" t="inlineStr">
        <is>
          <t>JÄMTLANDS LÄN</t>
        </is>
      </c>
      <c r="E782" t="inlineStr">
        <is>
          <t>BERG</t>
        </is>
      </c>
      <c r="G782" t="n">
        <v>7.8</v>
      </c>
      <c r="H782" t="n">
        <v>0</v>
      </c>
      <c r="I782" t="n">
        <v>0</v>
      </c>
      <c r="J782" t="n">
        <v>0</v>
      </c>
      <c r="K782" t="n">
        <v>0</v>
      </c>
      <c r="L782" t="n">
        <v>0</v>
      </c>
      <c r="M782" t="n">
        <v>0</v>
      </c>
      <c r="N782" t="n">
        <v>0</v>
      </c>
      <c r="O782" t="n">
        <v>0</v>
      </c>
      <c r="P782" t="n">
        <v>0</v>
      </c>
      <c r="Q782" t="n">
        <v>0</v>
      </c>
      <c r="R782" s="2" t="inlineStr"/>
    </row>
    <row r="783" ht="15" customHeight="1">
      <c r="A783" t="inlineStr">
        <is>
          <t>A 18032-2024</t>
        </is>
      </c>
      <c r="B783" s="1" t="n">
        <v>45420.34979166667</v>
      </c>
      <c r="C783" s="1" t="n">
        <v>46072</v>
      </c>
      <c r="D783" t="inlineStr">
        <is>
          <t>JÄMTLANDS LÄN</t>
        </is>
      </c>
      <c r="E783" t="inlineStr">
        <is>
          <t>BERG</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63345-2025</t>
        </is>
      </c>
      <c r="B784" s="1" t="n">
        <v>46010.65959490741</v>
      </c>
      <c r="C784" s="1" t="n">
        <v>46072</v>
      </c>
      <c r="D784" t="inlineStr">
        <is>
          <t>JÄMTLANDS LÄN</t>
        </is>
      </c>
      <c r="E784" t="inlineStr">
        <is>
          <t>BERG</t>
        </is>
      </c>
      <c r="G784" t="n">
        <v>15</v>
      </c>
      <c r="H784" t="n">
        <v>0</v>
      </c>
      <c r="I784" t="n">
        <v>0</v>
      </c>
      <c r="J784" t="n">
        <v>0</v>
      </c>
      <c r="K784" t="n">
        <v>0</v>
      </c>
      <c r="L784" t="n">
        <v>0</v>
      </c>
      <c r="M784" t="n">
        <v>0</v>
      </c>
      <c r="N784" t="n">
        <v>0</v>
      </c>
      <c r="O784" t="n">
        <v>0</v>
      </c>
      <c r="P784" t="n">
        <v>0</v>
      </c>
      <c r="Q784" t="n">
        <v>0</v>
      </c>
      <c r="R784" s="2" t="inlineStr"/>
    </row>
    <row r="785" ht="15" customHeight="1">
      <c r="A785" t="inlineStr">
        <is>
          <t>A 34845-2023</t>
        </is>
      </c>
      <c r="B785" s="1" t="n">
        <v>45141.95964120371</v>
      </c>
      <c r="C785" s="1" t="n">
        <v>46072</v>
      </c>
      <c r="D785" t="inlineStr">
        <is>
          <t>JÄMTLANDS LÄN</t>
        </is>
      </c>
      <c r="E785" t="inlineStr">
        <is>
          <t>BERG</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5858-2026</t>
        </is>
      </c>
      <c r="B786" s="1" t="n">
        <v>46052.36512731481</v>
      </c>
      <c r="C786" s="1" t="n">
        <v>46072</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6333-2026</t>
        </is>
      </c>
      <c r="B787" s="1" t="n">
        <v>46055.59460648148</v>
      </c>
      <c r="C787" s="1" t="n">
        <v>46072</v>
      </c>
      <c r="D787" t="inlineStr">
        <is>
          <t>JÄMTLANDS LÄN</t>
        </is>
      </c>
      <c r="E787" t="inlineStr">
        <is>
          <t>BERG</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41069-2022</t>
        </is>
      </c>
      <c r="B788" s="1" t="n">
        <v>44825.60015046296</v>
      </c>
      <c r="C788" s="1" t="n">
        <v>46072</v>
      </c>
      <c r="D788" t="inlineStr">
        <is>
          <t>JÄMTLANDS LÄN</t>
        </is>
      </c>
      <c r="E788" t="inlineStr">
        <is>
          <t>BERG</t>
        </is>
      </c>
      <c r="G788" t="n">
        <v>1.5</v>
      </c>
      <c r="H788" t="n">
        <v>0</v>
      </c>
      <c r="I788" t="n">
        <v>0</v>
      </c>
      <c r="J788" t="n">
        <v>0</v>
      </c>
      <c r="K788" t="n">
        <v>0</v>
      </c>
      <c r="L788" t="n">
        <v>0</v>
      </c>
      <c r="M788" t="n">
        <v>0</v>
      </c>
      <c r="N788" t="n">
        <v>0</v>
      </c>
      <c r="O788" t="n">
        <v>0</v>
      </c>
      <c r="P788" t="n">
        <v>0</v>
      </c>
      <c r="Q788" t="n">
        <v>0</v>
      </c>
      <c r="R788" s="2" t="inlineStr"/>
    </row>
    <row r="789" ht="15" customHeight="1">
      <c r="A789" t="inlineStr">
        <is>
          <t>A 63332-2025</t>
        </is>
      </c>
      <c r="B789" s="1" t="n">
        <v>46010.64340277778</v>
      </c>
      <c r="C789" s="1" t="n">
        <v>46072</v>
      </c>
      <c r="D789" t="inlineStr">
        <is>
          <t>JÄMTLANDS LÄN</t>
        </is>
      </c>
      <c r="E789" t="inlineStr">
        <is>
          <t>BERG</t>
        </is>
      </c>
      <c r="G789" t="n">
        <v>5.4</v>
      </c>
      <c r="H789" t="n">
        <v>0</v>
      </c>
      <c r="I789" t="n">
        <v>0</v>
      </c>
      <c r="J789" t="n">
        <v>0</v>
      </c>
      <c r="K789" t="n">
        <v>0</v>
      </c>
      <c r="L789" t="n">
        <v>0</v>
      </c>
      <c r="M789" t="n">
        <v>0</v>
      </c>
      <c r="N789" t="n">
        <v>0</v>
      </c>
      <c r="O789" t="n">
        <v>0</v>
      </c>
      <c r="P789" t="n">
        <v>0</v>
      </c>
      <c r="Q789" t="n">
        <v>0</v>
      </c>
      <c r="R789" s="2" t="inlineStr"/>
    </row>
    <row r="790" ht="15" customHeight="1">
      <c r="A790" t="inlineStr">
        <is>
          <t>A 54863-2023</t>
        </is>
      </c>
      <c r="B790" s="1" t="n">
        <v>45236</v>
      </c>
      <c r="C790" s="1" t="n">
        <v>46072</v>
      </c>
      <c r="D790" t="inlineStr">
        <is>
          <t>JÄMTLANDS LÄN</t>
        </is>
      </c>
      <c r="E790" t="inlineStr">
        <is>
          <t>BERG</t>
        </is>
      </c>
      <c r="G790" t="n">
        <v>3.3</v>
      </c>
      <c r="H790" t="n">
        <v>0</v>
      </c>
      <c r="I790" t="n">
        <v>0</v>
      </c>
      <c r="J790" t="n">
        <v>0</v>
      </c>
      <c r="K790" t="n">
        <v>0</v>
      </c>
      <c r="L790" t="n">
        <v>0</v>
      </c>
      <c r="M790" t="n">
        <v>0</v>
      </c>
      <c r="N790" t="n">
        <v>0</v>
      </c>
      <c r="O790" t="n">
        <v>0</v>
      </c>
      <c r="P790" t="n">
        <v>0</v>
      </c>
      <c r="Q790" t="n">
        <v>0</v>
      </c>
      <c r="R790" s="2" t="inlineStr"/>
    </row>
    <row r="791" ht="15" customHeight="1">
      <c r="A791" t="inlineStr">
        <is>
          <t>A 63381-2025</t>
        </is>
      </c>
      <c r="B791" s="1" t="n">
        <v>46010.89377314815</v>
      </c>
      <c r="C791" s="1" t="n">
        <v>46072</v>
      </c>
      <c r="D791" t="inlineStr">
        <is>
          <t>JÄMTLANDS LÄN</t>
        </is>
      </c>
      <c r="E791" t="inlineStr">
        <is>
          <t>BERG</t>
        </is>
      </c>
      <c r="G791" t="n">
        <v>3.6</v>
      </c>
      <c r="H791" t="n">
        <v>0</v>
      </c>
      <c r="I791" t="n">
        <v>0</v>
      </c>
      <c r="J791" t="n">
        <v>0</v>
      </c>
      <c r="K791" t="n">
        <v>0</v>
      </c>
      <c r="L791" t="n">
        <v>0</v>
      </c>
      <c r="M791" t="n">
        <v>0</v>
      </c>
      <c r="N791" t="n">
        <v>0</v>
      </c>
      <c r="O791" t="n">
        <v>0</v>
      </c>
      <c r="P791" t="n">
        <v>0</v>
      </c>
      <c r="Q791" t="n">
        <v>0</v>
      </c>
      <c r="R791" s="2" t="inlineStr"/>
    </row>
    <row r="792" ht="15" customHeight="1">
      <c r="A792" t="inlineStr">
        <is>
          <t>A 46167-2022</t>
        </is>
      </c>
      <c r="B792" s="1" t="n">
        <v>44845</v>
      </c>
      <c r="C792" s="1" t="n">
        <v>46072</v>
      </c>
      <c r="D792" t="inlineStr">
        <is>
          <t>JÄMTLANDS LÄN</t>
        </is>
      </c>
      <c r="E792" t="inlineStr">
        <is>
          <t>BERG</t>
        </is>
      </c>
      <c r="G792" t="n">
        <v>35.2</v>
      </c>
      <c r="H792" t="n">
        <v>0</v>
      </c>
      <c r="I792" t="n">
        <v>0</v>
      </c>
      <c r="J792" t="n">
        <v>0</v>
      </c>
      <c r="K792" t="n">
        <v>0</v>
      </c>
      <c r="L792" t="n">
        <v>0</v>
      </c>
      <c r="M792" t="n">
        <v>0</v>
      </c>
      <c r="N792" t="n">
        <v>0</v>
      </c>
      <c r="O792" t="n">
        <v>0</v>
      </c>
      <c r="P792" t="n">
        <v>0</v>
      </c>
      <c r="Q792" t="n">
        <v>0</v>
      </c>
      <c r="R792" s="2" t="inlineStr"/>
    </row>
    <row r="793" ht="15" customHeight="1">
      <c r="A793" t="inlineStr">
        <is>
          <t>A 5832-2026</t>
        </is>
      </c>
      <c r="B793" s="1" t="n">
        <v>46052.32890046296</v>
      </c>
      <c r="C793" s="1" t="n">
        <v>46072</v>
      </c>
      <c r="D793" t="inlineStr">
        <is>
          <t>JÄMTLANDS LÄN</t>
        </is>
      </c>
      <c r="E793" t="inlineStr">
        <is>
          <t>BERG</t>
        </is>
      </c>
      <c r="G793" t="n">
        <v>5.7</v>
      </c>
      <c r="H793" t="n">
        <v>0</v>
      </c>
      <c r="I793" t="n">
        <v>0</v>
      </c>
      <c r="J793" t="n">
        <v>0</v>
      </c>
      <c r="K793" t="n">
        <v>0</v>
      </c>
      <c r="L793" t="n">
        <v>0</v>
      </c>
      <c r="M793" t="n">
        <v>0</v>
      </c>
      <c r="N793" t="n">
        <v>0</v>
      </c>
      <c r="O793" t="n">
        <v>0</v>
      </c>
      <c r="P793" t="n">
        <v>0</v>
      </c>
      <c r="Q793" t="n">
        <v>0</v>
      </c>
      <c r="R793" s="2" t="inlineStr"/>
    </row>
    <row r="794" ht="15" customHeight="1">
      <c r="A794" t="inlineStr">
        <is>
          <t>A 5816-2026</t>
        </is>
      </c>
      <c r="B794" s="1" t="n">
        <v>46051.95127314814</v>
      </c>
      <c r="C794" s="1" t="n">
        <v>46072</v>
      </c>
      <c r="D794" t="inlineStr">
        <is>
          <t>JÄMTLANDS LÄN</t>
        </is>
      </c>
      <c r="E794" t="inlineStr">
        <is>
          <t>BERG</t>
        </is>
      </c>
      <c r="G794" t="n">
        <v>3.6</v>
      </c>
      <c r="H794" t="n">
        <v>0</v>
      </c>
      <c r="I794" t="n">
        <v>0</v>
      </c>
      <c r="J794" t="n">
        <v>0</v>
      </c>
      <c r="K794" t="n">
        <v>0</v>
      </c>
      <c r="L794" t="n">
        <v>0</v>
      </c>
      <c r="M794" t="n">
        <v>0</v>
      </c>
      <c r="N794" t="n">
        <v>0</v>
      </c>
      <c r="O794" t="n">
        <v>0</v>
      </c>
      <c r="P794" t="n">
        <v>0</v>
      </c>
      <c r="Q794" t="n">
        <v>0</v>
      </c>
      <c r="R794" s="2" t="inlineStr"/>
    </row>
    <row r="795" ht="15" customHeight="1">
      <c r="A795" t="inlineStr">
        <is>
          <t>A 6332-2026</t>
        </is>
      </c>
      <c r="B795" s="1" t="n">
        <v>46055.59442129629</v>
      </c>
      <c r="C795" s="1" t="n">
        <v>46072</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39269-2024</t>
        </is>
      </c>
      <c r="B796" s="1" t="n">
        <v>45551.34488425926</v>
      </c>
      <c r="C796" s="1" t="n">
        <v>46072</v>
      </c>
      <c r="D796" t="inlineStr">
        <is>
          <t>JÄMTLANDS LÄN</t>
        </is>
      </c>
      <c r="E796" t="inlineStr">
        <is>
          <t>BERG</t>
        </is>
      </c>
      <c r="G796" t="n">
        <v>3.1</v>
      </c>
      <c r="H796" t="n">
        <v>0</v>
      </c>
      <c r="I796" t="n">
        <v>0</v>
      </c>
      <c r="J796" t="n">
        <v>0</v>
      </c>
      <c r="K796" t="n">
        <v>0</v>
      </c>
      <c r="L796" t="n">
        <v>0</v>
      </c>
      <c r="M796" t="n">
        <v>0</v>
      </c>
      <c r="N796" t="n">
        <v>0</v>
      </c>
      <c r="O796" t="n">
        <v>0</v>
      </c>
      <c r="P796" t="n">
        <v>0</v>
      </c>
      <c r="Q796" t="n">
        <v>0</v>
      </c>
      <c r="R796" s="2" t="inlineStr"/>
    </row>
    <row r="797" ht="15" customHeight="1">
      <c r="A797" t="inlineStr">
        <is>
          <t>A 13805-2024</t>
        </is>
      </c>
      <c r="B797" s="1" t="n">
        <v>45390</v>
      </c>
      <c r="C797" s="1" t="n">
        <v>46072</v>
      </c>
      <c r="D797" t="inlineStr">
        <is>
          <t>JÄMTLANDS LÄN</t>
        </is>
      </c>
      <c r="E797" t="inlineStr">
        <is>
          <t>BERG</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63559-2025</t>
        </is>
      </c>
      <c r="B798" s="1" t="n">
        <v>46013.61951388889</v>
      </c>
      <c r="C798" s="1" t="n">
        <v>46072</v>
      </c>
      <c r="D798" t="inlineStr">
        <is>
          <t>JÄMTLANDS LÄN</t>
        </is>
      </c>
      <c r="E798" t="inlineStr">
        <is>
          <t>BERG</t>
        </is>
      </c>
      <c r="G798" t="n">
        <v>0.6</v>
      </c>
      <c r="H798" t="n">
        <v>0</v>
      </c>
      <c r="I798" t="n">
        <v>0</v>
      </c>
      <c r="J798" t="n">
        <v>0</v>
      </c>
      <c r="K798" t="n">
        <v>0</v>
      </c>
      <c r="L798" t="n">
        <v>0</v>
      </c>
      <c r="M798" t="n">
        <v>0</v>
      </c>
      <c r="N798" t="n">
        <v>0</v>
      </c>
      <c r="O798" t="n">
        <v>0</v>
      </c>
      <c r="P798" t="n">
        <v>0</v>
      </c>
      <c r="Q798" t="n">
        <v>0</v>
      </c>
      <c r="R798" s="2" t="inlineStr"/>
    </row>
    <row r="799" ht="15" customHeight="1">
      <c r="A799" t="inlineStr">
        <is>
          <t>A 37589-2021</t>
        </is>
      </c>
      <c r="B799" s="1" t="n">
        <v>44399</v>
      </c>
      <c r="C799" s="1" t="n">
        <v>46072</v>
      </c>
      <c r="D799" t="inlineStr">
        <is>
          <t>JÄMTLANDS LÄN</t>
        </is>
      </c>
      <c r="E799" t="inlineStr">
        <is>
          <t>BERG</t>
        </is>
      </c>
      <c r="G799" t="n">
        <v>8.6</v>
      </c>
      <c r="H799" t="n">
        <v>0</v>
      </c>
      <c r="I799" t="n">
        <v>0</v>
      </c>
      <c r="J799" t="n">
        <v>0</v>
      </c>
      <c r="K799" t="n">
        <v>0</v>
      </c>
      <c r="L799" t="n">
        <v>0</v>
      </c>
      <c r="M799" t="n">
        <v>0</v>
      </c>
      <c r="N799" t="n">
        <v>0</v>
      </c>
      <c r="O799" t="n">
        <v>0</v>
      </c>
      <c r="P799" t="n">
        <v>0</v>
      </c>
      <c r="Q799" t="n">
        <v>0</v>
      </c>
      <c r="R799" s="2" t="inlineStr"/>
    </row>
    <row r="800" ht="15" customHeight="1">
      <c r="A800" t="inlineStr">
        <is>
          <t>A 16491-2023</t>
        </is>
      </c>
      <c r="B800" s="1" t="n">
        <v>45027</v>
      </c>
      <c r="C800" s="1" t="n">
        <v>46072</v>
      </c>
      <c r="D800" t="inlineStr">
        <is>
          <t>JÄMTLANDS LÄN</t>
        </is>
      </c>
      <c r="E800" t="inlineStr">
        <is>
          <t>BERG</t>
        </is>
      </c>
      <c r="G800" t="n">
        <v>2.5</v>
      </c>
      <c r="H800" t="n">
        <v>0</v>
      </c>
      <c r="I800" t="n">
        <v>0</v>
      </c>
      <c r="J800" t="n">
        <v>0</v>
      </c>
      <c r="K800" t="n">
        <v>0</v>
      </c>
      <c r="L800" t="n">
        <v>0</v>
      </c>
      <c r="M800" t="n">
        <v>0</v>
      </c>
      <c r="N800" t="n">
        <v>0</v>
      </c>
      <c r="O800" t="n">
        <v>0</v>
      </c>
      <c r="P800" t="n">
        <v>0</v>
      </c>
      <c r="Q800" t="n">
        <v>0</v>
      </c>
      <c r="R800" s="2" t="inlineStr"/>
    </row>
    <row r="801" ht="15" customHeight="1">
      <c r="A801" t="inlineStr">
        <is>
          <t>A 57669-2024</t>
        </is>
      </c>
      <c r="B801" s="1" t="n">
        <v>45630.62520833333</v>
      </c>
      <c r="C801" s="1" t="n">
        <v>46072</v>
      </c>
      <c r="D801" t="inlineStr">
        <is>
          <t>JÄMTLANDS LÄN</t>
        </is>
      </c>
      <c r="E801" t="inlineStr">
        <is>
          <t>BERG</t>
        </is>
      </c>
      <c r="G801" t="n">
        <v>1</v>
      </c>
      <c r="H801" t="n">
        <v>0</v>
      </c>
      <c r="I801" t="n">
        <v>0</v>
      </c>
      <c r="J801" t="n">
        <v>0</v>
      </c>
      <c r="K801" t="n">
        <v>0</v>
      </c>
      <c r="L801" t="n">
        <v>0</v>
      </c>
      <c r="M801" t="n">
        <v>0</v>
      </c>
      <c r="N801" t="n">
        <v>0</v>
      </c>
      <c r="O801" t="n">
        <v>0</v>
      </c>
      <c r="P801" t="n">
        <v>0</v>
      </c>
      <c r="Q801" t="n">
        <v>0</v>
      </c>
      <c r="R801" s="2" t="inlineStr"/>
    </row>
    <row r="802" ht="15" customHeight="1">
      <c r="A802" t="inlineStr">
        <is>
          <t>A 5857-2026</t>
        </is>
      </c>
      <c r="B802" s="1" t="n">
        <v>46052.36511574074</v>
      </c>
      <c r="C802" s="1" t="n">
        <v>46072</v>
      </c>
      <c r="D802" t="inlineStr">
        <is>
          <t>JÄMTLANDS LÄN</t>
        </is>
      </c>
      <c r="E802" t="inlineStr">
        <is>
          <t>BERG</t>
        </is>
      </c>
      <c r="G802" t="n">
        <v>0.2</v>
      </c>
      <c r="H802" t="n">
        <v>0</v>
      </c>
      <c r="I802" t="n">
        <v>0</v>
      </c>
      <c r="J802" t="n">
        <v>0</v>
      </c>
      <c r="K802" t="n">
        <v>0</v>
      </c>
      <c r="L802" t="n">
        <v>0</v>
      </c>
      <c r="M802" t="n">
        <v>0</v>
      </c>
      <c r="N802" t="n">
        <v>0</v>
      </c>
      <c r="O802" t="n">
        <v>0</v>
      </c>
      <c r="P802" t="n">
        <v>0</v>
      </c>
      <c r="Q802" t="n">
        <v>0</v>
      </c>
      <c r="R802" s="2" t="inlineStr"/>
    </row>
    <row r="803" ht="15" customHeight="1">
      <c r="A803" t="inlineStr">
        <is>
          <t>A 5859-2026</t>
        </is>
      </c>
      <c r="B803" s="1" t="n">
        <v>46052.36515046296</v>
      </c>
      <c r="C803" s="1" t="n">
        <v>46072</v>
      </c>
      <c r="D803" t="inlineStr">
        <is>
          <t>JÄMTLANDS LÄN</t>
        </is>
      </c>
      <c r="E803" t="inlineStr">
        <is>
          <t>BERG</t>
        </is>
      </c>
      <c r="G803" t="n">
        <v>1.7</v>
      </c>
      <c r="H803" t="n">
        <v>0</v>
      </c>
      <c r="I803" t="n">
        <v>0</v>
      </c>
      <c r="J803" t="n">
        <v>0</v>
      </c>
      <c r="K803" t="n">
        <v>0</v>
      </c>
      <c r="L803" t="n">
        <v>0</v>
      </c>
      <c r="M803" t="n">
        <v>0</v>
      </c>
      <c r="N803" t="n">
        <v>0</v>
      </c>
      <c r="O803" t="n">
        <v>0</v>
      </c>
      <c r="P803" t="n">
        <v>0</v>
      </c>
      <c r="Q803" t="n">
        <v>0</v>
      </c>
      <c r="R803" s="2" t="inlineStr"/>
    </row>
    <row r="804" ht="15" customHeight="1">
      <c r="A804" t="inlineStr">
        <is>
          <t>A 63562-2025</t>
        </is>
      </c>
      <c r="B804" s="1" t="n">
        <v>46013.62353009259</v>
      </c>
      <c r="C804" s="1" t="n">
        <v>46072</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35921-2024</t>
        </is>
      </c>
      <c r="B805" s="1" t="n">
        <v>45533.42659722222</v>
      </c>
      <c r="C805" s="1" t="n">
        <v>46072</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64752-2023</t>
        </is>
      </c>
      <c r="B806" s="1" t="n">
        <v>45281.92891203704</v>
      </c>
      <c r="C806" s="1" t="n">
        <v>46072</v>
      </c>
      <c r="D806" t="inlineStr">
        <is>
          <t>JÄMTLANDS LÄN</t>
        </is>
      </c>
      <c r="E806" t="inlineStr">
        <is>
          <t>BERG</t>
        </is>
      </c>
      <c r="F806" t="inlineStr">
        <is>
          <t>Övriga Aktiebolag</t>
        </is>
      </c>
      <c r="G806" t="n">
        <v>3.4</v>
      </c>
      <c r="H806" t="n">
        <v>0</v>
      </c>
      <c r="I806" t="n">
        <v>0</v>
      </c>
      <c r="J806" t="n">
        <v>0</v>
      </c>
      <c r="K806" t="n">
        <v>0</v>
      </c>
      <c r="L806" t="n">
        <v>0</v>
      </c>
      <c r="M806" t="n">
        <v>0</v>
      </c>
      <c r="N806" t="n">
        <v>0</v>
      </c>
      <c r="O806" t="n">
        <v>0</v>
      </c>
      <c r="P806" t="n">
        <v>0</v>
      </c>
      <c r="Q806" t="n">
        <v>0</v>
      </c>
      <c r="R806" s="2" t="inlineStr"/>
    </row>
    <row r="807" ht="15" customHeight="1">
      <c r="A807" t="inlineStr">
        <is>
          <t>A 63597-2025</t>
        </is>
      </c>
      <c r="B807" s="1" t="n">
        <v>46014.28792824074</v>
      </c>
      <c r="C807" s="1" t="n">
        <v>46072</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6872-2026</t>
        </is>
      </c>
      <c r="B808" s="1" t="n">
        <v>46057</v>
      </c>
      <c r="C808" s="1" t="n">
        <v>46072</v>
      </c>
      <c r="D808" t="inlineStr">
        <is>
          <t>JÄMTLANDS LÄN</t>
        </is>
      </c>
      <c r="E808" t="inlineStr">
        <is>
          <t>BERG</t>
        </is>
      </c>
      <c r="G808" t="n">
        <v>42.2</v>
      </c>
      <c r="H808" t="n">
        <v>0</v>
      </c>
      <c r="I808" t="n">
        <v>0</v>
      </c>
      <c r="J808" t="n">
        <v>0</v>
      </c>
      <c r="K808" t="n">
        <v>0</v>
      </c>
      <c r="L808" t="n">
        <v>0</v>
      </c>
      <c r="M808" t="n">
        <v>0</v>
      </c>
      <c r="N808" t="n">
        <v>0</v>
      </c>
      <c r="O808" t="n">
        <v>0</v>
      </c>
      <c r="P808" t="n">
        <v>0</v>
      </c>
      <c r="Q808" t="n">
        <v>0</v>
      </c>
      <c r="R808" s="2" t="inlineStr"/>
    </row>
    <row r="809" ht="15" customHeight="1">
      <c r="A809" t="inlineStr">
        <is>
          <t>A 6885-2026</t>
        </is>
      </c>
      <c r="B809" s="1" t="n">
        <v>46057</v>
      </c>
      <c r="C809" s="1" t="n">
        <v>46072</v>
      </c>
      <c r="D809" t="inlineStr">
        <is>
          <t>JÄMTLANDS LÄN</t>
        </is>
      </c>
      <c r="E809" t="inlineStr">
        <is>
          <t>BERG</t>
        </is>
      </c>
      <c r="G809" t="n">
        <v>4.6</v>
      </c>
      <c r="H809" t="n">
        <v>0</v>
      </c>
      <c r="I809" t="n">
        <v>0</v>
      </c>
      <c r="J809" t="n">
        <v>0</v>
      </c>
      <c r="K809" t="n">
        <v>0</v>
      </c>
      <c r="L809" t="n">
        <v>0</v>
      </c>
      <c r="M809" t="n">
        <v>0</v>
      </c>
      <c r="N809" t="n">
        <v>0</v>
      </c>
      <c r="O809" t="n">
        <v>0</v>
      </c>
      <c r="P809" t="n">
        <v>0</v>
      </c>
      <c r="Q809" t="n">
        <v>0</v>
      </c>
      <c r="R809" s="2" t="inlineStr"/>
    </row>
    <row r="810" ht="15" customHeight="1">
      <c r="A810" t="inlineStr">
        <is>
          <t>A 7515-2026</t>
        </is>
      </c>
      <c r="B810" s="1" t="n">
        <v>46059.59258101852</v>
      </c>
      <c r="C810" s="1" t="n">
        <v>46072</v>
      </c>
      <c r="D810" t="inlineStr">
        <is>
          <t>JÄMTLANDS LÄN</t>
        </is>
      </c>
      <c r="E810" t="inlineStr">
        <is>
          <t>BERG</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36142-2025</t>
        </is>
      </c>
      <c r="B811" s="1" t="n">
        <v>45866</v>
      </c>
      <c r="C811" s="1" t="n">
        <v>46072</v>
      </c>
      <c r="D811" t="inlineStr">
        <is>
          <t>JÄMTLANDS LÄN</t>
        </is>
      </c>
      <c r="E811" t="inlineStr">
        <is>
          <t>BERG</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14728-2025</t>
        </is>
      </c>
      <c r="B812" s="1" t="n">
        <v>45742.63574074074</v>
      </c>
      <c r="C812" s="1" t="n">
        <v>46072</v>
      </c>
      <c r="D812" t="inlineStr">
        <is>
          <t>JÄMTLANDS LÄN</t>
        </is>
      </c>
      <c r="E812" t="inlineStr">
        <is>
          <t>BERG</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31129-2024</t>
        </is>
      </c>
      <c r="B813" s="1" t="n">
        <v>45502</v>
      </c>
      <c r="C813" s="1" t="n">
        <v>46072</v>
      </c>
      <c r="D813" t="inlineStr">
        <is>
          <t>JÄMTLANDS LÄN</t>
        </is>
      </c>
      <c r="E813" t="inlineStr">
        <is>
          <t>BERG</t>
        </is>
      </c>
      <c r="G813" t="n">
        <v>1.3</v>
      </c>
      <c r="H813" t="n">
        <v>0</v>
      </c>
      <c r="I813" t="n">
        <v>0</v>
      </c>
      <c r="J813" t="n">
        <v>0</v>
      </c>
      <c r="K813" t="n">
        <v>0</v>
      </c>
      <c r="L813" t="n">
        <v>0</v>
      </c>
      <c r="M813" t="n">
        <v>0</v>
      </c>
      <c r="N813" t="n">
        <v>0</v>
      </c>
      <c r="O813" t="n">
        <v>0</v>
      </c>
      <c r="P813" t="n">
        <v>0</v>
      </c>
      <c r="Q813" t="n">
        <v>0</v>
      </c>
      <c r="R813" s="2" t="inlineStr"/>
    </row>
    <row r="814" ht="15" customHeight="1">
      <c r="A814" t="inlineStr">
        <is>
          <t>A 48209-2025</t>
        </is>
      </c>
      <c r="B814" s="1" t="n">
        <v>45933.4900462963</v>
      </c>
      <c r="C814" s="1" t="n">
        <v>46072</v>
      </c>
      <c r="D814" t="inlineStr">
        <is>
          <t>JÄMTLANDS LÄN</t>
        </is>
      </c>
      <c r="E814" t="inlineStr">
        <is>
          <t>BERG</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45570-2025</t>
        </is>
      </c>
      <c r="B815" s="1" t="n">
        <v>45922.65715277778</v>
      </c>
      <c r="C815" s="1" t="n">
        <v>46072</v>
      </c>
      <c r="D815" t="inlineStr">
        <is>
          <t>JÄMTLANDS LÄN</t>
        </is>
      </c>
      <c r="E815" t="inlineStr">
        <is>
          <t>BERG</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48190-2025</t>
        </is>
      </c>
      <c r="B816" s="1" t="n">
        <v>45933.46930555555</v>
      </c>
      <c r="C816" s="1" t="n">
        <v>46072</v>
      </c>
      <c r="D816" t="inlineStr">
        <is>
          <t>JÄMTLANDS LÄN</t>
        </is>
      </c>
      <c r="E816" t="inlineStr">
        <is>
          <t>BERG</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60831-2025</t>
        </is>
      </c>
      <c r="B817" s="1" t="n">
        <v>45999.46935185185</v>
      </c>
      <c r="C817" s="1" t="n">
        <v>46072</v>
      </c>
      <c r="D817" t="inlineStr">
        <is>
          <t>JÄMTLANDS LÄN</t>
        </is>
      </c>
      <c r="E817" t="inlineStr">
        <is>
          <t>BERG</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3961-2025</t>
        </is>
      </c>
      <c r="B818" s="1" t="n">
        <v>45684.50217592593</v>
      </c>
      <c r="C818" s="1" t="n">
        <v>46072</v>
      </c>
      <c r="D818" t="inlineStr">
        <is>
          <t>JÄMTLANDS LÄN</t>
        </is>
      </c>
      <c r="E818" t="inlineStr">
        <is>
          <t>BERG</t>
        </is>
      </c>
      <c r="G818" t="n">
        <v>14.9</v>
      </c>
      <c r="H818" t="n">
        <v>0</v>
      </c>
      <c r="I818" t="n">
        <v>0</v>
      </c>
      <c r="J818" t="n">
        <v>0</v>
      </c>
      <c r="K818" t="n">
        <v>0</v>
      </c>
      <c r="L818" t="n">
        <v>0</v>
      </c>
      <c r="M818" t="n">
        <v>0</v>
      </c>
      <c r="N818" t="n">
        <v>0</v>
      </c>
      <c r="O818" t="n">
        <v>0</v>
      </c>
      <c r="P818" t="n">
        <v>0</v>
      </c>
      <c r="Q818" t="n">
        <v>0</v>
      </c>
      <c r="R818" s="2" t="inlineStr"/>
    </row>
    <row r="819" ht="15" customHeight="1">
      <c r="A819" t="inlineStr">
        <is>
          <t>A 35636-2023</t>
        </is>
      </c>
      <c r="B819" s="1" t="n">
        <v>45147</v>
      </c>
      <c r="C819" s="1" t="n">
        <v>46072</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45347-2023</t>
        </is>
      </c>
      <c r="B820" s="1" t="n">
        <v>45191</v>
      </c>
      <c r="C820" s="1" t="n">
        <v>46072</v>
      </c>
      <c r="D820" t="inlineStr">
        <is>
          <t>JÄMTLANDS LÄN</t>
        </is>
      </c>
      <c r="E820" t="inlineStr">
        <is>
          <t>BERG</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46908-2025</t>
        </is>
      </c>
      <c r="B821" s="1" t="n">
        <v>45929.40664351852</v>
      </c>
      <c r="C821" s="1" t="n">
        <v>46072</v>
      </c>
      <c r="D821" t="inlineStr">
        <is>
          <t>JÄMTLANDS LÄN</t>
        </is>
      </c>
      <c r="E821" t="inlineStr">
        <is>
          <t>BERG</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55223-2025</t>
        </is>
      </c>
      <c r="B822" s="1" t="n">
        <v>45968.59439814815</v>
      </c>
      <c r="C822" s="1" t="n">
        <v>46072</v>
      </c>
      <c r="D822" t="inlineStr">
        <is>
          <t>JÄMTLANDS LÄN</t>
        </is>
      </c>
      <c r="E822" t="inlineStr">
        <is>
          <t>BERG</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57271-2025</t>
        </is>
      </c>
      <c r="B823" s="1" t="n">
        <v>45979.67789351852</v>
      </c>
      <c r="C823" s="1" t="n">
        <v>46072</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40339-2025</t>
        </is>
      </c>
      <c r="B824" s="1" t="n">
        <v>45895</v>
      </c>
      <c r="C824" s="1" t="n">
        <v>46072</v>
      </c>
      <c r="D824" t="inlineStr">
        <is>
          <t>JÄMTLANDS LÄN</t>
        </is>
      </c>
      <c r="E824" t="inlineStr">
        <is>
          <t>BERG</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40340-2025</t>
        </is>
      </c>
      <c r="B825" s="1" t="n">
        <v>45895.46922453704</v>
      </c>
      <c r="C825" s="1" t="n">
        <v>46072</v>
      </c>
      <c r="D825" t="inlineStr">
        <is>
          <t>JÄMTLANDS LÄN</t>
        </is>
      </c>
      <c r="E825" t="inlineStr">
        <is>
          <t>BERG</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48056-2025</t>
        </is>
      </c>
      <c r="B826" s="1" t="n">
        <v>45932.67946759259</v>
      </c>
      <c r="C826" s="1" t="n">
        <v>46072</v>
      </c>
      <c r="D826" t="inlineStr">
        <is>
          <t>JÄMTLANDS LÄN</t>
        </is>
      </c>
      <c r="E826" t="inlineStr">
        <is>
          <t>BERG</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55224-2025</t>
        </is>
      </c>
      <c r="B827" s="1" t="n">
        <v>45968.59447916667</v>
      </c>
      <c r="C827" s="1" t="n">
        <v>46072</v>
      </c>
      <c r="D827" t="inlineStr">
        <is>
          <t>JÄMTLANDS LÄN</t>
        </is>
      </c>
      <c r="E827" t="inlineStr">
        <is>
          <t>BERG</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55770-2025</t>
        </is>
      </c>
      <c r="B828" s="1" t="n">
        <v>45972</v>
      </c>
      <c r="C828" s="1" t="n">
        <v>46072</v>
      </c>
      <c r="D828" t="inlineStr">
        <is>
          <t>JÄMTLANDS LÄN</t>
        </is>
      </c>
      <c r="E828" t="inlineStr">
        <is>
          <t>BERG</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44051-2025</t>
        </is>
      </c>
      <c r="B829" s="1" t="n">
        <v>45915.51079861111</v>
      </c>
      <c r="C829" s="1" t="n">
        <v>46072</v>
      </c>
      <c r="D829" t="inlineStr">
        <is>
          <t>JÄMTLANDS LÄN</t>
        </is>
      </c>
      <c r="E829" t="inlineStr">
        <is>
          <t>BERG</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4527-2025</t>
        </is>
      </c>
      <c r="B830" s="1" t="n">
        <v>45686</v>
      </c>
      <c r="C830" s="1" t="n">
        <v>46072</v>
      </c>
      <c r="D830" t="inlineStr">
        <is>
          <t>JÄMTLANDS LÄN</t>
        </is>
      </c>
      <c r="E830" t="inlineStr">
        <is>
          <t>BERG</t>
        </is>
      </c>
      <c r="G830" t="n">
        <v>17.8</v>
      </c>
      <c r="H830" t="n">
        <v>0</v>
      </c>
      <c r="I830" t="n">
        <v>0</v>
      </c>
      <c r="J830" t="n">
        <v>0</v>
      </c>
      <c r="K830" t="n">
        <v>0</v>
      </c>
      <c r="L830" t="n">
        <v>0</v>
      </c>
      <c r="M830" t="n">
        <v>0</v>
      </c>
      <c r="N830" t="n">
        <v>0</v>
      </c>
      <c r="O830" t="n">
        <v>0</v>
      </c>
      <c r="P830" t="n">
        <v>0</v>
      </c>
      <c r="Q830" t="n">
        <v>0</v>
      </c>
      <c r="R830" s="2" t="inlineStr"/>
    </row>
    <row r="831" ht="15" customHeight="1">
      <c r="A831" t="inlineStr">
        <is>
          <t>A 7759-2026</t>
        </is>
      </c>
      <c r="B831" s="1" t="n">
        <v>46062.55266203704</v>
      </c>
      <c r="C831" s="1" t="n">
        <v>46072</v>
      </c>
      <c r="D831" t="inlineStr">
        <is>
          <t>JÄMTLANDS LÄN</t>
        </is>
      </c>
      <c r="E831" t="inlineStr">
        <is>
          <t>BERG</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49225-2024</t>
        </is>
      </c>
      <c r="B832" s="1" t="n">
        <v>45595.4177662037</v>
      </c>
      <c r="C832" s="1" t="n">
        <v>46072</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7983-2026</t>
        </is>
      </c>
      <c r="B833" s="1" t="n">
        <v>46063.49013888889</v>
      </c>
      <c r="C833" s="1" t="n">
        <v>46072</v>
      </c>
      <c r="D833" t="inlineStr">
        <is>
          <t>JÄMTLANDS LÄN</t>
        </is>
      </c>
      <c r="E833" t="inlineStr">
        <is>
          <t>BERG</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8319-2026</t>
        </is>
      </c>
      <c r="B834" s="1" t="n">
        <v>46064.60849537037</v>
      </c>
      <c r="C834" s="1" t="n">
        <v>46072</v>
      </c>
      <c r="D834" t="inlineStr">
        <is>
          <t>JÄMTLANDS LÄN</t>
        </is>
      </c>
      <c r="E834" t="inlineStr">
        <is>
          <t>BERG</t>
        </is>
      </c>
      <c r="G834" t="n">
        <v>1.8</v>
      </c>
      <c r="H834" t="n">
        <v>0</v>
      </c>
      <c r="I834" t="n">
        <v>0</v>
      </c>
      <c r="J834" t="n">
        <v>0</v>
      </c>
      <c r="K834" t="n">
        <v>0</v>
      </c>
      <c r="L834" t="n">
        <v>0</v>
      </c>
      <c r="M834" t="n">
        <v>0</v>
      </c>
      <c r="N834" t="n">
        <v>0</v>
      </c>
      <c r="O834" t="n">
        <v>0</v>
      </c>
      <c r="P834" t="n">
        <v>0</v>
      </c>
      <c r="Q834" t="n">
        <v>0</v>
      </c>
      <c r="R834" s="2" t="inlineStr"/>
    </row>
    <row r="835" ht="15" customHeight="1">
      <c r="A835" t="inlineStr">
        <is>
          <t>A 8171-2026</t>
        </is>
      </c>
      <c r="B835" s="1" t="n">
        <v>46064.39402777778</v>
      </c>
      <c r="C835" s="1" t="n">
        <v>46072</v>
      </c>
      <c r="D835" t="inlineStr">
        <is>
          <t>JÄMTLANDS LÄN</t>
        </is>
      </c>
      <c r="E835" t="inlineStr">
        <is>
          <t>BERG</t>
        </is>
      </c>
      <c r="G835" t="n">
        <v>2.9</v>
      </c>
      <c r="H835" t="n">
        <v>0</v>
      </c>
      <c r="I835" t="n">
        <v>0</v>
      </c>
      <c r="J835" t="n">
        <v>0</v>
      </c>
      <c r="K835" t="n">
        <v>0</v>
      </c>
      <c r="L835" t="n">
        <v>0</v>
      </c>
      <c r="M835" t="n">
        <v>0</v>
      </c>
      <c r="N835" t="n">
        <v>0</v>
      </c>
      <c r="O835" t="n">
        <v>0</v>
      </c>
      <c r="P835" t="n">
        <v>0</v>
      </c>
      <c r="Q835" t="n">
        <v>0</v>
      </c>
      <c r="R835" s="2" t="inlineStr"/>
    </row>
    <row r="836" ht="15" customHeight="1">
      <c r="A836" t="inlineStr">
        <is>
          <t>A 15624-2023</t>
        </is>
      </c>
      <c r="B836" s="1" t="n">
        <v>45020.94496527778</v>
      </c>
      <c r="C836" s="1" t="n">
        <v>46072</v>
      </c>
      <c r="D836" t="inlineStr">
        <is>
          <t>JÄMTLANDS LÄN</t>
        </is>
      </c>
      <c r="E836" t="inlineStr">
        <is>
          <t>BERG</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20882-2023</t>
        </is>
      </c>
      <c r="B837" s="1" t="n">
        <v>45058</v>
      </c>
      <c r="C837" s="1" t="n">
        <v>46072</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8572-2026</t>
        </is>
      </c>
      <c r="B838" s="1" t="n">
        <v>46065.68355324074</v>
      </c>
      <c r="C838" s="1" t="n">
        <v>46072</v>
      </c>
      <c r="D838" t="inlineStr">
        <is>
          <t>JÄMTLANDS LÄN</t>
        </is>
      </c>
      <c r="E838" t="inlineStr">
        <is>
          <t>BERG</t>
        </is>
      </c>
      <c r="G838" t="n">
        <v>1.3</v>
      </c>
      <c r="H838" t="n">
        <v>0</v>
      </c>
      <c r="I838" t="n">
        <v>0</v>
      </c>
      <c r="J838" t="n">
        <v>0</v>
      </c>
      <c r="K838" t="n">
        <v>0</v>
      </c>
      <c r="L838" t="n">
        <v>0</v>
      </c>
      <c r="M838" t="n">
        <v>0</v>
      </c>
      <c r="N838" t="n">
        <v>0</v>
      </c>
      <c r="O838" t="n">
        <v>0</v>
      </c>
      <c r="P838" t="n">
        <v>0</v>
      </c>
      <c r="Q838" t="n">
        <v>0</v>
      </c>
      <c r="R838" s="2" t="inlineStr"/>
    </row>
    <row r="839" ht="15" customHeight="1">
      <c r="A839" t="inlineStr">
        <is>
          <t>A 8571-2026</t>
        </is>
      </c>
      <c r="B839" s="1" t="n">
        <v>46065.67915509259</v>
      </c>
      <c r="C839" s="1" t="n">
        <v>46072</v>
      </c>
      <c r="D839" t="inlineStr">
        <is>
          <t>JÄMTLANDS LÄN</t>
        </is>
      </c>
      <c r="E839" t="inlineStr">
        <is>
          <t>BERG</t>
        </is>
      </c>
      <c r="G839" t="n">
        <v>5.5</v>
      </c>
      <c r="H839" t="n">
        <v>0</v>
      </c>
      <c r="I839" t="n">
        <v>0</v>
      </c>
      <c r="J839" t="n">
        <v>0</v>
      </c>
      <c r="K839" t="n">
        <v>0</v>
      </c>
      <c r="L839" t="n">
        <v>0</v>
      </c>
      <c r="M839" t="n">
        <v>0</v>
      </c>
      <c r="N839" t="n">
        <v>0</v>
      </c>
      <c r="O839" t="n">
        <v>0</v>
      </c>
      <c r="P839" t="n">
        <v>0</v>
      </c>
      <c r="Q839" t="n">
        <v>0</v>
      </c>
      <c r="R839" s="2" t="inlineStr"/>
    </row>
    <row r="840" ht="15" customHeight="1">
      <c r="A840" t="inlineStr">
        <is>
          <t>A 12774-2023</t>
        </is>
      </c>
      <c r="B840" s="1" t="n">
        <v>45001</v>
      </c>
      <c r="C840" s="1" t="n">
        <v>46072</v>
      </c>
      <c r="D840" t="inlineStr">
        <is>
          <t>JÄMTLANDS LÄN</t>
        </is>
      </c>
      <c r="E840" t="inlineStr">
        <is>
          <t>BERG</t>
        </is>
      </c>
      <c r="G840" t="n">
        <v>0.7</v>
      </c>
      <c r="H840" t="n">
        <v>0</v>
      </c>
      <c r="I840" t="n">
        <v>0</v>
      </c>
      <c r="J840" t="n">
        <v>0</v>
      </c>
      <c r="K840" t="n">
        <v>0</v>
      </c>
      <c r="L840" t="n">
        <v>0</v>
      </c>
      <c r="M840" t="n">
        <v>0</v>
      </c>
      <c r="N840" t="n">
        <v>0</v>
      </c>
      <c r="O840" t="n">
        <v>0</v>
      </c>
      <c r="P840" t="n">
        <v>0</v>
      </c>
      <c r="Q840" t="n">
        <v>0</v>
      </c>
      <c r="R840" s="2" t="inlineStr"/>
    </row>
    <row r="841" ht="15" customHeight="1">
      <c r="A841" t="inlineStr">
        <is>
          <t>A 60587-2022</t>
        </is>
      </c>
      <c r="B841" s="1" t="n">
        <v>44911.58445601852</v>
      </c>
      <c r="C841" s="1" t="n">
        <v>46072</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6645-2025</t>
        </is>
      </c>
      <c r="B842" s="1" t="n">
        <v>45700.39645833334</v>
      </c>
      <c r="C842" s="1" t="n">
        <v>46072</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8653-2026</t>
        </is>
      </c>
      <c r="B843" s="1" t="n">
        <v>46066.36811342592</v>
      </c>
      <c r="C843" s="1" t="n">
        <v>46072</v>
      </c>
      <c r="D843" t="inlineStr">
        <is>
          <t>JÄMTLANDS LÄN</t>
        </is>
      </c>
      <c r="E843" t="inlineStr">
        <is>
          <t>BERG</t>
        </is>
      </c>
      <c r="G843" t="n">
        <v>2.1</v>
      </c>
      <c r="H843" t="n">
        <v>0</v>
      </c>
      <c r="I843" t="n">
        <v>0</v>
      </c>
      <c r="J843" t="n">
        <v>0</v>
      </c>
      <c r="K843" t="n">
        <v>0</v>
      </c>
      <c r="L843" t="n">
        <v>0</v>
      </c>
      <c r="M843" t="n">
        <v>0</v>
      </c>
      <c r="N843" t="n">
        <v>0</v>
      </c>
      <c r="O843" t="n">
        <v>0</v>
      </c>
      <c r="P843" t="n">
        <v>0</v>
      </c>
      <c r="Q843" t="n">
        <v>0</v>
      </c>
      <c r="R843" s="2" t="inlineStr"/>
    </row>
    <row r="844" ht="15" customHeight="1">
      <c r="A844" t="inlineStr">
        <is>
          <t>A 12254-2025</t>
        </is>
      </c>
      <c r="B844" s="1" t="n">
        <v>45729</v>
      </c>
      <c r="C844" s="1" t="n">
        <v>46072</v>
      </c>
      <c r="D844" t="inlineStr">
        <is>
          <t>JÄMTLANDS LÄN</t>
        </is>
      </c>
      <c r="E844" t="inlineStr">
        <is>
          <t>BERG</t>
        </is>
      </c>
      <c r="G844" t="n">
        <v>26.3</v>
      </c>
      <c r="H844" t="n">
        <v>0</v>
      </c>
      <c r="I844" t="n">
        <v>0</v>
      </c>
      <c r="J844" t="n">
        <v>0</v>
      </c>
      <c r="K844" t="n">
        <v>0</v>
      </c>
      <c r="L844" t="n">
        <v>0</v>
      </c>
      <c r="M844" t="n">
        <v>0</v>
      </c>
      <c r="N844" t="n">
        <v>0</v>
      </c>
      <c r="O844" t="n">
        <v>0</v>
      </c>
      <c r="P844" t="n">
        <v>0</v>
      </c>
      <c r="Q844" t="n">
        <v>0</v>
      </c>
      <c r="R844" s="2" t="inlineStr"/>
    </row>
    <row r="845" ht="15" customHeight="1">
      <c r="A845" t="inlineStr">
        <is>
          <t>A 9118-2026</t>
        </is>
      </c>
      <c r="B845" s="1" t="n">
        <v>46069.67773148148</v>
      </c>
      <c r="C845" s="1" t="n">
        <v>46072</v>
      </c>
      <c r="D845" t="inlineStr">
        <is>
          <t>JÄMTLANDS LÄN</t>
        </is>
      </c>
      <c r="E845" t="inlineStr">
        <is>
          <t>BERG</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23560-2024</t>
        </is>
      </c>
      <c r="B846" s="1" t="n">
        <v>45453.95467592592</v>
      </c>
      <c r="C846" s="1" t="n">
        <v>46072</v>
      </c>
      <c r="D846" t="inlineStr">
        <is>
          <t>JÄMTLANDS LÄN</t>
        </is>
      </c>
      <c r="E846" t="inlineStr">
        <is>
          <t>BERG</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2270-2026</t>
        </is>
      </c>
      <c r="B847" s="1" t="n">
        <v>46029</v>
      </c>
      <c r="C847" s="1" t="n">
        <v>46072</v>
      </c>
      <c r="D847" t="inlineStr">
        <is>
          <t>JÄMTLANDS LÄN</t>
        </is>
      </c>
      <c r="E847" t="inlineStr">
        <is>
          <t>BERG</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9012-2026</t>
        </is>
      </c>
      <c r="B848" s="1" t="n">
        <v>46069.4900462963</v>
      </c>
      <c r="C848" s="1" t="n">
        <v>46072</v>
      </c>
      <c r="D848" t="inlineStr">
        <is>
          <t>JÄMTLANDS LÄN</t>
        </is>
      </c>
      <c r="E848" t="inlineStr">
        <is>
          <t>BERG</t>
        </is>
      </c>
      <c r="G848" t="n">
        <v>10.7</v>
      </c>
      <c r="H848" t="n">
        <v>0</v>
      </c>
      <c r="I848" t="n">
        <v>0</v>
      </c>
      <c r="J848" t="n">
        <v>0</v>
      </c>
      <c r="K848" t="n">
        <v>0</v>
      </c>
      <c r="L848" t="n">
        <v>0</v>
      </c>
      <c r="M848" t="n">
        <v>0</v>
      </c>
      <c r="N848" t="n">
        <v>0</v>
      </c>
      <c r="O848" t="n">
        <v>0</v>
      </c>
      <c r="P848" t="n">
        <v>0</v>
      </c>
      <c r="Q848" t="n">
        <v>0</v>
      </c>
      <c r="R848" s="2" t="inlineStr"/>
    </row>
    <row r="849" ht="15" customHeight="1">
      <c r="A849" t="inlineStr">
        <is>
          <t>A 8765-2026</t>
        </is>
      </c>
      <c r="B849" s="1" t="n">
        <v>46066.56057870371</v>
      </c>
      <c r="C849" s="1" t="n">
        <v>46072</v>
      </c>
      <c r="D849" t="inlineStr">
        <is>
          <t>JÄMTLANDS LÄN</t>
        </is>
      </c>
      <c r="E849" t="inlineStr">
        <is>
          <t>BERG</t>
        </is>
      </c>
      <c r="G849" t="n">
        <v>5.6</v>
      </c>
      <c r="H849" t="n">
        <v>0</v>
      </c>
      <c r="I849" t="n">
        <v>0</v>
      </c>
      <c r="J849" t="n">
        <v>0</v>
      </c>
      <c r="K849" t="n">
        <v>0</v>
      </c>
      <c r="L849" t="n">
        <v>0</v>
      </c>
      <c r="M849" t="n">
        <v>0</v>
      </c>
      <c r="N849" t="n">
        <v>0</v>
      </c>
      <c r="O849" t="n">
        <v>0</v>
      </c>
      <c r="P849" t="n">
        <v>0</v>
      </c>
      <c r="Q849" t="n">
        <v>0</v>
      </c>
      <c r="R849" s="2" t="inlineStr"/>
    </row>
    <row r="850" ht="15" customHeight="1">
      <c r="A850" t="inlineStr">
        <is>
          <t>A 1982-2022</t>
        </is>
      </c>
      <c r="B850" s="1" t="n">
        <v>44575</v>
      </c>
      <c r="C850" s="1" t="n">
        <v>46072</v>
      </c>
      <c r="D850" t="inlineStr">
        <is>
          <t>JÄMTLANDS LÄN</t>
        </is>
      </c>
      <c r="E850" t="inlineStr">
        <is>
          <t>BERG</t>
        </is>
      </c>
      <c r="G850" t="n">
        <v>1.6</v>
      </c>
      <c r="H850" t="n">
        <v>0</v>
      </c>
      <c r="I850" t="n">
        <v>0</v>
      </c>
      <c r="J850" t="n">
        <v>0</v>
      </c>
      <c r="K850" t="n">
        <v>0</v>
      </c>
      <c r="L850" t="n">
        <v>0</v>
      </c>
      <c r="M850" t="n">
        <v>0</v>
      </c>
      <c r="N850" t="n">
        <v>0</v>
      </c>
      <c r="O850" t="n">
        <v>0</v>
      </c>
      <c r="P850" t="n">
        <v>0</v>
      </c>
      <c r="Q850" t="n">
        <v>0</v>
      </c>
      <c r="R850" s="2" t="inlineStr"/>
    </row>
    <row r="851" ht="15" customHeight="1">
      <c r="A851" t="inlineStr">
        <is>
          <t>A 1989-2022</t>
        </is>
      </c>
      <c r="B851" s="1" t="n">
        <v>44575.55935185185</v>
      </c>
      <c r="C851" s="1" t="n">
        <v>46072</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3173-2025</t>
        </is>
      </c>
      <c r="B852" s="1" t="n">
        <v>45679.38309027778</v>
      </c>
      <c r="C852" s="1" t="n">
        <v>46072</v>
      </c>
      <c r="D852" t="inlineStr">
        <is>
          <t>JÄMTLANDS LÄN</t>
        </is>
      </c>
      <c r="E852" t="inlineStr">
        <is>
          <t>BERG</t>
        </is>
      </c>
      <c r="G852" t="n">
        <v>8.9</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46072</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15156-2024</t>
        </is>
      </c>
      <c r="B854" s="1" t="n">
        <v>45399.94496527778</v>
      </c>
      <c r="C854" s="1" t="n">
        <v>46072</v>
      </c>
      <c r="D854" t="inlineStr">
        <is>
          <t>JÄMTLANDS LÄN</t>
        </is>
      </c>
      <c r="E854" t="inlineStr">
        <is>
          <t>BERG</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9223-2026</t>
        </is>
      </c>
      <c r="B855" s="1" t="n">
        <v>46070.44862268519</v>
      </c>
      <c r="C855" s="1" t="n">
        <v>46072</v>
      </c>
      <c r="D855" t="inlineStr">
        <is>
          <t>JÄMTLANDS LÄN</t>
        </is>
      </c>
      <c r="E855" t="inlineStr">
        <is>
          <t>BERG</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9277-2026</t>
        </is>
      </c>
      <c r="B856" s="1" t="n">
        <v>46070.57337962963</v>
      </c>
      <c r="C856" s="1" t="n">
        <v>46072</v>
      </c>
      <c r="D856" t="inlineStr">
        <is>
          <t>JÄMTLANDS LÄN</t>
        </is>
      </c>
      <c r="E856" t="inlineStr">
        <is>
          <t>BERG</t>
        </is>
      </c>
      <c r="F856" t="inlineStr">
        <is>
          <t>SCA</t>
        </is>
      </c>
      <c r="G856" t="n">
        <v>12.6</v>
      </c>
      <c r="H856" t="n">
        <v>0</v>
      </c>
      <c r="I856" t="n">
        <v>0</v>
      </c>
      <c r="J856" t="n">
        <v>0</v>
      </c>
      <c r="K856" t="n">
        <v>0</v>
      </c>
      <c r="L856" t="n">
        <v>0</v>
      </c>
      <c r="M856" t="n">
        <v>0</v>
      </c>
      <c r="N856" t="n">
        <v>0</v>
      </c>
      <c r="O856" t="n">
        <v>0</v>
      </c>
      <c r="P856" t="n">
        <v>0</v>
      </c>
      <c r="Q856" t="n">
        <v>0</v>
      </c>
      <c r="R856" s="2" t="inlineStr"/>
    </row>
    <row r="857" ht="15" customHeight="1">
      <c r="A857" t="inlineStr">
        <is>
          <t>A 46858-2023</t>
        </is>
      </c>
      <c r="B857" s="1" t="n">
        <v>45199.97042824074</v>
      </c>
      <c r="C857" s="1" t="n">
        <v>46072</v>
      </c>
      <c r="D857" t="inlineStr">
        <is>
          <t>JÄMTLANDS LÄN</t>
        </is>
      </c>
      <c r="E857" t="inlineStr">
        <is>
          <t>BERG</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17266-2025</t>
        </is>
      </c>
      <c r="B858" s="1" t="n">
        <v>45756</v>
      </c>
      <c r="C858" s="1" t="n">
        <v>46072</v>
      </c>
      <c r="D858" t="inlineStr">
        <is>
          <t>JÄMTLANDS LÄN</t>
        </is>
      </c>
      <c r="E858" t="inlineStr">
        <is>
          <t>BERG</t>
        </is>
      </c>
      <c r="G858" t="n">
        <v>20.1</v>
      </c>
      <c r="H858" t="n">
        <v>0</v>
      </c>
      <c r="I858" t="n">
        <v>0</v>
      </c>
      <c r="J858" t="n">
        <v>0</v>
      </c>
      <c r="K858" t="n">
        <v>0</v>
      </c>
      <c r="L858" t="n">
        <v>0</v>
      </c>
      <c r="M858" t="n">
        <v>0</v>
      </c>
      <c r="N858" t="n">
        <v>0</v>
      </c>
      <c r="O858" t="n">
        <v>0</v>
      </c>
      <c r="P858" t="n">
        <v>0</v>
      </c>
      <c r="Q858" t="n">
        <v>0</v>
      </c>
      <c r="R858" s="2" t="inlineStr"/>
    </row>
    <row r="859" ht="15" customHeight="1">
      <c r="A859" t="inlineStr">
        <is>
          <t>A 47821-2025</t>
        </is>
      </c>
      <c r="B859" s="1" t="n">
        <v>45932.34421296296</v>
      </c>
      <c r="C859" s="1" t="n">
        <v>46072</v>
      </c>
      <c r="D859" t="inlineStr">
        <is>
          <t>JÄMTLANDS LÄN</t>
        </is>
      </c>
      <c r="E859" t="inlineStr">
        <is>
          <t>BERG</t>
        </is>
      </c>
      <c r="F859" t="inlineStr">
        <is>
          <t>SCA</t>
        </is>
      </c>
      <c r="G859" t="n">
        <v>7.6</v>
      </c>
      <c r="H859" t="n">
        <v>0</v>
      </c>
      <c r="I859" t="n">
        <v>0</v>
      </c>
      <c r="J859" t="n">
        <v>0</v>
      </c>
      <c r="K859" t="n">
        <v>0</v>
      </c>
      <c r="L859" t="n">
        <v>0</v>
      </c>
      <c r="M859" t="n">
        <v>0</v>
      </c>
      <c r="N859" t="n">
        <v>0</v>
      </c>
      <c r="O859" t="n">
        <v>0</v>
      </c>
      <c r="P859" t="n">
        <v>0</v>
      </c>
      <c r="Q859" t="n">
        <v>0</v>
      </c>
      <c r="R859" s="2" t="inlineStr"/>
    </row>
    <row r="860" ht="15" customHeight="1">
      <c r="A860" t="inlineStr">
        <is>
          <t>A 49749-2025</t>
        </is>
      </c>
      <c r="B860" s="1" t="n">
        <v>45940.34486111111</v>
      </c>
      <c r="C860" s="1" t="n">
        <v>46072</v>
      </c>
      <c r="D860" t="inlineStr">
        <is>
          <t>JÄMTLANDS LÄN</t>
        </is>
      </c>
      <c r="E860" t="inlineStr">
        <is>
          <t>BERG</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53778-2025</t>
        </is>
      </c>
      <c r="B861" s="1" t="n">
        <v>45960.69841435185</v>
      </c>
      <c r="C861" s="1" t="n">
        <v>46072</v>
      </c>
      <c r="D861" t="inlineStr">
        <is>
          <t>JÄMTLANDS LÄN</t>
        </is>
      </c>
      <c r="E861" t="inlineStr">
        <is>
          <t>BERG</t>
        </is>
      </c>
      <c r="F861" t="inlineStr">
        <is>
          <t>SCA</t>
        </is>
      </c>
      <c r="G861" t="n">
        <v>18.7</v>
      </c>
      <c r="H861" t="n">
        <v>0</v>
      </c>
      <c r="I861" t="n">
        <v>0</v>
      </c>
      <c r="J861" t="n">
        <v>0</v>
      </c>
      <c r="K861" t="n">
        <v>0</v>
      </c>
      <c r="L861" t="n">
        <v>0</v>
      </c>
      <c r="M861" t="n">
        <v>0</v>
      </c>
      <c r="N861" t="n">
        <v>0</v>
      </c>
      <c r="O861" t="n">
        <v>0</v>
      </c>
      <c r="P861" t="n">
        <v>0</v>
      </c>
      <c r="Q861" t="n">
        <v>0</v>
      </c>
      <c r="R861" s="2" t="inlineStr"/>
      <c r="U861">
        <f>HYPERLINK("https://klasma.github.io/Logging_2326/knärot/A 53778-2025 karta knärot.png", "A 53778-2025")</f>
        <v/>
      </c>
      <c r="V861">
        <f>HYPERLINK("https://klasma.github.io/Logging_2326/klagomål/A 53778-2025 FSC-klagomål.docx", "A 53778-2025")</f>
        <v/>
      </c>
      <c r="W861">
        <f>HYPERLINK("https://klasma.github.io/Logging_2326/klagomålsmail/A 53778-2025 FSC-klagomål mail.docx", "A 53778-2025")</f>
        <v/>
      </c>
      <c r="X861">
        <f>HYPERLINK("https://klasma.github.io/Logging_2326/tillsyn/A 53778-2025 tillsynsbegäran.docx", "A 53778-2025")</f>
        <v/>
      </c>
      <c r="Y861">
        <f>HYPERLINK("https://klasma.github.io/Logging_2326/tillsynsmail/A 53778-2025 tillsynsbegäran mail.docx", "A 53778-2025")</f>
        <v/>
      </c>
    </row>
    <row r="862" ht="15" customHeight="1">
      <c r="A862" t="inlineStr">
        <is>
          <t>A 58237-2025</t>
        </is>
      </c>
      <c r="B862" s="1" t="n">
        <v>45985.38751157407</v>
      </c>
      <c r="C862" s="1" t="n">
        <v>46072</v>
      </c>
      <c r="D862" t="inlineStr">
        <is>
          <t>JÄMTLANDS LÄN</t>
        </is>
      </c>
      <c r="E862" t="inlineStr">
        <is>
          <t>BERG</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9282-2026</t>
        </is>
      </c>
      <c r="B863" s="1" t="n">
        <v>46070.58050925926</v>
      </c>
      <c r="C863" s="1" t="n">
        <v>46072</v>
      </c>
      <c r="D863" t="inlineStr">
        <is>
          <t>JÄMTLANDS LÄN</t>
        </is>
      </c>
      <c r="E863" t="inlineStr">
        <is>
          <t>BERG</t>
        </is>
      </c>
      <c r="G863" t="n">
        <v>2.2</v>
      </c>
      <c r="H863" t="n">
        <v>0</v>
      </c>
      <c r="I863" t="n">
        <v>0</v>
      </c>
      <c r="J863" t="n">
        <v>0</v>
      </c>
      <c r="K863" t="n">
        <v>0</v>
      </c>
      <c r="L863" t="n">
        <v>0</v>
      </c>
      <c r="M863" t="n">
        <v>0</v>
      </c>
      <c r="N863" t="n">
        <v>0</v>
      </c>
      <c r="O863" t="n">
        <v>0</v>
      </c>
      <c r="P863" t="n">
        <v>0</v>
      </c>
      <c r="Q863" t="n">
        <v>0</v>
      </c>
      <c r="R863" s="2" t="inlineStr"/>
    </row>
    <row r="864" ht="15" customHeight="1">
      <c r="A864" t="inlineStr">
        <is>
          <t>A 36192-2024</t>
        </is>
      </c>
      <c r="B864" s="1" t="n">
        <v>45534.42809027778</v>
      </c>
      <c r="C864" s="1" t="n">
        <v>46072</v>
      </c>
      <c r="D864" t="inlineStr">
        <is>
          <t>JÄMTLANDS LÄN</t>
        </is>
      </c>
      <c r="E864" t="inlineStr">
        <is>
          <t>BERG</t>
        </is>
      </c>
      <c r="G864" t="n">
        <v>1.4</v>
      </c>
      <c r="H864" t="n">
        <v>0</v>
      </c>
      <c r="I864" t="n">
        <v>0</v>
      </c>
      <c r="J864" t="n">
        <v>0</v>
      </c>
      <c r="K864" t="n">
        <v>0</v>
      </c>
      <c r="L864" t="n">
        <v>0</v>
      </c>
      <c r="M864" t="n">
        <v>0</v>
      </c>
      <c r="N864" t="n">
        <v>0</v>
      </c>
      <c r="O864" t="n">
        <v>0</v>
      </c>
      <c r="P864" t="n">
        <v>0</v>
      </c>
      <c r="Q864" t="n">
        <v>0</v>
      </c>
      <c r="R864" s="2" t="inlineStr"/>
    </row>
    <row r="865" ht="15" customHeight="1">
      <c r="A865" t="inlineStr">
        <is>
          <t>A 59824-2025</t>
        </is>
      </c>
      <c r="B865" s="1" t="n">
        <v>45992.65116898148</v>
      </c>
      <c r="C865" s="1" t="n">
        <v>46072</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14594-2025</t>
        </is>
      </c>
      <c r="B866" s="1" t="n">
        <v>45742.34414351852</v>
      </c>
      <c r="C866" s="1" t="n">
        <v>46072</v>
      </c>
      <c r="D866" t="inlineStr">
        <is>
          <t>JÄMTLANDS LÄN</t>
        </is>
      </c>
      <c r="E866" t="inlineStr">
        <is>
          <t>BERG</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14596-2025</t>
        </is>
      </c>
      <c r="B867" s="1" t="n">
        <v>45742.34449074074</v>
      </c>
      <c r="C867" s="1" t="n">
        <v>46072</v>
      </c>
      <c r="D867" t="inlineStr">
        <is>
          <t>JÄMTLANDS LÄN</t>
        </is>
      </c>
      <c r="E867" t="inlineStr">
        <is>
          <t>BERG</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62158-2025</t>
        </is>
      </c>
      <c r="B868" s="1" t="n">
        <v>46006.490625</v>
      </c>
      <c r="C868" s="1" t="n">
        <v>46072</v>
      </c>
      <c r="D868" t="inlineStr">
        <is>
          <t>JÄMTLANDS LÄN</t>
        </is>
      </c>
      <c r="E868" t="inlineStr">
        <is>
          <t>BERG</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9201-2026</t>
        </is>
      </c>
      <c r="B869" s="1" t="n">
        <v>46070.40723379629</v>
      </c>
      <c r="C869" s="1" t="n">
        <v>46072</v>
      </c>
      <c r="D869" t="inlineStr">
        <is>
          <t>JÄMTLANDS LÄN</t>
        </is>
      </c>
      <c r="E869" t="inlineStr">
        <is>
          <t>BERG</t>
        </is>
      </c>
      <c r="G869" t="n">
        <v>2.3</v>
      </c>
      <c r="H869" t="n">
        <v>0</v>
      </c>
      <c r="I869" t="n">
        <v>0</v>
      </c>
      <c r="J869" t="n">
        <v>0</v>
      </c>
      <c r="K869" t="n">
        <v>0</v>
      </c>
      <c r="L869" t="n">
        <v>0</v>
      </c>
      <c r="M869" t="n">
        <v>0</v>
      </c>
      <c r="N869" t="n">
        <v>0</v>
      </c>
      <c r="O869" t="n">
        <v>0</v>
      </c>
      <c r="P869" t="n">
        <v>0</v>
      </c>
      <c r="Q869" t="n">
        <v>0</v>
      </c>
      <c r="R869" s="2" t="inlineStr"/>
    </row>
    <row r="870" ht="15" customHeight="1">
      <c r="A870" t="inlineStr">
        <is>
          <t>A 568-2026</t>
        </is>
      </c>
      <c r="B870" s="1" t="n">
        <v>46029.46987268519</v>
      </c>
      <c r="C870" s="1" t="n">
        <v>46072</v>
      </c>
      <c r="D870" t="inlineStr">
        <is>
          <t>JÄMTLANDS LÄN</t>
        </is>
      </c>
      <c r="E870" t="inlineStr">
        <is>
          <t>BERG</t>
        </is>
      </c>
      <c r="G870" t="n">
        <v>2.7</v>
      </c>
      <c r="H870" t="n">
        <v>0</v>
      </c>
      <c r="I870" t="n">
        <v>0</v>
      </c>
      <c r="J870" t="n">
        <v>0</v>
      </c>
      <c r="K870" t="n">
        <v>0</v>
      </c>
      <c r="L870" t="n">
        <v>0</v>
      </c>
      <c r="M870" t="n">
        <v>0</v>
      </c>
      <c r="N870" t="n">
        <v>0</v>
      </c>
      <c r="O870" t="n">
        <v>0</v>
      </c>
      <c r="P870" t="n">
        <v>0</v>
      </c>
      <c r="Q870" t="n">
        <v>0</v>
      </c>
      <c r="R870" s="2" t="inlineStr"/>
    </row>
    <row r="871" ht="15" customHeight="1">
      <c r="A871" t="inlineStr">
        <is>
          <t>A 3798-2022</t>
        </is>
      </c>
      <c r="B871" s="1" t="n">
        <v>44586</v>
      </c>
      <c r="C871" s="1" t="n">
        <v>46072</v>
      </c>
      <c r="D871" t="inlineStr">
        <is>
          <t>JÄMTLANDS LÄN</t>
        </is>
      </c>
      <c r="E871" t="inlineStr">
        <is>
          <t>BERG</t>
        </is>
      </c>
      <c r="G871" t="n">
        <v>0.1</v>
      </c>
      <c r="H871" t="n">
        <v>0</v>
      </c>
      <c r="I871" t="n">
        <v>0</v>
      </c>
      <c r="J871" t="n">
        <v>0</v>
      </c>
      <c r="K871" t="n">
        <v>0</v>
      </c>
      <c r="L871" t="n">
        <v>0</v>
      </c>
      <c r="M871" t="n">
        <v>0</v>
      </c>
      <c r="N871" t="n">
        <v>0</v>
      </c>
      <c r="O871" t="n">
        <v>0</v>
      </c>
      <c r="P871" t="n">
        <v>0</v>
      </c>
      <c r="Q871" t="n">
        <v>0</v>
      </c>
      <c r="R871" s="2" t="inlineStr"/>
    </row>
    <row r="872" ht="15" customHeight="1">
      <c r="A872" t="inlineStr">
        <is>
          <t>A 50458-2025</t>
        </is>
      </c>
      <c r="B872" s="1" t="n">
        <v>45945</v>
      </c>
      <c r="C872" s="1" t="n">
        <v>46072</v>
      </c>
      <c r="D872" t="inlineStr">
        <is>
          <t>JÄMTLANDS LÄN</t>
        </is>
      </c>
      <c r="E872" t="inlineStr">
        <is>
          <t>BERG</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679-2026</t>
        </is>
      </c>
      <c r="B873" s="1" t="n">
        <v>46029.60032407408</v>
      </c>
      <c r="C873" s="1" t="n">
        <v>46072</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11274-2025</t>
        </is>
      </c>
      <c r="B874" s="1" t="n">
        <v>45726.40868055556</v>
      </c>
      <c r="C874" s="1" t="n">
        <v>46072</v>
      </c>
      <c r="D874" t="inlineStr">
        <is>
          <t>JÄMTLANDS LÄN</t>
        </is>
      </c>
      <c r="E874" t="inlineStr">
        <is>
          <t>BERG</t>
        </is>
      </c>
      <c r="G874" t="n">
        <v>3</v>
      </c>
      <c r="H874" t="n">
        <v>0</v>
      </c>
      <c r="I874" t="n">
        <v>0</v>
      </c>
      <c r="J874" t="n">
        <v>0</v>
      </c>
      <c r="K874" t="n">
        <v>0</v>
      </c>
      <c r="L874" t="n">
        <v>0</v>
      </c>
      <c r="M874" t="n">
        <v>0</v>
      </c>
      <c r="N874" t="n">
        <v>0</v>
      </c>
      <c r="O874" t="n">
        <v>0</v>
      </c>
      <c r="P874" t="n">
        <v>0</v>
      </c>
      <c r="Q874" t="n">
        <v>0</v>
      </c>
      <c r="R874" s="2" t="inlineStr"/>
    </row>
    <row r="875" ht="15" customHeight="1">
      <c r="A875" t="inlineStr">
        <is>
          <t>A 149-2024</t>
        </is>
      </c>
      <c r="B875" s="1" t="n">
        <v>45294</v>
      </c>
      <c r="C875" s="1" t="n">
        <v>46072</v>
      </c>
      <c r="D875" t="inlineStr">
        <is>
          <t>JÄMTLANDS LÄN</t>
        </is>
      </c>
      <c r="E875" t="inlineStr">
        <is>
          <t>BERG</t>
        </is>
      </c>
      <c r="F875" t="inlineStr">
        <is>
          <t>Kyrkan</t>
        </is>
      </c>
      <c r="G875" t="n">
        <v>3.7</v>
      </c>
      <c r="H875" t="n">
        <v>0</v>
      </c>
      <c r="I875" t="n">
        <v>0</v>
      </c>
      <c r="J875" t="n">
        <v>0</v>
      </c>
      <c r="K875" t="n">
        <v>0</v>
      </c>
      <c r="L875" t="n">
        <v>0</v>
      </c>
      <c r="M875" t="n">
        <v>0</v>
      </c>
      <c r="N875" t="n">
        <v>0</v>
      </c>
      <c r="O875" t="n">
        <v>0</v>
      </c>
      <c r="P875" t="n">
        <v>0</v>
      </c>
      <c r="Q875" t="n">
        <v>0</v>
      </c>
      <c r="R875" s="2" t="inlineStr"/>
    </row>
    <row r="876" ht="15" customHeight="1">
      <c r="A876" t="inlineStr">
        <is>
          <t>A 36708-2023</t>
        </is>
      </c>
      <c r="B876" s="1" t="n">
        <v>45153.65226851852</v>
      </c>
      <c r="C876" s="1" t="n">
        <v>46072</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33750-2023</t>
        </is>
      </c>
      <c r="B877" s="1" t="n">
        <v>45120</v>
      </c>
      <c r="C877" s="1" t="n">
        <v>46072</v>
      </c>
      <c r="D877" t="inlineStr">
        <is>
          <t>JÄMTLANDS LÄN</t>
        </is>
      </c>
      <c r="E877" t="inlineStr">
        <is>
          <t>BERG</t>
        </is>
      </c>
      <c r="G877" t="n">
        <v>2.6</v>
      </c>
      <c r="H877" t="n">
        <v>0</v>
      </c>
      <c r="I877" t="n">
        <v>0</v>
      </c>
      <c r="J877" t="n">
        <v>0</v>
      </c>
      <c r="K877" t="n">
        <v>0</v>
      </c>
      <c r="L877" t="n">
        <v>0</v>
      </c>
      <c r="M877" t="n">
        <v>0</v>
      </c>
      <c r="N877" t="n">
        <v>0</v>
      </c>
      <c r="O877" t="n">
        <v>0</v>
      </c>
      <c r="P877" t="n">
        <v>0</v>
      </c>
      <c r="Q877" t="n">
        <v>0</v>
      </c>
      <c r="R877" s="2" t="inlineStr"/>
    </row>
    <row r="878" ht="15" customHeight="1">
      <c r="A878" t="inlineStr">
        <is>
          <t>A 8722-2024</t>
        </is>
      </c>
      <c r="B878" s="1" t="n">
        <v>45355</v>
      </c>
      <c r="C878" s="1" t="n">
        <v>46072</v>
      </c>
      <c r="D878" t="inlineStr">
        <is>
          <t>JÄMTLANDS LÄN</t>
        </is>
      </c>
      <c r="E878" t="inlineStr">
        <is>
          <t>BERG</t>
        </is>
      </c>
      <c r="G878" t="n">
        <v>2.4</v>
      </c>
      <c r="H878" t="n">
        <v>0</v>
      </c>
      <c r="I878" t="n">
        <v>0</v>
      </c>
      <c r="J878" t="n">
        <v>0</v>
      </c>
      <c r="K878" t="n">
        <v>0</v>
      </c>
      <c r="L878" t="n">
        <v>0</v>
      </c>
      <c r="M878" t="n">
        <v>0</v>
      </c>
      <c r="N878" t="n">
        <v>0</v>
      </c>
      <c r="O878" t="n">
        <v>0</v>
      </c>
      <c r="P878" t="n">
        <v>0</v>
      </c>
      <c r="Q878" t="n">
        <v>0</v>
      </c>
      <c r="R878" s="2" t="inlineStr"/>
    </row>
    <row r="879" ht="15" customHeight="1">
      <c r="A879" t="inlineStr">
        <is>
          <t>A 8726-2024</t>
        </is>
      </c>
      <c r="B879" s="1" t="n">
        <v>45355</v>
      </c>
      <c r="C879" s="1" t="n">
        <v>46072</v>
      </c>
      <c r="D879" t="inlineStr">
        <is>
          <t>JÄMTLANDS LÄN</t>
        </is>
      </c>
      <c r="E879" t="inlineStr">
        <is>
          <t>BERG</t>
        </is>
      </c>
      <c r="G879" t="n">
        <v>1.3</v>
      </c>
      <c r="H879" t="n">
        <v>0</v>
      </c>
      <c r="I879" t="n">
        <v>0</v>
      </c>
      <c r="J879" t="n">
        <v>0</v>
      </c>
      <c r="K879" t="n">
        <v>0</v>
      </c>
      <c r="L879" t="n">
        <v>0</v>
      </c>
      <c r="M879" t="n">
        <v>0</v>
      </c>
      <c r="N879" t="n">
        <v>0</v>
      </c>
      <c r="O879" t="n">
        <v>0</v>
      </c>
      <c r="P879" t="n">
        <v>0</v>
      </c>
      <c r="Q879" t="n">
        <v>0</v>
      </c>
      <c r="R879" s="2" t="inlineStr"/>
    </row>
    <row r="880" ht="15" customHeight="1">
      <c r="A880" t="inlineStr">
        <is>
          <t>A 8733-2024</t>
        </is>
      </c>
      <c r="B880" s="1" t="n">
        <v>45355</v>
      </c>
      <c r="C880" s="1" t="n">
        <v>46072</v>
      </c>
      <c r="D880" t="inlineStr">
        <is>
          <t>JÄMTLANDS LÄN</t>
        </is>
      </c>
      <c r="E880" t="inlineStr">
        <is>
          <t>BERG</t>
        </is>
      </c>
      <c r="G880" t="n">
        <v>1.9</v>
      </c>
      <c r="H880" t="n">
        <v>0</v>
      </c>
      <c r="I880" t="n">
        <v>0</v>
      </c>
      <c r="J880" t="n">
        <v>0</v>
      </c>
      <c r="K880" t="n">
        <v>0</v>
      </c>
      <c r="L880" t="n">
        <v>0</v>
      </c>
      <c r="M880" t="n">
        <v>0</v>
      </c>
      <c r="N880" t="n">
        <v>0</v>
      </c>
      <c r="O880" t="n">
        <v>0</v>
      </c>
      <c r="P880" t="n">
        <v>0</v>
      </c>
      <c r="Q880" t="n">
        <v>0</v>
      </c>
      <c r="R880" s="2" t="inlineStr"/>
    </row>
    <row r="881" ht="15" customHeight="1">
      <c r="A881" t="inlineStr">
        <is>
          <t>A 30992-2024</t>
        </is>
      </c>
      <c r="B881" s="1" t="n">
        <v>45499</v>
      </c>
      <c r="C881" s="1" t="n">
        <v>46072</v>
      </c>
      <c r="D881" t="inlineStr">
        <is>
          <t>JÄMTLANDS LÄN</t>
        </is>
      </c>
      <c r="E881" t="inlineStr">
        <is>
          <t>BERG</t>
        </is>
      </c>
      <c r="F881" t="inlineStr">
        <is>
          <t>Sveaskog</t>
        </is>
      </c>
      <c r="G881" t="n">
        <v>5.1</v>
      </c>
      <c r="H881" t="n">
        <v>0</v>
      </c>
      <c r="I881" t="n">
        <v>0</v>
      </c>
      <c r="J881" t="n">
        <v>0</v>
      </c>
      <c r="K881" t="n">
        <v>0</v>
      </c>
      <c r="L881" t="n">
        <v>0</v>
      </c>
      <c r="M881" t="n">
        <v>0</v>
      </c>
      <c r="N881" t="n">
        <v>0</v>
      </c>
      <c r="O881" t="n">
        <v>0</v>
      </c>
      <c r="P881" t="n">
        <v>0</v>
      </c>
      <c r="Q881" t="n">
        <v>0</v>
      </c>
      <c r="R881" s="2" t="inlineStr"/>
    </row>
    <row r="882" ht="15" customHeight="1">
      <c r="A882" t="inlineStr">
        <is>
          <t>A 49048-2024</t>
        </is>
      </c>
      <c r="B882" s="1" t="n">
        <v>45594.57427083333</v>
      </c>
      <c r="C882" s="1" t="n">
        <v>46072</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54071-2023</t>
        </is>
      </c>
      <c r="B883" s="1" t="n">
        <v>45231</v>
      </c>
      <c r="C883" s="1" t="n">
        <v>46072</v>
      </c>
      <c r="D883" t="inlineStr">
        <is>
          <t>JÄMTLANDS LÄN</t>
        </is>
      </c>
      <c r="E883" t="inlineStr">
        <is>
          <t>BERG</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461-2023</t>
        </is>
      </c>
      <c r="B884" s="1" t="n">
        <v>44929</v>
      </c>
      <c r="C884" s="1" t="n">
        <v>46072</v>
      </c>
      <c r="D884" t="inlineStr">
        <is>
          <t>JÄMTLANDS LÄN</t>
        </is>
      </c>
      <c r="E884" t="inlineStr">
        <is>
          <t>BERG</t>
        </is>
      </c>
      <c r="G884" t="n">
        <v>5.8</v>
      </c>
      <c r="H884" t="n">
        <v>0</v>
      </c>
      <c r="I884" t="n">
        <v>0</v>
      </c>
      <c r="J884" t="n">
        <v>0</v>
      </c>
      <c r="K884" t="n">
        <v>0</v>
      </c>
      <c r="L884" t="n">
        <v>0</v>
      </c>
      <c r="M884" t="n">
        <v>0</v>
      </c>
      <c r="N884" t="n">
        <v>0</v>
      </c>
      <c r="O884" t="n">
        <v>0</v>
      </c>
      <c r="P884" t="n">
        <v>0</v>
      </c>
      <c r="Q884" t="n">
        <v>0</v>
      </c>
      <c r="R884" s="2" t="inlineStr"/>
    </row>
    <row r="885" ht="15" customHeight="1">
      <c r="A885" t="inlineStr">
        <is>
          <t>A 525-2023</t>
        </is>
      </c>
      <c r="B885" s="1" t="n">
        <v>44924</v>
      </c>
      <c r="C885" s="1" t="n">
        <v>46072</v>
      </c>
      <c r="D885" t="inlineStr">
        <is>
          <t>JÄMTLANDS LÄN</t>
        </is>
      </c>
      <c r="E885" t="inlineStr">
        <is>
          <t>BERG</t>
        </is>
      </c>
      <c r="G885" t="n">
        <v>4</v>
      </c>
      <c r="H885" t="n">
        <v>0</v>
      </c>
      <c r="I885" t="n">
        <v>0</v>
      </c>
      <c r="J885" t="n">
        <v>0</v>
      </c>
      <c r="K885" t="n">
        <v>0</v>
      </c>
      <c r="L885" t="n">
        <v>0</v>
      </c>
      <c r="M885" t="n">
        <v>0</v>
      </c>
      <c r="N885" t="n">
        <v>0</v>
      </c>
      <c r="O885" t="n">
        <v>0</v>
      </c>
      <c r="P885" t="n">
        <v>0</v>
      </c>
      <c r="Q885" t="n">
        <v>0</v>
      </c>
      <c r="R885" s="2" t="inlineStr"/>
    </row>
    <row r="886" ht="15" customHeight="1">
      <c r="A886" t="inlineStr">
        <is>
          <t>A 26918-2024</t>
        </is>
      </c>
      <c r="B886" s="1" t="n">
        <v>45470</v>
      </c>
      <c r="C886" s="1" t="n">
        <v>46072</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27579-2024</t>
        </is>
      </c>
      <c r="B887" s="1" t="n">
        <v>45474.65244212963</v>
      </c>
      <c r="C887" s="1" t="n">
        <v>46072</v>
      </c>
      <c r="D887" t="inlineStr">
        <is>
          <t>JÄMTLANDS LÄN</t>
        </is>
      </c>
      <c r="E887" t="inlineStr">
        <is>
          <t>BERG</t>
        </is>
      </c>
      <c r="G887" t="n">
        <v>1.8</v>
      </c>
      <c r="H887" t="n">
        <v>0</v>
      </c>
      <c r="I887" t="n">
        <v>0</v>
      </c>
      <c r="J887" t="n">
        <v>0</v>
      </c>
      <c r="K887" t="n">
        <v>0</v>
      </c>
      <c r="L887" t="n">
        <v>0</v>
      </c>
      <c r="M887" t="n">
        <v>0</v>
      </c>
      <c r="N887" t="n">
        <v>0</v>
      </c>
      <c r="O887" t="n">
        <v>0</v>
      </c>
      <c r="P887" t="n">
        <v>0</v>
      </c>
      <c r="Q887" t="n">
        <v>0</v>
      </c>
      <c r="R887" s="2" t="inlineStr"/>
    </row>
    <row r="888" ht="15" customHeight="1">
      <c r="A888" t="inlineStr">
        <is>
          <t>A 54992-2023</t>
        </is>
      </c>
      <c r="B888" s="1" t="n">
        <v>45236.96789351852</v>
      </c>
      <c r="C888" s="1" t="n">
        <v>46072</v>
      </c>
      <c r="D888" t="inlineStr">
        <is>
          <t>JÄMTLANDS LÄN</t>
        </is>
      </c>
      <c r="E888" t="inlineStr">
        <is>
          <t>BERG</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54994-2023</t>
        </is>
      </c>
      <c r="B889" s="1" t="n">
        <v>45236</v>
      </c>
      <c r="C889" s="1" t="n">
        <v>46072</v>
      </c>
      <c r="D889" t="inlineStr">
        <is>
          <t>JÄMTLANDS LÄN</t>
        </is>
      </c>
      <c r="E889" t="inlineStr">
        <is>
          <t>BERG</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57226-2022</t>
        </is>
      </c>
      <c r="B890" s="1" t="n">
        <v>44895.66629629629</v>
      </c>
      <c r="C890" s="1" t="n">
        <v>46072</v>
      </c>
      <c r="D890" t="inlineStr">
        <is>
          <t>JÄMTLANDS LÄN</t>
        </is>
      </c>
      <c r="E890" t="inlineStr">
        <is>
          <t>BERG</t>
        </is>
      </c>
      <c r="G890" t="n">
        <v>4.6</v>
      </c>
      <c r="H890" t="n">
        <v>0</v>
      </c>
      <c r="I890" t="n">
        <v>0</v>
      </c>
      <c r="J890" t="n">
        <v>0</v>
      </c>
      <c r="K890" t="n">
        <v>0</v>
      </c>
      <c r="L890" t="n">
        <v>0</v>
      </c>
      <c r="M890" t="n">
        <v>0</v>
      </c>
      <c r="N890" t="n">
        <v>0</v>
      </c>
      <c r="O890" t="n">
        <v>0</v>
      </c>
      <c r="P890" t="n">
        <v>0</v>
      </c>
      <c r="Q890" t="n">
        <v>0</v>
      </c>
      <c r="R890" s="2" t="inlineStr"/>
    </row>
    <row r="891" ht="15" customHeight="1">
      <c r="A891" t="inlineStr">
        <is>
          <t>A 5911-2024</t>
        </is>
      </c>
      <c r="B891" s="1" t="n">
        <v>45335</v>
      </c>
      <c r="C891" s="1" t="n">
        <v>46072</v>
      </c>
      <c r="D891" t="inlineStr">
        <is>
          <t>JÄMTLANDS LÄN</t>
        </is>
      </c>
      <c r="E891" t="inlineStr">
        <is>
          <t>BERG</t>
        </is>
      </c>
      <c r="F891" t="inlineStr">
        <is>
          <t>SCA</t>
        </is>
      </c>
      <c r="G891" t="n">
        <v>28.6</v>
      </c>
      <c r="H891" t="n">
        <v>0</v>
      </c>
      <c r="I891" t="n">
        <v>0</v>
      </c>
      <c r="J891" t="n">
        <v>0</v>
      </c>
      <c r="K891" t="n">
        <v>0</v>
      </c>
      <c r="L891" t="n">
        <v>0</v>
      </c>
      <c r="M891" t="n">
        <v>0</v>
      </c>
      <c r="N891" t="n">
        <v>0</v>
      </c>
      <c r="O891" t="n">
        <v>0</v>
      </c>
      <c r="P891" t="n">
        <v>0</v>
      </c>
      <c r="Q891" t="n">
        <v>0</v>
      </c>
      <c r="R891" s="2" t="inlineStr"/>
    </row>
    <row r="892" ht="15" customHeight="1">
      <c r="A892" t="inlineStr">
        <is>
          <t>A 25306-2023</t>
        </is>
      </c>
      <c r="B892" s="1" t="n">
        <v>45086</v>
      </c>
      <c r="C892" s="1" t="n">
        <v>46072</v>
      </c>
      <c r="D892" t="inlineStr">
        <is>
          <t>JÄMTLANDS LÄN</t>
        </is>
      </c>
      <c r="E892" t="inlineStr">
        <is>
          <t>BERG</t>
        </is>
      </c>
      <c r="G892" t="n">
        <v>23.3</v>
      </c>
      <c r="H892" t="n">
        <v>0</v>
      </c>
      <c r="I892" t="n">
        <v>0</v>
      </c>
      <c r="J892" t="n">
        <v>0</v>
      </c>
      <c r="K892" t="n">
        <v>0</v>
      </c>
      <c r="L892" t="n">
        <v>0</v>
      </c>
      <c r="M892" t="n">
        <v>0</v>
      </c>
      <c r="N892" t="n">
        <v>0</v>
      </c>
      <c r="O892" t="n">
        <v>0</v>
      </c>
      <c r="P892" t="n">
        <v>0</v>
      </c>
      <c r="Q892" t="n">
        <v>0</v>
      </c>
      <c r="R892" s="2" t="inlineStr"/>
    </row>
    <row r="893" ht="15" customHeight="1">
      <c r="A893" t="inlineStr">
        <is>
          <t>A 13373-2024</t>
        </is>
      </c>
      <c r="B893" s="1" t="n">
        <v>45387.37010416666</v>
      </c>
      <c r="C893" s="1" t="n">
        <v>46072</v>
      </c>
      <c r="D893" t="inlineStr">
        <is>
          <t>JÄMTLANDS LÄN</t>
        </is>
      </c>
      <c r="E893" t="inlineStr">
        <is>
          <t>BERG</t>
        </is>
      </c>
      <c r="G893" t="n">
        <v>3.8</v>
      </c>
      <c r="H893" t="n">
        <v>0</v>
      </c>
      <c r="I893" t="n">
        <v>0</v>
      </c>
      <c r="J893" t="n">
        <v>0</v>
      </c>
      <c r="K893" t="n">
        <v>0</v>
      </c>
      <c r="L893" t="n">
        <v>0</v>
      </c>
      <c r="M893" t="n">
        <v>0</v>
      </c>
      <c r="N893" t="n">
        <v>0</v>
      </c>
      <c r="O893" t="n">
        <v>0</v>
      </c>
      <c r="P893" t="n">
        <v>0</v>
      </c>
      <c r="Q893" t="n">
        <v>0</v>
      </c>
      <c r="R893" s="2" t="inlineStr"/>
    </row>
    <row r="894" ht="15" customHeight="1">
      <c r="A894" t="inlineStr">
        <is>
          <t>A 52774-2023</t>
        </is>
      </c>
      <c r="B894" s="1" t="n">
        <v>45219</v>
      </c>
      <c r="C894" s="1" t="n">
        <v>46072</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24011-2023</t>
        </is>
      </c>
      <c r="B895" s="1" t="n">
        <v>45078</v>
      </c>
      <c r="C895" s="1" t="n">
        <v>46072</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11704-2023</t>
        </is>
      </c>
      <c r="B896" s="1" t="n">
        <v>44994.54274305556</v>
      </c>
      <c r="C896" s="1" t="n">
        <v>46072</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59459-2024</t>
        </is>
      </c>
      <c r="B897" s="1" t="n">
        <v>45638</v>
      </c>
      <c r="C897" s="1" t="n">
        <v>46072</v>
      </c>
      <c r="D897" t="inlineStr">
        <is>
          <t>JÄMTLANDS LÄN</t>
        </is>
      </c>
      <c r="E897" t="inlineStr">
        <is>
          <t>BERG</t>
        </is>
      </c>
      <c r="G897" t="n">
        <v>1.1</v>
      </c>
      <c r="H897" t="n">
        <v>0</v>
      </c>
      <c r="I897" t="n">
        <v>0</v>
      </c>
      <c r="J897" t="n">
        <v>0</v>
      </c>
      <c r="K897" t="n">
        <v>0</v>
      </c>
      <c r="L897" t="n">
        <v>0</v>
      </c>
      <c r="M897" t="n">
        <v>0</v>
      </c>
      <c r="N897" t="n">
        <v>0</v>
      </c>
      <c r="O897" t="n">
        <v>0</v>
      </c>
      <c r="P897" t="n">
        <v>0</v>
      </c>
      <c r="Q897" t="n">
        <v>0</v>
      </c>
      <c r="R897" s="2" t="inlineStr"/>
    </row>
    <row r="898" ht="15" customHeight="1">
      <c r="A898" t="inlineStr">
        <is>
          <t>A 14153-2023</t>
        </is>
      </c>
      <c r="B898" s="1" t="n">
        <v>45008</v>
      </c>
      <c r="C898" s="1" t="n">
        <v>46072</v>
      </c>
      <c r="D898" t="inlineStr">
        <is>
          <t>JÄMTLANDS LÄN</t>
        </is>
      </c>
      <c r="E898" t="inlineStr">
        <is>
          <t>BERG</t>
        </is>
      </c>
      <c r="G898" t="n">
        <v>1.1</v>
      </c>
      <c r="H898" t="n">
        <v>0</v>
      </c>
      <c r="I898" t="n">
        <v>0</v>
      </c>
      <c r="J898" t="n">
        <v>0</v>
      </c>
      <c r="K898" t="n">
        <v>0</v>
      </c>
      <c r="L898" t="n">
        <v>0</v>
      </c>
      <c r="M898" t="n">
        <v>0</v>
      </c>
      <c r="N898" t="n">
        <v>0</v>
      </c>
      <c r="O898" t="n">
        <v>0</v>
      </c>
      <c r="P898" t="n">
        <v>0</v>
      </c>
      <c r="Q898" t="n">
        <v>0</v>
      </c>
      <c r="R898" s="2" t="inlineStr"/>
    </row>
    <row r="899" ht="15" customHeight="1">
      <c r="A899" t="inlineStr">
        <is>
          <t>A 20899-2023</t>
        </is>
      </c>
      <c r="B899" s="1" t="n">
        <v>45060</v>
      </c>
      <c r="C899" s="1" t="n">
        <v>46072</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41106-2023</t>
        </is>
      </c>
      <c r="B900" s="1" t="n">
        <v>45170</v>
      </c>
      <c r="C900" s="1" t="n">
        <v>46072</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7744-2024</t>
        </is>
      </c>
      <c r="B901" s="1" t="n">
        <v>45349</v>
      </c>
      <c r="C901" s="1" t="n">
        <v>46072</v>
      </c>
      <c r="D901" t="inlineStr">
        <is>
          <t>JÄMTLANDS LÄN</t>
        </is>
      </c>
      <c r="E901" t="inlineStr">
        <is>
          <t>BERG</t>
        </is>
      </c>
      <c r="G901" t="n">
        <v>1.7</v>
      </c>
      <c r="H901" t="n">
        <v>0</v>
      </c>
      <c r="I901" t="n">
        <v>0</v>
      </c>
      <c r="J901" t="n">
        <v>0</v>
      </c>
      <c r="K901" t="n">
        <v>0</v>
      </c>
      <c r="L901" t="n">
        <v>0</v>
      </c>
      <c r="M901" t="n">
        <v>0</v>
      </c>
      <c r="N901" t="n">
        <v>0</v>
      </c>
      <c r="O901" t="n">
        <v>0</v>
      </c>
      <c r="P901" t="n">
        <v>0</v>
      </c>
      <c r="Q901" t="n">
        <v>0</v>
      </c>
      <c r="R901" s="2" t="inlineStr"/>
    </row>
    <row r="902" ht="15" customHeight="1">
      <c r="A902" t="inlineStr">
        <is>
          <t>A 511-2025</t>
        </is>
      </c>
      <c r="B902" s="1" t="n">
        <v>45664.47284722222</v>
      </c>
      <c r="C902" s="1" t="n">
        <v>46072</v>
      </c>
      <c r="D902" t="inlineStr">
        <is>
          <t>JÄMTLANDS LÄN</t>
        </is>
      </c>
      <c r="E902" t="inlineStr">
        <is>
          <t>BERG</t>
        </is>
      </c>
      <c r="G902" t="n">
        <v>4.5</v>
      </c>
      <c r="H902" t="n">
        <v>0</v>
      </c>
      <c r="I902" t="n">
        <v>0</v>
      </c>
      <c r="J902" t="n">
        <v>0</v>
      </c>
      <c r="K902" t="n">
        <v>0</v>
      </c>
      <c r="L902" t="n">
        <v>0</v>
      </c>
      <c r="M902" t="n">
        <v>0</v>
      </c>
      <c r="N902" t="n">
        <v>0</v>
      </c>
      <c r="O902" t="n">
        <v>0</v>
      </c>
      <c r="P902" t="n">
        <v>0</v>
      </c>
      <c r="Q902" t="n">
        <v>0</v>
      </c>
      <c r="R902" s="2" t="inlineStr"/>
    </row>
    <row r="903" ht="15" customHeight="1">
      <c r="A903" t="inlineStr">
        <is>
          <t>A 40415-2023</t>
        </is>
      </c>
      <c r="B903" s="1" t="n">
        <v>45169.93925925926</v>
      </c>
      <c r="C903" s="1" t="n">
        <v>46072</v>
      </c>
      <c r="D903" t="inlineStr">
        <is>
          <t>JÄMTLANDS LÄN</t>
        </is>
      </c>
      <c r="E903" t="inlineStr">
        <is>
          <t>BERG</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12611-2025</t>
        </is>
      </c>
      <c r="B904" s="1" t="n">
        <v>45733.33921296296</v>
      </c>
      <c r="C904" s="1" t="n">
        <v>46072</v>
      </c>
      <c r="D904" t="inlineStr">
        <is>
          <t>JÄMTLANDS LÄN</t>
        </is>
      </c>
      <c r="E904" t="inlineStr">
        <is>
          <t>BERG</t>
        </is>
      </c>
      <c r="G904" t="n">
        <v>7.7</v>
      </c>
      <c r="H904" t="n">
        <v>0</v>
      </c>
      <c r="I904" t="n">
        <v>0</v>
      </c>
      <c r="J904" t="n">
        <v>0</v>
      </c>
      <c r="K904" t="n">
        <v>0</v>
      </c>
      <c r="L904" t="n">
        <v>0</v>
      </c>
      <c r="M904" t="n">
        <v>0</v>
      </c>
      <c r="N904" t="n">
        <v>0</v>
      </c>
      <c r="O904" t="n">
        <v>0</v>
      </c>
      <c r="P904" t="n">
        <v>0</v>
      </c>
      <c r="Q904" t="n">
        <v>0</v>
      </c>
      <c r="R904" s="2" t="inlineStr"/>
    </row>
    <row r="905" ht="15" customHeight="1">
      <c r="A905" t="inlineStr">
        <is>
          <t>A 2247-2025</t>
        </is>
      </c>
      <c r="B905" s="1" t="n">
        <v>45673.49039351852</v>
      </c>
      <c r="C905" s="1" t="n">
        <v>46072</v>
      </c>
      <c r="D905" t="inlineStr">
        <is>
          <t>JÄMTLANDS LÄN</t>
        </is>
      </c>
      <c r="E905" t="inlineStr">
        <is>
          <t>BERG</t>
        </is>
      </c>
      <c r="F905" t="inlineStr">
        <is>
          <t>SCA</t>
        </is>
      </c>
      <c r="G905" t="n">
        <v>13.3</v>
      </c>
      <c r="H905" t="n">
        <v>0</v>
      </c>
      <c r="I905" t="n">
        <v>0</v>
      </c>
      <c r="J905" t="n">
        <v>0</v>
      </c>
      <c r="K905" t="n">
        <v>0</v>
      </c>
      <c r="L905" t="n">
        <v>0</v>
      </c>
      <c r="M905" t="n">
        <v>0</v>
      </c>
      <c r="N905" t="n">
        <v>0</v>
      </c>
      <c r="O905" t="n">
        <v>0</v>
      </c>
      <c r="P905" t="n">
        <v>0</v>
      </c>
      <c r="Q905" t="n">
        <v>0</v>
      </c>
      <c r="R905" s="2" t="inlineStr"/>
    </row>
    <row r="906" ht="15" customHeight="1">
      <c r="A906" t="inlineStr">
        <is>
          <t>A 1983-2022</t>
        </is>
      </c>
      <c r="B906" s="1" t="n">
        <v>44575</v>
      </c>
      <c r="C906" s="1" t="n">
        <v>46072</v>
      </c>
      <c r="D906" t="inlineStr">
        <is>
          <t>JÄMTLANDS LÄN</t>
        </is>
      </c>
      <c r="E906" t="inlineStr">
        <is>
          <t>BERG</t>
        </is>
      </c>
      <c r="G906" t="n">
        <v>1.8</v>
      </c>
      <c r="H906" t="n">
        <v>0</v>
      </c>
      <c r="I906" t="n">
        <v>0</v>
      </c>
      <c r="J906" t="n">
        <v>0</v>
      </c>
      <c r="K906" t="n">
        <v>0</v>
      </c>
      <c r="L906" t="n">
        <v>0</v>
      </c>
      <c r="M906" t="n">
        <v>0</v>
      </c>
      <c r="N906" t="n">
        <v>0</v>
      </c>
      <c r="O906" t="n">
        <v>0</v>
      </c>
      <c r="P906" t="n">
        <v>0</v>
      </c>
      <c r="Q906" t="n">
        <v>0</v>
      </c>
      <c r="R906" s="2" t="inlineStr"/>
    </row>
    <row r="907" ht="15" customHeight="1">
      <c r="A907" t="inlineStr">
        <is>
          <t>A 13936-2024</t>
        </is>
      </c>
      <c r="B907" s="1" t="n">
        <v>45391.9533912037</v>
      </c>
      <c r="C907" s="1" t="n">
        <v>46072</v>
      </c>
      <c r="D907" t="inlineStr">
        <is>
          <t>JÄMTLANDS LÄN</t>
        </is>
      </c>
      <c r="E907" t="inlineStr">
        <is>
          <t>BERG</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37098-2024</t>
        </is>
      </c>
      <c r="B908" s="1" t="n">
        <v>45539.50243055556</v>
      </c>
      <c r="C908" s="1" t="n">
        <v>46072</v>
      </c>
      <c r="D908" t="inlineStr">
        <is>
          <t>JÄMTLANDS LÄN</t>
        </is>
      </c>
      <c r="E908" t="inlineStr">
        <is>
          <t>BERG</t>
        </is>
      </c>
      <c r="F908" t="inlineStr">
        <is>
          <t>Övriga Aktiebolag</t>
        </is>
      </c>
      <c r="G908" t="n">
        <v>4.5</v>
      </c>
      <c r="H908" t="n">
        <v>0</v>
      </c>
      <c r="I908" t="n">
        <v>0</v>
      </c>
      <c r="J908" t="n">
        <v>0</v>
      </c>
      <c r="K908" t="n">
        <v>0</v>
      </c>
      <c r="L908" t="n">
        <v>0</v>
      </c>
      <c r="M908" t="n">
        <v>0</v>
      </c>
      <c r="N908" t="n">
        <v>0</v>
      </c>
      <c r="O908" t="n">
        <v>0</v>
      </c>
      <c r="P908" t="n">
        <v>0</v>
      </c>
      <c r="Q908" t="n">
        <v>0</v>
      </c>
      <c r="R908" s="2" t="inlineStr"/>
    </row>
    <row r="909" ht="15" customHeight="1">
      <c r="A909" t="inlineStr">
        <is>
          <t>A 44088-2021</t>
        </is>
      </c>
      <c r="B909" s="1" t="n">
        <v>44434</v>
      </c>
      <c r="C909" s="1" t="n">
        <v>46072</v>
      </c>
      <c r="D909" t="inlineStr">
        <is>
          <t>JÄMTLANDS LÄN</t>
        </is>
      </c>
      <c r="E909" t="inlineStr">
        <is>
          <t>BERG</t>
        </is>
      </c>
      <c r="G909" t="n">
        <v>1.1</v>
      </c>
      <c r="H909" t="n">
        <v>0</v>
      </c>
      <c r="I909" t="n">
        <v>0</v>
      </c>
      <c r="J909" t="n">
        <v>0</v>
      </c>
      <c r="K909" t="n">
        <v>0</v>
      </c>
      <c r="L909" t="n">
        <v>0</v>
      </c>
      <c r="M909" t="n">
        <v>0</v>
      </c>
      <c r="N909" t="n">
        <v>0</v>
      </c>
      <c r="O909" t="n">
        <v>0</v>
      </c>
      <c r="P909" t="n">
        <v>0</v>
      </c>
      <c r="Q909" t="n">
        <v>0</v>
      </c>
      <c r="R909" s="2" t="inlineStr"/>
    </row>
    <row r="910" ht="15" customHeight="1">
      <c r="A910" t="inlineStr">
        <is>
          <t>A 26959-2022</t>
        </is>
      </c>
      <c r="B910" s="1" t="n">
        <v>44740.66048611111</v>
      </c>
      <c r="C910" s="1" t="n">
        <v>46072</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2855-2025</t>
        </is>
      </c>
      <c r="B911" s="1" t="n">
        <v>45678</v>
      </c>
      <c r="C911" s="1" t="n">
        <v>46072</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57905-2024</t>
        </is>
      </c>
      <c r="B912" s="1" t="n">
        <v>45631.48989583334</v>
      </c>
      <c r="C912" s="1" t="n">
        <v>46072</v>
      </c>
      <c r="D912" t="inlineStr">
        <is>
          <t>JÄMTLANDS LÄN</t>
        </is>
      </c>
      <c r="E912" t="inlineStr">
        <is>
          <t>BERG</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41782-2024</t>
        </is>
      </c>
      <c r="B913" s="1" t="n">
        <v>45561</v>
      </c>
      <c r="C913" s="1" t="n">
        <v>46072</v>
      </c>
      <c r="D913" t="inlineStr">
        <is>
          <t>JÄMTLANDS LÄN</t>
        </is>
      </c>
      <c r="E913" t="inlineStr">
        <is>
          <t>BERG</t>
        </is>
      </c>
      <c r="F913" t="inlineStr">
        <is>
          <t>SCA</t>
        </is>
      </c>
      <c r="G913" t="n">
        <v>0.1</v>
      </c>
      <c r="H913" t="n">
        <v>0</v>
      </c>
      <c r="I913" t="n">
        <v>0</v>
      </c>
      <c r="J913" t="n">
        <v>0</v>
      </c>
      <c r="K913" t="n">
        <v>0</v>
      </c>
      <c r="L913" t="n">
        <v>0</v>
      </c>
      <c r="M913" t="n">
        <v>0</v>
      </c>
      <c r="N913" t="n">
        <v>0</v>
      </c>
      <c r="O913" t="n">
        <v>0</v>
      </c>
      <c r="P913" t="n">
        <v>0</v>
      </c>
      <c r="Q913" t="n">
        <v>0</v>
      </c>
      <c r="R913" s="2" t="inlineStr"/>
    </row>
    <row r="914" ht="15" customHeight="1">
      <c r="A914" t="inlineStr">
        <is>
          <t>A 10465-2023</t>
        </is>
      </c>
      <c r="B914" s="1" t="n">
        <v>44987.60319444445</v>
      </c>
      <c r="C914" s="1" t="n">
        <v>46072</v>
      </c>
      <c r="D914" t="inlineStr">
        <is>
          <t>JÄMTLANDS LÄN</t>
        </is>
      </c>
      <c r="E914" t="inlineStr">
        <is>
          <t>BERG</t>
        </is>
      </c>
      <c r="G914" t="n">
        <v>3.4</v>
      </c>
      <c r="H914" t="n">
        <v>0</v>
      </c>
      <c r="I914" t="n">
        <v>0</v>
      </c>
      <c r="J914" t="n">
        <v>0</v>
      </c>
      <c r="K914" t="n">
        <v>0</v>
      </c>
      <c r="L914" t="n">
        <v>0</v>
      </c>
      <c r="M914" t="n">
        <v>0</v>
      </c>
      <c r="N914" t="n">
        <v>0</v>
      </c>
      <c r="O914" t="n">
        <v>0</v>
      </c>
      <c r="P914" t="n">
        <v>0</v>
      </c>
      <c r="Q914" t="n">
        <v>0</v>
      </c>
      <c r="R914" s="2" t="inlineStr"/>
    </row>
    <row r="915" ht="15" customHeight="1">
      <c r="A915" t="inlineStr">
        <is>
          <t>A 18551-2025</t>
        </is>
      </c>
      <c r="B915" s="1" t="n">
        <v>45763.43650462963</v>
      </c>
      <c r="C915" s="1" t="n">
        <v>46072</v>
      </c>
      <c r="D915" t="inlineStr">
        <is>
          <t>JÄMTLANDS LÄN</t>
        </is>
      </c>
      <c r="E915" t="inlineStr">
        <is>
          <t>BERG</t>
        </is>
      </c>
      <c r="G915" t="n">
        <v>3.5</v>
      </c>
      <c r="H915" t="n">
        <v>0</v>
      </c>
      <c r="I915" t="n">
        <v>0</v>
      </c>
      <c r="J915" t="n">
        <v>0</v>
      </c>
      <c r="K915" t="n">
        <v>0</v>
      </c>
      <c r="L915" t="n">
        <v>0</v>
      </c>
      <c r="M915" t="n">
        <v>0</v>
      </c>
      <c r="N915" t="n">
        <v>0</v>
      </c>
      <c r="O915" t="n">
        <v>0</v>
      </c>
      <c r="P915" t="n">
        <v>0</v>
      </c>
      <c r="Q915" t="n">
        <v>0</v>
      </c>
      <c r="R915" s="2" t="inlineStr"/>
    </row>
    <row r="916" ht="15" customHeight="1">
      <c r="A916" t="inlineStr">
        <is>
          <t>A 31131-2024</t>
        </is>
      </c>
      <c r="B916" s="1" t="n">
        <v>45502</v>
      </c>
      <c r="C916" s="1" t="n">
        <v>46072</v>
      </c>
      <c r="D916" t="inlineStr">
        <is>
          <t>JÄMTLANDS LÄN</t>
        </is>
      </c>
      <c r="E916" t="inlineStr">
        <is>
          <t>BERG</t>
        </is>
      </c>
      <c r="G916" t="n">
        <v>2.1</v>
      </c>
      <c r="H916" t="n">
        <v>0</v>
      </c>
      <c r="I916" t="n">
        <v>0</v>
      </c>
      <c r="J916" t="n">
        <v>0</v>
      </c>
      <c r="K916" t="n">
        <v>0</v>
      </c>
      <c r="L916" t="n">
        <v>0</v>
      </c>
      <c r="M916" t="n">
        <v>0</v>
      </c>
      <c r="N916" t="n">
        <v>0</v>
      </c>
      <c r="O916" t="n">
        <v>0</v>
      </c>
      <c r="P916" t="n">
        <v>0</v>
      </c>
      <c r="Q916" t="n">
        <v>0</v>
      </c>
      <c r="R916" s="2" t="inlineStr"/>
    </row>
    <row r="917" ht="15" customHeight="1">
      <c r="A917" t="inlineStr">
        <is>
          <t>A 31154-2024</t>
        </is>
      </c>
      <c r="B917" s="1" t="n">
        <v>45503.32976851852</v>
      </c>
      <c r="C917" s="1" t="n">
        <v>46072</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17929-2024</t>
        </is>
      </c>
      <c r="B918" s="1" t="n">
        <v>45419.60266203704</v>
      </c>
      <c r="C918" s="1" t="n">
        <v>46072</v>
      </c>
      <c r="D918" t="inlineStr">
        <is>
          <t>JÄMTLANDS LÄN</t>
        </is>
      </c>
      <c r="E918" t="inlineStr">
        <is>
          <t>BERG</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7447-2022</t>
        </is>
      </c>
      <c r="B919" s="1" t="n">
        <v>44606</v>
      </c>
      <c r="C919" s="1" t="n">
        <v>46072</v>
      </c>
      <c r="D919" t="inlineStr">
        <is>
          <t>JÄMTLANDS LÄN</t>
        </is>
      </c>
      <c r="E919" t="inlineStr">
        <is>
          <t>BERG</t>
        </is>
      </c>
      <c r="G919" t="n">
        <v>0.9</v>
      </c>
      <c r="H919" t="n">
        <v>0</v>
      </c>
      <c r="I919" t="n">
        <v>0</v>
      </c>
      <c r="J919" t="n">
        <v>0</v>
      </c>
      <c r="K919" t="n">
        <v>0</v>
      </c>
      <c r="L919" t="n">
        <v>0</v>
      </c>
      <c r="M919" t="n">
        <v>0</v>
      </c>
      <c r="N919" t="n">
        <v>0</v>
      </c>
      <c r="O919" t="n">
        <v>0</v>
      </c>
      <c r="P919" t="n">
        <v>0</v>
      </c>
      <c r="Q919" t="n">
        <v>0</v>
      </c>
      <c r="R919" s="2" t="inlineStr"/>
    </row>
    <row r="920" ht="15" customHeight="1">
      <c r="A920" t="inlineStr">
        <is>
          <t>A 41105-2023</t>
        </is>
      </c>
      <c r="B920" s="1" t="n">
        <v>45170</v>
      </c>
      <c r="C920" s="1" t="n">
        <v>46072</v>
      </c>
      <c r="D920" t="inlineStr">
        <is>
          <t>JÄMTLANDS LÄN</t>
        </is>
      </c>
      <c r="E920" t="inlineStr">
        <is>
          <t>BERG</t>
        </is>
      </c>
      <c r="G920" t="n">
        <v>0.9</v>
      </c>
      <c r="H920" t="n">
        <v>0</v>
      </c>
      <c r="I920" t="n">
        <v>0</v>
      </c>
      <c r="J920" t="n">
        <v>0</v>
      </c>
      <c r="K920" t="n">
        <v>0</v>
      </c>
      <c r="L920" t="n">
        <v>0</v>
      </c>
      <c r="M920" t="n">
        <v>0</v>
      </c>
      <c r="N920" t="n">
        <v>0</v>
      </c>
      <c r="O920" t="n">
        <v>0</v>
      </c>
      <c r="P920" t="n">
        <v>0</v>
      </c>
      <c r="Q920" t="n">
        <v>0</v>
      </c>
      <c r="R920" s="2" t="inlineStr"/>
    </row>
    <row r="921" ht="15" customHeight="1">
      <c r="A921" t="inlineStr">
        <is>
          <t>A 61980-2024</t>
        </is>
      </c>
      <c r="B921" s="1" t="n">
        <v>45653.66269675926</v>
      </c>
      <c r="C921" s="1" t="n">
        <v>46072</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18112-2024</t>
        </is>
      </c>
      <c r="B922" s="1" t="n">
        <v>45420.49851851852</v>
      </c>
      <c r="C922" s="1" t="n">
        <v>46072</v>
      </c>
      <c r="D922" t="inlineStr">
        <is>
          <t>JÄMTLANDS LÄN</t>
        </is>
      </c>
      <c r="E922" t="inlineStr">
        <is>
          <t>BERG</t>
        </is>
      </c>
      <c r="F922" t="inlineStr">
        <is>
          <t>Holmen skog AB</t>
        </is>
      </c>
      <c r="G922" t="n">
        <v>16.6</v>
      </c>
      <c r="H922" t="n">
        <v>0</v>
      </c>
      <c r="I922" t="n">
        <v>0</v>
      </c>
      <c r="J922" t="n">
        <v>0</v>
      </c>
      <c r="K922" t="n">
        <v>0</v>
      </c>
      <c r="L922" t="n">
        <v>0</v>
      </c>
      <c r="M922" t="n">
        <v>0</v>
      </c>
      <c r="N922" t="n">
        <v>0</v>
      </c>
      <c r="O922" t="n">
        <v>0</v>
      </c>
      <c r="P922" t="n">
        <v>0</v>
      </c>
      <c r="Q922" t="n">
        <v>0</v>
      </c>
      <c r="R922" s="2" t="inlineStr"/>
    </row>
    <row r="923" ht="15" customHeight="1">
      <c r="A923" t="inlineStr">
        <is>
          <t>A 13436-2024</t>
        </is>
      </c>
      <c r="B923" s="1" t="n">
        <v>45387.4865625</v>
      </c>
      <c r="C923" s="1" t="n">
        <v>46072</v>
      </c>
      <c r="D923" t="inlineStr">
        <is>
          <t>JÄMTLANDS LÄN</t>
        </is>
      </c>
      <c r="E923" t="inlineStr">
        <is>
          <t>BERG</t>
        </is>
      </c>
      <c r="G923" t="n">
        <v>28.9</v>
      </c>
      <c r="H923" t="n">
        <v>0</v>
      </c>
      <c r="I923" t="n">
        <v>0</v>
      </c>
      <c r="J923" t="n">
        <v>0</v>
      </c>
      <c r="K923" t="n">
        <v>0</v>
      </c>
      <c r="L923" t="n">
        <v>0</v>
      </c>
      <c r="M923" t="n">
        <v>0</v>
      </c>
      <c r="N923" t="n">
        <v>0</v>
      </c>
      <c r="O923" t="n">
        <v>0</v>
      </c>
      <c r="P923" t="n">
        <v>0</v>
      </c>
      <c r="Q923" t="n">
        <v>0</v>
      </c>
      <c r="R923" s="2" t="inlineStr"/>
    </row>
    <row r="924" ht="15" customHeight="1">
      <c r="A924" t="inlineStr">
        <is>
          <t>A 18153-2024</t>
        </is>
      </c>
      <c r="B924" s="1" t="n">
        <v>45420</v>
      </c>
      <c r="C924" s="1" t="n">
        <v>46072</v>
      </c>
      <c r="D924" t="inlineStr">
        <is>
          <t>JÄMTLANDS LÄN</t>
        </is>
      </c>
      <c r="E924" t="inlineStr">
        <is>
          <t>BERG</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46874-2023</t>
        </is>
      </c>
      <c r="B925" s="1" t="n">
        <v>45200</v>
      </c>
      <c r="C925" s="1" t="n">
        <v>46072</v>
      </c>
      <c r="D925" t="inlineStr">
        <is>
          <t>JÄMTLANDS LÄN</t>
        </is>
      </c>
      <c r="E925" t="inlineStr">
        <is>
          <t>BERG</t>
        </is>
      </c>
      <c r="F925" t="inlineStr">
        <is>
          <t>Naturvårdsverket</t>
        </is>
      </c>
      <c r="G925" t="n">
        <v>1.1</v>
      </c>
      <c r="H925" t="n">
        <v>0</v>
      </c>
      <c r="I925" t="n">
        <v>0</v>
      </c>
      <c r="J925" t="n">
        <v>0</v>
      </c>
      <c r="K925" t="n">
        <v>0</v>
      </c>
      <c r="L925" t="n">
        <v>0</v>
      </c>
      <c r="M925" t="n">
        <v>0</v>
      </c>
      <c r="N925" t="n">
        <v>0</v>
      </c>
      <c r="O925" t="n">
        <v>0</v>
      </c>
      <c r="P925" t="n">
        <v>0</v>
      </c>
      <c r="Q925" t="n">
        <v>0</v>
      </c>
      <c r="R925" s="2" t="inlineStr"/>
    </row>
    <row r="926" ht="15" customHeight="1">
      <c r="A926" t="inlineStr">
        <is>
          <t>A 47304-2023</t>
        </is>
      </c>
      <c r="B926" s="1" t="n">
        <v>45202.48180555556</v>
      </c>
      <c r="C926" s="1" t="n">
        <v>46072</v>
      </c>
      <c r="D926" t="inlineStr">
        <is>
          <t>JÄMTLANDS LÄN</t>
        </is>
      </c>
      <c r="E926" t="inlineStr">
        <is>
          <t>BERG</t>
        </is>
      </c>
      <c r="G926" t="n">
        <v>3.4</v>
      </c>
      <c r="H926" t="n">
        <v>0</v>
      </c>
      <c r="I926" t="n">
        <v>0</v>
      </c>
      <c r="J926" t="n">
        <v>0</v>
      </c>
      <c r="K926" t="n">
        <v>0</v>
      </c>
      <c r="L926" t="n">
        <v>0</v>
      </c>
      <c r="M926" t="n">
        <v>0</v>
      </c>
      <c r="N926" t="n">
        <v>0</v>
      </c>
      <c r="O926" t="n">
        <v>0</v>
      </c>
      <c r="P926" t="n">
        <v>0</v>
      </c>
      <c r="Q926" t="n">
        <v>0</v>
      </c>
      <c r="R926" s="2" t="inlineStr"/>
    </row>
    <row r="927" ht="15" customHeight="1">
      <c r="A927" t="inlineStr">
        <is>
          <t>A 14697-2025</t>
        </is>
      </c>
      <c r="B927" s="1" t="n">
        <v>45742.59415509259</v>
      </c>
      <c r="C927" s="1" t="n">
        <v>46072</v>
      </c>
      <c r="D927" t="inlineStr">
        <is>
          <t>JÄMTLANDS LÄN</t>
        </is>
      </c>
      <c r="E927" t="inlineStr">
        <is>
          <t>BERG</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54415-2023</t>
        </is>
      </c>
      <c r="B928" s="1" t="n">
        <v>45233.40039351852</v>
      </c>
      <c r="C928" s="1" t="n">
        <v>46072</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24307-2023</t>
        </is>
      </c>
      <c r="B929" s="1" t="n">
        <v>45079.94229166667</v>
      </c>
      <c r="C929" s="1" t="n">
        <v>46072</v>
      </c>
      <c r="D929" t="inlineStr">
        <is>
          <t>JÄMTLANDS LÄN</t>
        </is>
      </c>
      <c r="E929" t="inlineStr">
        <is>
          <t>BERG</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40990-2022</t>
        </is>
      </c>
      <c r="B930" s="1" t="n">
        <v>44823</v>
      </c>
      <c r="C930" s="1" t="n">
        <v>46072</v>
      </c>
      <c r="D930" t="inlineStr">
        <is>
          <t>JÄMTLANDS LÄN</t>
        </is>
      </c>
      <c r="E930" t="inlineStr">
        <is>
          <t>BERG</t>
        </is>
      </c>
      <c r="G930" t="n">
        <v>11.7</v>
      </c>
      <c r="H930" t="n">
        <v>0</v>
      </c>
      <c r="I930" t="n">
        <v>0</v>
      </c>
      <c r="J930" t="n">
        <v>0</v>
      </c>
      <c r="K930" t="n">
        <v>0</v>
      </c>
      <c r="L930" t="n">
        <v>0</v>
      </c>
      <c r="M930" t="n">
        <v>0</v>
      </c>
      <c r="N930" t="n">
        <v>0</v>
      </c>
      <c r="O930" t="n">
        <v>0</v>
      </c>
      <c r="P930" t="n">
        <v>0</v>
      </c>
      <c r="Q930" t="n">
        <v>0</v>
      </c>
      <c r="R930" s="2" t="inlineStr"/>
    </row>
    <row r="931" ht="15" customHeight="1">
      <c r="A931" t="inlineStr">
        <is>
          <t>A 21521-2024</t>
        </is>
      </c>
      <c r="B931" s="1" t="n">
        <v>45441.58313657407</v>
      </c>
      <c r="C931" s="1" t="n">
        <v>46072</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54998-2023</t>
        </is>
      </c>
      <c r="B932" s="1" t="n">
        <v>45236</v>
      </c>
      <c r="C932" s="1" t="n">
        <v>46072</v>
      </c>
      <c r="D932" t="inlineStr">
        <is>
          <t>JÄMTLANDS LÄN</t>
        </is>
      </c>
      <c r="E932" t="inlineStr">
        <is>
          <t>BERG</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32156-2024</t>
        </is>
      </c>
      <c r="B933" s="1" t="n">
        <v>45511</v>
      </c>
      <c r="C933" s="1" t="n">
        <v>46072</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23165-2024</t>
        </is>
      </c>
      <c r="B934" s="1" t="n">
        <v>45450</v>
      </c>
      <c r="C934" s="1" t="n">
        <v>46072</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19345-2024</t>
        </is>
      </c>
      <c r="B935" s="1" t="n">
        <v>45428.97185185185</v>
      </c>
      <c r="C935" s="1" t="n">
        <v>46072</v>
      </c>
      <c r="D935" t="inlineStr">
        <is>
          <t>JÄMTLANDS LÄN</t>
        </is>
      </c>
      <c r="E935" t="inlineStr">
        <is>
          <t>BERG</t>
        </is>
      </c>
      <c r="F935" t="inlineStr">
        <is>
          <t>SCA</t>
        </is>
      </c>
      <c r="G935" t="n">
        <v>14.7</v>
      </c>
      <c r="H935" t="n">
        <v>0</v>
      </c>
      <c r="I935" t="n">
        <v>0</v>
      </c>
      <c r="J935" t="n">
        <v>0</v>
      </c>
      <c r="K935" t="n">
        <v>0</v>
      </c>
      <c r="L935" t="n">
        <v>0</v>
      </c>
      <c r="M935" t="n">
        <v>0</v>
      </c>
      <c r="N935" t="n">
        <v>0</v>
      </c>
      <c r="O935" t="n">
        <v>0</v>
      </c>
      <c r="P935" t="n">
        <v>0</v>
      </c>
      <c r="Q935" t="n">
        <v>0</v>
      </c>
      <c r="R935" s="2" t="inlineStr"/>
    </row>
    <row r="936" ht="15" customHeight="1">
      <c r="A936" t="inlineStr">
        <is>
          <t>A 53456-2022</t>
        </is>
      </c>
      <c r="B936" s="1" t="n">
        <v>44874</v>
      </c>
      <c r="C936" s="1" t="n">
        <v>46072</v>
      </c>
      <c r="D936" t="inlineStr">
        <is>
          <t>JÄMTLANDS LÄN</t>
        </is>
      </c>
      <c r="E936" t="inlineStr">
        <is>
          <t>BERG</t>
        </is>
      </c>
      <c r="G936" t="n">
        <v>13.3</v>
      </c>
      <c r="H936" t="n">
        <v>0</v>
      </c>
      <c r="I936" t="n">
        <v>0</v>
      </c>
      <c r="J936" t="n">
        <v>0</v>
      </c>
      <c r="K936" t="n">
        <v>0</v>
      </c>
      <c r="L936" t="n">
        <v>0</v>
      </c>
      <c r="M936" t="n">
        <v>0</v>
      </c>
      <c r="N936" t="n">
        <v>0</v>
      </c>
      <c r="O936" t="n">
        <v>0</v>
      </c>
      <c r="P936" t="n">
        <v>0</v>
      </c>
      <c r="Q936" t="n">
        <v>0</v>
      </c>
      <c r="R936" s="2" t="inlineStr"/>
    </row>
    <row r="937" ht="15" customHeight="1">
      <c r="A937" t="inlineStr">
        <is>
          <t>A 9252-2025</t>
        </is>
      </c>
      <c r="B937" s="1" t="n">
        <v>45714.59415509259</v>
      </c>
      <c r="C937" s="1" t="n">
        <v>46072</v>
      </c>
      <c r="D937" t="inlineStr">
        <is>
          <t>JÄMTLANDS LÄN</t>
        </is>
      </c>
      <c r="E937" t="inlineStr">
        <is>
          <t>BERG</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64247-2023</t>
        </is>
      </c>
      <c r="B938" s="1" t="n">
        <v>45279.92739583334</v>
      </c>
      <c r="C938" s="1" t="n">
        <v>46072</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31330-2024</t>
        </is>
      </c>
      <c r="B939" s="1" t="n">
        <v>45504</v>
      </c>
      <c r="C939" s="1" t="n">
        <v>46072</v>
      </c>
      <c r="D939" t="inlineStr">
        <is>
          <t>JÄMTLANDS LÄN</t>
        </is>
      </c>
      <c r="E939" t="inlineStr">
        <is>
          <t>BERG</t>
        </is>
      </c>
      <c r="G939" t="n">
        <v>30.5</v>
      </c>
      <c r="H939" t="n">
        <v>0</v>
      </c>
      <c r="I939" t="n">
        <v>0</v>
      </c>
      <c r="J939" t="n">
        <v>0</v>
      </c>
      <c r="K939" t="n">
        <v>0</v>
      </c>
      <c r="L939" t="n">
        <v>0</v>
      </c>
      <c r="M939" t="n">
        <v>0</v>
      </c>
      <c r="N939" t="n">
        <v>0</v>
      </c>
      <c r="O939" t="n">
        <v>0</v>
      </c>
      <c r="P939" t="n">
        <v>0</v>
      </c>
      <c r="Q939" t="n">
        <v>0</v>
      </c>
      <c r="R939" s="2" t="inlineStr"/>
    </row>
    <row r="940" ht="15" customHeight="1">
      <c r="A940" t="inlineStr">
        <is>
          <t>A 60404-2023</t>
        </is>
      </c>
      <c r="B940" s="1" t="n">
        <v>45259.46332175926</v>
      </c>
      <c r="C940" s="1" t="n">
        <v>46072</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39186-2024</t>
        </is>
      </c>
      <c r="B941" s="1" t="n">
        <v>45548.66489583333</v>
      </c>
      <c r="C941" s="1" t="n">
        <v>46072</v>
      </c>
      <c r="D941" t="inlineStr">
        <is>
          <t>JÄMTLANDS LÄN</t>
        </is>
      </c>
      <c r="E941" t="inlineStr">
        <is>
          <t>BERG</t>
        </is>
      </c>
      <c r="G941" t="n">
        <v>38.4</v>
      </c>
      <c r="H941" t="n">
        <v>0</v>
      </c>
      <c r="I941" t="n">
        <v>0</v>
      </c>
      <c r="J941" t="n">
        <v>0</v>
      </c>
      <c r="K941" t="n">
        <v>0</v>
      </c>
      <c r="L941" t="n">
        <v>0</v>
      </c>
      <c r="M941" t="n">
        <v>0</v>
      </c>
      <c r="N941" t="n">
        <v>0</v>
      </c>
      <c r="O941" t="n">
        <v>0</v>
      </c>
      <c r="P941" t="n">
        <v>0</v>
      </c>
      <c r="Q941" t="n">
        <v>0</v>
      </c>
      <c r="R941" s="2" t="inlineStr"/>
    </row>
    <row r="942" ht="15" customHeight="1">
      <c r="A942" t="inlineStr">
        <is>
          <t>A 50706-2023</t>
        </is>
      </c>
      <c r="B942" s="1" t="n">
        <v>45217.55832175926</v>
      </c>
      <c r="C942" s="1" t="n">
        <v>46072</v>
      </c>
      <c r="D942" t="inlineStr">
        <is>
          <t>JÄMTLANDS LÄN</t>
        </is>
      </c>
      <c r="E942" t="inlineStr">
        <is>
          <t>BERG</t>
        </is>
      </c>
      <c r="G942" t="n">
        <v>4.1</v>
      </c>
      <c r="H942" t="n">
        <v>0</v>
      </c>
      <c r="I942" t="n">
        <v>0</v>
      </c>
      <c r="J942" t="n">
        <v>0</v>
      </c>
      <c r="K942" t="n">
        <v>0</v>
      </c>
      <c r="L942" t="n">
        <v>0</v>
      </c>
      <c r="M942" t="n">
        <v>0</v>
      </c>
      <c r="N942" t="n">
        <v>0</v>
      </c>
      <c r="O942" t="n">
        <v>0</v>
      </c>
      <c r="P942" t="n">
        <v>0</v>
      </c>
      <c r="Q942" t="n">
        <v>0</v>
      </c>
      <c r="R942" s="2" t="inlineStr"/>
    </row>
    <row r="943" ht="15" customHeight="1">
      <c r="A943" t="inlineStr">
        <is>
          <t>A 3625-2024</t>
        </is>
      </c>
      <c r="B943" s="1" t="n">
        <v>45320</v>
      </c>
      <c r="C943" s="1" t="n">
        <v>46072</v>
      </c>
      <c r="D943" t="inlineStr">
        <is>
          <t>JÄMTLANDS LÄN</t>
        </is>
      </c>
      <c r="E943" t="inlineStr">
        <is>
          <t>BERG</t>
        </is>
      </c>
      <c r="F943" t="inlineStr">
        <is>
          <t>SCA</t>
        </is>
      </c>
      <c r="G943" t="n">
        <v>23.7</v>
      </c>
      <c r="H943" t="n">
        <v>0</v>
      </c>
      <c r="I943" t="n">
        <v>0</v>
      </c>
      <c r="J943" t="n">
        <v>0</v>
      </c>
      <c r="K943" t="n">
        <v>0</v>
      </c>
      <c r="L943" t="n">
        <v>0</v>
      </c>
      <c r="M943" t="n">
        <v>0</v>
      </c>
      <c r="N943" t="n">
        <v>0</v>
      </c>
      <c r="O943" t="n">
        <v>0</v>
      </c>
      <c r="P943" t="n">
        <v>0</v>
      </c>
      <c r="Q943" t="n">
        <v>0</v>
      </c>
      <c r="R943" s="2" t="inlineStr"/>
    </row>
    <row r="944" ht="15" customHeight="1">
      <c r="A944" t="inlineStr">
        <is>
          <t>A 18408-2025</t>
        </is>
      </c>
      <c r="B944" s="1" t="n">
        <v>45762.61128472222</v>
      </c>
      <c r="C944" s="1" t="n">
        <v>46072</v>
      </c>
      <c r="D944" t="inlineStr">
        <is>
          <t>JÄMTLANDS LÄN</t>
        </is>
      </c>
      <c r="E944" t="inlineStr">
        <is>
          <t>BERG</t>
        </is>
      </c>
      <c r="G944" t="n">
        <v>5.1</v>
      </c>
      <c r="H944" t="n">
        <v>0</v>
      </c>
      <c r="I944" t="n">
        <v>0</v>
      </c>
      <c r="J944" t="n">
        <v>0</v>
      </c>
      <c r="K944" t="n">
        <v>0</v>
      </c>
      <c r="L944" t="n">
        <v>0</v>
      </c>
      <c r="M944" t="n">
        <v>0</v>
      </c>
      <c r="N944" t="n">
        <v>0</v>
      </c>
      <c r="O944" t="n">
        <v>0</v>
      </c>
      <c r="P944" t="n">
        <v>0</v>
      </c>
      <c r="Q944" t="n">
        <v>0</v>
      </c>
      <c r="R944" s="2" t="inlineStr"/>
    </row>
    <row r="945" ht="15" customHeight="1">
      <c r="A945" t="inlineStr">
        <is>
          <t>A 37086-2024</t>
        </is>
      </c>
      <c r="B945" s="1" t="n">
        <v>45539.49776620371</v>
      </c>
      <c r="C945" s="1" t="n">
        <v>46072</v>
      </c>
      <c r="D945" t="inlineStr">
        <is>
          <t>JÄMTLANDS LÄN</t>
        </is>
      </c>
      <c r="E945" t="inlineStr">
        <is>
          <t>BERG</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59968-2024</t>
        </is>
      </c>
      <c r="B946" s="1" t="n">
        <v>45642</v>
      </c>
      <c r="C946" s="1" t="n">
        <v>46072</v>
      </c>
      <c r="D946" t="inlineStr">
        <is>
          <t>JÄMTLANDS LÄN</t>
        </is>
      </c>
      <c r="E946" t="inlineStr">
        <is>
          <t>BERG</t>
        </is>
      </c>
      <c r="G946" t="n">
        <v>4.7</v>
      </c>
      <c r="H946" t="n">
        <v>0</v>
      </c>
      <c r="I946" t="n">
        <v>0</v>
      </c>
      <c r="J946" t="n">
        <v>0</v>
      </c>
      <c r="K946" t="n">
        <v>0</v>
      </c>
      <c r="L946" t="n">
        <v>0</v>
      </c>
      <c r="M946" t="n">
        <v>0</v>
      </c>
      <c r="N946" t="n">
        <v>0</v>
      </c>
      <c r="O946" t="n">
        <v>0</v>
      </c>
      <c r="P946" t="n">
        <v>0</v>
      </c>
      <c r="Q946" t="n">
        <v>0</v>
      </c>
      <c r="R946" s="2" t="inlineStr"/>
    </row>
    <row r="947" ht="15" customHeight="1">
      <c r="A947" t="inlineStr">
        <is>
          <t>A 22275-2022</t>
        </is>
      </c>
      <c r="B947" s="1" t="n">
        <v>44712</v>
      </c>
      <c r="C947" s="1" t="n">
        <v>46072</v>
      </c>
      <c r="D947" t="inlineStr">
        <is>
          <t>JÄMTLANDS LÄN</t>
        </is>
      </c>
      <c r="E947" t="inlineStr">
        <is>
          <t>BERG</t>
        </is>
      </c>
      <c r="G947" t="n">
        <v>2.1</v>
      </c>
      <c r="H947" t="n">
        <v>0</v>
      </c>
      <c r="I947" t="n">
        <v>0</v>
      </c>
      <c r="J947" t="n">
        <v>0</v>
      </c>
      <c r="K947" t="n">
        <v>0</v>
      </c>
      <c r="L947" t="n">
        <v>0</v>
      </c>
      <c r="M947" t="n">
        <v>0</v>
      </c>
      <c r="N947" t="n">
        <v>0</v>
      </c>
      <c r="O947" t="n">
        <v>0</v>
      </c>
      <c r="P947" t="n">
        <v>0</v>
      </c>
      <c r="Q947" t="n">
        <v>0</v>
      </c>
      <c r="R947" s="2" t="inlineStr"/>
    </row>
    <row r="948" ht="15" customHeight="1">
      <c r="A948" t="inlineStr">
        <is>
          <t>A 4561-2024</t>
        </is>
      </c>
      <c r="B948" s="1" t="n">
        <v>45327</v>
      </c>
      <c r="C948" s="1" t="n">
        <v>46072</v>
      </c>
      <c r="D948" t="inlineStr">
        <is>
          <t>JÄMTLANDS LÄN</t>
        </is>
      </c>
      <c r="E948" t="inlineStr">
        <is>
          <t>BERG</t>
        </is>
      </c>
      <c r="G948" t="n">
        <v>7.4</v>
      </c>
      <c r="H948" t="n">
        <v>0</v>
      </c>
      <c r="I948" t="n">
        <v>0</v>
      </c>
      <c r="J948" t="n">
        <v>0</v>
      </c>
      <c r="K948" t="n">
        <v>0</v>
      </c>
      <c r="L948" t="n">
        <v>0</v>
      </c>
      <c r="M948" t="n">
        <v>0</v>
      </c>
      <c r="N948" t="n">
        <v>0</v>
      </c>
      <c r="O948" t="n">
        <v>0</v>
      </c>
      <c r="P948" t="n">
        <v>0</v>
      </c>
      <c r="Q948" t="n">
        <v>0</v>
      </c>
      <c r="R948" s="2" t="inlineStr"/>
    </row>
    <row r="949" ht="15" customHeight="1">
      <c r="A949" t="inlineStr">
        <is>
          <t>A 14190-2023</t>
        </is>
      </c>
      <c r="B949" s="1" t="n">
        <v>45009.56106481481</v>
      </c>
      <c r="C949" s="1" t="n">
        <v>46072</v>
      </c>
      <c r="D949" t="inlineStr">
        <is>
          <t>JÄMTLANDS LÄN</t>
        </is>
      </c>
      <c r="E949" t="inlineStr">
        <is>
          <t>BERG</t>
        </is>
      </c>
      <c r="G949" t="n">
        <v>3.8</v>
      </c>
      <c r="H949" t="n">
        <v>0</v>
      </c>
      <c r="I949" t="n">
        <v>0</v>
      </c>
      <c r="J949" t="n">
        <v>0</v>
      </c>
      <c r="K949" t="n">
        <v>0</v>
      </c>
      <c r="L949" t="n">
        <v>0</v>
      </c>
      <c r="M949" t="n">
        <v>0</v>
      </c>
      <c r="N949" t="n">
        <v>0</v>
      </c>
      <c r="O949" t="n">
        <v>0</v>
      </c>
      <c r="P949" t="n">
        <v>0</v>
      </c>
      <c r="Q949" t="n">
        <v>0</v>
      </c>
      <c r="R949" s="2" t="inlineStr"/>
    </row>
    <row r="950" ht="15" customHeight="1">
      <c r="A950" t="inlineStr">
        <is>
          <t>A 31079-2024</t>
        </is>
      </c>
      <c r="B950" s="1" t="n">
        <v>45502.46423611111</v>
      </c>
      <c r="C950" s="1" t="n">
        <v>46072</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64487-2023</t>
        </is>
      </c>
      <c r="B951" s="1" t="n">
        <v>45280.92613425926</v>
      </c>
      <c r="C951" s="1" t="n">
        <v>46072</v>
      </c>
      <c r="D951" t="inlineStr">
        <is>
          <t>JÄMTLANDS LÄN</t>
        </is>
      </c>
      <c r="E951" t="inlineStr">
        <is>
          <t>BERG</t>
        </is>
      </c>
      <c r="F951" t="inlineStr">
        <is>
          <t>Övriga Aktiebolag</t>
        </is>
      </c>
      <c r="G951" t="n">
        <v>7.6</v>
      </c>
      <c r="H951" t="n">
        <v>0</v>
      </c>
      <c r="I951" t="n">
        <v>0</v>
      </c>
      <c r="J951" t="n">
        <v>0</v>
      </c>
      <c r="K951" t="n">
        <v>0</v>
      </c>
      <c r="L951" t="n">
        <v>0</v>
      </c>
      <c r="M951" t="n">
        <v>0</v>
      </c>
      <c r="N951" t="n">
        <v>0</v>
      </c>
      <c r="O951" t="n">
        <v>0</v>
      </c>
      <c r="P951" t="n">
        <v>0</v>
      </c>
      <c r="Q951" t="n">
        <v>0</v>
      </c>
      <c r="R951" s="2" t="inlineStr"/>
    </row>
    <row r="952" ht="15" customHeight="1">
      <c r="A952" t="inlineStr">
        <is>
          <t>A 64489-2023</t>
        </is>
      </c>
      <c r="B952" s="1" t="n">
        <v>45280</v>
      </c>
      <c r="C952" s="1" t="n">
        <v>46072</v>
      </c>
      <c r="D952" t="inlineStr">
        <is>
          <t>JÄMTLANDS LÄN</t>
        </is>
      </c>
      <c r="E952" t="inlineStr">
        <is>
          <t>BERG</t>
        </is>
      </c>
      <c r="F952" t="inlineStr">
        <is>
          <t>Övriga Aktiebolag</t>
        </is>
      </c>
      <c r="G952" t="n">
        <v>14.1</v>
      </c>
      <c r="H952" t="n">
        <v>0</v>
      </c>
      <c r="I952" t="n">
        <v>0</v>
      </c>
      <c r="J952" t="n">
        <v>0</v>
      </c>
      <c r="K952" t="n">
        <v>0</v>
      </c>
      <c r="L952" t="n">
        <v>0</v>
      </c>
      <c r="M952" t="n">
        <v>0</v>
      </c>
      <c r="N952" t="n">
        <v>0</v>
      </c>
      <c r="O952" t="n">
        <v>0</v>
      </c>
      <c r="P952" t="n">
        <v>0</v>
      </c>
      <c r="Q952" t="n">
        <v>0</v>
      </c>
      <c r="R952" s="2" t="inlineStr"/>
    </row>
    <row r="953" ht="15" customHeight="1">
      <c r="A953" t="inlineStr">
        <is>
          <t>A 39510-2023</t>
        </is>
      </c>
      <c r="B953" s="1" t="n">
        <v>45166</v>
      </c>
      <c r="C953" s="1" t="n">
        <v>46072</v>
      </c>
      <c r="D953" t="inlineStr">
        <is>
          <t>JÄMTLANDS LÄN</t>
        </is>
      </c>
      <c r="E953" t="inlineStr">
        <is>
          <t>BERG</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41636-2024</t>
        </is>
      </c>
      <c r="B954" s="1" t="n">
        <v>45560.61606481481</v>
      </c>
      <c r="C954" s="1" t="n">
        <v>46072</v>
      </c>
      <c r="D954" t="inlineStr">
        <is>
          <t>JÄMTLANDS LÄN</t>
        </is>
      </c>
      <c r="E954" t="inlineStr">
        <is>
          <t>BERG</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41634-2024</t>
        </is>
      </c>
      <c r="B955" s="1" t="n">
        <v>45560.61496527777</v>
      </c>
      <c r="C955" s="1" t="n">
        <v>46072</v>
      </c>
      <c r="D955" t="inlineStr">
        <is>
          <t>JÄMTLANDS LÄN</t>
        </is>
      </c>
      <c r="E955" t="inlineStr">
        <is>
          <t>BERG</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27395-2021</t>
        </is>
      </c>
      <c r="B956" s="1" t="n">
        <v>44350</v>
      </c>
      <c r="C956" s="1" t="n">
        <v>46072</v>
      </c>
      <c r="D956" t="inlineStr">
        <is>
          <t>JÄMTLANDS LÄN</t>
        </is>
      </c>
      <c r="E956" t="inlineStr">
        <is>
          <t>BERG</t>
        </is>
      </c>
      <c r="G956" t="n">
        <v>4.4</v>
      </c>
      <c r="H956" t="n">
        <v>0</v>
      </c>
      <c r="I956" t="n">
        <v>0</v>
      </c>
      <c r="J956" t="n">
        <v>0</v>
      </c>
      <c r="K956" t="n">
        <v>0</v>
      </c>
      <c r="L956" t="n">
        <v>0</v>
      </c>
      <c r="M956" t="n">
        <v>0</v>
      </c>
      <c r="N956" t="n">
        <v>0</v>
      </c>
      <c r="O956" t="n">
        <v>0</v>
      </c>
      <c r="P956" t="n">
        <v>0</v>
      </c>
      <c r="Q956" t="n">
        <v>0</v>
      </c>
      <c r="R956" s="2" t="inlineStr"/>
    </row>
    <row r="957" ht="15" customHeight="1">
      <c r="A957" t="inlineStr">
        <is>
          <t>A 5219-2022</t>
        </is>
      </c>
      <c r="B957" s="1" t="n">
        <v>44594.48569444445</v>
      </c>
      <c r="C957" s="1" t="n">
        <v>46072</v>
      </c>
      <c r="D957" t="inlineStr">
        <is>
          <t>JÄMTLANDS LÄN</t>
        </is>
      </c>
      <c r="E957" t="inlineStr">
        <is>
          <t>BERG</t>
        </is>
      </c>
      <c r="G957" t="n">
        <v>1.9</v>
      </c>
      <c r="H957" t="n">
        <v>0</v>
      </c>
      <c r="I957" t="n">
        <v>0</v>
      </c>
      <c r="J957" t="n">
        <v>0</v>
      </c>
      <c r="K957" t="n">
        <v>0</v>
      </c>
      <c r="L957" t="n">
        <v>0</v>
      </c>
      <c r="M957" t="n">
        <v>0</v>
      </c>
      <c r="N957" t="n">
        <v>0</v>
      </c>
      <c r="O957" t="n">
        <v>0</v>
      </c>
      <c r="P957" t="n">
        <v>0</v>
      </c>
      <c r="Q957" t="n">
        <v>0</v>
      </c>
      <c r="R957" s="2" t="inlineStr"/>
    </row>
    <row r="958" ht="15" customHeight="1">
      <c r="A958" t="inlineStr">
        <is>
          <t>A 14672-2025</t>
        </is>
      </c>
      <c r="B958" s="1" t="n">
        <v>45742.55269675926</v>
      </c>
      <c r="C958" s="1" t="n">
        <v>46072</v>
      </c>
      <c r="D958" t="inlineStr">
        <is>
          <t>JÄMTLANDS LÄN</t>
        </is>
      </c>
      <c r="E958" t="inlineStr">
        <is>
          <t>BERG</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13149-2025</t>
        </is>
      </c>
      <c r="B959" s="1" t="n">
        <v>45735.34424768519</v>
      </c>
      <c r="C959" s="1" t="n">
        <v>46072</v>
      </c>
      <c r="D959" t="inlineStr">
        <is>
          <t>JÄMTLANDS LÄN</t>
        </is>
      </c>
      <c r="E959" t="inlineStr">
        <is>
          <t>BERG</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15013-2025</t>
        </is>
      </c>
      <c r="B960" s="1" t="n">
        <v>45743.62734953704</v>
      </c>
      <c r="C960" s="1" t="n">
        <v>46072</v>
      </c>
      <c r="D960" t="inlineStr">
        <is>
          <t>JÄMTLANDS LÄN</t>
        </is>
      </c>
      <c r="E960" t="inlineStr">
        <is>
          <t>BERG</t>
        </is>
      </c>
      <c r="G960" t="n">
        <v>4.6</v>
      </c>
      <c r="H960" t="n">
        <v>0</v>
      </c>
      <c r="I960" t="n">
        <v>0</v>
      </c>
      <c r="J960" t="n">
        <v>0</v>
      </c>
      <c r="K960" t="n">
        <v>0</v>
      </c>
      <c r="L960" t="n">
        <v>0</v>
      </c>
      <c r="M960" t="n">
        <v>0</v>
      </c>
      <c r="N960" t="n">
        <v>0</v>
      </c>
      <c r="O960" t="n">
        <v>0</v>
      </c>
      <c r="P960" t="n">
        <v>0</v>
      </c>
      <c r="Q960" t="n">
        <v>0</v>
      </c>
      <c r="R960" s="2" t="inlineStr"/>
    </row>
    <row r="961" ht="15" customHeight="1">
      <c r="A961" t="inlineStr">
        <is>
          <t>A 40824-2023</t>
        </is>
      </c>
      <c r="B961" s="1" t="n">
        <v>45171</v>
      </c>
      <c r="C961" s="1" t="n">
        <v>46072</v>
      </c>
      <c r="D961" t="inlineStr">
        <is>
          <t>JÄMTLANDS LÄN</t>
        </is>
      </c>
      <c r="E961" t="inlineStr">
        <is>
          <t>BERG</t>
        </is>
      </c>
      <c r="G961" t="n">
        <v>0.5</v>
      </c>
      <c r="H961" t="n">
        <v>0</v>
      </c>
      <c r="I961" t="n">
        <v>0</v>
      </c>
      <c r="J961" t="n">
        <v>0</v>
      </c>
      <c r="K961" t="n">
        <v>0</v>
      </c>
      <c r="L961" t="n">
        <v>0</v>
      </c>
      <c r="M961" t="n">
        <v>0</v>
      </c>
      <c r="N961" t="n">
        <v>0</v>
      </c>
      <c r="O961" t="n">
        <v>0</v>
      </c>
      <c r="P961" t="n">
        <v>0</v>
      </c>
      <c r="Q961" t="n">
        <v>0</v>
      </c>
      <c r="R961" s="2" t="inlineStr"/>
    </row>
    <row r="962" ht="15" customHeight="1">
      <c r="A962" t="inlineStr">
        <is>
          <t>A 35986-2023</t>
        </is>
      </c>
      <c r="B962" s="1" t="n">
        <v>45148</v>
      </c>
      <c r="C962" s="1" t="n">
        <v>46072</v>
      </c>
      <c r="D962" t="inlineStr">
        <is>
          <t>JÄMTLANDS LÄN</t>
        </is>
      </c>
      <c r="E962" t="inlineStr">
        <is>
          <t>BERG</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171-2022</t>
        </is>
      </c>
      <c r="B963" s="1" t="n">
        <v>44564</v>
      </c>
      <c r="C963" s="1" t="n">
        <v>46072</v>
      </c>
      <c r="D963" t="inlineStr">
        <is>
          <t>JÄMTLANDS LÄN</t>
        </is>
      </c>
      <c r="E963" t="inlineStr">
        <is>
          <t>BERG</t>
        </is>
      </c>
      <c r="G963" t="n">
        <v>2.3</v>
      </c>
      <c r="H963" t="n">
        <v>0</v>
      </c>
      <c r="I963" t="n">
        <v>0</v>
      </c>
      <c r="J963" t="n">
        <v>0</v>
      </c>
      <c r="K963" t="n">
        <v>0</v>
      </c>
      <c r="L963" t="n">
        <v>0</v>
      </c>
      <c r="M963" t="n">
        <v>0</v>
      </c>
      <c r="N963" t="n">
        <v>0</v>
      </c>
      <c r="O963" t="n">
        <v>0</v>
      </c>
      <c r="P963" t="n">
        <v>0</v>
      </c>
      <c r="Q963" t="n">
        <v>0</v>
      </c>
      <c r="R963" s="2" t="inlineStr"/>
    </row>
    <row r="964" ht="15" customHeight="1">
      <c r="A964" t="inlineStr">
        <is>
          <t>A 2002-2022</t>
        </is>
      </c>
      <c r="B964" s="1" t="n">
        <v>44575</v>
      </c>
      <c r="C964" s="1" t="n">
        <v>46072</v>
      </c>
      <c r="D964" t="inlineStr">
        <is>
          <t>JÄMTLANDS LÄN</t>
        </is>
      </c>
      <c r="E964" t="inlineStr">
        <is>
          <t>BERG</t>
        </is>
      </c>
      <c r="G964" t="n">
        <v>11.3</v>
      </c>
      <c r="H964" t="n">
        <v>0</v>
      </c>
      <c r="I964" t="n">
        <v>0</v>
      </c>
      <c r="J964" t="n">
        <v>0</v>
      </c>
      <c r="K964" t="n">
        <v>0</v>
      </c>
      <c r="L964" t="n">
        <v>0</v>
      </c>
      <c r="M964" t="n">
        <v>0</v>
      </c>
      <c r="N964" t="n">
        <v>0</v>
      </c>
      <c r="O964" t="n">
        <v>0</v>
      </c>
      <c r="P964" t="n">
        <v>0</v>
      </c>
      <c r="Q964" t="n">
        <v>0</v>
      </c>
      <c r="R964" s="2" t="inlineStr"/>
    </row>
    <row r="965" ht="15" customHeight="1">
      <c r="A965" t="inlineStr">
        <is>
          <t>A 53883-2023</t>
        </is>
      </c>
      <c r="B965" s="1" t="n">
        <v>45231.5221875</v>
      </c>
      <c r="C965" s="1" t="n">
        <v>46072</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41875-2024</t>
        </is>
      </c>
      <c r="B966" s="1" t="n">
        <v>45561.47431712963</v>
      </c>
      <c r="C966" s="1" t="n">
        <v>46072</v>
      </c>
      <c r="D966" t="inlineStr">
        <is>
          <t>JÄMTLANDS LÄN</t>
        </is>
      </c>
      <c r="E966" t="inlineStr">
        <is>
          <t>BERG</t>
        </is>
      </c>
      <c r="G966" t="n">
        <v>1.3</v>
      </c>
      <c r="H966" t="n">
        <v>0</v>
      </c>
      <c r="I966" t="n">
        <v>0</v>
      </c>
      <c r="J966" t="n">
        <v>0</v>
      </c>
      <c r="K966" t="n">
        <v>0</v>
      </c>
      <c r="L966" t="n">
        <v>0</v>
      </c>
      <c r="M966" t="n">
        <v>0</v>
      </c>
      <c r="N966" t="n">
        <v>0</v>
      </c>
      <c r="O966" t="n">
        <v>0</v>
      </c>
      <c r="P966" t="n">
        <v>0</v>
      </c>
      <c r="Q966" t="n">
        <v>0</v>
      </c>
      <c r="R966" s="2" t="inlineStr"/>
    </row>
    <row r="967" ht="15" customHeight="1">
      <c r="A967" t="inlineStr">
        <is>
          <t>A 4246-2025</t>
        </is>
      </c>
      <c r="B967" s="1" t="n">
        <v>45685.59083333334</v>
      </c>
      <c r="C967" s="1" t="n">
        <v>46072</v>
      </c>
      <c r="D967" t="inlineStr">
        <is>
          <t>JÄMTLANDS LÄN</t>
        </is>
      </c>
      <c r="E967" t="inlineStr">
        <is>
          <t>BERG</t>
        </is>
      </c>
      <c r="G967" t="n">
        <v>2.4</v>
      </c>
      <c r="H967" t="n">
        <v>0</v>
      </c>
      <c r="I967" t="n">
        <v>0</v>
      </c>
      <c r="J967" t="n">
        <v>0</v>
      </c>
      <c r="K967" t="n">
        <v>0</v>
      </c>
      <c r="L967" t="n">
        <v>0</v>
      </c>
      <c r="M967" t="n">
        <v>0</v>
      </c>
      <c r="N967" t="n">
        <v>0</v>
      </c>
      <c r="O967" t="n">
        <v>0</v>
      </c>
      <c r="P967" t="n">
        <v>0</v>
      </c>
      <c r="Q967" t="n">
        <v>0</v>
      </c>
      <c r="R967" s="2" t="inlineStr"/>
    </row>
    <row r="968" ht="15" customHeight="1">
      <c r="A968" t="inlineStr">
        <is>
          <t>A 8251-2023</t>
        </is>
      </c>
      <c r="B968" s="1" t="n">
        <v>44974</v>
      </c>
      <c r="C968" s="1" t="n">
        <v>46072</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16553-2025</t>
        </is>
      </c>
      <c r="B969" s="1" t="n">
        <v>45751.69967592593</v>
      </c>
      <c r="C969" s="1" t="n">
        <v>46072</v>
      </c>
      <c r="D969" t="inlineStr">
        <is>
          <t>JÄMTLANDS LÄN</t>
        </is>
      </c>
      <c r="E969" t="inlineStr">
        <is>
          <t>BERG</t>
        </is>
      </c>
      <c r="G969" t="n">
        <v>2</v>
      </c>
      <c r="H969" t="n">
        <v>0</v>
      </c>
      <c r="I969" t="n">
        <v>0</v>
      </c>
      <c r="J969" t="n">
        <v>0</v>
      </c>
      <c r="K969" t="n">
        <v>0</v>
      </c>
      <c r="L969" t="n">
        <v>0</v>
      </c>
      <c r="M969" t="n">
        <v>0</v>
      </c>
      <c r="N969" t="n">
        <v>0</v>
      </c>
      <c r="O969" t="n">
        <v>0</v>
      </c>
      <c r="P969" t="n">
        <v>0</v>
      </c>
      <c r="Q969" t="n">
        <v>0</v>
      </c>
      <c r="R969" s="2" t="inlineStr"/>
    </row>
    <row r="970" ht="15" customHeight="1">
      <c r="A970" t="inlineStr">
        <is>
          <t>A 45081-2022</t>
        </is>
      </c>
      <c r="B970" s="1" t="n">
        <v>44841</v>
      </c>
      <c r="C970" s="1" t="n">
        <v>46072</v>
      </c>
      <c r="D970" t="inlineStr">
        <is>
          <t>JÄMTLANDS LÄN</t>
        </is>
      </c>
      <c r="E970" t="inlineStr">
        <is>
          <t>BERG</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47289-2023</t>
        </is>
      </c>
      <c r="B971" s="1" t="n">
        <v>45202.46581018518</v>
      </c>
      <c r="C971" s="1" t="n">
        <v>46072</v>
      </c>
      <c r="D971" t="inlineStr">
        <is>
          <t>JÄMTLANDS LÄN</t>
        </is>
      </c>
      <c r="E971" t="inlineStr">
        <is>
          <t>BERG</t>
        </is>
      </c>
      <c r="G971" t="n">
        <v>1.8</v>
      </c>
      <c r="H971" t="n">
        <v>0</v>
      </c>
      <c r="I971" t="n">
        <v>0</v>
      </c>
      <c r="J971" t="n">
        <v>0</v>
      </c>
      <c r="K971" t="n">
        <v>0</v>
      </c>
      <c r="L971" t="n">
        <v>0</v>
      </c>
      <c r="M971" t="n">
        <v>0</v>
      </c>
      <c r="N971" t="n">
        <v>0</v>
      </c>
      <c r="O971" t="n">
        <v>0</v>
      </c>
      <c r="P971" t="n">
        <v>0</v>
      </c>
      <c r="Q971" t="n">
        <v>0</v>
      </c>
      <c r="R971" s="2" t="inlineStr"/>
    </row>
    <row r="972" ht="15" customHeight="1">
      <c r="A972" t="inlineStr">
        <is>
          <t>A 8388-2022</t>
        </is>
      </c>
      <c r="B972" s="1" t="n">
        <v>44610</v>
      </c>
      <c r="C972" s="1" t="n">
        <v>46072</v>
      </c>
      <c r="D972" t="inlineStr">
        <is>
          <t>JÄMTLANDS LÄN</t>
        </is>
      </c>
      <c r="E972" t="inlineStr">
        <is>
          <t>BERG</t>
        </is>
      </c>
      <c r="G972" t="n">
        <v>2.6</v>
      </c>
      <c r="H972" t="n">
        <v>0</v>
      </c>
      <c r="I972" t="n">
        <v>0</v>
      </c>
      <c r="J972" t="n">
        <v>0</v>
      </c>
      <c r="K972" t="n">
        <v>0</v>
      </c>
      <c r="L972" t="n">
        <v>0</v>
      </c>
      <c r="M972" t="n">
        <v>0</v>
      </c>
      <c r="N972" t="n">
        <v>0</v>
      </c>
      <c r="O972" t="n">
        <v>0</v>
      </c>
      <c r="P972" t="n">
        <v>0</v>
      </c>
      <c r="Q972" t="n">
        <v>0</v>
      </c>
      <c r="R972" s="2" t="inlineStr"/>
    </row>
    <row r="973" ht="15" customHeight="1">
      <c r="A973" t="inlineStr">
        <is>
          <t>A 4522-2024</t>
        </is>
      </c>
      <c r="B973" s="1" t="n">
        <v>45327</v>
      </c>
      <c r="C973" s="1" t="n">
        <v>46072</v>
      </c>
      <c r="D973" t="inlineStr">
        <is>
          <t>JÄMTLANDS LÄN</t>
        </is>
      </c>
      <c r="E973" t="inlineStr">
        <is>
          <t>BERG</t>
        </is>
      </c>
      <c r="G973" t="n">
        <v>0.6</v>
      </c>
      <c r="H973" t="n">
        <v>0</v>
      </c>
      <c r="I973" t="n">
        <v>0</v>
      </c>
      <c r="J973" t="n">
        <v>0</v>
      </c>
      <c r="K973" t="n">
        <v>0</v>
      </c>
      <c r="L973" t="n">
        <v>0</v>
      </c>
      <c r="M973" t="n">
        <v>0</v>
      </c>
      <c r="N973" t="n">
        <v>0</v>
      </c>
      <c r="O973" t="n">
        <v>0</v>
      </c>
      <c r="P973" t="n">
        <v>0</v>
      </c>
      <c r="Q973" t="n">
        <v>0</v>
      </c>
      <c r="R973" s="2" t="inlineStr"/>
    </row>
    <row r="974" ht="15" customHeight="1">
      <c r="A974" t="inlineStr">
        <is>
          <t>A 11599-2025</t>
        </is>
      </c>
      <c r="B974" s="1" t="n">
        <v>45727.4261574074</v>
      </c>
      <c r="C974" s="1" t="n">
        <v>46072</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48307-2024</t>
        </is>
      </c>
      <c r="B975" s="1" t="n">
        <v>45590.47684027778</v>
      </c>
      <c r="C975" s="1" t="n">
        <v>46072</v>
      </c>
      <c r="D975" t="inlineStr">
        <is>
          <t>JÄMTLANDS LÄN</t>
        </is>
      </c>
      <c r="E975" t="inlineStr">
        <is>
          <t>BERG</t>
        </is>
      </c>
      <c r="G975" t="n">
        <v>3.8</v>
      </c>
      <c r="H975" t="n">
        <v>0</v>
      </c>
      <c r="I975" t="n">
        <v>0</v>
      </c>
      <c r="J975" t="n">
        <v>0</v>
      </c>
      <c r="K975" t="n">
        <v>0</v>
      </c>
      <c r="L975" t="n">
        <v>0</v>
      </c>
      <c r="M975" t="n">
        <v>0</v>
      </c>
      <c r="N975" t="n">
        <v>0</v>
      </c>
      <c r="O975" t="n">
        <v>0</v>
      </c>
      <c r="P975" t="n">
        <v>0</v>
      </c>
      <c r="Q975" t="n">
        <v>0</v>
      </c>
      <c r="R975" s="2" t="inlineStr"/>
    </row>
    <row r="976" ht="15" customHeight="1">
      <c r="A976" t="inlineStr">
        <is>
          <t>A 61652-2024</t>
        </is>
      </c>
      <c r="B976" s="1" t="n">
        <v>45646.72293981481</v>
      </c>
      <c r="C976" s="1" t="n">
        <v>46072</v>
      </c>
      <c r="D976" t="inlineStr">
        <is>
          <t>JÄMTLANDS LÄN</t>
        </is>
      </c>
      <c r="E976" t="inlineStr">
        <is>
          <t>BERG</t>
        </is>
      </c>
      <c r="G976" t="n">
        <v>6.4</v>
      </c>
      <c r="H976" t="n">
        <v>0</v>
      </c>
      <c r="I976" t="n">
        <v>0</v>
      </c>
      <c r="J976" t="n">
        <v>0</v>
      </c>
      <c r="K976" t="n">
        <v>0</v>
      </c>
      <c r="L976" t="n">
        <v>0</v>
      </c>
      <c r="M976" t="n">
        <v>0</v>
      </c>
      <c r="N976" t="n">
        <v>0</v>
      </c>
      <c r="O976" t="n">
        <v>0</v>
      </c>
      <c r="P976" t="n">
        <v>0</v>
      </c>
      <c r="Q976" t="n">
        <v>0</v>
      </c>
      <c r="R976" s="2" t="inlineStr"/>
    </row>
    <row r="977" ht="15" customHeight="1">
      <c r="A977" t="inlineStr">
        <is>
          <t>A 48663-2023</t>
        </is>
      </c>
      <c r="B977" s="1" t="n">
        <v>45202</v>
      </c>
      <c r="C977" s="1" t="n">
        <v>46072</v>
      </c>
      <c r="D977" t="inlineStr">
        <is>
          <t>JÄMTLANDS LÄN</t>
        </is>
      </c>
      <c r="E977" t="inlineStr">
        <is>
          <t>BERG</t>
        </is>
      </c>
      <c r="G977" t="n">
        <v>1.6</v>
      </c>
      <c r="H977" t="n">
        <v>0</v>
      </c>
      <c r="I977" t="n">
        <v>0</v>
      </c>
      <c r="J977" t="n">
        <v>0</v>
      </c>
      <c r="K977" t="n">
        <v>0</v>
      </c>
      <c r="L977" t="n">
        <v>0</v>
      </c>
      <c r="M977" t="n">
        <v>0</v>
      </c>
      <c r="N977" t="n">
        <v>0</v>
      </c>
      <c r="O977" t="n">
        <v>0</v>
      </c>
      <c r="P977" t="n">
        <v>0</v>
      </c>
      <c r="Q977" t="n">
        <v>0</v>
      </c>
      <c r="R977" s="2" t="inlineStr"/>
    </row>
    <row r="978" ht="15" customHeight="1">
      <c r="A978" t="inlineStr">
        <is>
          <t>A 15785-2021</t>
        </is>
      </c>
      <c r="B978" s="1" t="n">
        <v>44286.58679398148</v>
      </c>
      <c r="C978" s="1" t="n">
        <v>46072</v>
      </c>
      <c r="D978" t="inlineStr">
        <is>
          <t>JÄMTLANDS LÄN</t>
        </is>
      </c>
      <c r="E978" t="inlineStr">
        <is>
          <t>BERG</t>
        </is>
      </c>
      <c r="G978" t="n">
        <v>3.2</v>
      </c>
      <c r="H978" t="n">
        <v>0</v>
      </c>
      <c r="I978" t="n">
        <v>0</v>
      </c>
      <c r="J978" t="n">
        <v>0</v>
      </c>
      <c r="K978" t="n">
        <v>0</v>
      </c>
      <c r="L978" t="n">
        <v>0</v>
      </c>
      <c r="M978" t="n">
        <v>0</v>
      </c>
      <c r="N978" t="n">
        <v>0</v>
      </c>
      <c r="O978" t="n">
        <v>0</v>
      </c>
      <c r="P978" t="n">
        <v>0</v>
      </c>
      <c r="Q978" t="n">
        <v>0</v>
      </c>
      <c r="R978" s="2" t="inlineStr"/>
    </row>
    <row r="979" ht="15" customHeight="1">
      <c r="A979" t="inlineStr">
        <is>
          <t>A 38-2024</t>
        </is>
      </c>
      <c r="B979" s="1" t="n">
        <v>45293</v>
      </c>
      <c r="C979" s="1" t="n">
        <v>46072</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43762-2023</t>
        </is>
      </c>
      <c r="B980" s="1" t="n">
        <v>45182</v>
      </c>
      <c r="C980" s="1" t="n">
        <v>46072</v>
      </c>
      <c r="D980" t="inlineStr">
        <is>
          <t>JÄMTLANDS LÄN</t>
        </is>
      </c>
      <c r="E980" t="inlineStr">
        <is>
          <t>BERG</t>
        </is>
      </c>
      <c r="G980" t="n">
        <v>6.4</v>
      </c>
      <c r="H980" t="n">
        <v>0</v>
      </c>
      <c r="I980" t="n">
        <v>0</v>
      </c>
      <c r="J980" t="n">
        <v>0</v>
      </c>
      <c r="K980" t="n">
        <v>0</v>
      </c>
      <c r="L980" t="n">
        <v>0</v>
      </c>
      <c r="M980" t="n">
        <v>0</v>
      </c>
      <c r="N980" t="n">
        <v>0</v>
      </c>
      <c r="O980" t="n">
        <v>0</v>
      </c>
      <c r="P980" t="n">
        <v>0</v>
      </c>
      <c r="Q980" t="n">
        <v>0</v>
      </c>
      <c r="R980" s="2" t="inlineStr"/>
    </row>
    <row r="981" ht="15" customHeight="1">
      <c r="A981" t="inlineStr">
        <is>
          <t>A 51039-2024</t>
        </is>
      </c>
      <c r="B981" s="1" t="n">
        <v>45603.43164351852</v>
      </c>
      <c r="C981" s="1" t="n">
        <v>46072</v>
      </c>
      <c r="D981" t="inlineStr">
        <is>
          <t>JÄMTLANDS LÄN</t>
        </is>
      </c>
      <c r="E981" t="inlineStr">
        <is>
          <t>BERG</t>
        </is>
      </c>
      <c r="G981" t="n">
        <v>14</v>
      </c>
      <c r="H981" t="n">
        <v>0</v>
      </c>
      <c r="I981" t="n">
        <v>0</v>
      </c>
      <c r="J981" t="n">
        <v>0</v>
      </c>
      <c r="K981" t="n">
        <v>0</v>
      </c>
      <c r="L981" t="n">
        <v>0</v>
      </c>
      <c r="M981" t="n">
        <v>0</v>
      </c>
      <c r="N981" t="n">
        <v>0</v>
      </c>
      <c r="O981" t="n">
        <v>0</v>
      </c>
      <c r="P981" t="n">
        <v>0</v>
      </c>
      <c r="Q981" t="n">
        <v>0</v>
      </c>
      <c r="R981" s="2" t="inlineStr"/>
    </row>
    <row r="982" ht="15" customHeight="1">
      <c r="A982" t="inlineStr">
        <is>
          <t>A 60076-2024</t>
        </is>
      </c>
      <c r="B982" s="1" t="n">
        <v>45642.53166666667</v>
      </c>
      <c r="C982" s="1" t="n">
        <v>46072</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32711-2024</t>
        </is>
      </c>
      <c r="B983" s="1" t="n">
        <v>45516</v>
      </c>
      <c r="C983" s="1" t="n">
        <v>46072</v>
      </c>
      <c r="D983" t="inlineStr">
        <is>
          <t>JÄMTLANDS LÄN</t>
        </is>
      </c>
      <c r="E983" t="inlineStr">
        <is>
          <t>BERG</t>
        </is>
      </c>
      <c r="G983" t="n">
        <v>0</v>
      </c>
      <c r="H983" t="n">
        <v>0</v>
      </c>
      <c r="I983" t="n">
        <v>0</v>
      </c>
      <c r="J983" t="n">
        <v>0</v>
      </c>
      <c r="K983" t="n">
        <v>0</v>
      </c>
      <c r="L983" t="n">
        <v>0</v>
      </c>
      <c r="M983" t="n">
        <v>0</v>
      </c>
      <c r="N983" t="n">
        <v>0</v>
      </c>
      <c r="O983" t="n">
        <v>0</v>
      </c>
      <c r="P983" t="n">
        <v>0</v>
      </c>
      <c r="Q983" t="n">
        <v>0</v>
      </c>
      <c r="R983" s="2" t="inlineStr"/>
    </row>
    <row r="984" ht="15" customHeight="1">
      <c r="A984" t="inlineStr">
        <is>
          <t>A 15992-2025</t>
        </is>
      </c>
      <c r="B984" s="1" t="n">
        <v>45749.58319444444</v>
      </c>
      <c r="C984" s="1" t="n">
        <v>46072</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2472-2025</t>
        </is>
      </c>
      <c r="B985" s="1" t="n">
        <v>45674.47341435185</v>
      </c>
      <c r="C985" s="1" t="n">
        <v>46072</v>
      </c>
      <c r="D985" t="inlineStr">
        <is>
          <t>JÄMTLANDS LÄN</t>
        </is>
      </c>
      <c r="E985" t="inlineStr">
        <is>
          <t>BERG</t>
        </is>
      </c>
      <c r="G985" t="n">
        <v>2.6</v>
      </c>
      <c r="H985" t="n">
        <v>0</v>
      </c>
      <c r="I985" t="n">
        <v>0</v>
      </c>
      <c r="J985" t="n">
        <v>0</v>
      </c>
      <c r="K985" t="n">
        <v>0</v>
      </c>
      <c r="L985" t="n">
        <v>0</v>
      </c>
      <c r="M985" t="n">
        <v>0</v>
      </c>
      <c r="N985" t="n">
        <v>0</v>
      </c>
      <c r="O985" t="n">
        <v>0</v>
      </c>
      <c r="P985" t="n">
        <v>0</v>
      </c>
      <c r="Q985" t="n">
        <v>0</v>
      </c>
      <c r="R985" s="2" t="inlineStr"/>
    </row>
    <row r="986" ht="15" customHeight="1">
      <c r="A986" t="inlineStr">
        <is>
          <t>A 8239-2024</t>
        </is>
      </c>
      <c r="B986" s="1" t="n">
        <v>45351</v>
      </c>
      <c r="C986" s="1" t="n">
        <v>46072</v>
      </c>
      <c r="D986" t="inlineStr">
        <is>
          <t>JÄMTLANDS LÄN</t>
        </is>
      </c>
      <c r="E986" t="inlineStr">
        <is>
          <t>BERG</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65207-2023</t>
        </is>
      </c>
      <c r="B987" s="1" t="n">
        <v>45289</v>
      </c>
      <c r="C987" s="1" t="n">
        <v>46072</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44313-2023</t>
        </is>
      </c>
      <c r="B988" s="1" t="n">
        <v>45188.6505787037</v>
      </c>
      <c r="C988" s="1" t="n">
        <v>46072</v>
      </c>
      <c r="D988" t="inlineStr">
        <is>
          <t>JÄMTLANDS LÄN</t>
        </is>
      </c>
      <c r="E988" t="inlineStr">
        <is>
          <t>BERG</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19181-2025</t>
        </is>
      </c>
      <c r="B989" s="1" t="n">
        <v>45769.40174768519</v>
      </c>
      <c r="C989" s="1" t="n">
        <v>46072</v>
      </c>
      <c r="D989" t="inlineStr">
        <is>
          <t>JÄMTLANDS LÄN</t>
        </is>
      </c>
      <c r="E989" t="inlineStr">
        <is>
          <t>BERG</t>
        </is>
      </c>
      <c r="G989" t="n">
        <v>4.4</v>
      </c>
      <c r="H989" t="n">
        <v>0</v>
      </c>
      <c r="I989" t="n">
        <v>0</v>
      </c>
      <c r="J989" t="n">
        <v>0</v>
      </c>
      <c r="K989" t="n">
        <v>0</v>
      </c>
      <c r="L989" t="n">
        <v>0</v>
      </c>
      <c r="M989" t="n">
        <v>0</v>
      </c>
      <c r="N989" t="n">
        <v>0</v>
      </c>
      <c r="O989" t="n">
        <v>0</v>
      </c>
      <c r="P989" t="n">
        <v>0</v>
      </c>
      <c r="Q989" t="n">
        <v>0</v>
      </c>
      <c r="R989" s="2" t="inlineStr"/>
    </row>
    <row r="990" ht="15" customHeight="1">
      <c r="A990" t="inlineStr">
        <is>
          <t>A 19891-2025</t>
        </is>
      </c>
      <c r="B990" s="1" t="n">
        <v>45771.5743287037</v>
      </c>
      <c r="C990" s="1" t="n">
        <v>46072</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30917-2024</t>
        </is>
      </c>
      <c r="B991" s="1" t="n">
        <v>45498.66611111111</v>
      </c>
      <c r="C991" s="1" t="n">
        <v>46072</v>
      </c>
      <c r="D991" t="inlineStr">
        <is>
          <t>JÄMTLANDS LÄN</t>
        </is>
      </c>
      <c r="E991" t="inlineStr">
        <is>
          <t>BERG</t>
        </is>
      </c>
      <c r="G991" t="n">
        <v>1.2</v>
      </c>
      <c r="H991" t="n">
        <v>0</v>
      </c>
      <c r="I991" t="n">
        <v>0</v>
      </c>
      <c r="J991" t="n">
        <v>0</v>
      </c>
      <c r="K991" t="n">
        <v>0</v>
      </c>
      <c r="L991" t="n">
        <v>0</v>
      </c>
      <c r="M991" t="n">
        <v>0</v>
      </c>
      <c r="N991" t="n">
        <v>0</v>
      </c>
      <c r="O991" t="n">
        <v>0</v>
      </c>
      <c r="P991" t="n">
        <v>0</v>
      </c>
      <c r="Q991" t="n">
        <v>0</v>
      </c>
      <c r="R991" s="2" t="inlineStr"/>
    </row>
    <row r="992" ht="15" customHeight="1">
      <c r="A992" t="inlineStr">
        <is>
          <t>A 14341-2025</t>
        </is>
      </c>
      <c r="B992" s="1" t="n">
        <v>45741.26008101852</v>
      </c>
      <c r="C992" s="1" t="n">
        <v>46072</v>
      </c>
      <c r="D992" t="inlineStr">
        <is>
          <t>JÄMTLANDS LÄN</t>
        </is>
      </c>
      <c r="E992" t="inlineStr">
        <is>
          <t>BERG</t>
        </is>
      </c>
      <c r="G992" t="n">
        <v>3.8</v>
      </c>
      <c r="H992" t="n">
        <v>0</v>
      </c>
      <c r="I992" t="n">
        <v>0</v>
      </c>
      <c r="J992" t="n">
        <v>0</v>
      </c>
      <c r="K992" t="n">
        <v>0</v>
      </c>
      <c r="L992" t="n">
        <v>0</v>
      </c>
      <c r="M992" t="n">
        <v>0</v>
      </c>
      <c r="N992" t="n">
        <v>0</v>
      </c>
      <c r="O992" t="n">
        <v>0</v>
      </c>
      <c r="P992" t="n">
        <v>0</v>
      </c>
      <c r="Q992" t="n">
        <v>0</v>
      </c>
      <c r="R992" s="2" t="inlineStr"/>
    </row>
    <row r="993" ht="15" customHeight="1">
      <c r="A993" t="inlineStr">
        <is>
          <t>A 59634-2022</t>
        </is>
      </c>
      <c r="B993" s="1" t="n">
        <v>44907.9645949074</v>
      </c>
      <c r="C993" s="1" t="n">
        <v>46072</v>
      </c>
      <c r="D993" t="inlineStr">
        <is>
          <t>JÄMTLANDS LÄN</t>
        </is>
      </c>
      <c r="E993" t="inlineStr">
        <is>
          <t>BERG</t>
        </is>
      </c>
      <c r="G993" t="n">
        <v>1.2</v>
      </c>
      <c r="H993" t="n">
        <v>0</v>
      </c>
      <c r="I993" t="n">
        <v>0</v>
      </c>
      <c r="J993" t="n">
        <v>0</v>
      </c>
      <c r="K993" t="n">
        <v>0</v>
      </c>
      <c r="L993" t="n">
        <v>0</v>
      </c>
      <c r="M993" t="n">
        <v>0</v>
      </c>
      <c r="N993" t="n">
        <v>0</v>
      </c>
      <c r="O993" t="n">
        <v>0</v>
      </c>
      <c r="P993" t="n">
        <v>0</v>
      </c>
      <c r="Q993" t="n">
        <v>0</v>
      </c>
      <c r="R993" s="2" t="inlineStr"/>
    </row>
    <row r="994" ht="15" customHeight="1">
      <c r="A994" t="inlineStr">
        <is>
          <t>A 46816-2023</t>
        </is>
      </c>
      <c r="B994" s="1" t="n">
        <v>45198</v>
      </c>
      <c r="C994" s="1" t="n">
        <v>46072</v>
      </c>
      <c r="D994" t="inlineStr">
        <is>
          <t>JÄMTLANDS LÄN</t>
        </is>
      </c>
      <c r="E994" t="inlineStr">
        <is>
          <t>BERG</t>
        </is>
      </c>
      <c r="F994" t="inlineStr">
        <is>
          <t>SCA</t>
        </is>
      </c>
      <c r="G994" t="n">
        <v>66.2</v>
      </c>
      <c r="H994" t="n">
        <v>0</v>
      </c>
      <c r="I994" t="n">
        <v>0</v>
      </c>
      <c r="J994" t="n">
        <v>0</v>
      </c>
      <c r="K994" t="n">
        <v>0</v>
      </c>
      <c r="L994" t="n">
        <v>0</v>
      </c>
      <c r="M994" t="n">
        <v>0</v>
      </c>
      <c r="N994" t="n">
        <v>0</v>
      </c>
      <c r="O994" t="n">
        <v>0</v>
      </c>
      <c r="P994" t="n">
        <v>0</v>
      </c>
      <c r="Q994" t="n">
        <v>0</v>
      </c>
      <c r="R994" s="2" t="inlineStr"/>
    </row>
    <row r="995" ht="15" customHeight="1">
      <c r="A995" t="inlineStr">
        <is>
          <t>A 49555-2023</t>
        </is>
      </c>
      <c r="B995" s="1" t="n">
        <v>45205</v>
      </c>
      <c r="C995" s="1" t="n">
        <v>46072</v>
      </c>
      <c r="D995" t="inlineStr">
        <is>
          <t>JÄMTLANDS LÄN</t>
        </is>
      </c>
      <c r="E995" t="inlineStr">
        <is>
          <t>BERG</t>
        </is>
      </c>
      <c r="G995" t="n">
        <v>0.6</v>
      </c>
      <c r="H995" t="n">
        <v>0</v>
      </c>
      <c r="I995" t="n">
        <v>0</v>
      </c>
      <c r="J995" t="n">
        <v>0</v>
      </c>
      <c r="K995" t="n">
        <v>0</v>
      </c>
      <c r="L995" t="n">
        <v>0</v>
      </c>
      <c r="M995" t="n">
        <v>0</v>
      </c>
      <c r="N995" t="n">
        <v>0</v>
      </c>
      <c r="O995" t="n">
        <v>0</v>
      </c>
      <c r="P995" t="n">
        <v>0</v>
      </c>
      <c r="Q995" t="n">
        <v>0</v>
      </c>
      <c r="R995" s="2" t="inlineStr"/>
    </row>
    <row r="996" ht="15" customHeight="1">
      <c r="A996" t="inlineStr">
        <is>
          <t>A 59521-2024</t>
        </is>
      </c>
      <c r="B996" s="1" t="n">
        <v>45638.57283564815</v>
      </c>
      <c r="C996" s="1" t="n">
        <v>46072</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19513-2025</t>
        </is>
      </c>
      <c r="B997" s="1" t="n">
        <v>45770.42762731481</v>
      </c>
      <c r="C997" s="1" t="n">
        <v>46072</v>
      </c>
      <c r="D997" t="inlineStr">
        <is>
          <t>JÄMTLANDS LÄN</t>
        </is>
      </c>
      <c r="E997" t="inlineStr">
        <is>
          <t>BERG</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9478-2024</t>
        </is>
      </c>
      <c r="B998" s="1" t="n">
        <v>45359.5732175926</v>
      </c>
      <c r="C998" s="1" t="n">
        <v>46072</v>
      </c>
      <c r="D998" t="inlineStr">
        <is>
          <t>JÄMTLANDS LÄN</t>
        </is>
      </c>
      <c r="E998" t="inlineStr">
        <is>
          <t>BERG</t>
        </is>
      </c>
      <c r="G998" t="n">
        <v>6.2</v>
      </c>
      <c r="H998" t="n">
        <v>0</v>
      </c>
      <c r="I998" t="n">
        <v>0</v>
      </c>
      <c r="J998" t="n">
        <v>0</v>
      </c>
      <c r="K998" t="n">
        <v>0</v>
      </c>
      <c r="L998" t="n">
        <v>0</v>
      </c>
      <c r="M998" t="n">
        <v>0</v>
      </c>
      <c r="N998" t="n">
        <v>0</v>
      </c>
      <c r="O998" t="n">
        <v>0</v>
      </c>
      <c r="P998" t="n">
        <v>0</v>
      </c>
      <c r="Q998" t="n">
        <v>0</v>
      </c>
      <c r="R998" s="2" t="inlineStr"/>
    </row>
    <row r="999" ht="15" customHeight="1">
      <c r="A999" t="inlineStr">
        <is>
          <t>A 21156-2025</t>
        </is>
      </c>
      <c r="B999" s="1" t="n">
        <v>45779.37599537037</v>
      </c>
      <c r="C999" s="1" t="n">
        <v>46072</v>
      </c>
      <c r="D999" t="inlineStr">
        <is>
          <t>JÄMTLANDS LÄN</t>
        </is>
      </c>
      <c r="E999" t="inlineStr">
        <is>
          <t>BERG</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21472-2025</t>
        </is>
      </c>
      <c r="B1000" s="1" t="n">
        <v>45782.59024305556</v>
      </c>
      <c r="C1000" s="1" t="n">
        <v>46072</v>
      </c>
      <c r="D1000" t="inlineStr">
        <is>
          <t>JÄMTLANDS LÄN</t>
        </is>
      </c>
      <c r="E1000" t="inlineStr">
        <is>
          <t>BERG</t>
        </is>
      </c>
      <c r="G1000" t="n">
        <v>21.9</v>
      </c>
      <c r="H1000" t="n">
        <v>0</v>
      </c>
      <c r="I1000" t="n">
        <v>0</v>
      </c>
      <c r="J1000" t="n">
        <v>0</v>
      </c>
      <c r="K1000" t="n">
        <v>0</v>
      </c>
      <c r="L1000" t="n">
        <v>0</v>
      </c>
      <c r="M1000" t="n">
        <v>0</v>
      </c>
      <c r="N1000" t="n">
        <v>0</v>
      </c>
      <c r="O1000" t="n">
        <v>0</v>
      </c>
      <c r="P1000" t="n">
        <v>0</v>
      </c>
      <c r="Q1000" t="n">
        <v>0</v>
      </c>
      <c r="R1000" s="2" t="inlineStr"/>
    </row>
    <row r="1001" ht="15" customHeight="1">
      <c r="A1001" t="inlineStr">
        <is>
          <t>A 21292-2025</t>
        </is>
      </c>
      <c r="B1001" s="1" t="n">
        <v>45780.39354166666</v>
      </c>
      <c r="C1001" s="1" t="n">
        <v>46072</v>
      </c>
      <c r="D1001" t="inlineStr">
        <is>
          <t>JÄMTLANDS LÄN</t>
        </is>
      </c>
      <c r="E1001" t="inlineStr">
        <is>
          <t>BERG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32020-2023</t>
        </is>
      </c>
      <c r="B1002" s="1" t="n">
        <v>45119.49261574074</v>
      </c>
      <c r="C1002" s="1" t="n">
        <v>46072</v>
      </c>
      <c r="D1002" t="inlineStr">
        <is>
          <t>JÄMTLANDS LÄN</t>
        </is>
      </c>
      <c r="E1002" t="inlineStr">
        <is>
          <t>BERG</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22180-2025</t>
        </is>
      </c>
      <c r="B1003" s="1" t="n">
        <v>45785</v>
      </c>
      <c r="C1003" s="1" t="n">
        <v>46072</v>
      </c>
      <c r="D1003" t="inlineStr">
        <is>
          <t>JÄMTLANDS LÄN</t>
        </is>
      </c>
      <c r="E1003" t="inlineStr">
        <is>
          <t>BERG</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60847-2023</t>
        </is>
      </c>
      <c r="B1004" s="1" t="n">
        <v>45260</v>
      </c>
      <c r="C1004" s="1" t="n">
        <v>46072</v>
      </c>
      <c r="D1004" t="inlineStr">
        <is>
          <t>JÄMTLANDS LÄN</t>
        </is>
      </c>
      <c r="E1004" t="inlineStr">
        <is>
          <t>BERG</t>
        </is>
      </c>
      <c r="G1004" t="n">
        <v>2.5</v>
      </c>
      <c r="H1004" t="n">
        <v>0</v>
      </c>
      <c r="I1004" t="n">
        <v>0</v>
      </c>
      <c r="J1004" t="n">
        <v>0</v>
      </c>
      <c r="K1004" t="n">
        <v>0</v>
      </c>
      <c r="L1004" t="n">
        <v>0</v>
      </c>
      <c r="M1004" t="n">
        <v>0</v>
      </c>
      <c r="N1004" t="n">
        <v>0</v>
      </c>
      <c r="O1004" t="n">
        <v>0</v>
      </c>
      <c r="P1004" t="n">
        <v>0</v>
      </c>
      <c r="Q1004" t="n">
        <v>0</v>
      </c>
      <c r="R1004" s="2" t="inlineStr"/>
    </row>
    <row r="1005">
      <c r="A1005" t="inlineStr">
        <is>
          <t>A 21851-2025</t>
        </is>
      </c>
      <c r="B1005" s="1" t="n">
        <v>45784.34417824074</v>
      </c>
      <c r="C1005" s="1" t="n">
        <v>46072</v>
      </c>
      <c r="D1005" t="inlineStr">
        <is>
          <t>JÄMTLANDS LÄN</t>
        </is>
      </c>
      <c r="E1005" t="inlineStr">
        <is>
          <t>BERG</t>
        </is>
      </c>
      <c r="F1005" t="inlineStr">
        <is>
          <t>SCA</t>
        </is>
      </c>
      <c r="G1005" t="n">
        <v>10</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2026-02-19T14:28:51Z</dcterms:created>
  <dcterms:modified xmlns:dcterms="http://purl.org/dc/terms/" xmlns:xsi="http://www.w3.org/2001/XMLSchema-instance" xsi:type="dcterms:W3CDTF">2026-02-19T14:28:52Z</dcterms:modified>
</cp:coreProperties>
</file>