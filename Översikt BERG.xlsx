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45582</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45582</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45582</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45582</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45582</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45582</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45582</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45582</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45582</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45582</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45582</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45582</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45582</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45582</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45582</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45582</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45582</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45582</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45582</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45582</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45582</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45582</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45582</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45582</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45582</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45582</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45582</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45582</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45582</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45582</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45582</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45582</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45582</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45582</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45582</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45582</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45582</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45582</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45582</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45582</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45582</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45582</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45582</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45582</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45582</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45582</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45582</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45582</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45582</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45582</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45582</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45582</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45582</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45582</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45582</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45582</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45582</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45582</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45582</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45582</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45582</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45582</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45582</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45582</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45582</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45582</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45582</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45582</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45582</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45582</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45582</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45582</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45582</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45582</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45582</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45582</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45582</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45582</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45582</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45582</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45582</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45582</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45582</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45582</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45582</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45582</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45582</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45582</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45582</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45582</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45582</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45582</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45582</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45582</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45582</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45582</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45582</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45582</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45582</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45582</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45582</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45582</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45582</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45582</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45582</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45582</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45582</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45582</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45582</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45582</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45582</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45582</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45582</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45582</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45582</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45582</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45582</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45582</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45582</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45582</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45582</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45582</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45582</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45582</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45582</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45582</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45582</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45582</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45582</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45582</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45582</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45582</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45582</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45582</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45582</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45582</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45582</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45582</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45582</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45582</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45582</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45582</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45582</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45582</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45582</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45582</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45582</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45582</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45582</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45582</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45582</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45582</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45582</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45582</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45582</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45582</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45582</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45582</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45582</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45582</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45582</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45582</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45582</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45582</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40210-2024</t>
        </is>
      </c>
      <c r="B167" s="1" t="n">
        <v>45554</v>
      </c>
      <c r="C167" s="1" t="n">
        <v>45582</v>
      </c>
      <c r="D167" t="inlineStr">
        <is>
          <t>JÄMTLANDS LÄN</t>
        </is>
      </c>
      <c r="E167" t="inlineStr">
        <is>
          <t>BERG</t>
        </is>
      </c>
      <c r="F167" t="inlineStr">
        <is>
          <t>SCA</t>
        </is>
      </c>
      <c r="G167" t="n">
        <v>13.1</v>
      </c>
      <c r="H167" t="n">
        <v>0</v>
      </c>
      <c r="I167" t="n">
        <v>0</v>
      </c>
      <c r="J167" t="n">
        <v>1</v>
      </c>
      <c r="K167" t="n">
        <v>0</v>
      </c>
      <c r="L167" t="n">
        <v>0</v>
      </c>
      <c r="M167" t="n">
        <v>0</v>
      </c>
      <c r="N167" t="n">
        <v>0</v>
      </c>
      <c r="O167" t="n">
        <v>1</v>
      </c>
      <c r="P167" t="n">
        <v>0</v>
      </c>
      <c r="Q167" t="n">
        <v>1</v>
      </c>
      <c r="R167" s="2" t="inlineStr">
        <is>
          <t>Blå taggsvamp</t>
        </is>
      </c>
      <c r="S167">
        <f>HYPERLINK("https://klasma.github.io/Logging_2326/artfynd/A 40210-2024 artfynd.xlsx", "A 40210-2024")</f>
        <v/>
      </c>
      <c r="T167">
        <f>HYPERLINK("https://klasma.github.io/Logging_2326/kartor/A 40210-2024 karta.png", "A 40210-2024")</f>
        <v/>
      </c>
      <c r="V167">
        <f>HYPERLINK("https://klasma.github.io/Logging_2326/klagomål/A 40210-2024 FSC-klagomål.docx", "A 40210-2024")</f>
        <v/>
      </c>
      <c r="W167">
        <f>HYPERLINK("https://klasma.github.io/Logging_2326/klagomålsmail/A 40210-2024 FSC-klagomål mail.docx", "A 40210-2024")</f>
        <v/>
      </c>
      <c r="X167">
        <f>HYPERLINK("https://klasma.github.io/Logging_2326/tillsyn/A 40210-2024 tillsynsbegäran.docx", "A 40210-2024")</f>
        <v/>
      </c>
      <c r="Y167">
        <f>HYPERLINK("https://klasma.github.io/Logging_2326/tillsynsmail/A 40210-2024 tillsynsbegäran mail.docx", "A 40210-2024")</f>
        <v/>
      </c>
    </row>
    <row r="168" ht="15" customHeight="1">
      <c r="A168" t="inlineStr">
        <is>
          <t>A 40215-2024</t>
        </is>
      </c>
      <c r="B168" s="1" t="n">
        <v>45554</v>
      </c>
      <c r="C168" s="1" t="n">
        <v>45582</v>
      </c>
      <c r="D168" t="inlineStr">
        <is>
          <t>JÄMTLANDS LÄN</t>
        </is>
      </c>
      <c r="E168" t="inlineStr">
        <is>
          <t>BERG</t>
        </is>
      </c>
      <c r="F168" t="inlineStr">
        <is>
          <t>SCA</t>
        </is>
      </c>
      <c r="G168" t="n">
        <v>18.6</v>
      </c>
      <c r="H168" t="n">
        <v>0</v>
      </c>
      <c r="I168" t="n">
        <v>1</v>
      </c>
      <c r="J168" t="n">
        <v>0</v>
      </c>
      <c r="K168" t="n">
        <v>0</v>
      </c>
      <c r="L168" t="n">
        <v>0</v>
      </c>
      <c r="M168" t="n">
        <v>0</v>
      </c>
      <c r="N168" t="n">
        <v>0</v>
      </c>
      <c r="O168" t="n">
        <v>0</v>
      </c>
      <c r="P168" t="n">
        <v>0</v>
      </c>
      <c r="Q168" t="n">
        <v>1</v>
      </c>
      <c r="R168" s="2" t="inlineStr">
        <is>
          <t>Dropptaggsvamp</t>
        </is>
      </c>
      <c r="S168">
        <f>HYPERLINK("https://klasma.github.io/Logging_2326/artfynd/A 40215-2024 artfynd.xlsx", "A 40215-2024")</f>
        <v/>
      </c>
      <c r="T168">
        <f>HYPERLINK("https://klasma.github.io/Logging_2326/kartor/A 40215-2024 karta.png", "A 40215-2024")</f>
        <v/>
      </c>
      <c r="V168">
        <f>HYPERLINK("https://klasma.github.io/Logging_2326/klagomål/A 40215-2024 FSC-klagomål.docx", "A 40215-2024")</f>
        <v/>
      </c>
      <c r="W168">
        <f>HYPERLINK("https://klasma.github.io/Logging_2326/klagomålsmail/A 40215-2024 FSC-klagomål mail.docx", "A 40215-2024")</f>
        <v/>
      </c>
      <c r="X168">
        <f>HYPERLINK("https://klasma.github.io/Logging_2326/tillsyn/A 40215-2024 tillsynsbegäran.docx", "A 40215-2024")</f>
        <v/>
      </c>
      <c r="Y168">
        <f>HYPERLINK("https://klasma.github.io/Logging_2326/tillsynsmail/A 40215-2024 tillsynsbegäran mail.docx", "A 40215-2024")</f>
        <v/>
      </c>
    </row>
    <row r="169" ht="15" customHeight="1">
      <c r="A169" t="inlineStr">
        <is>
          <t>A 40440-2024</t>
        </is>
      </c>
      <c r="B169" s="1" t="n">
        <v>45555</v>
      </c>
      <c r="C169" s="1" t="n">
        <v>45582</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45582</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45582</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45582</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45582</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45582</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45582</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45582</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45582</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45582</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45582</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45582</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45582</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45582</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45582</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45582</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45582</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45582</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45582</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45582</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45582</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45582</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45582</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45582</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45582</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45582</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45582</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45582</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45582</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45582</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45582</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45582</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45582</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45582</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45582</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45582</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45582</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45582</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45582</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45582</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45582</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45582</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45582</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45582</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45582</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45582</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45582</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45582</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45582</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45582</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45582</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45582</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45582</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45582</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45582</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45582</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45582</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45582</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45582</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45582</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45582</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45582</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45582</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45582</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45582</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45582</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45582</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45582</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45582</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45582</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45582</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45582</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45582</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45582</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45582</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45582</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45582</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45582</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45582</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45582</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45582</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45582</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45582</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45582</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45582</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45582</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45582</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45582</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45582</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45582</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45582</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45582</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45582</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45582</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45582</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45582</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45582</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45582</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45582</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45582</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45582</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45582</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45582</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45582</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45582</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45582</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45582</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45582</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45582</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45582</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45582</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45582</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45582</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45582</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45582</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45582</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45582</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45582</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45582</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45582</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45582</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45582</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45582</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45582</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45582</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45582</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45582</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45582</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45582</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45582</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45582</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45582</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45582</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45582</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45582</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45582</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45582</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45582</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45582</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45582</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45582</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45582</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45582</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45582</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45582</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45582</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45582</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45582</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45582</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45582</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45582</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45582</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45582</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45582</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45582</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45582</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45582</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45582</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45582</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45582</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45582</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45582</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45582</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45582</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45582</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45582</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45582</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45582</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45582</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45582</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45582</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45582</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45582</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45582</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45582</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45582</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45582</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45582</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45582</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45582</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45582</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45582</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45582</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45582</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45582</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45582</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45582</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45582</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45582</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45582</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45582</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45582</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45582</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45582</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45582</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45582</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45582</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45582</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45582</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45582</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45582</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45582</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45582</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45582</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45582</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45582</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45582</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45582</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45582</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45582</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45582</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45582</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45582</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45582</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45582</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45582</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45582</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45582</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45582</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45582</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45582</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45582</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45582</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45582</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45582</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45582</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45582</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45582</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45582</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45582</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45582</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45582</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45582</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45582</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45582</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45582</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45582</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45582</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45582</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45582</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45582</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45582</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45582</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45582</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45582</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45582</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45582</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45582</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45582</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45582</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45582</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45582</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45582</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45582</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45582</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45582</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45582</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45582</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45582</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45582</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45582</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45582</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45582</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45582</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45582</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45582</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45582</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45582</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45582</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45582</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45582</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45582</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45582</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45582</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45582</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45582</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45582</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45582</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45582</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45582</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45582</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45582</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45582</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45582</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45582</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45582</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45582</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45582</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45582</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45582</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45582</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45582</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45582</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45582</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45582</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45582</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45582</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45582</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45582</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45582</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45582</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45582</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45582</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45582</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45582</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45582</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45582</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45582</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45582</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45582</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45582</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45582</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45582</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45582</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45582</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45582</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45582</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45582</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45582</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45582</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45582</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45582</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45582</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45582</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45582</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45582</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45582</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45582</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45582</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45582</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45582</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45582</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45582</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45582</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45582</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45582</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45582</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45582</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45582</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45582</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45582</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45582</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45582</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45582</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45582</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45582</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45582</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45582</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45582</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45582</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45582</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45582</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45582</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45582</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45582</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45582</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45582</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45582</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45582</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45582</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45582</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45582</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45582</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45582</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45582</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45582</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45582</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45582</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45582</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45582</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45582</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45582</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45582</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45582</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45582</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45582</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45582</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45582</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45582</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45582</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45582</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45582</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45582</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45582</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45582</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45582</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45582</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45582</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45582</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45582</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45582</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45582</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45582</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45582</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45582</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45582</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45582</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45582</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45582</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45582</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45582</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45582</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45582</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45582</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45582</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45582</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45582</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45582</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45582</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45582</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45582</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45582</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45582</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45582</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45582</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45582</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45582</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45582</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45582</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45582</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45582</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45582</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45582</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45582</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45582</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45582</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45582</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45582</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45582</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45582</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45582</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45582</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45582</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45582</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45582</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45582</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45582</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45582</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45582</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45582</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45582</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45582</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45582</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45582</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45582</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45582</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45582</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45582</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45582</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45582</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45582</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45582</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45582</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45582</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45582</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45582</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45582</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45582</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45582</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45582</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45582</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45582</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45582</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45582</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45582</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45582</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45582</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45582</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45582</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45582</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45582</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45582</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45582</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45582</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45582</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45582</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45582</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45582</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45582</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45582</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45582</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45582</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45582</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45582</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45582</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45582</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45582</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45582</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45582</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45582</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45582</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45582</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45582</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45582</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45582</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45582</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45582</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45582</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45582</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45582</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45582</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45582</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45582</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45582</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45582</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45582</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45582</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45582</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45582</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45582</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45582</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45582</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45582</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45582</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45582</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45582</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45582</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45582</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45582</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45582</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45582</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45582</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45582</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45582</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45582</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45582</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45582</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45582</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45582</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45582</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45582</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45582</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45582</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45582</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45582</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45582</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45582</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45582</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45582</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45582</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45582</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45582</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45582</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45582</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45582</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45582</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45582</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45582</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45582</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45582</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45582</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45582</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45582</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45582</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45582</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45582</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45582</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45582</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45582</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45582</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45582</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45582</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45582</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45582</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45582</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45582</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45582</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45582</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45582</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45582</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45582</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45582</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45582</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45582</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45582</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45582</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45582</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45582</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45582</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45582</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45582</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45582</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45582</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45582</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45582</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45582</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45582</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45582</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45582</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45582</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45582</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45582</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45582</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45582</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45582</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45582</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45582</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45582</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45582</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45582</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45582</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45582</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45582</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45582</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45582</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45582</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45582</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45582</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45582</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45582</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45582</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45582</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45582</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45582</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45582</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45582</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45582</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45582</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45582</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45582</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45582</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45582</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45582</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45582</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45582</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45582</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45582</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45582</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45582</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45582</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45582</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45582</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45582</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45582</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45582</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45582</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45582</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45582</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45582</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45582</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45582</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45582</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45582</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45582</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45582</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45582</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45582</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45582</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45582</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45582</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45582</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45582</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45582</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45582</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45582</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45582</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45582</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45582</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45582</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45582</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45582</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45582</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45582</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45582</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45582</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45582</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45582</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45582</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45582</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45582</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45582</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45582</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45582</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45582</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45582</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45582</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45582</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45582</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45582</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45582</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45582</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45582</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45582</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45582</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45582</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45582</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45582</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45582</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45582</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45582</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45582</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45582</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45582</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45582</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45582</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45582</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45582</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45582</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45582</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45582</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45582</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45582</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45582</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45582</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45582</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45582</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45582</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45582</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45582</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45582</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45582</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45582</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45582</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45582</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45582</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45582</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45582</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45582</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45582</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45582</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45582</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45582</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45582</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45582</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45582</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45582</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45582</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45582</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45582</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45582</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45582</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45582</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45582</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45582</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45582</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45582</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45582</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45582</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45582</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45582</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45582</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45582</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45582</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45582</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45582</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45582</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45582</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45582</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45582</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45582</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45582</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45582</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45582</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45582</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45582</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45582</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45582</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45582</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45582</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45582</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45582</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45582</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45582</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45582</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45582</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45582</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45582</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45582</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45582</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45582</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45582</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45582</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45582</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45582</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45582</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45582</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45582</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45582</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45582</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45582</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45582</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45582</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45582</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45582</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45582</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45582</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45582</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45582</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45582</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45582</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45582</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45582</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45582</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45582</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45582</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45582</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45582</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45582</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45582</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45582</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45582</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45582</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45582</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45582</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45582</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45582</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45582</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45582</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45582</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45582</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45582</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45582</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45582</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45582</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45582</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45582</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45582</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45582</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45582</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45582</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45582</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45582</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45582</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45582</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45582</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45582</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45582</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45582</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45582</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45582</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45582</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45582</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45582</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45582</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45582</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45582</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45582</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45582</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45582</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45582</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45582</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45582</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45582</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45582</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45582</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45582</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45582</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45582</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45582</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45582</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45582</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45582</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45582</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45582</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45582</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45582</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45582</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45582</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45582</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45582</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45582</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45582</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45582</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45582</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45582</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45582</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45582</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45582</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45582</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45582</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45582</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45582</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45582</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45582</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45582</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45582</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45582</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45582</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45582</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45582</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45582</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45582</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45582</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45582</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45582</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45582</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45582</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45582</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45582</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45582</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45582</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45582</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45582</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45582</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45582</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45582</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45582</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45582</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45582</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45582</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45582</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45582</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45582</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45582</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45582</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45582</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45582</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45582</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45582</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45582</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45582</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45582</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45582</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45582</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45582</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45582</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45582</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45582</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45582</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45582</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45582</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45582</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45582</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45582</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45582</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45582</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45582</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45582</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45582</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45582</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45582</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45582</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45582</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45582</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45582</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45582</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45582</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45582</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45582</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45582</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45582</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45582</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45582</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45582</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45582</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45582</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45582</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45582</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45582</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45582</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45582</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45582</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45582</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45582</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45582</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45582</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45582</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45582</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45582</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45582</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45582</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45582</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45582</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45582</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45582</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45582</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41636-2024</t>
        </is>
      </c>
      <c r="B1135" s="1" t="n">
        <v>45560</v>
      </c>
      <c r="C1135" s="1" t="n">
        <v>45582</v>
      </c>
      <c r="D1135" t="inlineStr">
        <is>
          <t>JÄMTLANDS LÄN</t>
        </is>
      </c>
      <c r="E1135" t="inlineStr">
        <is>
          <t>BERG</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41634-2024</t>
        </is>
      </c>
      <c r="B1136" s="1" t="n">
        <v>45560</v>
      </c>
      <c r="C1136" s="1" t="n">
        <v>45582</v>
      </c>
      <c r="D1136" t="inlineStr">
        <is>
          <t>JÄMTLANDS LÄN</t>
        </is>
      </c>
      <c r="E1136" t="inlineStr">
        <is>
          <t>BERG</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41638-2024</t>
        </is>
      </c>
      <c r="B1137" s="1" t="n">
        <v>45560</v>
      </c>
      <c r="C1137" s="1" t="n">
        <v>45582</v>
      </c>
      <c r="D1137" t="inlineStr">
        <is>
          <t>JÄMTLANDS LÄN</t>
        </is>
      </c>
      <c r="E1137" t="inlineStr">
        <is>
          <t>BERG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41866-2024</t>
        </is>
      </c>
      <c r="B1138" s="1" t="n">
        <v>45561</v>
      </c>
      <c r="C1138" s="1" t="n">
        <v>45582</v>
      </c>
      <c r="D1138" t="inlineStr">
        <is>
          <t>JÄMTLANDS LÄN</t>
        </is>
      </c>
      <c r="E1138" t="inlineStr">
        <is>
          <t>BERG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41886-2024</t>
        </is>
      </c>
      <c r="B1139" s="1" t="n">
        <v>45561</v>
      </c>
      <c r="C1139" s="1" t="n">
        <v>45582</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41875-2024</t>
        </is>
      </c>
      <c r="B1140" s="1" t="n">
        <v>45561</v>
      </c>
      <c r="C1140" s="1" t="n">
        <v>45582</v>
      </c>
      <c r="D1140" t="inlineStr">
        <is>
          <t>JÄMTLANDS LÄN</t>
        </is>
      </c>
      <c r="E1140" t="inlineStr">
        <is>
          <t>BERG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41868-2024</t>
        </is>
      </c>
      <c r="B1141" s="1" t="n">
        <v>45561</v>
      </c>
      <c r="C1141" s="1" t="n">
        <v>45582</v>
      </c>
      <c r="D1141" t="inlineStr">
        <is>
          <t>JÄMTLANDS LÄN</t>
        </is>
      </c>
      <c r="E1141" t="inlineStr">
        <is>
          <t>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42365-2024</t>
        </is>
      </c>
      <c r="B1142" s="1" t="n">
        <v>45563</v>
      </c>
      <c r="C1142" s="1" t="n">
        <v>45582</v>
      </c>
      <c r="D1142" t="inlineStr">
        <is>
          <t>JÄMTLANDS LÄN</t>
        </is>
      </c>
      <c r="E1142" t="inlineStr">
        <is>
          <t>BERG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43279-2024</t>
        </is>
      </c>
      <c r="B1143" s="1" t="n">
        <v>45568</v>
      </c>
      <c r="C1143" s="1" t="n">
        <v>45582</v>
      </c>
      <c r="D1143" t="inlineStr">
        <is>
          <t>JÄMTLANDS LÄN</t>
        </is>
      </c>
      <c r="E1143" t="inlineStr">
        <is>
          <t>BERG</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43616-2024</t>
        </is>
      </c>
      <c r="B1144" s="1" t="n">
        <v>45569</v>
      </c>
      <c r="C1144" s="1" t="n">
        <v>45582</v>
      </c>
      <c r="D1144" t="inlineStr">
        <is>
          <t>JÄMTLANDS LÄN</t>
        </is>
      </c>
      <c r="E1144" t="inlineStr">
        <is>
          <t>BERG</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44008-2024</t>
        </is>
      </c>
      <c r="B1145" s="1" t="n">
        <v>45572</v>
      </c>
      <c r="C1145" s="1" t="n">
        <v>45582</v>
      </c>
      <c r="D1145" t="inlineStr">
        <is>
          <t>JÄMTLANDS LÄN</t>
        </is>
      </c>
      <c r="E1145" t="inlineStr">
        <is>
          <t>BERG</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44270-2024</t>
        </is>
      </c>
      <c r="B1146" s="1" t="n">
        <v>45573</v>
      </c>
      <c r="C1146" s="1" t="n">
        <v>45582</v>
      </c>
      <c r="D1146" t="inlineStr">
        <is>
          <t>JÄMTLANDS LÄN</t>
        </is>
      </c>
      <c r="E1146" t="inlineStr">
        <is>
          <t>BERG</t>
        </is>
      </c>
      <c r="G1146" t="n">
        <v>25.9</v>
      </c>
      <c r="H1146" t="n">
        <v>0</v>
      </c>
      <c r="I1146" t="n">
        <v>0</v>
      </c>
      <c r="J1146" t="n">
        <v>0</v>
      </c>
      <c r="K1146" t="n">
        <v>0</v>
      </c>
      <c r="L1146" t="n">
        <v>0</v>
      </c>
      <c r="M1146" t="n">
        <v>0</v>
      </c>
      <c r="N1146" t="n">
        <v>0</v>
      </c>
      <c r="O1146" t="n">
        <v>0</v>
      </c>
      <c r="P1146" t="n">
        <v>0</v>
      </c>
      <c r="Q1146" t="n">
        <v>0</v>
      </c>
      <c r="R1146" s="2" t="inlineStr"/>
    </row>
    <row r="1147" ht="15" customHeight="1">
      <c r="A1147" t="inlineStr">
        <is>
          <t>A 44437-2024</t>
        </is>
      </c>
      <c r="B1147" s="1" t="n">
        <v>45573</v>
      </c>
      <c r="C1147" s="1" t="n">
        <v>45582</v>
      </c>
      <c r="D1147" t="inlineStr">
        <is>
          <t>JÄMTLANDS LÄN</t>
        </is>
      </c>
      <c r="E1147" t="inlineStr">
        <is>
          <t>BERG</t>
        </is>
      </c>
      <c r="G1147" t="n">
        <v>29.4</v>
      </c>
      <c r="H1147" t="n">
        <v>0</v>
      </c>
      <c r="I1147" t="n">
        <v>0</v>
      </c>
      <c r="J1147" t="n">
        <v>0</v>
      </c>
      <c r="K1147" t="n">
        <v>0</v>
      </c>
      <c r="L1147" t="n">
        <v>0</v>
      </c>
      <c r="M1147" t="n">
        <v>0</v>
      </c>
      <c r="N1147" t="n">
        <v>0</v>
      </c>
      <c r="O1147" t="n">
        <v>0</v>
      </c>
      <c r="P1147" t="n">
        <v>0</v>
      </c>
      <c r="Q1147" t="n">
        <v>0</v>
      </c>
      <c r="R1147" s="2" t="inlineStr"/>
    </row>
    <row r="1148" ht="15" customHeight="1">
      <c r="A1148" t="inlineStr">
        <is>
          <t>A 45168-2024</t>
        </is>
      </c>
      <c r="B1148" s="1" t="n">
        <v>45575</v>
      </c>
      <c r="C1148" s="1" t="n">
        <v>45582</v>
      </c>
      <c r="D1148" t="inlineStr">
        <is>
          <t>JÄMTLANDS LÄN</t>
        </is>
      </c>
      <c r="E1148" t="inlineStr">
        <is>
          <t>BERG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45208-2024</t>
        </is>
      </c>
      <c r="B1149" s="1" t="n">
        <v>45575</v>
      </c>
      <c r="C1149" s="1" t="n">
        <v>45582</v>
      </c>
      <c r="D1149" t="inlineStr">
        <is>
          <t>JÄMTLANDS LÄN</t>
        </is>
      </c>
      <c r="E1149" t="inlineStr">
        <is>
          <t>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45036-2024</t>
        </is>
      </c>
      <c r="B1150" s="1" t="n">
        <v>45575</v>
      </c>
      <c r="C1150" s="1" t="n">
        <v>45582</v>
      </c>
      <c r="D1150" t="inlineStr">
        <is>
          <t>JÄMTLANDS LÄN</t>
        </is>
      </c>
      <c r="E1150" t="inlineStr">
        <is>
          <t>BERG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45206-2024</t>
        </is>
      </c>
      <c r="B1151" s="1" t="n">
        <v>45575</v>
      </c>
      <c r="C1151" s="1" t="n">
        <v>45582</v>
      </c>
      <c r="D1151" t="inlineStr">
        <is>
          <t>JÄMTLANDS LÄN</t>
        </is>
      </c>
      <c r="E1151" t="inlineStr">
        <is>
          <t>BERG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45703-2024</t>
        </is>
      </c>
      <c r="B1152" s="1" t="n">
        <v>45579</v>
      </c>
      <c r="C1152" s="1" t="n">
        <v>45582</v>
      </c>
      <c r="D1152" t="inlineStr">
        <is>
          <t>JÄMTLANDS LÄN</t>
        </is>
      </c>
      <c r="E1152" t="inlineStr">
        <is>
          <t>BERG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45824-2024</t>
        </is>
      </c>
      <c r="B1153" s="1" t="n">
        <v>45579</v>
      </c>
      <c r="C1153" s="1" t="n">
        <v>45582</v>
      </c>
      <c r="D1153" t="inlineStr">
        <is>
          <t>JÄMTLANDS LÄN</t>
        </is>
      </c>
      <c r="E1153" t="inlineStr">
        <is>
          <t>BERG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45793-2024</t>
        </is>
      </c>
      <c r="B1154" s="1" t="n">
        <v>45579</v>
      </c>
      <c r="C1154" s="1" t="n">
        <v>45582</v>
      </c>
      <c r="D1154" t="inlineStr">
        <is>
          <t>JÄMTLANDS LÄN</t>
        </is>
      </c>
      <c r="E1154" t="inlineStr">
        <is>
          <t>BERG</t>
        </is>
      </c>
      <c r="F1154" t="inlineStr">
        <is>
          <t>Kyrkan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46019-2024</t>
        </is>
      </c>
      <c r="B1155" s="1" t="n">
        <v>45580</v>
      </c>
      <c r="C1155" s="1" t="n">
        <v>45582</v>
      </c>
      <c r="D1155" t="inlineStr">
        <is>
          <t>JÄMTLANDS LÄN</t>
        </is>
      </c>
      <c r="E1155" t="inlineStr">
        <is>
          <t>BERG</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46246-2024</t>
        </is>
      </c>
      <c r="B1156" s="1" t="n">
        <v>45581</v>
      </c>
      <c r="C1156" s="1" t="n">
        <v>45582</v>
      </c>
      <c r="D1156" t="inlineStr">
        <is>
          <t>JÄMTLANDS LÄN</t>
        </is>
      </c>
      <c r="E1156" t="inlineStr">
        <is>
          <t>BERG</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46298-2024</t>
        </is>
      </c>
      <c r="B1157" s="1" t="n">
        <v>45581</v>
      </c>
      <c r="C1157" s="1" t="n">
        <v>45582</v>
      </c>
      <c r="D1157" t="inlineStr">
        <is>
          <t>JÄMTLANDS LÄN</t>
        </is>
      </c>
      <c r="E1157" t="inlineStr">
        <is>
          <t>BERG</t>
        </is>
      </c>
      <c r="F1157" t="inlineStr">
        <is>
          <t>SCA</t>
        </is>
      </c>
      <c r="G1157" t="n">
        <v>2.6</v>
      </c>
      <c r="H1157" t="n">
        <v>0</v>
      </c>
      <c r="I1157" t="n">
        <v>0</v>
      </c>
      <c r="J1157" t="n">
        <v>0</v>
      </c>
      <c r="K1157" t="n">
        <v>0</v>
      </c>
      <c r="L1157" t="n">
        <v>0</v>
      </c>
      <c r="M1157" t="n">
        <v>0</v>
      </c>
      <c r="N1157" t="n">
        <v>0</v>
      </c>
      <c r="O1157" t="n">
        <v>0</v>
      </c>
      <c r="P1157" t="n">
        <v>0</v>
      </c>
      <c r="Q1157" t="n">
        <v>0</v>
      </c>
      <c r="R1157" s="2" t="inlineStr"/>
    </row>
    <row r="1158">
      <c r="A1158" t="inlineStr">
        <is>
          <t>A 46243-2024</t>
        </is>
      </c>
      <c r="B1158" s="1" t="n">
        <v>45581</v>
      </c>
      <c r="C1158" s="1" t="n">
        <v>45582</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2024-10-17T12:42:51Z</dcterms:created>
  <dcterms:modified xmlns:dcterms="http://purl.org/dc/terms/" xmlns:xsi="http://www.w3.org/2001/XMLSchema-instance" xsi:type="dcterms:W3CDTF">2024-10-17T12:42:52Z</dcterms:modified>
</cp:coreProperties>
</file>