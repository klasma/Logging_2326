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45794</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45794</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45794</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45794</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45794</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45794</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45794</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45794</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45794</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45794</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45794</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45794</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45794</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45794</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45794</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45794</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45794</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45794</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45794</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45794</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45794</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45794</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45794</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45794</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45794</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45794</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45794</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45794</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45794</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45794</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45794</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45794</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45794</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45794</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45794</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45794</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45794</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45794</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45794</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45794</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45794</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45794</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45794</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45794</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45794</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45794</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45794</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45794</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45794</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45794</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45794</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45794</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45794</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45794</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45794</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45794</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45794</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45794</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45794</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45794</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45794</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45794</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45794</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45794</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45794</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45794</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45794</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45794</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45794</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45794</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45794</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45794</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45794</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45794</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45794</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45794</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45794</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45794</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45794</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45794</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45794</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54802-2021</t>
        </is>
      </c>
      <c r="B89" s="1" t="n">
        <v>44473</v>
      </c>
      <c r="C89" s="1" t="n">
        <v>45794</v>
      </c>
      <c r="D89" t="inlineStr">
        <is>
          <t>JÄMTLANDS LÄN</t>
        </is>
      </c>
      <c r="E89" t="inlineStr">
        <is>
          <t>BERG</t>
        </is>
      </c>
      <c r="F89" t="inlineStr">
        <is>
          <t>SCA</t>
        </is>
      </c>
      <c r="G89" t="n">
        <v>2.8</v>
      </c>
      <c r="H89" t="n">
        <v>2</v>
      </c>
      <c r="I89" t="n">
        <v>0</v>
      </c>
      <c r="J89" t="n">
        <v>3</v>
      </c>
      <c r="K89" t="n">
        <v>1</v>
      </c>
      <c r="L89" t="n">
        <v>0</v>
      </c>
      <c r="M89" t="n">
        <v>0</v>
      </c>
      <c r="N89" t="n">
        <v>0</v>
      </c>
      <c r="O89" t="n">
        <v>4</v>
      </c>
      <c r="P89" t="n">
        <v>1</v>
      </c>
      <c r="Q89" t="n">
        <v>4</v>
      </c>
      <c r="R89" s="2" t="inlineStr">
        <is>
          <t>Knärot
Garnlav
Granticka
Tretåig hackspett</t>
        </is>
      </c>
      <c r="S89">
        <f>HYPERLINK("https://klasma.github.io/Logging_2326/artfynd/A 54802-2021 artfynd.xlsx", "A 54802-2021")</f>
        <v/>
      </c>
      <c r="T89">
        <f>HYPERLINK("https://klasma.github.io/Logging_2326/kartor/A 54802-2021 karta.png", "A 54802-2021")</f>
        <v/>
      </c>
      <c r="U89">
        <f>HYPERLINK("https://klasma.github.io/Logging_2326/knärot/A 54802-2021 karta knärot.png", "A 54802-2021")</f>
        <v/>
      </c>
      <c r="V89">
        <f>HYPERLINK("https://klasma.github.io/Logging_2326/klagomål/A 54802-2021 FSC-klagomål.docx", "A 54802-2021")</f>
        <v/>
      </c>
      <c r="W89">
        <f>HYPERLINK("https://klasma.github.io/Logging_2326/klagomålsmail/A 54802-2021 FSC-klagomål mail.docx", "A 54802-2021")</f>
        <v/>
      </c>
      <c r="X89">
        <f>HYPERLINK("https://klasma.github.io/Logging_2326/tillsyn/A 54802-2021 tillsynsbegäran.docx", "A 54802-2021")</f>
        <v/>
      </c>
      <c r="Y89">
        <f>HYPERLINK("https://klasma.github.io/Logging_2326/tillsynsmail/A 54802-2021 tillsynsbegäran mail.docx", "A 54802-2021")</f>
        <v/>
      </c>
      <c r="Z89">
        <f>HYPERLINK("https://klasma.github.io/Logging_2326/fåglar/A 54802-2021 prioriterade fågelarter.docx", "A 54802-2021")</f>
        <v/>
      </c>
    </row>
    <row r="90" ht="15" customHeight="1">
      <c r="A90" t="inlineStr">
        <is>
          <t>A 54979-2021</t>
        </is>
      </c>
      <c r="B90" s="1" t="n">
        <v>44474</v>
      </c>
      <c r="C90" s="1" t="n">
        <v>45794</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45794</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45794</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45794</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45794</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45794</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45794</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45794</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45794</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45794</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45794</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45794</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45794</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45794</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45794</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45794</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45794</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45794</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45794</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45794</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62661-2021</t>
        </is>
      </c>
      <c r="B110" s="1" t="n">
        <v>44503</v>
      </c>
      <c r="C110" s="1" t="n">
        <v>45794</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45794</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45794</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45794</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45794</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45794</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45794</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45794</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45794</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45794</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45794</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45794</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45794</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45794</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45794</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45794</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45794</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45794</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45794</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45794</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45794</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45794</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45794</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45794</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45794</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45794</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45794</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45794</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45794</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45794</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45794</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45794</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45794</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45794</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45794</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45794</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45794</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45794</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45794</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45794</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45794</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45794</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45794</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45794</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45794</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45794</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45794</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45794</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45794</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45794</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45794</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45794</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45794</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45794</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45794</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45794</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45794</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45794</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45794</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45794</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45794</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45794</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45794</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45794</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45794</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45794</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45794</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45794</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45794</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45794</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45794</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45794</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45794</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45794</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45794</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45794</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45794</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45794</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45794</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45794</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45794</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45794</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45794</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45794</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45794</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45794</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45794</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45794</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45794</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45794</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45794</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45794</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45794</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45794</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45794</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45794</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45794</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45794</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45794</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45794</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45794</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45794</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45794</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45794</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45794</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45794</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45794</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45794</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45794</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45794</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45794</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45794</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45794</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45794</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54595-2024</t>
        </is>
      </c>
      <c r="B224" s="1" t="n">
        <v>45617</v>
      </c>
      <c r="C224" s="1" t="n">
        <v>45794</v>
      </c>
      <c r="D224" t="inlineStr">
        <is>
          <t>JÄMTLANDS LÄN</t>
        </is>
      </c>
      <c r="E224" t="inlineStr">
        <is>
          <t>BERG</t>
        </is>
      </c>
      <c r="G224" t="n">
        <v>4.4</v>
      </c>
      <c r="H224" t="n">
        <v>1</v>
      </c>
      <c r="I224" t="n">
        <v>0</v>
      </c>
      <c r="J224" t="n">
        <v>0</v>
      </c>
      <c r="K224" t="n">
        <v>0</v>
      </c>
      <c r="L224" t="n">
        <v>0</v>
      </c>
      <c r="M224" t="n">
        <v>0</v>
      </c>
      <c r="N224" t="n">
        <v>0</v>
      </c>
      <c r="O224" t="n">
        <v>0</v>
      </c>
      <c r="P224" t="n">
        <v>0</v>
      </c>
      <c r="Q224" t="n">
        <v>1</v>
      </c>
      <c r="R224" s="2" t="inlineStr">
        <is>
          <t>Tjäder</t>
        </is>
      </c>
      <c r="S224">
        <f>HYPERLINK("https://klasma.github.io/Logging_2326/artfynd/A 54595-2024 artfynd.xlsx", "A 54595-2024")</f>
        <v/>
      </c>
      <c r="T224">
        <f>HYPERLINK("https://klasma.github.io/Logging_2326/kartor/A 54595-2024 karta.png", "A 54595-2024")</f>
        <v/>
      </c>
      <c r="V224">
        <f>HYPERLINK("https://klasma.github.io/Logging_2326/klagomål/A 54595-2024 FSC-klagomål.docx", "A 54595-2024")</f>
        <v/>
      </c>
      <c r="W224">
        <f>HYPERLINK("https://klasma.github.io/Logging_2326/klagomålsmail/A 54595-2024 FSC-klagomål mail.docx", "A 54595-2024")</f>
        <v/>
      </c>
      <c r="X224">
        <f>HYPERLINK("https://klasma.github.io/Logging_2326/tillsyn/A 54595-2024 tillsynsbegäran.docx", "A 54595-2024")</f>
        <v/>
      </c>
      <c r="Y224">
        <f>HYPERLINK("https://klasma.github.io/Logging_2326/tillsynsmail/A 54595-2024 tillsynsbegäran mail.docx", "A 54595-2024")</f>
        <v/>
      </c>
      <c r="Z224">
        <f>HYPERLINK("https://klasma.github.io/Logging_2326/fåglar/A 54595-2024 prioriterade fågelarter.docx", "A 54595-2024")</f>
        <v/>
      </c>
    </row>
    <row r="225" ht="15" customHeight="1">
      <c r="A225" t="inlineStr">
        <is>
          <t>A 56368-2024</t>
        </is>
      </c>
      <c r="B225" s="1" t="n">
        <v>45625</v>
      </c>
      <c r="C225" s="1" t="n">
        <v>45794</v>
      </c>
      <c r="D225" t="inlineStr">
        <is>
          <t>JÄMTLANDS LÄN</t>
        </is>
      </c>
      <c r="E225" t="inlineStr">
        <is>
          <t>BERG</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HYPERLINK("https://klasma.github.io/Logging_2326/artfynd/A 56368-2024 artfynd.xlsx", "A 56368-2024")</f>
        <v/>
      </c>
      <c r="T225">
        <f>HYPERLINK("https://klasma.github.io/Logging_2326/kartor/A 56368-2024 karta.png", "A 56368-2024")</f>
        <v/>
      </c>
      <c r="V225">
        <f>HYPERLINK("https://klasma.github.io/Logging_2326/klagomål/A 56368-2024 FSC-klagomål.docx", "A 56368-2024")</f>
        <v/>
      </c>
      <c r="W225">
        <f>HYPERLINK("https://klasma.github.io/Logging_2326/klagomålsmail/A 56368-2024 FSC-klagomål mail.docx", "A 56368-2024")</f>
        <v/>
      </c>
      <c r="X225">
        <f>HYPERLINK("https://klasma.github.io/Logging_2326/tillsyn/A 56368-2024 tillsynsbegäran.docx", "A 56368-2024")</f>
        <v/>
      </c>
      <c r="Y225">
        <f>HYPERLINK("https://klasma.github.io/Logging_2326/tillsynsmail/A 56368-2024 tillsynsbegäran mail.docx", "A 56368-2024")</f>
        <v/>
      </c>
    </row>
    <row r="226" ht="15" customHeight="1">
      <c r="A226" t="inlineStr">
        <is>
          <t>A 56364-2024</t>
        </is>
      </c>
      <c r="B226" s="1" t="n">
        <v>45625</v>
      </c>
      <c r="C226" s="1" t="n">
        <v>45794</v>
      </c>
      <c r="D226" t="inlineStr">
        <is>
          <t>JÄMTLANDS LÄN</t>
        </is>
      </c>
      <c r="E226" t="inlineStr">
        <is>
          <t>BERG</t>
        </is>
      </c>
      <c r="G226" t="n">
        <v>3.7</v>
      </c>
      <c r="H226" t="n">
        <v>1</v>
      </c>
      <c r="I226" t="n">
        <v>0</v>
      </c>
      <c r="J226" t="n">
        <v>0</v>
      </c>
      <c r="K226" t="n">
        <v>0</v>
      </c>
      <c r="L226" t="n">
        <v>0</v>
      </c>
      <c r="M226" t="n">
        <v>0</v>
      </c>
      <c r="N226" t="n">
        <v>0</v>
      </c>
      <c r="O226" t="n">
        <v>0</v>
      </c>
      <c r="P226" t="n">
        <v>0</v>
      </c>
      <c r="Q226" t="n">
        <v>1</v>
      </c>
      <c r="R226" s="2" t="inlineStr">
        <is>
          <t>Mattlummer</t>
        </is>
      </c>
      <c r="S226">
        <f>HYPERLINK("https://klasma.github.io/Logging_2326/artfynd/A 56364-2024 artfynd.xlsx", "A 56364-2024")</f>
        <v/>
      </c>
      <c r="T226">
        <f>HYPERLINK("https://klasma.github.io/Logging_2326/kartor/A 56364-2024 karta.png", "A 56364-2024")</f>
        <v/>
      </c>
      <c r="V226">
        <f>HYPERLINK("https://klasma.github.io/Logging_2326/klagomål/A 56364-2024 FSC-klagomål.docx", "A 56364-2024")</f>
        <v/>
      </c>
      <c r="W226">
        <f>HYPERLINK("https://klasma.github.io/Logging_2326/klagomålsmail/A 56364-2024 FSC-klagomål mail.docx", "A 56364-2024")</f>
        <v/>
      </c>
      <c r="X226">
        <f>HYPERLINK("https://klasma.github.io/Logging_2326/tillsyn/A 56364-2024 tillsynsbegäran.docx", "A 56364-2024")</f>
        <v/>
      </c>
      <c r="Y226">
        <f>HYPERLINK("https://klasma.github.io/Logging_2326/tillsynsmail/A 56364-2024 tillsynsbegäran mail.docx", "A 56364-2024")</f>
        <v/>
      </c>
    </row>
    <row r="227" ht="15" customHeight="1">
      <c r="A227" t="inlineStr">
        <is>
          <t>A 5504-2025</t>
        </is>
      </c>
      <c r="B227" s="1" t="n">
        <v>45693</v>
      </c>
      <c r="C227" s="1" t="n">
        <v>45794</v>
      </c>
      <c r="D227" t="inlineStr">
        <is>
          <t>JÄMTLANDS LÄN</t>
        </is>
      </c>
      <c r="E227" t="inlineStr">
        <is>
          <t>BERG</t>
        </is>
      </c>
      <c r="G227" t="n">
        <v>19.1</v>
      </c>
      <c r="H227" t="n">
        <v>0</v>
      </c>
      <c r="I227" t="n">
        <v>0</v>
      </c>
      <c r="J227" t="n">
        <v>0</v>
      </c>
      <c r="K227" t="n">
        <v>1</v>
      </c>
      <c r="L227" t="n">
        <v>0</v>
      </c>
      <c r="M227" t="n">
        <v>0</v>
      </c>
      <c r="N227" t="n">
        <v>0</v>
      </c>
      <c r="O227" t="n">
        <v>1</v>
      </c>
      <c r="P227" t="n">
        <v>1</v>
      </c>
      <c r="Q227" t="n">
        <v>1</v>
      </c>
      <c r="R227" s="2" t="inlineStr">
        <is>
          <t>Gräddporing</t>
        </is>
      </c>
      <c r="S227">
        <f>HYPERLINK("https://klasma.github.io/Logging_2326/artfynd/A 5504-2025 artfynd.xlsx", "A 5504-2025")</f>
        <v/>
      </c>
      <c r="T227">
        <f>HYPERLINK("https://klasma.github.io/Logging_2326/kartor/A 5504-2025 karta.png", "A 5504-2025")</f>
        <v/>
      </c>
      <c r="V227">
        <f>HYPERLINK("https://klasma.github.io/Logging_2326/klagomål/A 5504-2025 FSC-klagomål.docx", "A 5504-2025")</f>
        <v/>
      </c>
      <c r="W227">
        <f>HYPERLINK("https://klasma.github.io/Logging_2326/klagomålsmail/A 5504-2025 FSC-klagomål mail.docx", "A 5504-2025")</f>
        <v/>
      </c>
      <c r="X227">
        <f>HYPERLINK("https://klasma.github.io/Logging_2326/tillsyn/A 5504-2025 tillsynsbegäran.docx", "A 5504-2025")</f>
        <v/>
      </c>
      <c r="Y227">
        <f>HYPERLINK("https://klasma.github.io/Logging_2326/tillsynsmail/A 5504-2025 tillsynsbegäran mail.docx", "A 5504-2025")</f>
        <v/>
      </c>
    </row>
    <row r="228" ht="15" customHeight="1">
      <c r="A228" t="inlineStr">
        <is>
          <t>A 20242-2025</t>
        </is>
      </c>
      <c r="B228" s="1" t="n">
        <v>45772</v>
      </c>
      <c r="C228" s="1" t="n">
        <v>45794</v>
      </c>
      <c r="D228" t="inlineStr">
        <is>
          <t>JÄMTLANDS LÄN</t>
        </is>
      </c>
      <c r="E228" t="inlineStr">
        <is>
          <t>BERG</t>
        </is>
      </c>
      <c r="F228" t="inlineStr">
        <is>
          <t>SCA</t>
        </is>
      </c>
      <c r="G228" t="n">
        <v>4.3</v>
      </c>
      <c r="H228" t="n">
        <v>0</v>
      </c>
      <c r="I228" t="n">
        <v>0</v>
      </c>
      <c r="J228" t="n">
        <v>1</v>
      </c>
      <c r="K228" t="n">
        <v>0</v>
      </c>
      <c r="L228" t="n">
        <v>0</v>
      </c>
      <c r="M228" t="n">
        <v>0</v>
      </c>
      <c r="N228" t="n">
        <v>0</v>
      </c>
      <c r="O228" t="n">
        <v>1</v>
      </c>
      <c r="P228" t="n">
        <v>0</v>
      </c>
      <c r="Q228" t="n">
        <v>1</v>
      </c>
      <c r="R228" s="2" t="inlineStr">
        <is>
          <t>Kolflarnlav</t>
        </is>
      </c>
      <c r="S228">
        <f>HYPERLINK("https://klasma.github.io/Logging_232326/artfynd/A 20242-2025 artfynd.xlsx", "A 20242-2025")</f>
        <v/>
      </c>
      <c r="T228">
        <f>HYPERLINK("https://klasma.github.io/Logging_232326/kartor/A 20242-2025 karta.png", "A 20242-2025")</f>
        <v/>
      </c>
      <c r="V228">
        <f>HYPERLINK("https://klasma.github.io/Logging_232326/klagomål/A 20242-2025 FSC-klagomål.docx", "A 20242-2025")</f>
        <v/>
      </c>
      <c r="W228">
        <f>HYPERLINK("https://klasma.github.io/Logging_232326/klagomålsmail/A 20242-2025 FSC-klagomål mail.docx", "A 20242-2025")</f>
        <v/>
      </c>
      <c r="X228">
        <f>HYPERLINK("https://klasma.github.io/Logging_232326/tillsyn/A 20242-2025 tillsynsbegäran.docx", "A 20242-2025")</f>
        <v/>
      </c>
      <c r="Y228">
        <f>HYPERLINK("https://klasma.github.io/Logging_232326/tillsynsmail/A 20242-2025 tillsynsbegäran mail.docx", "A 20242-2025")</f>
        <v/>
      </c>
    </row>
    <row r="229" ht="15" customHeight="1">
      <c r="A229" t="inlineStr">
        <is>
          <t>A 20444-2025</t>
        </is>
      </c>
      <c r="B229" s="1" t="n">
        <v>45775</v>
      </c>
      <c r="C229" s="1" t="n">
        <v>45794</v>
      </c>
      <c r="D229" t="inlineStr">
        <is>
          <t>JÄMTLANDS LÄN</t>
        </is>
      </c>
      <c r="E229" t="inlineStr">
        <is>
          <t>BERG</t>
        </is>
      </c>
      <c r="F229" t="inlineStr">
        <is>
          <t>SCA</t>
        </is>
      </c>
      <c r="G229" t="n">
        <v>2.3</v>
      </c>
      <c r="H229" t="n">
        <v>0</v>
      </c>
      <c r="I229" t="n">
        <v>0</v>
      </c>
      <c r="J229" t="n">
        <v>0</v>
      </c>
      <c r="K229" t="n">
        <v>1</v>
      </c>
      <c r="L229" t="n">
        <v>0</v>
      </c>
      <c r="M229" t="n">
        <v>0</v>
      </c>
      <c r="N229" t="n">
        <v>0</v>
      </c>
      <c r="O229" t="n">
        <v>1</v>
      </c>
      <c r="P229" t="n">
        <v>1</v>
      </c>
      <c r="Q229" t="n">
        <v>1</v>
      </c>
      <c r="R229" s="2" t="inlineStr">
        <is>
          <t>Gräddporing</t>
        </is>
      </c>
      <c r="S229">
        <f>HYPERLINK("https://klasma.github.io/Logging_232326/artfynd/A 20444-2025 artfynd.xlsx", "A 20444-2025")</f>
        <v/>
      </c>
      <c r="T229">
        <f>HYPERLINK("https://klasma.github.io/Logging_232326/kartor/A 20444-2025 karta.png", "A 20444-2025")</f>
        <v/>
      </c>
      <c r="V229">
        <f>HYPERLINK("https://klasma.github.io/Logging_232326/klagomål/A 20444-2025 FSC-klagomål.docx", "A 20444-2025")</f>
        <v/>
      </c>
      <c r="W229">
        <f>HYPERLINK("https://klasma.github.io/Logging_232326/klagomålsmail/A 20444-2025 FSC-klagomål mail.docx", "A 20444-2025")</f>
        <v/>
      </c>
      <c r="X229">
        <f>HYPERLINK("https://klasma.github.io/Logging_232326/tillsyn/A 20444-2025 tillsynsbegäran.docx", "A 20444-2025")</f>
        <v/>
      </c>
      <c r="Y229">
        <f>HYPERLINK("https://klasma.github.io/Logging_232326/tillsynsmail/A 20444-2025 tillsynsbegäran mail.docx", "A 20444-2025")</f>
        <v/>
      </c>
    </row>
    <row r="230" ht="15" customHeight="1">
      <c r="A230" t="inlineStr">
        <is>
          <t>A 21020-2025</t>
        </is>
      </c>
      <c r="B230" s="1" t="n">
        <v>45777</v>
      </c>
      <c r="C230" s="1" t="n">
        <v>45794</v>
      </c>
      <c r="D230" t="inlineStr">
        <is>
          <t>JÄMTLANDS LÄN</t>
        </is>
      </c>
      <c r="E230" t="inlineStr">
        <is>
          <t>BERG</t>
        </is>
      </c>
      <c r="G230" t="n">
        <v>9</v>
      </c>
      <c r="H230" t="n">
        <v>1</v>
      </c>
      <c r="I230" t="n">
        <v>0</v>
      </c>
      <c r="J230" t="n">
        <v>0</v>
      </c>
      <c r="K230" t="n">
        <v>0</v>
      </c>
      <c r="L230" t="n">
        <v>0</v>
      </c>
      <c r="M230" t="n">
        <v>0</v>
      </c>
      <c r="N230" t="n">
        <v>0</v>
      </c>
      <c r="O230" t="n">
        <v>0</v>
      </c>
      <c r="P230" t="n">
        <v>0</v>
      </c>
      <c r="Q230" t="n">
        <v>1</v>
      </c>
      <c r="R230" s="2" t="inlineStr">
        <is>
          <t>Blåsippa</t>
        </is>
      </c>
      <c r="S230">
        <f>HYPERLINK("https://klasma.github.io/Logging_232326/artfynd/A 21020-2025 artfynd.xlsx", "A 21020-2025")</f>
        <v/>
      </c>
      <c r="T230">
        <f>HYPERLINK("https://klasma.github.io/Logging_232326/kartor/A 21020-2025 karta.png", "A 21020-2025")</f>
        <v/>
      </c>
      <c r="V230">
        <f>HYPERLINK("https://klasma.github.io/Logging_232326/klagomål/A 21020-2025 FSC-klagomål.docx", "A 21020-2025")</f>
        <v/>
      </c>
      <c r="W230">
        <f>HYPERLINK("https://klasma.github.io/Logging_232326/klagomålsmail/A 21020-2025 FSC-klagomål mail.docx", "A 21020-2025")</f>
        <v/>
      </c>
      <c r="X230">
        <f>HYPERLINK("https://klasma.github.io/Logging_232326/tillsyn/A 21020-2025 tillsynsbegäran.docx", "A 21020-2025")</f>
        <v/>
      </c>
      <c r="Y230">
        <f>HYPERLINK("https://klasma.github.io/Logging_232326/tillsynsmail/A 21020-2025 tillsynsbegäran mail.docx", "A 21020-2025")</f>
        <v/>
      </c>
    </row>
    <row r="231" ht="15" customHeight="1">
      <c r="A231" t="inlineStr">
        <is>
          <t>A 21025-2025</t>
        </is>
      </c>
      <c r="B231" s="1" t="n">
        <v>45777</v>
      </c>
      <c r="C231" s="1" t="n">
        <v>45794</v>
      </c>
      <c r="D231" t="inlineStr">
        <is>
          <t>JÄMTLANDS LÄN</t>
        </is>
      </c>
      <c r="E231" t="inlineStr">
        <is>
          <t>BERG</t>
        </is>
      </c>
      <c r="G231" t="n">
        <v>8.300000000000001</v>
      </c>
      <c r="H231" t="n">
        <v>1</v>
      </c>
      <c r="I231" t="n">
        <v>0</v>
      </c>
      <c r="J231" t="n">
        <v>0</v>
      </c>
      <c r="K231" t="n">
        <v>0</v>
      </c>
      <c r="L231" t="n">
        <v>0</v>
      </c>
      <c r="M231" t="n">
        <v>0</v>
      </c>
      <c r="N231" t="n">
        <v>0</v>
      </c>
      <c r="O231" t="n">
        <v>0</v>
      </c>
      <c r="P231" t="n">
        <v>0</v>
      </c>
      <c r="Q231" t="n">
        <v>1</v>
      </c>
      <c r="R231" s="2" t="inlineStr">
        <is>
          <t>Blåsippa</t>
        </is>
      </c>
      <c r="S231">
        <f>HYPERLINK("https://klasma.github.io/Logging_232326/artfynd/A 21025-2025 artfynd.xlsx", "A 21025-2025")</f>
        <v/>
      </c>
      <c r="T231">
        <f>HYPERLINK("https://klasma.github.io/Logging_232326/kartor/A 21025-2025 karta.png", "A 21025-2025")</f>
        <v/>
      </c>
      <c r="V231">
        <f>HYPERLINK("https://klasma.github.io/Logging_232326/klagomål/A 21025-2025 FSC-klagomål.docx", "A 21025-2025")</f>
        <v/>
      </c>
      <c r="W231">
        <f>HYPERLINK("https://klasma.github.io/Logging_232326/klagomålsmail/A 21025-2025 FSC-klagomål mail.docx", "A 21025-2025")</f>
        <v/>
      </c>
      <c r="X231">
        <f>HYPERLINK("https://klasma.github.io/Logging_232326/tillsyn/A 21025-2025 tillsynsbegäran.docx", "A 21025-2025")</f>
        <v/>
      </c>
      <c r="Y231">
        <f>HYPERLINK("https://klasma.github.io/Logging_232326/tillsynsmail/A 21025-2025 tillsynsbegäran mail.docx", "A 21025-2025")</f>
        <v/>
      </c>
    </row>
    <row r="232" ht="15" customHeight="1">
      <c r="A232" t="inlineStr">
        <is>
          <t>A 21681-2025</t>
        </is>
      </c>
      <c r="B232" s="1" t="n">
        <v>45783</v>
      </c>
      <c r="C232" s="1" t="n">
        <v>45794</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45794</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45794</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45794</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45794</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45794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45794</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45794</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45794</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45794</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45794</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45794</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45794</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45794</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45794</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45794</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45794</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45794</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45794</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45794</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45794</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45794</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45794</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45794</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45794</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45794</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45794</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45794</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45794</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45794</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45794</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45794</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45794</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45794</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45794</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45794</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45794</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45794</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45794</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45794</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45794</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45794</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45794</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45794</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45794</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45794</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45794</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45794</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45794</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45794</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45794</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45794</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45794</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45794</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45794</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45794</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45794</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45794</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45794</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45794</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45794</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45794</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45794</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45794</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45794</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45794</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45794</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45794</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45794</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45794</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45794</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45794</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45794</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45794</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45794</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45794</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45794</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45794</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45794</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45794</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45794</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45794</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45794</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45794</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45794</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45794</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45794</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45794</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45794</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45794</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45794</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45794</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45794</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45794</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45794</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45794</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45794</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45794</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45794</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45794</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45794</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45794</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45794</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45794</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45794</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45794</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45794</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45794</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45794</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45794</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45794</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45794</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45794</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45794</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45794</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45794</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45794</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45794</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45794</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45794</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45794</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45794</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45794</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45794</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45794</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45794</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45794</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45794</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45794</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45794</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45794</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45794</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45794</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45794</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45794</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45794</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45794</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45794</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45794</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45794</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45794</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45794</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45794</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45794</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45794</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45794</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45794</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45794</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45794</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45794</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45794</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45794</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45794</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45794</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45794</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45794</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45794</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45794</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45794</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45794</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45794</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45794</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45794</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45794</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45794</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45794</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45794</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45794</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45794</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45794</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45794</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45794</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45794</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45794</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45794</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45794</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45794</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45794</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45794</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45794</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45794</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45794</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45794</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45794</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45794</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45794</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45794</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45794</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45794</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45794</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45794</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45794</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45794</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45794</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45794</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45794</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45794</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45794</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45794</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45794</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45794</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45794</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45794</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45794</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45794</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45794</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45794</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45794</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45794</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45794</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45794</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45794</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45794</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45794</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45794</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45794</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45794</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45794</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45794</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45794</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45794</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45794</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45794</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45794</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45794</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45794</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45794</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45794</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45794</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45794</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45794</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45794</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45794</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45794</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45794</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45794</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45794</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45794</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45794</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45794</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45794</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45794</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45794</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45794</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45794</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45794</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45794</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45794</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45794</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45794</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45794</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45794</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45794</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45794</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45794</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45794</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45794</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45794</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45794</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45794</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45794</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45794</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45794</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45794</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45794</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45794</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45794</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45794</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45794</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45794</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45794</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45794</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45794</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45794</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45794</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45794</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45794</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45794</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45794</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45794</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45794</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45794</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45794</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45794</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45794</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45794</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45794</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45794</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45794</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45794</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45794</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45794</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45794</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45794</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45794</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45794</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45794</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45794</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45794</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45794</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45794</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45794</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45794</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45794</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45794</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45794</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45794</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45794</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45794</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45794</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45794</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45794</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45794</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45794</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45794</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45794</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45794</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45794</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45794</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45794</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45794</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45794</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45794</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45794</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45794</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45794</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45794</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45794</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45794</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45794</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45794</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45794</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45794</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45794</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45794</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45794</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45794</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45794</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45794</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45794</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45794</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45794</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45794</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45794</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45794</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45794</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45794</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45794</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45794</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45794</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45794</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45794</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45794</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45794</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45794</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45794</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45794</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45794</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45794</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45794</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45794</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45794</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45794</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45794</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45794</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45794</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45794</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45794</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45794</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45794</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45794</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45794</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45794</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45794</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45794</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45794</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45794</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45794</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45794</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45794</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45794</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45794</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45794</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45794</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45794</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45794</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45794</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45794</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45794</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45794</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45794</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45794</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45794</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45794</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45794</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45794</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45794</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45794</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45794</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45794</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45794</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45794</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45794</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45794</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45794</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45794</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45794</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45794</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45794</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45794</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45794</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45794</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45794</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45794</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45794</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45794</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45794</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45794</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45794</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45794</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45794</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45794</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45794</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45794</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45794</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45794</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45794</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45794</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45794</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45794</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45794</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45794</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45794</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45794</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45794</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45794</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45794</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45794</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45794</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45794</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45794</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45794</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45794</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45794</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45794</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45794</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45794</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45794</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45794</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45794</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45794</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45794</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45794</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45794</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45794</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45794</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45794</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45794</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45794</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45794</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45794</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45794</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45794</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45794</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45794</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45794</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45794</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45794</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45794</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45794</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45794</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45794</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45794</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45794</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45794</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45794</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45794</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45794</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45794</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45794</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45794</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45794</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45794</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45794</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45794</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45794</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45794</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45794</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45794</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45794</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45794</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45794</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45794</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45794</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45794</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45794</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45794</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45794</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45794</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45794</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45794</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45794</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45794</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45794</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45794</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45794</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45794</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45794</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45794</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45794</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45794</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45794</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45794</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45794</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45794</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45794</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45794</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45794</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45794</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45794</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45794</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45794</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45794</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45794</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45794</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45794</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45794</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45794</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45794</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45794</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45794</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45794</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45794</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45794</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45794</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45794</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45794</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45794</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45794</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45794</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45794</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45794</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45794</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45794</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45794</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45794</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45794</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45794</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45794</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45794</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45794</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45794</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45794</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45794</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45794</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45794</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45794</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45794</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45794</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45794</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45794</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45794</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45794</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45794</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45794</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45794</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45794</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45794</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45794</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45794</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45794</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45794</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45794</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45794</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45794</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45794</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45794</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45794</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45794</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45794</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45794</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45794</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45794</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45794</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45794</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45794</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45794</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45794</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45794</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45794</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45794</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45794</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45794</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45794</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45794</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45794</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45794</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45794</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45794</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45794</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45794</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45794</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45794</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45794</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45794</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45794</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45794</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45794</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45794</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45794</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45794</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45794</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45794</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45794</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45794</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45794</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45794</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45794</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45794</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45794</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45794</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45794</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45794</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45794</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45794</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45794</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45794</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45794</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45794</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45794</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45794</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45794</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45794</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45794</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45794</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45794</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45794</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45794</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45794</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45794</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45794</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45794</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45794</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45794</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45794</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45794</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45794</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45794</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45794</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45794</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45794</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45794</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45794</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45794</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45794</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45794</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45794</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45794</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45794</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45794</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45794</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45794</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45794</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45794</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45794</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45794</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45794</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45794</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45794</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45794</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45794</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45794</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45794</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45794</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45794</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45794</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45794</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45794</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45794</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45794</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45794</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45794</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45794</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45794</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45794</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45794</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45794</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45794</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45794</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45794</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45794</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45794</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45794</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45794</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45794</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45794</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45794</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45794</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45794</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45794</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45794</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45794</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45794</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45794</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45794</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45794</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45794</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45794</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45794</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45794</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45794</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45794</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45794</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45794</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45794</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45794</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45794</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45794</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45794</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45794</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45794</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45794</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45794</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45794</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45794</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45794</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45794</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45794</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45794</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45794</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45794</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45794</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45794</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45794</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45794</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45794</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45794</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45794</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45794</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45794</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45794</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45794</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45794</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45794</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45794</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45794</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45794</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45794</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45794</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45794</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45794</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45794</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45794</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45794</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45794</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45794</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45794</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45794</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45794</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45794</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45794</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45794</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45794</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45794</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45794</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45794</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45794</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45794</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45794</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45794</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45794</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45794</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45794</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45794</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45794</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45794</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45794</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45794</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45794</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45794</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45794</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45794</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45794</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45794</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45794</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45794</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45794</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45794</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45794</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45794</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45794</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45794</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45794</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45794</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45794</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45794</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45794</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45794</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45794</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45794</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45794</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45794</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45794</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45794</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45794</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45794</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45794</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45794</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45794</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45794</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45794</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45794</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45794</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45794</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45794</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45794</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45794</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45794</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45794</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45794</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45794</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45794</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45794</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45794</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45794</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45794</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45794</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45794</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45794</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45794</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45794</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45794</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45794</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45794</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45794</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45794</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45794</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45794</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45794</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45794</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45794</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45794</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45794</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45794</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45794</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45794</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45794</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45794</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45794</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45794</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45794</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45794</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45794</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45794</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45794</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45794</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45794</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45794</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45794</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45794</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45794</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45794</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45794</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45794</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45794</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45794</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45794</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45794</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45794</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45794</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45794</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45794</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45794</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45794</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45794</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45794</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45794</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45794</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45794</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45794</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45794</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45794</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45794</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45794</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45794</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45794</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45794</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45794</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45794</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45794</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45794</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45794</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45794</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45794</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45794</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45794</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45794</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45794</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45794</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45794</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45794</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45794</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45794</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45794</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45794</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45794</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45794</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45794</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45794</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45794</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45794</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45794</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45794</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45794</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45794</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45794</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45794</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45794</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45794</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45794</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45794</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45794</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45794</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45794</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45794</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45794</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45794</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45794</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45794</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45794</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45794</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45794</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45794</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45794</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45794</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45794</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45794</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45794</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45794</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45794</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45794</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45794</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45794</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45794</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45794</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45794</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45794</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45794</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45794</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45794</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45794</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45794</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45794</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45794</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45794</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45794</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45794</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45794</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45794</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45794</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45794</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45794</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45794</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45794</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45794</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45794</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45794</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45794</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45794</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45794</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45794</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45794</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45794</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45794</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45794</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45794</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45794</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45794</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45794</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45794</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45794</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45794</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45794</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45794</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45794</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45794</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45794</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45794</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45794</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45794</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45794</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45794</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45794</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45794</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45794</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45794</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45794</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45794</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45794</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45794</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45794</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45794</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45794</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45794</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45794</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45794</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45794</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45794</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45794</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45794</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45794</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45794</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45794</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45794</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45794</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45794</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45794</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45794</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45794</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45794</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45794</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45794</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45794</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45794</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45794</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45794</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45794</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45794</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45794</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45794</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45794</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45794</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45794</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45794</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45794</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45794</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45794</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45794</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45794</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45794</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45794</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45794</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45794</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45794</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45794</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45794</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45794</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45794</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45794</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45794</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45794</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45794</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45794</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45794</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45794</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45794</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45794</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45794</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45794</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45794</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45794</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45794</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45794</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45794</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45794</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45794</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45794</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45794</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45794</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45794</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45794</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45794</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45794</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45794</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45794</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45794</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45794</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45794</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45794</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45794</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45794</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45794</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45794</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45794</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45794</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45794</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45794</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45794</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45794</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45794</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45794</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45794</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45794</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45794</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45794</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45794</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45794</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45794</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45794</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45794</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45794</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45794</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45794</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45794</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45794</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45794</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45794</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45794</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45794</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45794</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45794</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45794</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45794</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45794</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45794</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45794</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45794</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45794</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45794</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45794</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45794</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45794</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45794</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45794</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45794</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45794</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45794</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45794</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45794</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45794</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45794</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45794</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45794</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45794</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45794</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45794</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45794</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45794</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45794</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45794</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45794</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45794</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45794</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45794</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45794</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45794</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45794</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45794</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21403-2025</t>
        </is>
      </c>
      <c r="B1380" s="1" t="n">
        <v>45782</v>
      </c>
      <c r="C1380" s="1" t="n">
        <v>45794</v>
      </c>
      <c r="D1380" t="inlineStr">
        <is>
          <t>JÄMTLANDS LÄN</t>
        </is>
      </c>
      <c r="E1380" t="inlineStr">
        <is>
          <t>BERG</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21472-2025</t>
        </is>
      </c>
      <c r="B1381" s="1" t="n">
        <v>45782</v>
      </c>
      <c r="C1381" s="1" t="n">
        <v>45794</v>
      </c>
      <c r="D1381" t="inlineStr">
        <is>
          <t>JÄMTLANDS LÄN</t>
        </is>
      </c>
      <c r="E1381" t="inlineStr">
        <is>
          <t>BERG</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45794</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45794</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45794</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45794</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45794</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45794</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45794</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22653-2025</t>
        </is>
      </c>
      <c r="B1389" s="1" t="n">
        <v>45789</v>
      </c>
      <c r="C1389" s="1" t="n">
        <v>45794</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22968-2025</t>
        </is>
      </c>
      <c r="B1390" s="1" t="n">
        <v>45790</v>
      </c>
      <c r="C1390" s="1" t="n">
        <v>45794</v>
      </c>
      <c r="D1390" t="inlineStr">
        <is>
          <t>JÄMTLANDS LÄN</t>
        </is>
      </c>
      <c r="E1390" t="inlineStr">
        <is>
          <t>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23054-2025</t>
        </is>
      </c>
      <c r="B1391" s="1" t="n">
        <v>45790</v>
      </c>
      <c r="C1391" s="1" t="n">
        <v>45794</v>
      </c>
      <c r="D1391" t="inlineStr">
        <is>
          <t>JÄMTLANDS LÄN</t>
        </is>
      </c>
      <c r="E1391" t="inlineStr">
        <is>
          <t>BERG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45794</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45794</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22977-2025</t>
        </is>
      </c>
      <c r="B1394" s="1" t="n">
        <v>45790</v>
      </c>
      <c r="C1394" s="1" t="n">
        <v>45794</v>
      </c>
      <c r="D1394" t="inlineStr">
        <is>
          <t>JÄMTLANDS LÄN</t>
        </is>
      </c>
      <c r="E1394" t="inlineStr">
        <is>
          <t>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45794</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22991-2025</t>
        </is>
      </c>
      <c r="B1396" s="1" t="n">
        <v>45790</v>
      </c>
      <c r="C1396" s="1" t="n">
        <v>45794</v>
      </c>
      <c r="D1396" t="inlineStr">
        <is>
          <t>JÄMTLANDS LÄN</t>
        </is>
      </c>
      <c r="E1396" t="inlineStr">
        <is>
          <t>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45794</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c r="A1398" t="inlineStr">
        <is>
          <t>A 23766-2025</t>
        </is>
      </c>
      <c r="B1398" s="1" t="n">
        <v>45793</v>
      </c>
      <c r="C1398" s="1" t="n">
        <v>45794</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2025-05-17T17:23:41Z</dcterms:created>
  <dcterms:modified xmlns:dcterms="http://purl.org/dc/terms/" xmlns:xsi="http://www.w3.org/2001/XMLSchema-instance" xsi:type="dcterms:W3CDTF">2025-05-17T17:23:42Z</dcterms:modified>
</cp:coreProperties>
</file>