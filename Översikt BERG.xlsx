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45646</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45646</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45646</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45646</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45646</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45646</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45646</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45646</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45646</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45646</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45646</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45646</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45646</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45646</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45646</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45646</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45646</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45646</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45646</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45646</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45646</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45646</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45646</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45646</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45646</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45646</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45646</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45646</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45646</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45646</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45646</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45646</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45646</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45646</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45646</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45646</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45646</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45646</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45646</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45646</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45646</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45646</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45646</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45646</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45646</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45646</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45646</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45646</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45646</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45646</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45646</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45646</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45646</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45646</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45646</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45646</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45646</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45646</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45646</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45646</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45646</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45646</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45646</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45646</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45646</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45646</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45646</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45646</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45646</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45646</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45646</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45646</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45646</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45646</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45646</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45646</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45646</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45646</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45646</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45646</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45646</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45646</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45646</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45646</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45646</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45646</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45646</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45646</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61084-2024</t>
        </is>
      </c>
      <c r="B103" s="1" t="n">
        <v>45645</v>
      </c>
      <c r="C103" s="1" t="n">
        <v>45646</v>
      </c>
      <c r="D103" t="inlineStr">
        <is>
          <t>JÄMTLANDS LÄN</t>
        </is>
      </c>
      <c r="E103" t="inlineStr">
        <is>
          <t>BERG</t>
        </is>
      </c>
      <c r="F103" t="inlineStr">
        <is>
          <t>SCA</t>
        </is>
      </c>
      <c r="G103" t="n">
        <v>17.7</v>
      </c>
      <c r="H103" t="n">
        <v>0</v>
      </c>
      <c r="I103" t="n">
        <v>0</v>
      </c>
      <c r="J103" t="n">
        <v>1</v>
      </c>
      <c r="K103" t="n">
        <v>2</v>
      </c>
      <c r="L103" t="n">
        <v>0</v>
      </c>
      <c r="M103" t="n">
        <v>0</v>
      </c>
      <c r="N103" t="n">
        <v>0</v>
      </c>
      <c r="O103" t="n">
        <v>3</v>
      </c>
      <c r="P103" t="n">
        <v>2</v>
      </c>
      <c r="Q103" t="n">
        <v>3</v>
      </c>
      <c r="R103" s="2" t="inlineStr">
        <is>
          <t>Gräddporing
Smalfotad taggsvamp
Dvärgbägarlav</t>
        </is>
      </c>
      <c r="S103">
        <f>HYPERLINK("https://klasma.github.io/Logging_2326/artfynd/A 61084-2024 artfynd.xlsx", "A 61084-2024")</f>
        <v/>
      </c>
      <c r="T103">
        <f>HYPERLINK("https://klasma.github.io/Logging_2326/kartor/A 61084-2024 karta.png", "A 61084-2024")</f>
        <v/>
      </c>
      <c r="V103">
        <f>HYPERLINK("https://klasma.github.io/Logging_2326/klagomål/A 61084-2024 FSC-klagomål.docx", "A 61084-2024")</f>
        <v/>
      </c>
      <c r="W103">
        <f>HYPERLINK("https://klasma.github.io/Logging_2326/klagomålsmail/A 61084-2024 FSC-klagomål mail.docx", "A 61084-2024")</f>
        <v/>
      </c>
      <c r="X103">
        <f>HYPERLINK("https://klasma.github.io/Logging_2326/tillsyn/A 61084-2024 tillsynsbegäran.docx", "A 61084-2024")</f>
        <v/>
      </c>
      <c r="Y103">
        <f>HYPERLINK("https://klasma.github.io/Logging_2326/tillsynsmail/A 61084-2024 tillsynsbegäran mail.docx", "A 61084-2024")</f>
        <v/>
      </c>
    </row>
    <row r="104" ht="15" customHeight="1">
      <c r="A104" t="inlineStr">
        <is>
          <t>A 26194-2019</t>
        </is>
      </c>
      <c r="B104" s="1" t="n">
        <v>43609</v>
      </c>
      <c r="C104" s="1" t="n">
        <v>45646</v>
      </c>
      <c r="D104" t="inlineStr">
        <is>
          <t>JÄMTLANDS LÄN</t>
        </is>
      </c>
      <c r="E104" t="inlineStr">
        <is>
          <t>BERG</t>
        </is>
      </c>
      <c r="G104" t="n">
        <v>11</v>
      </c>
      <c r="H104" t="n">
        <v>0</v>
      </c>
      <c r="I104" t="n">
        <v>0</v>
      </c>
      <c r="J104" t="n">
        <v>2</v>
      </c>
      <c r="K104" t="n">
        <v>0</v>
      </c>
      <c r="L104" t="n">
        <v>0</v>
      </c>
      <c r="M104" t="n">
        <v>0</v>
      </c>
      <c r="N104" t="n">
        <v>0</v>
      </c>
      <c r="O104" t="n">
        <v>2</v>
      </c>
      <c r="P104" t="n">
        <v>0</v>
      </c>
      <c r="Q104" t="n">
        <v>2</v>
      </c>
      <c r="R104" s="2" t="inlineStr">
        <is>
          <t>Vedflamlav
Vedskivlav</t>
        </is>
      </c>
      <c r="S104">
        <f>HYPERLINK("https://klasma.github.io/Logging_2326/artfynd/A 26194-2019 artfynd.xlsx", "A 26194-2019")</f>
        <v/>
      </c>
      <c r="T104">
        <f>HYPERLINK("https://klasma.github.io/Logging_2326/kartor/A 26194-2019 karta.png", "A 26194-2019")</f>
        <v/>
      </c>
      <c r="V104">
        <f>HYPERLINK("https://klasma.github.io/Logging_2326/klagomål/A 26194-2019 FSC-klagomål.docx", "A 26194-2019")</f>
        <v/>
      </c>
      <c r="W104">
        <f>HYPERLINK("https://klasma.github.io/Logging_2326/klagomålsmail/A 26194-2019 FSC-klagomål mail.docx", "A 26194-2019")</f>
        <v/>
      </c>
      <c r="X104">
        <f>HYPERLINK("https://klasma.github.io/Logging_2326/tillsyn/A 26194-2019 tillsynsbegäran.docx", "A 26194-2019")</f>
        <v/>
      </c>
      <c r="Y104">
        <f>HYPERLINK("https://klasma.github.io/Logging_2326/tillsynsmail/A 26194-2019 tillsynsbegäran mail.docx", "A 26194-2019")</f>
        <v/>
      </c>
    </row>
    <row r="105" ht="15" customHeight="1">
      <c r="A105" t="inlineStr">
        <is>
          <t>A 24421-2020</t>
        </is>
      </c>
      <c r="B105" s="1" t="n">
        <v>43976</v>
      </c>
      <c r="C105" s="1" t="n">
        <v>45646</v>
      </c>
      <c r="D105" t="inlineStr">
        <is>
          <t>JÄMTLANDS LÄN</t>
        </is>
      </c>
      <c r="E105" t="inlineStr">
        <is>
          <t>BERG</t>
        </is>
      </c>
      <c r="F105" t="inlineStr">
        <is>
          <t>SCA</t>
        </is>
      </c>
      <c r="G105" t="n">
        <v>15.8</v>
      </c>
      <c r="H105" t="n">
        <v>0</v>
      </c>
      <c r="I105" t="n">
        <v>0</v>
      </c>
      <c r="J105" t="n">
        <v>2</v>
      </c>
      <c r="K105" t="n">
        <v>0</v>
      </c>
      <c r="L105" t="n">
        <v>0</v>
      </c>
      <c r="M105" t="n">
        <v>0</v>
      </c>
      <c r="N105" t="n">
        <v>0</v>
      </c>
      <c r="O105" t="n">
        <v>2</v>
      </c>
      <c r="P105" t="n">
        <v>0</v>
      </c>
      <c r="Q105" t="n">
        <v>2</v>
      </c>
      <c r="R105" s="2" t="inlineStr">
        <is>
          <t>Blanksvart spiklav
Vedflamlav</t>
        </is>
      </c>
      <c r="S105">
        <f>HYPERLINK("https://klasma.github.io/Logging_2326/artfynd/A 24421-2020 artfynd.xlsx", "A 24421-2020")</f>
        <v/>
      </c>
      <c r="T105">
        <f>HYPERLINK("https://klasma.github.io/Logging_2326/kartor/A 24421-2020 karta.png", "A 24421-2020")</f>
        <v/>
      </c>
      <c r="V105">
        <f>HYPERLINK("https://klasma.github.io/Logging_2326/klagomål/A 24421-2020 FSC-klagomål.docx", "A 24421-2020")</f>
        <v/>
      </c>
      <c r="W105">
        <f>HYPERLINK("https://klasma.github.io/Logging_2326/klagomålsmail/A 24421-2020 FSC-klagomål mail.docx", "A 24421-2020")</f>
        <v/>
      </c>
      <c r="X105">
        <f>HYPERLINK("https://klasma.github.io/Logging_2326/tillsyn/A 24421-2020 tillsynsbegäran.docx", "A 24421-2020")</f>
        <v/>
      </c>
      <c r="Y105">
        <f>HYPERLINK("https://klasma.github.io/Logging_2326/tillsynsmail/A 24421-2020 tillsynsbegäran mail.docx", "A 24421-2020")</f>
        <v/>
      </c>
    </row>
    <row r="106" ht="15" customHeight="1">
      <c r="A106" t="inlineStr">
        <is>
          <t>A 32743-2020</t>
        </is>
      </c>
      <c r="B106" s="1" t="n">
        <v>44019</v>
      </c>
      <c r="C106" s="1" t="n">
        <v>45646</v>
      </c>
      <c r="D106" t="inlineStr">
        <is>
          <t>JÄMTLANDS LÄN</t>
        </is>
      </c>
      <c r="E106" t="inlineStr">
        <is>
          <t>BERG</t>
        </is>
      </c>
      <c r="F106" t="inlineStr">
        <is>
          <t>SCA</t>
        </is>
      </c>
      <c r="G106" t="n">
        <v>2.1</v>
      </c>
      <c r="H106" t="n">
        <v>0</v>
      </c>
      <c r="I106" t="n">
        <v>1</v>
      </c>
      <c r="J106" t="n">
        <v>1</v>
      </c>
      <c r="K106" t="n">
        <v>0</v>
      </c>
      <c r="L106" t="n">
        <v>0</v>
      </c>
      <c r="M106" t="n">
        <v>0</v>
      </c>
      <c r="N106" t="n">
        <v>0</v>
      </c>
      <c r="O106" t="n">
        <v>1</v>
      </c>
      <c r="P106" t="n">
        <v>0</v>
      </c>
      <c r="Q106" t="n">
        <v>2</v>
      </c>
      <c r="R106" s="2" t="inlineStr">
        <is>
          <t>Skrovellav
Barkkornlav</t>
        </is>
      </c>
      <c r="S106">
        <f>HYPERLINK("https://klasma.github.io/Logging_2326/artfynd/A 32743-2020 artfynd.xlsx", "A 32743-2020")</f>
        <v/>
      </c>
      <c r="T106">
        <f>HYPERLINK("https://klasma.github.io/Logging_2326/kartor/A 32743-2020 karta.png", "A 32743-2020")</f>
        <v/>
      </c>
      <c r="V106">
        <f>HYPERLINK("https://klasma.github.io/Logging_2326/klagomål/A 32743-2020 FSC-klagomål.docx", "A 32743-2020")</f>
        <v/>
      </c>
      <c r="W106">
        <f>HYPERLINK("https://klasma.github.io/Logging_2326/klagomålsmail/A 32743-2020 FSC-klagomål mail.docx", "A 32743-2020")</f>
        <v/>
      </c>
      <c r="X106">
        <f>HYPERLINK("https://klasma.github.io/Logging_2326/tillsyn/A 32743-2020 tillsynsbegäran.docx", "A 32743-2020")</f>
        <v/>
      </c>
      <c r="Y106">
        <f>HYPERLINK("https://klasma.github.io/Logging_2326/tillsynsmail/A 32743-2020 tillsynsbegäran mail.docx", "A 32743-2020")</f>
        <v/>
      </c>
    </row>
    <row r="107" ht="15" customHeight="1">
      <c r="A107" t="inlineStr">
        <is>
          <t>A 34577-2020</t>
        </is>
      </c>
      <c r="B107" s="1" t="n">
        <v>44033</v>
      </c>
      <c r="C107" s="1" t="n">
        <v>45646</v>
      </c>
      <c r="D107" t="inlineStr">
        <is>
          <t>JÄMTLANDS LÄN</t>
        </is>
      </c>
      <c r="E107" t="inlineStr">
        <is>
          <t>BERG</t>
        </is>
      </c>
      <c r="F107" t="inlineStr">
        <is>
          <t>SCA</t>
        </is>
      </c>
      <c r="G107" t="n">
        <v>7</v>
      </c>
      <c r="H107" t="n">
        <v>1</v>
      </c>
      <c r="I107" t="n">
        <v>0</v>
      </c>
      <c r="J107" t="n">
        <v>1</v>
      </c>
      <c r="K107" t="n">
        <v>1</v>
      </c>
      <c r="L107" t="n">
        <v>0</v>
      </c>
      <c r="M107" t="n">
        <v>0</v>
      </c>
      <c r="N107" t="n">
        <v>0</v>
      </c>
      <c r="O107" t="n">
        <v>2</v>
      </c>
      <c r="P107" t="n">
        <v>1</v>
      </c>
      <c r="Q107" t="n">
        <v>2</v>
      </c>
      <c r="R107" s="2" t="inlineStr">
        <is>
          <t>Doftticka
Skrovellav</t>
        </is>
      </c>
      <c r="S107">
        <f>HYPERLINK("https://klasma.github.io/Logging_2326/artfynd/A 34577-2020 artfynd.xlsx", "A 34577-2020")</f>
        <v/>
      </c>
      <c r="T107">
        <f>HYPERLINK("https://klasma.github.io/Logging_2326/kartor/A 34577-2020 karta.png", "A 34577-2020")</f>
        <v/>
      </c>
      <c r="V107">
        <f>HYPERLINK("https://klasma.github.io/Logging_2326/klagomål/A 34577-2020 FSC-klagomål.docx", "A 34577-2020")</f>
        <v/>
      </c>
      <c r="W107">
        <f>HYPERLINK("https://klasma.github.io/Logging_2326/klagomålsmail/A 34577-2020 FSC-klagomål mail.docx", "A 34577-2020")</f>
        <v/>
      </c>
      <c r="X107">
        <f>HYPERLINK("https://klasma.github.io/Logging_2326/tillsyn/A 34577-2020 tillsynsbegäran.docx", "A 34577-2020")</f>
        <v/>
      </c>
      <c r="Y107">
        <f>HYPERLINK("https://klasma.github.io/Logging_2326/tillsynsmail/A 34577-2020 tillsynsbegäran mail.docx", "A 34577-2020")</f>
        <v/>
      </c>
    </row>
    <row r="108" ht="15" customHeight="1">
      <c r="A108" t="inlineStr">
        <is>
          <t>A 59786-2020</t>
        </is>
      </c>
      <c r="B108" s="1" t="n">
        <v>44148</v>
      </c>
      <c r="C108" s="1" t="n">
        <v>45646</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14588-2021</t>
        </is>
      </c>
      <c r="B109" s="1" t="n">
        <v>44279</v>
      </c>
      <c r="C109" s="1" t="n">
        <v>45646</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51950-2021</t>
        </is>
      </c>
      <c r="B110" s="1" t="n">
        <v>44463</v>
      </c>
      <c r="C110" s="1" t="n">
        <v>45646</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6784-2022</t>
        </is>
      </c>
      <c r="B111" s="1" t="n">
        <v>44602</v>
      </c>
      <c r="C111" s="1" t="n">
        <v>45646</v>
      </c>
      <c r="D111" t="inlineStr">
        <is>
          <t>JÄMTLANDS LÄN</t>
        </is>
      </c>
      <c r="E111" t="inlineStr">
        <is>
          <t>BERG</t>
        </is>
      </c>
      <c r="G111" t="n">
        <v>4</v>
      </c>
      <c r="H111" t="n">
        <v>1</v>
      </c>
      <c r="I111" t="n">
        <v>0</v>
      </c>
      <c r="J111" t="n">
        <v>1</v>
      </c>
      <c r="K111" t="n">
        <v>0</v>
      </c>
      <c r="L111" t="n">
        <v>0</v>
      </c>
      <c r="M111" t="n">
        <v>0</v>
      </c>
      <c r="N111" t="n">
        <v>0</v>
      </c>
      <c r="O111" t="n">
        <v>1</v>
      </c>
      <c r="P111" t="n">
        <v>0</v>
      </c>
      <c r="Q111" t="n">
        <v>2</v>
      </c>
      <c r="R111" s="2" t="inlineStr">
        <is>
          <t>Brunklöver
Brudsporre</t>
        </is>
      </c>
      <c r="S111">
        <f>HYPERLINK("https://klasma.github.io/Logging_2326/artfynd/A 6784-2022 artfynd.xlsx", "A 6784-2022")</f>
        <v/>
      </c>
      <c r="T111">
        <f>HYPERLINK("https://klasma.github.io/Logging_2326/kartor/A 6784-2022 karta.png", "A 6784-2022")</f>
        <v/>
      </c>
      <c r="V111">
        <f>HYPERLINK("https://klasma.github.io/Logging_2326/klagomål/A 6784-2022 FSC-klagomål.docx", "A 6784-2022")</f>
        <v/>
      </c>
      <c r="W111">
        <f>HYPERLINK("https://klasma.github.io/Logging_2326/klagomålsmail/A 6784-2022 FSC-klagomål mail.docx", "A 6784-2022")</f>
        <v/>
      </c>
      <c r="X111">
        <f>HYPERLINK("https://klasma.github.io/Logging_2326/tillsyn/A 6784-2022 tillsynsbegäran.docx", "A 6784-2022")</f>
        <v/>
      </c>
      <c r="Y111">
        <f>HYPERLINK("https://klasma.github.io/Logging_2326/tillsynsmail/A 6784-2022 tillsynsbegäran mail.docx", "A 6784-2022")</f>
        <v/>
      </c>
    </row>
    <row r="112" ht="15" customHeight="1">
      <c r="A112" t="inlineStr">
        <is>
          <t>A 37387-2022</t>
        </is>
      </c>
      <c r="B112" s="1" t="n">
        <v>44806</v>
      </c>
      <c r="C112" s="1" t="n">
        <v>45646</v>
      </c>
      <c r="D112" t="inlineStr">
        <is>
          <t>JÄMTLANDS LÄN</t>
        </is>
      </c>
      <c r="E112" t="inlineStr">
        <is>
          <t>BERG</t>
        </is>
      </c>
      <c r="G112" t="n">
        <v>20.2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HYPERLINK("https://klasma.github.io/Logging_2326/artfynd/A 37387-2022 artfynd.xlsx", "A 37387-2022")</f>
        <v/>
      </c>
      <c r="T112">
        <f>HYPERLINK("https://klasma.github.io/Logging_2326/kartor/A 37387-2022 karta.png", "A 37387-2022")</f>
        <v/>
      </c>
      <c r="V112">
        <f>HYPERLINK("https://klasma.github.io/Logging_2326/klagomål/A 37387-2022 FSC-klagomål.docx", "A 37387-2022")</f>
        <v/>
      </c>
      <c r="W112">
        <f>HYPERLINK("https://klasma.github.io/Logging_2326/klagomålsmail/A 37387-2022 FSC-klagomål mail.docx", "A 37387-2022")</f>
        <v/>
      </c>
      <c r="X112">
        <f>HYPERLINK("https://klasma.github.io/Logging_2326/tillsyn/A 37387-2022 tillsynsbegäran.docx", "A 37387-2022")</f>
        <v/>
      </c>
      <c r="Y112">
        <f>HYPERLINK("https://klasma.github.io/Logging_2326/tillsynsmail/A 37387-2022 tillsynsbegäran mail.docx", "A 37387-2022")</f>
        <v/>
      </c>
      <c r="Z112">
        <f>HYPERLINK("https://klasma.github.io/Logging_2326/fåglar/A 37387-2022 prioriterade fågelarter.docx", "A 37387-2022")</f>
        <v/>
      </c>
    </row>
    <row r="113" ht="15" customHeight="1">
      <c r="A113" t="inlineStr">
        <is>
          <t>A 41823-2022</t>
        </is>
      </c>
      <c r="B113" s="1" t="n">
        <v>44827</v>
      </c>
      <c r="C113" s="1" t="n">
        <v>45646</v>
      </c>
      <c r="D113" t="inlineStr">
        <is>
          <t>JÄMTLANDS LÄN</t>
        </is>
      </c>
      <c r="E113" t="inlineStr">
        <is>
          <t>BERG</t>
        </is>
      </c>
      <c r="F113" t="inlineStr">
        <is>
          <t>SCA</t>
        </is>
      </c>
      <c r="G113" t="n">
        <v>21.6</v>
      </c>
      <c r="H113" t="n">
        <v>1</v>
      </c>
      <c r="I113" t="n">
        <v>0</v>
      </c>
      <c r="J113" t="n">
        <v>1</v>
      </c>
      <c r="K113" t="n">
        <v>1</v>
      </c>
      <c r="L113" t="n">
        <v>0</v>
      </c>
      <c r="M113" t="n">
        <v>0</v>
      </c>
      <c r="N113" t="n">
        <v>0</v>
      </c>
      <c r="O113" t="n">
        <v>2</v>
      </c>
      <c r="P113" t="n">
        <v>1</v>
      </c>
      <c r="Q113" t="n">
        <v>2</v>
      </c>
      <c r="R113" s="2" t="inlineStr">
        <is>
          <t>Doftticka
Reliktbock</t>
        </is>
      </c>
      <c r="S113">
        <f>HYPERLINK("https://klasma.github.io/Logging_2326/artfynd/A 41823-2022 artfynd.xlsx", "A 41823-2022")</f>
        <v/>
      </c>
      <c r="T113">
        <f>HYPERLINK("https://klasma.github.io/Logging_2326/kartor/A 41823-2022 karta.png", "A 41823-2022")</f>
        <v/>
      </c>
      <c r="V113">
        <f>HYPERLINK("https://klasma.github.io/Logging_2326/klagomål/A 41823-2022 FSC-klagomål.docx", "A 41823-2022")</f>
        <v/>
      </c>
      <c r="W113">
        <f>HYPERLINK("https://klasma.github.io/Logging_2326/klagomålsmail/A 41823-2022 FSC-klagomål mail.docx", "A 41823-2022")</f>
        <v/>
      </c>
      <c r="X113">
        <f>HYPERLINK("https://klasma.github.io/Logging_2326/tillsyn/A 41823-2022 tillsynsbegäran.docx", "A 41823-2022")</f>
        <v/>
      </c>
      <c r="Y113">
        <f>HYPERLINK("https://klasma.github.io/Logging_2326/tillsynsmail/A 41823-2022 tillsynsbegäran mail.docx", "A 41823-2022")</f>
        <v/>
      </c>
    </row>
    <row r="114" ht="15" customHeight="1">
      <c r="A114" t="inlineStr">
        <is>
          <t>A 44441-2022</t>
        </is>
      </c>
      <c r="B114" s="1" t="n">
        <v>44840</v>
      </c>
      <c r="C114" s="1" t="n">
        <v>45646</v>
      </c>
      <c r="D114" t="inlineStr">
        <is>
          <t>JÄMTLANDS LÄN</t>
        </is>
      </c>
      <c r="E114" t="inlineStr">
        <is>
          <t>BERG</t>
        </is>
      </c>
      <c r="F114" t="inlineStr">
        <is>
          <t>SCA</t>
        </is>
      </c>
      <c r="G114" t="n">
        <v>3.5</v>
      </c>
      <c r="H114" t="n">
        <v>1</v>
      </c>
      <c r="I114" t="n">
        <v>0</v>
      </c>
      <c r="J114" t="n">
        <v>2</v>
      </c>
      <c r="K114" t="n">
        <v>0</v>
      </c>
      <c r="L114" t="n">
        <v>0</v>
      </c>
      <c r="M114" t="n">
        <v>0</v>
      </c>
      <c r="N114" t="n">
        <v>0</v>
      </c>
      <c r="O114" t="n">
        <v>2</v>
      </c>
      <c r="P114" t="n">
        <v>0</v>
      </c>
      <c r="Q114" t="n">
        <v>2</v>
      </c>
      <c r="R114" s="2" t="inlineStr">
        <is>
          <t>Nordtagging
Tretåig hackspett</t>
        </is>
      </c>
      <c r="S114">
        <f>HYPERLINK("https://klasma.github.io/Logging_2326/artfynd/A 44441-2022 artfynd.xlsx", "A 44441-2022")</f>
        <v/>
      </c>
      <c r="T114">
        <f>HYPERLINK("https://klasma.github.io/Logging_2326/kartor/A 44441-2022 karta.png", "A 44441-2022")</f>
        <v/>
      </c>
      <c r="V114">
        <f>HYPERLINK("https://klasma.github.io/Logging_2326/klagomål/A 44441-2022 FSC-klagomål.docx", "A 44441-2022")</f>
        <v/>
      </c>
      <c r="W114">
        <f>HYPERLINK("https://klasma.github.io/Logging_2326/klagomålsmail/A 44441-2022 FSC-klagomål mail.docx", "A 44441-2022")</f>
        <v/>
      </c>
      <c r="X114">
        <f>HYPERLINK("https://klasma.github.io/Logging_2326/tillsyn/A 44441-2022 tillsynsbegäran.docx", "A 44441-2022")</f>
        <v/>
      </c>
      <c r="Y114">
        <f>HYPERLINK("https://klasma.github.io/Logging_2326/tillsynsmail/A 44441-2022 tillsynsbegäran mail.docx", "A 44441-2022")</f>
        <v/>
      </c>
      <c r="Z114">
        <f>HYPERLINK("https://klasma.github.io/Logging_2326/fåglar/A 44441-2022 prioriterade fågelarter.docx", "A 44441-2022")</f>
        <v/>
      </c>
    </row>
    <row r="115" ht="15" customHeight="1">
      <c r="A115" t="inlineStr">
        <is>
          <t>A 60849-2022</t>
        </is>
      </c>
      <c r="B115" s="1" t="n">
        <v>44908</v>
      </c>
      <c r="C115" s="1" t="n">
        <v>45646</v>
      </c>
      <c r="D115" t="inlineStr">
        <is>
          <t>JÄMTLANDS LÄN</t>
        </is>
      </c>
      <c r="E115" t="inlineStr">
        <is>
          <t>BERG</t>
        </is>
      </c>
      <c r="G115" t="n">
        <v>19.2</v>
      </c>
      <c r="H115" t="n">
        <v>1</v>
      </c>
      <c r="I115" t="n">
        <v>0</v>
      </c>
      <c r="J115" t="n">
        <v>1</v>
      </c>
      <c r="K115" t="n">
        <v>1</v>
      </c>
      <c r="L115" t="n">
        <v>0</v>
      </c>
      <c r="M115" t="n">
        <v>0</v>
      </c>
      <c r="N115" t="n">
        <v>0</v>
      </c>
      <c r="O115" t="n">
        <v>2</v>
      </c>
      <c r="P115" t="n">
        <v>1</v>
      </c>
      <c r="Q115" t="n">
        <v>2</v>
      </c>
      <c r="R115" s="2" t="inlineStr">
        <is>
          <t>Knärot
Garnlav</t>
        </is>
      </c>
      <c r="S115">
        <f>HYPERLINK("https://klasma.github.io/Logging_2326/artfynd/A 60849-2022 artfynd.xlsx", "A 60849-2022")</f>
        <v/>
      </c>
      <c r="T115">
        <f>HYPERLINK("https://klasma.github.io/Logging_2326/kartor/A 60849-2022 karta.png", "A 60849-2022")</f>
        <v/>
      </c>
      <c r="U115">
        <f>HYPERLINK("https://klasma.github.io/Logging_2326/knärot/A 60849-2022 karta knärot.png", "A 60849-2022")</f>
        <v/>
      </c>
      <c r="V115">
        <f>HYPERLINK("https://klasma.github.io/Logging_2326/klagomål/A 60849-2022 FSC-klagomål.docx", "A 60849-2022")</f>
        <v/>
      </c>
      <c r="W115">
        <f>HYPERLINK("https://klasma.github.io/Logging_2326/klagomålsmail/A 60849-2022 FSC-klagomål mail.docx", "A 60849-2022")</f>
        <v/>
      </c>
      <c r="X115">
        <f>HYPERLINK("https://klasma.github.io/Logging_2326/tillsyn/A 60849-2022 tillsynsbegäran.docx", "A 60849-2022")</f>
        <v/>
      </c>
      <c r="Y115">
        <f>HYPERLINK("https://klasma.github.io/Logging_2326/tillsynsmail/A 60849-2022 tillsynsbegäran mail.docx", "A 60849-2022")</f>
        <v/>
      </c>
    </row>
    <row r="116" ht="15" customHeight="1">
      <c r="A116" t="inlineStr">
        <is>
          <t>A 575-2023</t>
        </is>
      </c>
      <c r="B116" s="1" t="n">
        <v>44930</v>
      </c>
      <c r="C116" s="1" t="n">
        <v>45646</v>
      </c>
      <c r="D116" t="inlineStr">
        <is>
          <t>JÄMTLANDS LÄN</t>
        </is>
      </c>
      <c r="E116" t="inlineStr">
        <is>
          <t>BERG</t>
        </is>
      </c>
      <c r="G116" t="n">
        <v>10.9</v>
      </c>
      <c r="H116" t="n">
        <v>0</v>
      </c>
      <c r="I116" t="n">
        <v>1</v>
      </c>
      <c r="J116" t="n">
        <v>1</v>
      </c>
      <c r="K116" t="n">
        <v>0</v>
      </c>
      <c r="L116" t="n">
        <v>0</v>
      </c>
      <c r="M116" t="n">
        <v>0</v>
      </c>
      <c r="N116" t="n">
        <v>0</v>
      </c>
      <c r="O116" t="n">
        <v>1</v>
      </c>
      <c r="P116" t="n">
        <v>0</v>
      </c>
      <c r="Q116" t="n">
        <v>2</v>
      </c>
      <c r="R116" s="2" t="inlineStr">
        <is>
          <t>Lunglav
Rävticka</t>
        </is>
      </c>
      <c r="S116">
        <f>HYPERLINK("https://klasma.github.io/Logging_2326/artfynd/A 575-2023 artfynd.xlsx", "A 575-2023")</f>
        <v/>
      </c>
      <c r="T116">
        <f>HYPERLINK("https://klasma.github.io/Logging_2326/kartor/A 575-2023 karta.png", "A 575-2023")</f>
        <v/>
      </c>
      <c r="V116">
        <f>HYPERLINK("https://klasma.github.io/Logging_2326/klagomål/A 575-2023 FSC-klagomål.docx", "A 575-2023")</f>
        <v/>
      </c>
      <c r="W116">
        <f>HYPERLINK("https://klasma.github.io/Logging_2326/klagomålsmail/A 575-2023 FSC-klagomål mail.docx", "A 575-2023")</f>
        <v/>
      </c>
      <c r="X116">
        <f>HYPERLINK("https://klasma.github.io/Logging_2326/tillsyn/A 575-2023 tillsynsbegäran.docx", "A 575-2023")</f>
        <v/>
      </c>
      <c r="Y116">
        <f>HYPERLINK("https://klasma.github.io/Logging_2326/tillsynsmail/A 575-2023 tillsynsbegäran mail.docx", "A 575-2023")</f>
        <v/>
      </c>
    </row>
    <row r="117" ht="15" customHeight="1">
      <c r="A117" t="inlineStr">
        <is>
          <t>A 10133-2023</t>
        </is>
      </c>
      <c r="B117" s="1" t="n">
        <v>44986</v>
      </c>
      <c r="C117" s="1" t="n">
        <v>45646</v>
      </c>
      <c r="D117" t="inlineStr">
        <is>
          <t>JÄMTLANDS LÄN</t>
        </is>
      </c>
      <c r="E117" t="inlineStr">
        <is>
          <t>BERG</t>
        </is>
      </c>
      <c r="F117" t="inlineStr">
        <is>
          <t>Holmen skog AB</t>
        </is>
      </c>
      <c r="G117" t="n">
        <v>3</v>
      </c>
      <c r="H117" t="n">
        <v>0</v>
      </c>
      <c r="I117" t="n">
        <v>0</v>
      </c>
      <c r="J117" t="n">
        <v>2</v>
      </c>
      <c r="K117" t="n">
        <v>0</v>
      </c>
      <c r="L117" t="n">
        <v>0</v>
      </c>
      <c r="M117" t="n">
        <v>0</v>
      </c>
      <c r="N117" t="n">
        <v>0</v>
      </c>
      <c r="O117" t="n">
        <v>2</v>
      </c>
      <c r="P117" t="n">
        <v>0</v>
      </c>
      <c r="Q117" t="n">
        <v>2</v>
      </c>
      <c r="R117" s="2" t="inlineStr">
        <is>
          <t>Garnlav
Vitgrynig nållav</t>
        </is>
      </c>
      <c r="S117">
        <f>HYPERLINK("https://klasma.github.io/Logging_2326/artfynd/A 10133-2023 artfynd.xlsx", "A 10133-2023")</f>
        <v/>
      </c>
      <c r="T117">
        <f>HYPERLINK("https://klasma.github.io/Logging_2326/kartor/A 10133-2023 karta.png", "A 10133-2023")</f>
        <v/>
      </c>
      <c r="V117">
        <f>HYPERLINK("https://klasma.github.io/Logging_2326/klagomål/A 10133-2023 FSC-klagomål.docx", "A 10133-2023")</f>
        <v/>
      </c>
      <c r="W117">
        <f>HYPERLINK("https://klasma.github.io/Logging_2326/klagomålsmail/A 10133-2023 FSC-klagomål mail.docx", "A 10133-2023")</f>
        <v/>
      </c>
      <c r="X117">
        <f>HYPERLINK("https://klasma.github.io/Logging_2326/tillsyn/A 10133-2023 tillsynsbegäran.docx", "A 10133-2023")</f>
        <v/>
      </c>
      <c r="Y117">
        <f>HYPERLINK("https://klasma.github.io/Logging_2326/tillsynsmail/A 10133-2023 tillsynsbegäran mail.docx", "A 10133-2023")</f>
        <v/>
      </c>
    </row>
    <row r="118" ht="15" customHeight="1">
      <c r="A118" t="inlineStr">
        <is>
          <t>A 16640-2023</t>
        </is>
      </c>
      <c r="B118" s="1" t="n">
        <v>45028</v>
      </c>
      <c r="C118" s="1" t="n">
        <v>45646</v>
      </c>
      <c r="D118" t="inlineStr">
        <is>
          <t>JÄMTLANDS LÄN</t>
        </is>
      </c>
      <c r="E118" t="inlineStr">
        <is>
          <t>BERG</t>
        </is>
      </c>
      <c r="G118" t="n">
        <v>17.9</v>
      </c>
      <c r="H118" t="n">
        <v>1</v>
      </c>
      <c r="I118" t="n">
        <v>0</v>
      </c>
      <c r="J118" t="n">
        <v>2</v>
      </c>
      <c r="K118" t="n">
        <v>0</v>
      </c>
      <c r="L118" t="n">
        <v>0</v>
      </c>
      <c r="M118" t="n">
        <v>0</v>
      </c>
      <c r="N118" t="n">
        <v>0</v>
      </c>
      <c r="O118" t="n">
        <v>2</v>
      </c>
      <c r="P118" t="n">
        <v>0</v>
      </c>
      <c r="Q118" t="n">
        <v>2</v>
      </c>
      <c r="R118" s="2" t="inlineStr">
        <is>
          <t>Lunglav
Tretåig hackspett</t>
        </is>
      </c>
      <c r="S118">
        <f>HYPERLINK("https://klasma.github.io/Logging_2326/artfynd/A 16640-2023 artfynd.xlsx", "A 16640-2023")</f>
        <v/>
      </c>
      <c r="T118">
        <f>HYPERLINK("https://klasma.github.io/Logging_2326/kartor/A 16640-2023 karta.png", "A 16640-2023")</f>
        <v/>
      </c>
      <c r="V118">
        <f>HYPERLINK("https://klasma.github.io/Logging_2326/klagomål/A 16640-2023 FSC-klagomål.docx", "A 16640-2023")</f>
        <v/>
      </c>
      <c r="W118">
        <f>HYPERLINK("https://klasma.github.io/Logging_2326/klagomålsmail/A 16640-2023 FSC-klagomål mail.docx", "A 16640-2023")</f>
        <v/>
      </c>
      <c r="X118">
        <f>HYPERLINK("https://klasma.github.io/Logging_2326/tillsyn/A 16640-2023 tillsynsbegäran.docx", "A 16640-2023")</f>
        <v/>
      </c>
      <c r="Y118">
        <f>HYPERLINK("https://klasma.github.io/Logging_2326/tillsynsmail/A 16640-2023 tillsynsbegäran mail.docx", "A 16640-2023")</f>
        <v/>
      </c>
      <c r="Z118">
        <f>HYPERLINK("https://klasma.github.io/Logging_2326/fåglar/A 16640-2023 prioriterade fågelarter.docx", "A 16640-2023")</f>
        <v/>
      </c>
    </row>
    <row r="119" ht="15" customHeight="1">
      <c r="A119" t="inlineStr">
        <is>
          <t>A 29615-2023</t>
        </is>
      </c>
      <c r="B119" s="1" t="n">
        <v>45107</v>
      </c>
      <c r="C119" s="1" t="n">
        <v>45646</v>
      </c>
      <c r="D119" t="inlineStr">
        <is>
          <t>JÄMTLANDS LÄN</t>
        </is>
      </c>
      <c r="E119" t="inlineStr">
        <is>
          <t>BERG</t>
        </is>
      </c>
      <c r="F119" t="inlineStr">
        <is>
          <t>SCA</t>
        </is>
      </c>
      <c r="G119" t="n">
        <v>8.800000000000001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29615-2023 artfynd.xlsx", "A 29615-2023")</f>
        <v/>
      </c>
      <c r="T119">
        <f>HYPERLINK("https://klasma.github.io/Logging_2326/kartor/A 29615-2023 karta.png", "A 29615-2023")</f>
        <v/>
      </c>
      <c r="V119">
        <f>HYPERLINK("https://klasma.github.io/Logging_2326/klagomål/A 29615-2023 FSC-klagomål.docx", "A 29615-2023")</f>
        <v/>
      </c>
      <c r="W119">
        <f>HYPERLINK("https://klasma.github.io/Logging_2326/klagomålsmail/A 29615-2023 FSC-klagomål mail.docx", "A 29615-2023")</f>
        <v/>
      </c>
      <c r="X119">
        <f>HYPERLINK("https://klasma.github.io/Logging_2326/tillsyn/A 29615-2023 tillsynsbegäran.docx", "A 29615-2023")</f>
        <v/>
      </c>
      <c r="Y119">
        <f>HYPERLINK("https://klasma.github.io/Logging_2326/tillsynsmail/A 29615-2023 tillsynsbegäran mail.docx", "A 29615-2023")</f>
        <v/>
      </c>
      <c r="Z119">
        <f>HYPERLINK("https://klasma.github.io/Logging_2326/fåglar/A 29615-2023 prioriterade fågelarter.docx", "A 29615-2023")</f>
        <v/>
      </c>
    </row>
    <row r="120" ht="15" customHeight="1">
      <c r="A120" t="inlineStr">
        <is>
          <t>A 48880-2023</t>
        </is>
      </c>
      <c r="B120" s="1" t="n">
        <v>45209</v>
      </c>
      <c r="C120" s="1" t="n">
        <v>45646</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54313-2023</t>
        </is>
      </c>
      <c r="B121" s="1" t="n">
        <v>45232</v>
      </c>
      <c r="C121" s="1" t="n">
        <v>45646</v>
      </c>
      <c r="D121" t="inlineStr">
        <is>
          <t>JÄMTLANDS LÄN</t>
        </is>
      </c>
      <c r="E121" t="inlineStr">
        <is>
          <t>BERG</t>
        </is>
      </c>
      <c r="G121" t="n">
        <v>4.1</v>
      </c>
      <c r="H121" t="n">
        <v>0</v>
      </c>
      <c r="I121" t="n">
        <v>1</v>
      </c>
      <c r="J121" t="n">
        <v>1</v>
      </c>
      <c r="K121" t="n">
        <v>0</v>
      </c>
      <c r="L121" t="n">
        <v>0</v>
      </c>
      <c r="M121" t="n">
        <v>0</v>
      </c>
      <c r="N121" t="n">
        <v>0</v>
      </c>
      <c r="O121" t="n">
        <v>1</v>
      </c>
      <c r="P121" t="n">
        <v>0</v>
      </c>
      <c r="Q121" t="n">
        <v>2</v>
      </c>
      <c r="R121" s="2" t="inlineStr">
        <is>
          <t>Granticka
Kattfotslav</t>
        </is>
      </c>
      <c r="S121">
        <f>HYPERLINK("https://klasma.github.io/Logging_2326/artfynd/A 54313-2023 artfynd.xlsx", "A 54313-2023")</f>
        <v/>
      </c>
      <c r="T121">
        <f>HYPERLINK("https://klasma.github.io/Logging_2326/kartor/A 54313-2023 karta.png", "A 54313-2023")</f>
        <v/>
      </c>
      <c r="V121">
        <f>HYPERLINK("https://klasma.github.io/Logging_2326/klagomål/A 54313-2023 FSC-klagomål.docx", "A 54313-2023")</f>
        <v/>
      </c>
      <c r="W121">
        <f>HYPERLINK("https://klasma.github.io/Logging_2326/klagomålsmail/A 54313-2023 FSC-klagomål mail.docx", "A 54313-2023")</f>
        <v/>
      </c>
      <c r="X121">
        <f>HYPERLINK("https://klasma.github.io/Logging_2326/tillsyn/A 54313-2023 tillsynsbegäran.docx", "A 54313-2023")</f>
        <v/>
      </c>
      <c r="Y121">
        <f>HYPERLINK("https://klasma.github.io/Logging_2326/tillsynsmail/A 54313-2023 tillsynsbegäran mail.docx", "A 54313-2023")</f>
        <v/>
      </c>
    </row>
    <row r="122" ht="15" customHeight="1">
      <c r="A122" t="inlineStr">
        <is>
          <t>A 54996-2023</t>
        </is>
      </c>
      <c r="B122" s="1" t="n">
        <v>45237</v>
      </c>
      <c r="C122" s="1" t="n">
        <v>45646</v>
      </c>
      <c r="D122" t="inlineStr">
        <is>
          <t>JÄMTLANDS LÄN</t>
        </is>
      </c>
      <c r="E122" t="inlineStr">
        <is>
          <t>BERG</t>
        </is>
      </c>
      <c r="F122" t="inlineStr">
        <is>
          <t>SCA</t>
        </is>
      </c>
      <c r="G122" t="n">
        <v>6.2</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HYPERLINK("https://klasma.github.io/Logging_2326/artfynd/A 54996-2023 artfynd.xlsx", "A 54996-2023")</f>
        <v/>
      </c>
      <c r="T122">
        <f>HYPERLINK("https://klasma.github.io/Logging_2326/kartor/A 54996-2023 karta.png", "A 54996-2023")</f>
        <v/>
      </c>
      <c r="V122">
        <f>HYPERLINK("https://klasma.github.io/Logging_2326/klagomål/A 54996-2023 FSC-klagomål.docx", "A 54996-2023")</f>
        <v/>
      </c>
      <c r="W122">
        <f>HYPERLINK("https://klasma.github.io/Logging_2326/klagomålsmail/A 54996-2023 FSC-klagomål mail.docx", "A 54996-2023")</f>
        <v/>
      </c>
      <c r="X122">
        <f>HYPERLINK("https://klasma.github.io/Logging_2326/tillsyn/A 54996-2023 tillsynsbegäran.docx", "A 54996-2023")</f>
        <v/>
      </c>
      <c r="Y122">
        <f>HYPERLINK("https://klasma.github.io/Logging_2326/tillsynsmail/A 54996-2023 tillsynsbegäran mail.docx", "A 54996-2023")</f>
        <v/>
      </c>
    </row>
    <row r="123" ht="15" customHeight="1">
      <c r="A123" t="inlineStr">
        <is>
          <t>A 55331-2023</t>
        </is>
      </c>
      <c r="B123" s="1" t="n">
        <v>45238</v>
      </c>
      <c r="C123" s="1" t="n">
        <v>45646</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12361-2024</t>
        </is>
      </c>
      <c r="B124" s="1" t="n">
        <v>45378</v>
      </c>
      <c r="C124" s="1" t="n">
        <v>45646</v>
      </c>
      <c r="D124" t="inlineStr">
        <is>
          <t>JÄMTLANDS LÄN</t>
        </is>
      </c>
      <c r="E124" t="inlineStr">
        <is>
          <t>BERG</t>
        </is>
      </c>
      <c r="F124" t="inlineStr">
        <is>
          <t>SCA</t>
        </is>
      </c>
      <c r="G124" t="n">
        <v>21.2</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12361-2024 artfynd.xlsx", "A 12361-2024")</f>
        <v/>
      </c>
      <c r="T124">
        <f>HYPERLINK("https://klasma.github.io/Logging_2326/kartor/A 12361-2024 karta.png", "A 12361-2024")</f>
        <v/>
      </c>
      <c r="V124">
        <f>HYPERLINK("https://klasma.github.io/Logging_2326/klagomål/A 12361-2024 FSC-klagomål.docx", "A 12361-2024")</f>
        <v/>
      </c>
      <c r="W124">
        <f>HYPERLINK("https://klasma.github.io/Logging_2326/klagomålsmail/A 12361-2024 FSC-klagomål mail.docx", "A 12361-2024")</f>
        <v/>
      </c>
      <c r="X124">
        <f>HYPERLINK("https://klasma.github.io/Logging_2326/tillsyn/A 12361-2024 tillsynsbegäran.docx", "A 12361-2024")</f>
        <v/>
      </c>
      <c r="Y124">
        <f>HYPERLINK("https://klasma.github.io/Logging_2326/tillsynsmail/A 12361-2024 tillsynsbegäran mail.docx", "A 12361-2024")</f>
        <v/>
      </c>
    </row>
    <row r="125" ht="15" customHeight="1">
      <c r="A125" t="inlineStr">
        <is>
          <t>A 12734-2024</t>
        </is>
      </c>
      <c r="B125" s="1" t="n">
        <v>45384</v>
      </c>
      <c r="C125" s="1" t="n">
        <v>45646</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12745-2024</t>
        </is>
      </c>
      <c r="B126" s="1" t="n">
        <v>45384</v>
      </c>
      <c r="C126" s="1" t="n">
        <v>45646</v>
      </c>
      <c r="D126" t="inlineStr">
        <is>
          <t>JÄMTLANDS LÄN</t>
        </is>
      </c>
      <c r="E126" t="inlineStr">
        <is>
          <t>BERG</t>
        </is>
      </c>
      <c r="G126" t="n">
        <v>8.5</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HYPERLINK("https://klasma.github.io/Logging_2326/artfynd/A 12745-2024 artfynd.xlsx", "A 12745-2024")</f>
        <v/>
      </c>
      <c r="T126">
        <f>HYPERLINK("https://klasma.github.io/Logging_2326/kartor/A 12745-2024 karta.png", "A 12745-2024")</f>
        <v/>
      </c>
      <c r="V126">
        <f>HYPERLINK("https://klasma.github.io/Logging_2326/klagomål/A 12745-2024 FSC-klagomål.docx", "A 12745-2024")</f>
        <v/>
      </c>
      <c r="W126">
        <f>HYPERLINK("https://klasma.github.io/Logging_2326/klagomålsmail/A 12745-2024 FSC-klagomål mail.docx", "A 12745-2024")</f>
        <v/>
      </c>
      <c r="X126">
        <f>HYPERLINK("https://klasma.github.io/Logging_2326/tillsyn/A 12745-2024 tillsynsbegäran.docx", "A 12745-2024")</f>
        <v/>
      </c>
      <c r="Y126">
        <f>HYPERLINK("https://klasma.github.io/Logging_2326/tillsynsmail/A 12745-2024 tillsynsbegäran mail.docx", "A 12745-2024")</f>
        <v/>
      </c>
      <c r="Z126">
        <f>HYPERLINK("https://klasma.github.io/Logging_2326/fåglar/A 12745-2024 prioriterade fågelarter.docx", "A 12745-2024")</f>
        <v/>
      </c>
    </row>
    <row r="127" ht="15" customHeight="1">
      <c r="A127" t="inlineStr">
        <is>
          <t>A 13463-2024</t>
        </is>
      </c>
      <c r="B127" s="1" t="n">
        <v>45387</v>
      </c>
      <c r="C127" s="1" t="n">
        <v>45646</v>
      </c>
      <c r="D127" t="inlineStr">
        <is>
          <t>JÄMTLANDS LÄN</t>
        </is>
      </c>
      <c r="E127" t="inlineStr">
        <is>
          <t>BERG</t>
        </is>
      </c>
      <c r="G127" t="n">
        <v>13</v>
      </c>
      <c r="H127" t="n">
        <v>2</v>
      </c>
      <c r="I127" t="n">
        <v>0</v>
      </c>
      <c r="J127" t="n">
        <v>2</v>
      </c>
      <c r="K127" t="n">
        <v>0</v>
      </c>
      <c r="L127" t="n">
        <v>0</v>
      </c>
      <c r="M127" t="n">
        <v>0</v>
      </c>
      <c r="N127" t="n">
        <v>0</v>
      </c>
      <c r="O127" t="n">
        <v>2</v>
      </c>
      <c r="P127" t="n">
        <v>0</v>
      </c>
      <c r="Q127" t="n">
        <v>2</v>
      </c>
      <c r="R127" s="2" t="inlineStr">
        <is>
          <t>Duvhök
Tretåig hackspett</t>
        </is>
      </c>
      <c r="S127">
        <f>HYPERLINK("https://klasma.github.io/Logging_2326/artfynd/A 13463-2024 artfynd.xlsx", "A 13463-2024")</f>
        <v/>
      </c>
      <c r="T127">
        <f>HYPERLINK("https://klasma.github.io/Logging_2326/kartor/A 13463-2024 karta.png", "A 13463-2024")</f>
        <v/>
      </c>
      <c r="V127">
        <f>HYPERLINK("https://klasma.github.io/Logging_2326/klagomål/A 13463-2024 FSC-klagomål.docx", "A 13463-2024")</f>
        <v/>
      </c>
      <c r="W127">
        <f>HYPERLINK("https://klasma.github.io/Logging_2326/klagomålsmail/A 13463-2024 FSC-klagomål mail.docx", "A 13463-2024")</f>
        <v/>
      </c>
      <c r="X127">
        <f>HYPERLINK("https://klasma.github.io/Logging_2326/tillsyn/A 13463-2024 tillsynsbegäran.docx", "A 13463-2024")</f>
        <v/>
      </c>
      <c r="Y127">
        <f>HYPERLINK("https://klasma.github.io/Logging_2326/tillsynsmail/A 13463-2024 tillsynsbegäran mail.docx", "A 13463-2024")</f>
        <v/>
      </c>
      <c r="Z127">
        <f>HYPERLINK("https://klasma.github.io/Logging_2326/fåglar/A 13463-2024 prioriterade fågelarter.docx", "A 13463-2024")</f>
        <v/>
      </c>
    </row>
    <row r="128" ht="15" customHeight="1">
      <c r="A128" t="inlineStr">
        <is>
          <t>A 16438-2024</t>
        </is>
      </c>
      <c r="B128" s="1" t="n">
        <v>45407</v>
      </c>
      <c r="C128" s="1" t="n">
        <v>45646</v>
      </c>
      <c r="D128" t="inlineStr">
        <is>
          <t>JÄMTLANDS LÄN</t>
        </is>
      </c>
      <c r="E128" t="inlineStr">
        <is>
          <t>BERG</t>
        </is>
      </c>
      <c r="G128" t="n">
        <v>26.3</v>
      </c>
      <c r="H128" t="n">
        <v>1</v>
      </c>
      <c r="I128" t="n">
        <v>0</v>
      </c>
      <c r="J128" t="n">
        <v>1</v>
      </c>
      <c r="K128" t="n">
        <v>0</v>
      </c>
      <c r="L128" t="n">
        <v>0</v>
      </c>
      <c r="M128" t="n">
        <v>0</v>
      </c>
      <c r="N128" t="n">
        <v>0</v>
      </c>
      <c r="O128" t="n">
        <v>1</v>
      </c>
      <c r="P128" t="n">
        <v>0</v>
      </c>
      <c r="Q128" t="n">
        <v>2</v>
      </c>
      <c r="R128" s="2" t="inlineStr">
        <is>
          <t>Dvärgbägarlav
Tjäder</t>
        </is>
      </c>
      <c r="S128">
        <f>HYPERLINK("https://klasma.github.io/Logging_2326/artfynd/A 16438-2024 artfynd.xlsx", "A 16438-2024")</f>
        <v/>
      </c>
      <c r="T128">
        <f>HYPERLINK("https://klasma.github.io/Logging_2326/kartor/A 16438-2024 karta.png", "A 16438-2024")</f>
        <v/>
      </c>
      <c r="V128">
        <f>HYPERLINK("https://klasma.github.io/Logging_2326/klagomål/A 16438-2024 FSC-klagomål.docx", "A 16438-2024")</f>
        <v/>
      </c>
      <c r="W128">
        <f>HYPERLINK("https://klasma.github.io/Logging_2326/klagomålsmail/A 16438-2024 FSC-klagomål mail.docx", "A 16438-2024")</f>
        <v/>
      </c>
      <c r="X128">
        <f>HYPERLINK("https://klasma.github.io/Logging_2326/tillsyn/A 16438-2024 tillsynsbegäran.docx", "A 16438-2024")</f>
        <v/>
      </c>
      <c r="Y128">
        <f>HYPERLINK("https://klasma.github.io/Logging_2326/tillsynsmail/A 16438-2024 tillsynsbegäran mail.docx", "A 16438-2024")</f>
        <v/>
      </c>
      <c r="Z128">
        <f>HYPERLINK("https://klasma.github.io/Logging_2326/fåglar/A 16438-2024 prioriterade fågelarter.docx", "A 16438-2024")</f>
        <v/>
      </c>
    </row>
    <row r="129" ht="15" customHeight="1">
      <c r="A129" t="inlineStr">
        <is>
          <t>A 17881-2024</t>
        </is>
      </c>
      <c r="B129" s="1" t="n">
        <v>45419</v>
      </c>
      <c r="C129" s="1" t="n">
        <v>45646</v>
      </c>
      <c r="D129" t="inlineStr">
        <is>
          <t>JÄMTLANDS LÄN</t>
        </is>
      </c>
      <c r="E129" t="inlineStr">
        <is>
          <t>BERG</t>
        </is>
      </c>
      <c r="G129" t="n">
        <v>24.3</v>
      </c>
      <c r="H129" t="n">
        <v>0</v>
      </c>
      <c r="I129" t="n">
        <v>0</v>
      </c>
      <c r="J129" t="n">
        <v>2</v>
      </c>
      <c r="K129" t="n">
        <v>0</v>
      </c>
      <c r="L129" t="n">
        <v>0</v>
      </c>
      <c r="M129" t="n">
        <v>0</v>
      </c>
      <c r="N129" t="n">
        <v>0</v>
      </c>
      <c r="O129" t="n">
        <v>2</v>
      </c>
      <c r="P129" t="n">
        <v>0</v>
      </c>
      <c r="Q129" t="n">
        <v>2</v>
      </c>
      <c r="R129" s="2" t="inlineStr">
        <is>
          <t>Lunglav
Skrovellav</t>
        </is>
      </c>
      <c r="S129">
        <f>HYPERLINK("https://klasma.github.io/Logging_2326/artfynd/A 17881-2024 artfynd.xlsx", "A 17881-2024")</f>
        <v/>
      </c>
      <c r="T129">
        <f>HYPERLINK("https://klasma.github.io/Logging_2326/kartor/A 17881-2024 karta.png", "A 17881-2024")</f>
        <v/>
      </c>
      <c r="V129">
        <f>HYPERLINK("https://klasma.github.io/Logging_2326/klagomål/A 17881-2024 FSC-klagomål.docx", "A 17881-2024")</f>
        <v/>
      </c>
      <c r="W129">
        <f>HYPERLINK("https://klasma.github.io/Logging_2326/klagomålsmail/A 17881-2024 FSC-klagomål mail.docx", "A 17881-2024")</f>
        <v/>
      </c>
      <c r="X129">
        <f>HYPERLINK("https://klasma.github.io/Logging_2326/tillsyn/A 17881-2024 tillsynsbegäran.docx", "A 17881-2024")</f>
        <v/>
      </c>
      <c r="Y129">
        <f>HYPERLINK("https://klasma.github.io/Logging_2326/tillsynsmail/A 17881-2024 tillsynsbegäran mail.docx", "A 17881-2024")</f>
        <v/>
      </c>
    </row>
    <row r="130" ht="15" customHeight="1">
      <c r="A130" t="inlineStr">
        <is>
          <t>A 26944-2024</t>
        </is>
      </c>
      <c r="B130" s="1" t="n">
        <v>45471</v>
      </c>
      <c r="C130" s="1" t="n">
        <v>45646</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27919-2024</t>
        </is>
      </c>
      <c r="B131" s="1" t="n">
        <v>45476</v>
      </c>
      <c r="C131" s="1" t="n">
        <v>45646</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28769-2024</t>
        </is>
      </c>
      <c r="B132" s="1" t="n">
        <v>45478</v>
      </c>
      <c r="C132" s="1" t="n">
        <v>45646</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30334-2024</t>
        </is>
      </c>
      <c r="B133" s="1" t="n">
        <v>45491</v>
      </c>
      <c r="C133" s="1" t="n">
        <v>45646</v>
      </c>
      <c r="D133" t="inlineStr">
        <is>
          <t>JÄMTLANDS LÄN</t>
        </is>
      </c>
      <c r="E133" t="inlineStr">
        <is>
          <t>BERG</t>
        </is>
      </c>
      <c r="F133" t="inlineStr">
        <is>
          <t>SCA</t>
        </is>
      </c>
      <c r="G133" t="n">
        <v>1.8</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30334-2024 artfynd.xlsx", "A 30334-2024")</f>
        <v/>
      </c>
      <c r="T133">
        <f>HYPERLINK("https://klasma.github.io/Logging_2326/kartor/A 30334-2024 karta.png", "A 30334-2024")</f>
        <v/>
      </c>
      <c r="V133">
        <f>HYPERLINK("https://klasma.github.io/Logging_2326/klagomål/A 30334-2024 FSC-klagomål.docx", "A 30334-2024")</f>
        <v/>
      </c>
      <c r="W133">
        <f>HYPERLINK("https://klasma.github.io/Logging_2326/klagomålsmail/A 30334-2024 FSC-klagomål mail.docx", "A 30334-2024")</f>
        <v/>
      </c>
      <c r="X133">
        <f>HYPERLINK("https://klasma.github.io/Logging_2326/tillsyn/A 30334-2024 tillsynsbegäran.docx", "A 30334-2024")</f>
        <v/>
      </c>
      <c r="Y133">
        <f>HYPERLINK("https://klasma.github.io/Logging_2326/tillsynsmail/A 30334-2024 tillsynsbegäran mail.docx", "A 30334-2024")</f>
        <v/>
      </c>
    </row>
    <row r="134" ht="15" customHeight="1">
      <c r="A134" t="inlineStr">
        <is>
          <t>A 33009-2024</t>
        </is>
      </c>
      <c r="B134" s="1" t="n">
        <v>45517</v>
      </c>
      <c r="C134" s="1" t="n">
        <v>45646</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50317-2024</t>
        </is>
      </c>
      <c r="B135" s="1" t="n">
        <v>45600</v>
      </c>
      <c r="C135" s="1" t="n">
        <v>45646</v>
      </c>
      <c r="D135" t="inlineStr">
        <is>
          <t>JÄMTLANDS LÄN</t>
        </is>
      </c>
      <c r="E135" t="inlineStr">
        <is>
          <t>BERG</t>
        </is>
      </c>
      <c r="F135" t="inlineStr">
        <is>
          <t>SCA</t>
        </is>
      </c>
      <c r="G135" t="n">
        <v>11.6</v>
      </c>
      <c r="H135" t="n">
        <v>0</v>
      </c>
      <c r="I135" t="n">
        <v>0</v>
      </c>
      <c r="J135" t="n">
        <v>1</v>
      </c>
      <c r="K135" t="n">
        <v>1</v>
      </c>
      <c r="L135" t="n">
        <v>0</v>
      </c>
      <c r="M135" t="n">
        <v>0</v>
      </c>
      <c r="N135" t="n">
        <v>0</v>
      </c>
      <c r="O135" t="n">
        <v>2</v>
      </c>
      <c r="P135" t="n">
        <v>1</v>
      </c>
      <c r="Q135" t="n">
        <v>2</v>
      </c>
      <c r="R135" s="2" t="inlineStr">
        <is>
          <t>Smalfotad taggsvamp
Dvärgbägarlav</t>
        </is>
      </c>
      <c r="S135">
        <f>HYPERLINK("https://klasma.github.io/Logging_2326/artfynd/A 50317-2024 artfynd.xlsx", "A 50317-2024")</f>
        <v/>
      </c>
      <c r="T135">
        <f>HYPERLINK("https://klasma.github.io/Logging_2326/kartor/A 50317-2024 karta.png", "A 50317-2024")</f>
        <v/>
      </c>
      <c r="V135">
        <f>HYPERLINK("https://klasma.github.io/Logging_2326/klagomål/A 50317-2024 FSC-klagomål.docx", "A 50317-2024")</f>
        <v/>
      </c>
      <c r="W135">
        <f>HYPERLINK("https://klasma.github.io/Logging_2326/klagomålsmail/A 50317-2024 FSC-klagomål mail.docx", "A 50317-2024")</f>
        <v/>
      </c>
      <c r="X135">
        <f>HYPERLINK("https://klasma.github.io/Logging_2326/tillsyn/A 50317-2024 tillsynsbegäran.docx", "A 50317-2024")</f>
        <v/>
      </c>
      <c r="Y135">
        <f>HYPERLINK("https://klasma.github.io/Logging_2326/tillsynsmail/A 50317-2024 tillsynsbegäran mail.docx", "A 50317-2024")</f>
        <v/>
      </c>
    </row>
    <row r="136" ht="15" customHeight="1">
      <c r="A136" t="inlineStr">
        <is>
          <t>A 60333-2024</t>
        </is>
      </c>
      <c r="B136" s="1" t="n">
        <v>45643</v>
      </c>
      <c r="C136" s="1" t="n">
        <v>45646</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Honungsvaxskivling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32121-2019</t>
        </is>
      </c>
      <c r="B137" s="1" t="n">
        <v>43643</v>
      </c>
      <c r="C137" s="1" t="n">
        <v>45646</v>
      </c>
      <c r="D137" t="inlineStr">
        <is>
          <t>JÄMTLANDS LÄN</t>
        </is>
      </c>
      <c r="E137" t="inlineStr">
        <is>
          <t>BERG</t>
        </is>
      </c>
      <c r="F137" t="inlineStr">
        <is>
          <t>Sveaskog</t>
        </is>
      </c>
      <c r="G137" t="n">
        <v>5.2</v>
      </c>
      <c r="H137" t="n">
        <v>0</v>
      </c>
      <c r="I137" t="n">
        <v>0</v>
      </c>
      <c r="J137" t="n">
        <v>1</v>
      </c>
      <c r="K137" t="n">
        <v>0</v>
      </c>
      <c r="L137" t="n">
        <v>0</v>
      </c>
      <c r="M137" t="n">
        <v>0</v>
      </c>
      <c r="N137" t="n">
        <v>0</v>
      </c>
      <c r="O137" t="n">
        <v>1</v>
      </c>
      <c r="P137" t="n">
        <v>0</v>
      </c>
      <c r="Q137" t="n">
        <v>1</v>
      </c>
      <c r="R137" s="2" t="inlineStr">
        <is>
          <t>Lunglav</t>
        </is>
      </c>
      <c r="S137">
        <f>HYPERLINK("https://klasma.github.io/Logging_2326/artfynd/A 32121-2019 artfynd.xlsx", "A 32121-2019")</f>
        <v/>
      </c>
      <c r="T137">
        <f>HYPERLINK("https://klasma.github.io/Logging_2326/kartor/A 32121-2019 karta.png", "A 32121-2019")</f>
        <v/>
      </c>
      <c r="V137">
        <f>HYPERLINK("https://klasma.github.io/Logging_2326/klagomål/A 32121-2019 FSC-klagomål.docx", "A 32121-2019")</f>
        <v/>
      </c>
      <c r="W137">
        <f>HYPERLINK("https://klasma.github.io/Logging_2326/klagomålsmail/A 32121-2019 FSC-klagomål mail.docx", "A 32121-2019")</f>
        <v/>
      </c>
      <c r="X137">
        <f>HYPERLINK("https://klasma.github.io/Logging_2326/tillsyn/A 32121-2019 tillsynsbegäran.docx", "A 32121-2019")</f>
        <v/>
      </c>
      <c r="Y137">
        <f>HYPERLINK("https://klasma.github.io/Logging_2326/tillsynsmail/A 32121-2019 tillsynsbegäran mail.docx", "A 32121-2019")</f>
        <v/>
      </c>
    </row>
    <row r="138" ht="15" customHeight="1">
      <c r="A138" t="inlineStr">
        <is>
          <t>A 43295-2019</t>
        </is>
      </c>
      <c r="B138" s="1" t="n">
        <v>43703</v>
      </c>
      <c r="C138" s="1" t="n">
        <v>45646</v>
      </c>
      <c r="D138" t="inlineStr">
        <is>
          <t>JÄMTLANDS LÄN</t>
        </is>
      </c>
      <c r="E138" t="inlineStr">
        <is>
          <t>BERG</t>
        </is>
      </c>
      <c r="G138" t="n">
        <v>0.7</v>
      </c>
      <c r="H138" t="n">
        <v>1</v>
      </c>
      <c r="I138" t="n">
        <v>0</v>
      </c>
      <c r="J138" t="n">
        <v>1</v>
      </c>
      <c r="K138" t="n">
        <v>0</v>
      </c>
      <c r="L138" t="n">
        <v>0</v>
      </c>
      <c r="M138" t="n">
        <v>0</v>
      </c>
      <c r="N138" t="n">
        <v>0</v>
      </c>
      <c r="O138" t="n">
        <v>1</v>
      </c>
      <c r="P138" t="n">
        <v>0</v>
      </c>
      <c r="Q138" t="n">
        <v>1</v>
      </c>
      <c r="R138" s="2" t="inlineStr">
        <is>
          <t>Mindre hackspett</t>
        </is>
      </c>
      <c r="S138">
        <f>HYPERLINK("https://klasma.github.io/Logging_2326/artfynd/A 43295-2019 artfynd.xlsx", "A 43295-2019")</f>
        <v/>
      </c>
      <c r="T138">
        <f>HYPERLINK("https://klasma.github.io/Logging_2326/kartor/A 43295-2019 karta.png", "A 43295-2019")</f>
        <v/>
      </c>
      <c r="V138">
        <f>HYPERLINK("https://klasma.github.io/Logging_2326/klagomål/A 43295-2019 FSC-klagomål.docx", "A 43295-2019")</f>
        <v/>
      </c>
      <c r="W138">
        <f>HYPERLINK("https://klasma.github.io/Logging_2326/klagomålsmail/A 43295-2019 FSC-klagomål mail.docx", "A 43295-2019")</f>
        <v/>
      </c>
      <c r="X138">
        <f>HYPERLINK("https://klasma.github.io/Logging_2326/tillsyn/A 43295-2019 tillsynsbegäran.docx", "A 43295-2019")</f>
        <v/>
      </c>
      <c r="Y138">
        <f>HYPERLINK("https://klasma.github.io/Logging_2326/tillsynsmail/A 43295-2019 tillsynsbegäran mail.docx", "A 43295-2019")</f>
        <v/>
      </c>
      <c r="Z138">
        <f>HYPERLINK("https://klasma.github.io/Logging_2326/fåglar/A 43295-2019 prioriterade fågelarter.docx", "A 43295-2019")</f>
        <v/>
      </c>
    </row>
    <row r="139" ht="15" customHeight="1">
      <c r="A139" t="inlineStr">
        <is>
          <t>A 43203-2019</t>
        </is>
      </c>
      <c r="B139" s="1" t="n">
        <v>43705</v>
      </c>
      <c r="C139" s="1" t="n">
        <v>45646</v>
      </c>
      <c r="D139" t="inlineStr">
        <is>
          <t>JÄMTLANDS LÄN</t>
        </is>
      </c>
      <c r="E139" t="inlineStr">
        <is>
          <t>BERG</t>
        </is>
      </c>
      <c r="F139" t="inlineStr">
        <is>
          <t>SCA</t>
        </is>
      </c>
      <c r="G139" t="n">
        <v>2.6</v>
      </c>
      <c r="H139" t="n">
        <v>1</v>
      </c>
      <c r="I139" t="n">
        <v>0</v>
      </c>
      <c r="J139" t="n">
        <v>0</v>
      </c>
      <c r="K139" t="n">
        <v>0</v>
      </c>
      <c r="L139" t="n">
        <v>0</v>
      </c>
      <c r="M139" t="n">
        <v>0</v>
      </c>
      <c r="N139" t="n">
        <v>0</v>
      </c>
      <c r="O139" t="n">
        <v>0</v>
      </c>
      <c r="P139" t="n">
        <v>0</v>
      </c>
      <c r="Q139" t="n">
        <v>1</v>
      </c>
      <c r="R139" s="2" t="inlineStr">
        <is>
          <t>Fläcknycklar</t>
        </is>
      </c>
      <c r="S139">
        <f>HYPERLINK("https://klasma.github.io/Logging_2326/artfynd/A 43203-2019 artfynd.xlsx", "A 43203-2019")</f>
        <v/>
      </c>
      <c r="T139">
        <f>HYPERLINK("https://klasma.github.io/Logging_2326/kartor/A 43203-2019 karta.png", "A 43203-2019")</f>
        <v/>
      </c>
      <c r="V139">
        <f>HYPERLINK("https://klasma.github.io/Logging_2326/klagomål/A 43203-2019 FSC-klagomål.docx", "A 43203-2019")</f>
        <v/>
      </c>
      <c r="W139">
        <f>HYPERLINK("https://klasma.github.io/Logging_2326/klagomålsmail/A 43203-2019 FSC-klagomål mail.docx", "A 43203-2019")</f>
        <v/>
      </c>
      <c r="X139">
        <f>HYPERLINK("https://klasma.github.io/Logging_2326/tillsyn/A 43203-2019 tillsynsbegäran.docx", "A 43203-2019")</f>
        <v/>
      </c>
      <c r="Y139">
        <f>HYPERLINK("https://klasma.github.io/Logging_2326/tillsynsmail/A 43203-2019 tillsynsbegäran mail.docx", "A 43203-2019")</f>
        <v/>
      </c>
    </row>
    <row r="140" ht="15" customHeight="1">
      <c r="A140" t="inlineStr">
        <is>
          <t>A 61775-2019</t>
        </is>
      </c>
      <c r="B140" s="1" t="n">
        <v>43784</v>
      </c>
      <c r="C140" s="1" t="n">
        <v>45646</v>
      </c>
      <c r="D140" t="inlineStr">
        <is>
          <t>JÄMTLANDS LÄN</t>
        </is>
      </c>
      <c r="E140" t="inlineStr">
        <is>
          <t>BERG</t>
        </is>
      </c>
      <c r="F140" t="inlineStr">
        <is>
          <t>SCA</t>
        </is>
      </c>
      <c r="G140" t="n">
        <v>5.4</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61775-2019 artfynd.xlsx", "A 61775-2019")</f>
        <v/>
      </c>
      <c r="T140">
        <f>HYPERLINK("https://klasma.github.io/Logging_2326/kartor/A 61775-2019 karta.png", "A 61775-2019")</f>
        <v/>
      </c>
      <c r="V140">
        <f>HYPERLINK("https://klasma.github.io/Logging_2326/klagomål/A 61775-2019 FSC-klagomål.docx", "A 61775-2019")</f>
        <v/>
      </c>
      <c r="W140">
        <f>HYPERLINK("https://klasma.github.io/Logging_2326/klagomålsmail/A 61775-2019 FSC-klagomål mail.docx", "A 61775-2019")</f>
        <v/>
      </c>
      <c r="X140">
        <f>HYPERLINK("https://klasma.github.io/Logging_2326/tillsyn/A 61775-2019 tillsynsbegäran.docx", "A 61775-2019")</f>
        <v/>
      </c>
      <c r="Y140">
        <f>HYPERLINK("https://klasma.github.io/Logging_2326/tillsynsmail/A 61775-2019 tillsynsbegäran mail.docx", "A 61775-2019")</f>
        <v/>
      </c>
    </row>
    <row r="141" ht="15" customHeight="1">
      <c r="A141" t="inlineStr">
        <is>
          <t>A 67342-2019</t>
        </is>
      </c>
      <c r="B141" s="1" t="n">
        <v>43812</v>
      </c>
      <c r="C141" s="1" t="n">
        <v>45646</v>
      </c>
      <c r="D141" t="inlineStr">
        <is>
          <t>JÄMTLANDS LÄN</t>
        </is>
      </c>
      <c r="E141" t="inlineStr">
        <is>
          <t>BERG</t>
        </is>
      </c>
      <c r="G141" t="n">
        <v>5</v>
      </c>
      <c r="H141" t="n">
        <v>1</v>
      </c>
      <c r="I141" t="n">
        <v>0</v>
      </c>
      <c r="J141" t="n">
        <v>0</v>
      </c>
      <c r="K141" t="n">
        <v>0</v>
      </c>
      <c r="L141" t="n">
        <v>0</v>
      </c>
      <c r="M141" t="n">
        <v>0</v>
      </c>
      <c r="N141" t="n">
        <v>0</v>
      </c>
      <c r="O141" t="n">
        <v>0</v>
      </c>
      <c r="P141" t="n">
        <v>0</v>
      </c>
      <c r="Q141" t="n">
        <v>1</v>
      </c>
      <c r="R141" s="2" t="inlineStr">
        <is>
          <t>Revlummer</t>
        </is>
      </c>
      <c r="S141">
        <f>HYPERLINK("https://klasma.github.io/Logging_2326/artfynd/A 67342-2019 artfynd.xlsx", "A 67342-2019")</f>
        <v/>
      </c>
      <c r="T141">
        <f>HYPERLINK("https://klasma.github.io/Logging_2326/kartor/A 67342-2019 karta.png", "A 67342-2019")</f>
        <v/>
      </c>
      <c r="V141">
        <f>HYPERLINK("https://klasma.github.io/Logging_2326/klagomål/A 67342-2019 FSC-klagomål.docx", "A 67342-2019")</f>
        <v/>
      </c>
      <c r="W141">
        <f>HYPERLINK("https://klasma.github.io/Logging_2326/klagomålsmail/A 67342-2019 FSC-klagomål mail.docx", "A 67342-2019")</f>
        <v/>
      </c>
      <c r="X141">
        <f>HYPERLINK("https://klasma.github.io/Logging_2326/tillsyn/A 67342-2019 tillsynsbegäran.docx", "A 67342-2019")</f>
        <v/>
      </c>
      <c r="Y141">
        <f>HYPERLINK("https://klasma.github.io/Logging_2326/tillsynsmail/A 67342-2019 tillsynsbegäran mail.docx", "A 67342-2019")</f>
        <v/>
      </c>
    </row>
    <row r="142" ht="15" customHeight="1">
      <c r="A142" t="inlineStr">
        <is>
          <t>A 34582-2020</t>
        </is>
      </c>
      <c r="B142" s="1" t="n">
        <v>44033</v>
      </c>
      <c r="C142" s="1" t="n">
        <v>45646</v>
      </c>
      <c r="D142" t="inlineStr">
        <is>
          <t>JÄMTLANDS LÄN</t>
        </is>
      </c>
      <c r="E142" t="inlineStr">
        <is>
          <t>BERG</t>
        </is>
      </c>
      <c r="F142" t="inlineStr">
        <is>
          <t>SCA</t>
        </is>
      </c>
      <c r="G142" t="n">
        <v>10.6</v>
      </c>
      <c r="H142" t="n">
        <v>0</v>
      </c>
      <c r="I142" t="n">
        <v>0</v>
      </c>
      <c r="J142" t="n">
        <v>1</v>
      </c>
      <c r="K142" t="n">
        <v>0</v>
      </c>
      <c r="L142" t="n">
        <v>0</v>
      </c>
      <c r="M142" t="n">
        <v>0</v>
      </c>
      <c r="N142" t="n">
        <v>0</v>
      </c>
      <c r="O142" t="n">
        <v>1</v>
      </c>
      <c r="P142" t="n">
        <v>0</v>
      </c>
      <c r="Q142" t="n">
        <v>1</v>
      </c>
      <c r="R142" s="2" t="inlineStr">
        <is>
          <t>Kolflarnlav</t>
        </is>
      </c>
      <c r="S142">
        <f>HYPERLINK("https://klasma.github.io/Logging_2326/artfynd/A 34582-2020 artfynd.xlsx", "A 34582-2020")</f>
        <v/>
      </c>
      <c r="T142">
        <f>HYPERLINK("https://klasma.github.io/Logging_2326/kartor/A 34582-2020 karta.png", "A 34582-2020")</f>
        <v/>
      </c>
      <c r="V142">
        <f>HYPERLINK("https://klasma.github.io/Logging_2326/klagomål/A 34582-2020 FSC-klagomål.docx", "A 34582-2020")</f>
        <v/>
      </c>
      <c r="W142">
        <f>HYPERLINK("https://klasma.github.io/Logging_2326/klagomålsmail/A 34582-2020 FSC-klagomål mail.docx", "A 34582-2020")</f>
        <v/>
      </c>
      <c r="X142">
        <f>HYPERLINK("https://klasma.github.io/Logging_2326/tillsyn/A 34582-2020 tillsynsbegäran.docx", "A 34582-2020")</f>
        <v/>
      </c>
      <c r="Y142">
        <f>HYPERLINK("https://klasma.github.io/Logging_2326/tillsynsmail/A 34582-2020 tillsynsbegäran mail.docx", "A 34582-2020")</f>
        <v/>
      </c>
    </row>
    <row r="143" ht="15" customHeight="1">
      <c r="A143" t="inlineStr">
        <is>
          <t>A 36966-2020</t>
        </is>
      </c>
      <c r="B143" s="1" t="n">
        <v>44053</v>
      </c>
      <c r="C143" s="1" t="n">
        <v>45646</v>
      </c>
      <c r="D143" t="inlineStr">
        <is>
          <t>JÄMTLANDS LÄN</t>
        </is>
      </c>
      <c r="E143" t="inlineStr">
        <is>
          <t>BERG</t>
        </is>
      </c>
      <c r="F143" t="inlineStr">
        <is>
          <t>SCA</t>
        </is>
      </c>
      <c r="G143" t="n">
        <v>2.7</v>
      </c>
      <c r="H143" t="n">
        <v>0</v>
      </c>
      <c r="I143" t="n">
        <v>0</v>
      </c>
      <c r="J143" t="n">
        <v>1</v>
      </c>
      <c r="K143" t="n">
        <v>0</v>
      </c>
      <c r="L143" t="n">
        <v>0</v>
      </c>
      <c r="M143" t="n">
        <v>0</v>
      </c>
      <c r="N143" t="n">
        <v>0</v>
      </c>
      <c r="O143" t="n">
        <v>1</v>
      </c>
      <c r="P143" t="n">
        <v>0</v>
      </c>
      <c r="Q143" t="n">
        <v>1</v>
      </c>
      <c r="R143" s="2" t="inlineStr">
        <is>
          <t>Reliktbock</t>
        </is>
      </c>
      <c r="S143">
        <f>HYPERLINK("https://klasma.github.io/Logging_2326/artfynd/A 36966-2020 artfynd.xlsx", "A 36966-2020")</f>
        <v/>
      </c>
      <c r="T143">
        <f>HYPERLINK("https://klasma.github.io/Logging_2326/kartor/A 36966-2020 karta.png", "A 36966-2020")</f>
        <v/>
      </c>
      <c r="V143">
        <f>HYPERLINK("https://klasma.github.io/Logging_2326/klagomål/A 36966-2020 FSC-klagomål.docx", "A 36966-2020")</f>
        <v/>
      </c>
      <c r="W143">
        <f>HYPERLINK("https://klasma.github.io/Logging_2326/klagomålsmail/A 36966-2020 FSC-klagomål mail.docx", "A 36966-2020")</f>
        <v/>
      </c>
      <c r="X143">
        <f>HYPERLINK("https://klasma.github.io/Logging_2326/tillsyn/A 36966-2020 tillsynsbegäran.docx", "A 36966-2020")</f>
        <v/>
      </c>
      <c r="Y143">
        <f>HYPERLINK("https://klasma.github.io/Logging_2326/tillsynsmail/A 36966-2020 tillsynsbegäran mail.docx", "A 36966-2020")</f>
        <v/>
      </c>
    </row>
    <row r="144" ht="15" customHeight="1">
      <c r="A144" t="inlineStr">
        <is>
          <t>A 16834-2021</t>
        </is>
      </c>
      <c r="B144" s="1" t="n">
        <v>44293</v>
      </c>
      <c r="C144" s="1" t="n">
        <v>45646</v>
      </c>
      <c r="D144" t="inlineStr">
        <is>
          <t>JÄMTLANDS LÄN</t>
        </is>
      </c>
      <c r="E144" t="inlineStr">
        <is>
          <t>BERG</t>
        </is>
      </c>
      <c r="G144" t="n">
        <v>18.7</v>
      </c>
      <c r="H144" t="n">
        <v>0</v>
      </c>
      <c r="I144" t="n">
        <v>0</v>
      </c>
      <c r="J144" t="n">
        <v>1</v>
      </c>
      <c r="K144" t="n">
        <v>0</v>
      </c>
      <c r="L144" t="n">
        <v>0</v>
      </c>
      <c r="M144" t="n">
        <v>0</v>
      </c>
      <c r="N144" t="n">
        <v>0</v>
      </c>
      <c r="O144" t="n">
        <v>1</v>
      </c>
      <c r="P144" t="n">
        <v>0</v>
      </c>
      <c r="Q144" t="n">
        <v>1</v>
      </c>
      <c r="R144" s="2" t="inlineStr">
        <is>
          <t>Gränsticka</t>
        </is>
      </c>
      <c r="S144">
        <f>HYPERLINK("https://klasma.github.io/Logging_2326/artfynd/A 16834-2021 artfynd.xlsx", "A 16834-2021")</f>
        <v/>
      </c>
      <c r="T144">
        <f>HYPERLINK("https://klasma.github.io/Logging_2326/kartor/A 16834-2021 karta.png", "A 16834-2021")</f>
        <v/>
      </c>
      <c r="V144">
        <f>HYPERLINK("https://klasma.github.io/Logging_2326/klagomål/A 16834-2021 FSC-klagomål.docx", "A 16834-2021")</f>
        <v/>
      </c>
      <c r="W144">
        <f>HYPERLINK("https://klasma.github.io/Logging_2326/klagomålsmail/A 16834-2021 FSC-klagomål mail.docx", "A 16834-2021")</f>
        <v/>
      </c>
      <c r="X144">
        <f>HYPERLINK("https://klasma.github.io/Logging_2326/tillsyn/A 16834-2021 tillsynsbegäran.docx", "A 16834-2021")</f>
        <v/>
      </c>
      <c r="Y144">
        <f>HYPERLINK("https://klasma.github.io/Logging_2326/tillsynsmail/A 16834-2021 tillsynsbegäran mail.docx", "A 16834-2021")</f>
        <v/>
      </c>
    </row>
    <row r="145" ht="15" customHeight="1">
      <c r="A145" t="inlineStr">
        <is>
          <t>A 33557-2021</t>
        </is>
      </c>
      <c r="B145" s="1" t="n">
        <v>44377</v>
      </c>
      <c r="C145" s="1" t="n">
        <v>45646</v>
      </c>
      <c r="D145" t="inlineStr">
        <is>
          <t>JÄMTLANDS LÄN</t>
        </is>
      </c>
      <c r="E145" t="inlineStr">
        <is>
          <t>BERG</t>
        </is>
      </c>
      <c r="F145" t="inlineStr">
        <is>
          <t>SCA</t>
        </is>
      </c>
      <c r="G145" t="n">
        <v>10</v>
      </c>
      <c r="H145" t="n">
        <v>0</v>
      </c>
      <c r="I145" t="n">
        <v>0</v>
      </c>
      <c r="J145" t="n">
        <v>0</v>
      </c>
      <c r="K145" t="n">
        <v>1</v>
      </c>
      <c r="L145" t="n">
        <v>0</v>
      </c>
      <c r="M145" t="n">
        <v>0</v>
      </c>
      <c r="N145" t="n">
        <v>0</v>
      </c>
      <c r="O145" t="n">
        <v>1</v>
      </c>
      <c r="P145" t="n">
        <v>1</v>
      </c>
      <c r="Q145" t="n">
        <v>1</v>
      </c>
      <c r="R145" s="2" t="inlineStr">
        <is>
          <t>Gräddporing</t>
        </is>
      </c>
      <c r="S145">
        <f>HYPERLINK("https://klasma.github.io/Logging_2326/artfynd/A 33557-2021 artfynd.xlsx", "A 33557-2021")</f>
        <v/>
      </c>
      <c r="T145">
        <f>HYPERLINK("https://klasma.github.io/Logging_2326/kartor/A 33557-2021 karta.png", "A 33557-2021")</f>
        <v/>
      </c>
      <c r="V145">
        <f>HYPERLINK("https://klasma.github.io/Logging_2326/klagomål/A 33557-2021 FSC-klagomål.docx", "A 33557-2021")</f>
        <v/>
      </c>
      <c r="W145">
        <f>HYPERLINK("https://klasma.github.io/Logging_2326/klagomålsmail/A 33557-2021 FSC-klagomål mail.docx", "A 33557-2021")</f>
        <v/>
      </c>
      <c r="X145">
        <f>HYPERLINK("https://klasma.github.io/Logging_2326/tillsyn/A 33557-2021 tillsynsbegäran.docx", "A 33557-2021")</f>
        <v/>
      </c>
      <c r="Y145">
        <f>HYPERLINK("https://klasma.github.io/Logging_2326/tillsynsmail/A 33557-2021 tillsynsbegäran mail.docx", "A 33557-2021")</f>
        <v/>
      </c>
    </row>
    <row r="146" ht="15" customHeight="1">
      <c r="A146" t="inlineStr">
        <is>
          <t>A 56202-2021</t>
        </is>
      </c>
      <c r="B146" s="1" t="n">
        <v>44477</v>
      </c>
      <c r="C146" s="1" t="n">
        <v>45646</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68434-2021</t>
        </is>
      </c>
      <c r="B147" s="1" t="n">
        <v>44529</v>
      </c>
      <c r="C147" s="1" t="n">
        <v>45646</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32686-2022</t>
        </is>
      </c>
      <c r="B148" s="1" t="n">
        <v>44776</v>
      </c>
      <c r="C148" s="1" t="n">
        <v>45646</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32307-2022</t>
        </is>
      </c>
      <c r="B149" s="1" t="n">
        <v>44781</v>
      </c>
      <c r="C149" s="1" t="n">
        <v>45646</v>
      </c>
      <c r="D149" t="inlineStr">
        <is>
          <t>JÄMTLANDS LÄN</t>
        </is>
      </c>
      <c r="E149" t="inlineStr">
        <is>
          <t>BERG</t>
        </is>
      </c>
      <c r="G149" t="n">
        <v>4.8</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32307-2022 artfynd.xlsx", "A 32307-2022")</f>
        <v/>
      </c>
      <c r="T149">
        <f>HYPERLINK("https://klasma.github.io/Logging_2326/kartor/A 32307-2022 karta.png", "A 32307-2022")</f>
        <v/>
      </c>
      <c r="V149">
        <f>HYPERLINK("https://klasma.github.io/Logging_2326/klagomål/A 32307-2022 FSC-klagomål.docx", "A 32307-2022")</f>
        <v/>
      </c>
      <c r="W149">
        <f>HYPERLINK("https://klasma.github.io/Logging_2326/klagomålsmail/A 32307-2022 FSC-klagomål mail.docx", "A 32307-2022")</f>
        <v/>
      </c>
      <c r="X149">
        <f>HYPERLINK("https://klasma.github.io/Logging_2326/tillsyn/A 32307-2022 tillsynsbegäran.docx", "A 32307-2022")</f>
        <v/>
      </c>
      <c r="Y149">
        <f>HYPERLINK("https://klasma.github.io/Logging_2326/tillsynsmail/A 32307-2022 tillsynsbegäran mail.docx", "A 32307-2022")</f>
        <v/>
      </c>
      <c r="Z149">
        <f>HYPERLINK("https://klasma.github.io/Logging_2326/fåglar/A 32307-2022 prioriterade fågelarter.docx", "A 32307-2022")</f>
        <v/>
      </c>
    </row>
    <row r="150" ht="15" customHeight="1">
      <c r="A150" t="inlineStr">
        <is>
          <t>A 34271-2022</t>
        </is>
      </c>
      <c r="B150" s="1" t="n">
        <v>44792</v>
      </c>
      <c r="C150" s="1" t="n">
        <v>45646</v>
      </c>
      <c r="D150" t="inlineStr">
        <is>
          <t>JÄMTLANDS LÄN</t>
        </is>
      </c>
      <c r="E150" t="inlineStr">
        <is>
          <t>BERG</t>
        </is>
      </c>
      <c r="F150" t="inlineStr">
        <is>
          <t>SCA</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HYPERLINK("https://klasma.github.io/Logging_2326/artfynd/A 34271-2022 artfynd.xlsx", "A 34271-2022")</f>
        <v/>
      </c>
      <c r="T150">
        <f>HYPERLINK("https://klasma.github.io/Logging_2326/kartor/A 34271-2022 karta.png", "A 34271-2022")</f>
        <v/>
      </c>
      <c r="V150">
        <f>HYPERLINK("https://klasma.github.io/Logging_2326/klagomål/A 34271-2022 FSC-klagomål.docx", "A 34271-2022")</f>
        <v/>
      </c>
      <c r="W150">
        <f>HYPERLINK("https://klasma.github.io/Logging_2326/klagomålsmail/A 34271-2022 FSC-klagomål mail.docx", "A 34271-2022")</f>
        <v/>
      </c>
      <c r="X150">
        <f>HYPERLINK("https://klasma.github.io/Logging_2326/tillsyn/A 34271-2022 tillsynsbegäran.docx", "A 34271-2022")</f>
        <v/>
      </c>
      <c r="Y150">
        <f>HYPERLINK("https://klasma.github.io/Logging_2326/tillsynsmail/A 34271-2022 tillsynsbegäran mail.docx", "A 34271-2022")</f>
        <v/>
      </c>
      <c r="Z150">
        <f>HYPERLINK("https://klasma.github.io/Logging_2326/fåglar/A 34271-2022 prioriterade fågelarter.docx", "A 34271-2022")</f>
        <v/>
      </c>
    </row>
    <row r="151" ht="15" customHeight="1">
      <c r="A151" t="inlineStr">
        <is>
          <t>A 34274-2022</t>
        </is>
      </c>
      <c r="B151" s="1" t="n">
        <v>44791</v>
      </c>
      <c r="C151" s="1" t="n">
        <v>45646</v>
      </c>
      <c r="D151" t="inlineStr">
        <is>
          <t>JÄMTLANDS LÄN</t>
        </is>
      </c>
      <c r="E151" t="inlineStr">
        <is>
          <t>BERG</t>
        </is>
      </c>
      <c r="F151" t="inlineStr">
        <is>
          <t>SCA</t>
        </is>
      </c>
      <c r="G151" t="n">
        <v>6.1</v>
      </c>
      <c r="H151" t="n">
        <v>0</v>
      </c>
      <c r="I151" t="n">
        <v>0</v>
      </c>
      <c r="J151" t="n">
        <v>1</v>
      </c>
      <c r="K151" t="n">
        <v>0</v>
      </c>
      <c r="L151" t="n">
        <v>0</v>
      </c>
      <c r="M151" t="n">
        <v>0</v>
      </c>
      <c r="N151" t="n">
        <v>0</v>
      </c>
      <c r="O151" t="n">
        <v>1</v>
      </c>
      <c r="P151" t="n">
        <v>0</v>
      </c>
      <c r="Q151" t="n">
        <v>1</v>
      </c>
      <c r="R151" s="2" t="inlineStr">
        <is>
          <t>Rosenticka</t>
        </is>
      </c>
      <c r="S151">
        <f>HYPERLINK("https://klasma.github.io/Logging_2326/artfynd/A 34274-2022 artfynd.xlsx", "A 34274-2022")</f>
        <v/>
      </c>
      <c r="T151">
        <f>HYPERLINK("https://klasma.github.io/Logging_2326/kartor/A 34274-2022 karta.png", "A 34274-2022")</f>
        <v/>
      </c>
      <c r="V151">
        <f>HYPERLINK("https://klasma.github.io/Logging_2326/klagomål/A 34274-2022 FSC-klagomål.docx", "A 34274-2022")</f>
        <v/>
      </c>
      <c r="W151">
        <f>HYPERLINK("https://klasma.github.io/Logging_2326/klagomålsmail/A 34274-2022 FSC-klagomål mail.docx", "A 34274-2022")</f>
        <v/>
      </c>
      <c r="X151">
        <f>HYPERLINK("https://klasma.github.io/Logging_2326/tillsyn/A 34274-2022 tillsynsbegäran.docx", "A 34274-2022")</f>
        <v/>
      </c>
      <c r="Y151">
        <f>HYPERLINK("https://klasma.github.io/Logging_2326/tillsynsmail/A 34274-2022 tillsynsbegäran mail.docx", "A 34274-2022")</f>
        <v/>
      </c>
    </row>
    <row r="152" ht="15" customHeight="1">
      <c r="A152" t="inlineStr">
        <is>
          <t>A 41317-2022</t>
        </is>
      </c>
      <c r="B152" s="1" t="n">
        <v>44826</v>
      </c>
      <c r="C152" s="1" t="n">
        <v>45646</v>
      </c>
      <c r="D152" t="inlineStr">
        <is>
          <t>JÄMTLANDS LÄN</t>
        </is>
      </c>
      <c r="E152" t="inlineStr">
        <is>
          <t>BERG</t>
        </is>
      </c>
      <c r="G152" t="n">
        <v>0.5</v>
      </c>
      <c r="H152" t="n">
        <v>1</v>
      </c>
      <c r="I152" t="n">
        <v>0</v>
      </c>
      <c r="J152" t="n">
        <v>0</v>
      </c>
      <c r="K152" t="n">
        <v>0</v>
      </c>
      <c r="L152" t="n">
        <v>0</v>
      </c>
      <c r="M152" t="n">
        <v>0</v>
      </c>
      <c r="N152" t="n">
        <v>0</v>
      </c>
      <c r="O152" t="n">
        <v>0</v>
      </c>
      <c r="P152" t="n">
        <v>0</v>
      </c>
      <c r="Q152" t="n">
        <v>1</v>
      </c>
      <c r="R152" s="2" t="inlineStr">
        <is>
          <t>Fläcknycklar</t>
        </is>
      </c>
      <c r="S152">
        <f>HYPERLINK("https://klasma.github.io/Logging_2326/artfynd/A 41317-2022 artfynd.xlsx", "A 41317-2022")</f>
        <v/>
      </c>
      <c r="T152">
        <f>HYPERLINK("https://klasma.github.io/Logging_2326/kartor/A 41317-2022 karta.png", "A 41317-2022")</f>
        <v/>
      </c>
      <c r="V152">
        <f>HYPERLINK("https://klasma.github.io/Logging_2326/klagomål/A 41317-2022 FSC-klagomål.docx", "A 41317-2022")</f>
        <v/>
      </c>
      <c r="W152">
        <f>HYPERLINK("https://klasma.github.io/Logging_2326/klagomålsmail/A 41317-2022 FSC-klagomål mail.docx", "A 41317-2022")</f>
        <v/>
      </c>
      <c r="X152">
        <f>HYPERLINK("https://klasma.github.io/Logging_2326/tillsyn/A 41317-2022 tillsynsbegäran.docx", "A 41317-2022")</f>
        <v/>
      </c>
      <c r="Y152">
        <f>HYPERLINK("https://klasma.github.io/Logging_2326/tillsynsmail/A 41317-2022 tillsynsbegäran mail.docx", "A 41317-2022")</f>
        <v/>
      </c>
    </row>
    <row r="153" ht="15" customHeight="1">
      <c r="A153" t="inlineStr">
        <is>
          <t>A 43132-2022</t>
        </is>
      </c>
      <c r="B153" s="1" t="n">
        <v>44833</v>
      </c>
      <c r="C153" s="1" t="n">
        <v>45646</v>
      </c>
      <c r="D153" t="inlineStr">
        <is>
          <t>JÄMTLANDS LÄN</t>
        </is>
      </c>
      <c r="E153" t="inlineStr">
        <is>
          <t>BERG</t>
        </is>
      </c>
      <c r="F153" t="inlineStr">
        <is>
          <t>SCA</t>
        </is>
      </c>
      <c r="G153" t="n">
        <v>11.5</v>
      </c>
      <c r="H153" t="n">
        <v>0</v>
      </c>
      <c r="I153" t="n">
        <v>0</v>
      </c>
      <c r="J153" t="n">
        <v>0</v>
      </c>
      <c r="K153" t="n">
        <v>1</v>
      </c>
      <c r="L153" t="n">
        <v>0</v>
      </c>
      <c r="M153" t="n">
        <v>0</v>
      </c>
      <c r="N153" t="n">
        <v>0</v>
      </c>
      <c r="O153" t="n">
        <v>1</v>
      </c>
      <c r="P153" t="n">
        <v>1</v>
      </c>
      <c r="Q153" t="n">
        <v>1</v>
      </c>
      <c r="R153" s="2" t="inlineStr">
        <is>
          <t>Gräddporing</t>
        </is>
      </c>
      <c r="S153">
        <f>HYPERLINK("https://klasma.github.io/Logging_2326/artfynd/A 43132-2022 artfynd.xlsx", "A 43132-2022")</f>
        <v/>
      </c>
      <c r="T153">
        <f>HYPERLINK("https://klasma.github.io/Logging_2326/kartor/A 43132-2022 karta.png", "A 43132-2022")</f>
        <v/>
      </c>
      <c r="V153">
        <f>HYPERLINK("https://klasma.github.io/Logging_2326/klagomål/A 43132-2022 FSC-klagomål.docx", "A 43132-2022")</f>
        <v/>
      </c>
      <c r="W153">
        <f>HYPERLINK("https://klasma.github.io/Logging_2326/klagomålsmail/A 43132-2022 FSC-klagomål mail.docx", "A 43132-2022")</f>
        <v/>
      </c>
      <c r="X153">
        <f>HYPERLINK("https://klasma.github.io/Logging_2326/tillsyn/A 43132-2022 tillsynsbegäran.docx", "A 43132-2022")</f>
        <v/>
      </c>
      <c r="Y153">
        <f>HYPERLINK("https://klasma.github.io/Logging_2326/tillsynsmail/A 43132-2022 tillsynsbegäran mail.docx", "A 43132-2022")</f>
        <v/>
      </c>
    </row>
    <row r="154" ht="15" customHeight="1">
      <c r="A154" t="inlineStr">
        <is>
          <t>A 43166-2022</t>
        </is>
      </c>
      <c r="B154" s="1" t="n">
        <v>44833</v>
      </c>
      <c r="C154" s="1" t="n">
        <v>45646</v>
      </c>
      <c r="D154" t="inlineStr">
        <is>
          <t>JÄMTLANDS LÄN</t>
        </is>
      </c>
      <c r="E154" t="inlineStr">
        <is>
          <t>BERG</t>
        </is>
      </c>
      <c r="F154" t="inlineStr">
        <is>
          <t>SCA</t>
        </is>
      </c>
      <c r="G154" t="n">
        <v>22.3</v>
      </c>
      <c r="H154" t="n">
        <v>0</v>
      </c>
      <c r="I154" t="n">
        <v>0</v>
      </c>
      <c r="J154" t="n">
        <v>1</v>
      </c>
      <c r="K154" t="n">
        <v>0</v>
      </c>
      <c r="L154" t="n">
        <v>0</v>
      </c>
      <c r="M154" t="n">
        <v>0</v>
      </c>
      <c r="N154" t="n">
        <v>0</v>
      </c>
      <c r="O154" t="n">
        <v>1</v>
      </c>
      <c r="P154" t="n">
        <v>0</v>
      </c>
      <c r="Q154" t="n">
        <v>1</v>
      </c>
      <c r="R154" s="2" t="inlineStr">
        <is>
          <t>Skrovellav</t>
        </is>
      </c>
      <c r="S154">
        <f>HYPERLINK("https://klasma.github.io/Logging_2326/artfynd/A 43166-2022 artfynd.xlsx", "A 43166-2022")</f>
        <v/>
      </c>
      <c r="T154">
        <f>HYPERLINK("https://klasma.github.io/Logging_2326/kartor/A 43166-2022 karta.png", "A 43166-2022")</f>
        <v/>
      </c>
      <c r="V154">
        <f>HYPERLINK("https://klasma.github.io/Logging_2326/klagomål/A 43166-2022 FSC-klagomål.docx", "A 43166-2022")</f>
        <v/>
      </c>
      <c r="W154">
        <f>HYPERLINK("https://klasma.github.io/Logging_2326/klagomålsmail/A 43166-2022 FSC-klagomål mail.docx", "A 43166-2022")</f>
        <v/>
      </c>
      <c r="X154">
        <f>HYPERLINK("https://klasma.github.io/Logging_2326/tillsyn/A 43166-2022 tillsynsbegäran.docx", "A 43166-2022")</f>
        <v/>
      </c>
      <c r="Y154">
        <f>HYPERLINK("https://klasma.github.io/Logging_2326/tillsynsmail/A 43166-2022 tillsynsbegäran mail.docx", "A 43166-2022")</f>
        <v/>
      </c>
    </row>
    <row r="155" ht="15" customHeight="1">
      <c r="A155" t="inlineStr">
        <is>
          <t>A 45082-2022</t>
        </is>
      </c>
      <c r="B155" s="1" t="n">
        <v>44842</v>
      </c>
      <c r="C155" s="1" t="n">
        <v>45646</v>
      </c>
      <c r="D155" t="inlineStr">
        <is>
          <t>JÄMTLANDS LÄN</t>
        </is>
      </c>
      <c r="E155" t="inlineStr">
        <is>
          <t>BERG</t>
        </is>
      </c>
      <c r="F155" t="inlineStr">
        <is>
          <t>SCA</t>
        </is>
      </c>
      <c r="G155" t="n">
        <v>10.8</v>
      </c>
      <c r="H155" t="n">
        <v>1</v>
      </c>
      <c r="I155" t="n">
        <v>0</v>
      </c>
      <c r="J155" t="n">
        <v>1</v>
      </c>
      <c r="K155" t="n">
        <v>0</v>
      </c>
      <c r="L155" t="n">
        <v>0</v>
      </c>
      <c r="M155" t="n">
        <v>0</v>
      </c>
      <c r="N155" t="n">
        <v>0</v>
      </c>
      <c r="O155" t="n">
        <v>1</v>
      </c>
      <c r="P155" t="n">
        <v>0</v>
      </c>
      <c r="Q155" t="n">
        <v>1</v>
      </c>
      <c r="R155" s="2" t="inlineStr">
        <is>
          <t>Fjällvråk</t>
        </is>
      </c>
      <c r="S155">
        <f>HYPERLINK("https://klasma.github.io/Logging_2326/artfynd/A 45082-2022 artfynd.xlsx", "A 45082-2022")</f>
        <v/>
      </c>
      <c r="T155">
        <f>HYPERLINK("https://klasma.github.io/Logging_2326/kartor/A 45082-2022 karta.png", "A 45082-2022")</f>
        <v/>
      </c>
      <c r="V155">
        <f>HYPERLINK("https://klasma.github.io/Logging_2326/klagomål/A 45082-2022 FSC-klagomål.docx", "A 45082-2022")</f>
        <v/>
      </c>
      <c r="W155">
        <f>HYPERLINK("https://klasma.github.io/Logging_2326/klagomålsmail/A 45082-2022 FSC-klagomål mail.docx", "A 45082-2022")</f>
        <v/>
      </c>
      <c r="X155">
        <f>HYPERLINK("https://klasma.github.io/Logging_2326/tillsyn/A 45082-2022 tillsynsbegäran.docx", "A 45082-2022")</f>
        <v/>
      </c>
      <c r="Y155">
        <f>HYPERLINK("https://klasma.github.io/Logging_2326/tillsynsmail/A 45082-2022 tillsynsbegäran mail.docx", "A 45082-2022")</f>
        <v/>
      </c>
      <c r="Z155">
        <f>HYPERLINK("https://klasma.github.io/Logging_2326/fåglar/A 45082-2022 prioriterade fågelarter.docx", "A 45082-2022")</f>
        <v/>
      </c>
    </row>
    <row r="156" ht="15" customHeight="1">
      <c r="A156" t="inlineStr">
        <is>
          <t>A 49532-2022</t>
        </is>
      </c>
      <c r="B156" s="1" t="n">
        <v>44861</v>
      </c>
      <c r="C156" s="1" t="n">
        <v>45646</v>
      </c>
      <c r="D156" t="inlineStr">
        <is>
          <t>JÄMTLANDS LÄN</t>
        </is>
      </c>
      <c r="E156" t="inlineStr">
        <is>
          <t>BERG</t>
        </is>
      </c>
      <c r="F156" t="inlineStr">
        <is>
          <t>SCA</t>
        </is>
      </c>
      <c r="G156" t="n">
        <v>12.7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49532-2022 artfynd.xlsx", "A 49532-2022")</f>
        <v/>
      </c>
      <c r="T156">
        <f>HYPERLINK("https://klasma.github.io/Logging_2326/kartor/A 49532-2022 karta.png", "A 49532-2022")</f>
        <v/>
      </c>
      <c r="V156">
        <f>HYPERLINK("https://klasma.github.io/Logging_2326/klagomål/A 49532-2022 FSC-klagomål.docx", "A 49532-2022")</f>
        <v/>
      </c>
      <c r="W156">
        <f>HYPERLINK("https://klasma.github.io/Logging_2326/klagomålsmail/A 49532-2022 FSC-klagomål mail.docx", "A 49532-2022")</f>
        <v/>
      </c>
      <c r="X156">
        <f>HYPERLINK("https://klasma.github.io/Logging_2326/tillsyn/A 49532-2022 tillsynsbegäran.docx", "A 49532-2022")</f>
        <v/>
      </c>
      <c r="Y156">
        <f>HYPERLINK("https://klasma.github.io/Logging_2326/tillsynsmail/A 49532-2022 tillsynsbegäran mail.docx", "A 49532-2022")</f>
        <v/>
      </c>
    </row>
    <row r="157" ht="15" customHeight="1">
      <c r="A157" t="inlineStr">
        <is>
          <t>A 53014-2022</t>
        </is>
      </c>
      <c r="B157" s="1" t="n">
        <v>44875</v>
      </c>
      <c r="C157" s="1" t="n">
        <v>45646</v>
      </c>
      <c r="D157" t="inlineStr">
        <is>
          <t>JÄMTLANDS LÄN</t>
        </is>
      </c>
      <c r="E157" t="inlineStr">
        <is>
          <t>BERG</t>
        </is>
      </c>
      <c r="F157" t="inlineStr">
        <is>
          <t>SCA</t>
        </is>
      </c>
      <c r="G157" t="n">
        <v>13</v>
      </c>
      <c r="H157" t="n">
        <v>0</v>
      </c>
      <c r="I157" t="n">
        <v>0</v>
      </c>
      <c r="J157" t="n">
        <v>0</v>
      </c>
      <c r="K157" t="n">
        <v>1</v>
      </c>
      <c r="L157" t="n">
        <v>0</v>
      </c>
      <c r="M157" t="n">
        <v>0</v>
      </c>
      <c r="N157" t="n">
        <v>0</v>
      </c>
      <c r="O157" t="n">
        <v>1</v>
      </c>
      <c r="P157" t="n">
        <v>1</v>
      </c>
      <c r="Q157" t="n">
        <v>1</v>
      </c>
      <c r="R157" s="2" t="inlineStr">
        <is>
          <t>Gräddporing</t>
        </is>
      </c>
      <c r="S157">
        <f>HYPERLINK("https://klasma.github.io/Logging_2326/artfynd/A 53014-2022 artfynd.xlsx", "A 53014-2022")</f>
        <v/>
      </c>
      <c r="T157">
        <f>HYPERLINK("https://klasma.github.io/Logging_2326/kartor/A 53014-2022 karta.png", "A 53014-2022")</f>
        <v/>
      </c>
      <c r="V157">
        <f>HYPERLINK("https://klasma.github.io/Logging_2326/klagomål/A 53014-2022 FSC-klagomål.docx", "A 53014-2022")</f>
        <v/>
      </c>
      <c r="W157">
        <f>HYPERLINK("https://klasma.github.io/Logging_2326/klagomålsmail/A 53014-2022 FSC-klagomål mail.docx", "A 53014-2022")</f>
        <v/>
      </c>
      <c r="X157">
        <f>HYPERLINK("https://klasma.github.io/Logging_2326/tillsyn/A 53014-2022 tillsynsbegäran.docx", "A 53014-2022")</f>
        <v/>
      </c>
      <c r="Y157">
        <f>HYPERLINK("https://klasma.github.io/Logging_2326/tillsynsmail/A 53014-2022 tillsynsbegäran mail.docx", "A 53014-2022")</f>
        <v/>
      </c>
    </row>
    <row r="158" ht="15" customHeight="1">
      <c r="A158" t="inlineStr">
        <is>
          <t>A 59823-2022</t>
        </is>
      </c>
      <c r="B158" s="1" t="n">
        <v>44900</v>
      </c>
      <c r="C158" s="1" t="n">
        <v>45646</v>
      </c>
      <c r="D158" t="inlineStr">
        <is>
          <t>JÄMTLANDS LÄN</t>
        </is>
      </c>
      <c r="E158" t="inlineStr">
        <is>
          <t>BERG</t>
        </is>
      </c>
      <c r="G158" t="n">
        <v>14.8</v>
      </c>
      <c r="H158" t="n">
        <v>0</v>
      </c>
      <c r="I158" t="n">
        <v>0</v>
      </c>
      <c r="J158" t="n">
        <v>1</v>
      </c>
      <c r="K158" t="n">
        <v>0</v>
      </c>
      <c r="L158" t="n">
        <v>0</v>
      </c>
      <c r="M158" t="n">
        <v>0</v>
      </c>
      <c r="N158" t="n">
        <v>0</v>
      </c>
      <c r="O158" t="n">
        <v>1</v>
      </c>
      <c r="P158" t="n">
        <v>0</v>
      </c>
      <c r="Q158" t="n">
        <v>1</v>
      </c>
      <c r="R158" s="2" t="inlineStr">
        <is>
          <t>Granticka</t>
        </is>
      </c>
      <c r="S158">
        <f>HYPERLINK("https://klasma.github.io/Logging_2326/artfynd/A 59823-2022 artfynd.xlsx", "A 59823-2022")</f>
        <v/>
      </c>
      <c r="T158">
        <f>HYPERLINK("https://klasma.github.io/Logging_2326/kartor/A 59823-2022 karta.png", "A 59823-2022")</f>
        <v/>
      </c>
      <c r="V158">
        <f>HYPERLINK("https://klasma.github.io/Logging_2326/klagomål/A 59823-2022 FSC-klagomål.docx", "A 59823-2022")</f>
        <v/>
      </c>
      <c r="W158">
        <f>HYPERLINK("https://klasma.github.io/Logging_2326/klagomålsmail/A 59823-2022 FSC-klagomål mail.docx", "A 59823-2022")</f>
        <v/>
      </c>
      <c r="X158">
        <f>HYPERLINK("https://klasma.github.io/Logging_2326/tillsyn/A 59823-2022 tillsynsbegäran.docx", "A 59823-2022")</f>
        <v/>
      </c>
      <c r="Y158">
        <f>HYPERLINK("https://klasma.github.io/Logging_2326/tillsynsmail/A 59823-2022 tillsynsbegäran mail.docx", "A 59823-2022")</f>
        <v/>
      </c>
    </row>
    <row r="159" ht="15" customHeight="1">
      <c r="A159" t="inlineStr">
        <is>
          <t>A 47-2023</t>
        </is>
      </c>
      <c r="B159" s="1" t="n">
        <v>44928</v>
      </c>
      <c r="C159" s="1" t="n">
        <v>45646</v>
      </c>
      <c r="D159" t="inlineStr">
        <is>
          <t>JÄMTLANDS LÄN</t>
        </is>
      </c>
      <c r="E159" t="inlineStr">
        <is>
          <t>BERG</t>
        </is>
      </c>
      <c r="F159" t="inlineStr">
        <is>
          <t>Naturvårdsverket</t>
        </is>
      </c>
      <c r="G159" t="n">
        <v>1.5</v>
      </c>
      <c r="H159" t="n">
        <v>0</v>
      </c>
      <c r="I159" t="n">
        <v>0</v>
      </c>
      <c r="J159" t="n">
        <v>1</v>
      </c>
      <c r="K159" t="n">
        <v>0</v>
      </c>
      <c r="L159" t="n">
        <v>0</v>
      </c>
      <c r="M159" t="n">
        <v>0</v>
      </c>
      <c r="N159" t="n">
        <v>0</v>
      </c>
      <c r="O159" t="n">
        <v>1</v>
      </c>
      <c r="P159" t="n">
        <v>0</v>
      </c>
      <c r="Q159" t="n">
        <v>1</v>
      </c>
      <c r="R159" s="2" t="inlineStr">
        <is>
          <t>Violettgrå tagellav</t>
        </is>
      </c>
      <c r="S159">
        <f>HYPERLINK("https://klasma.github.io/Logging_2326/artfynd/A 47-2023 artfynd.xlsx", "A 47-2023")</f>
        <v/>
      </c>
      <c r="T159">
        <f>HYPERLINK("https://klasma.github.io/Logging_2326/kartor/A 47-2023 karta.png", "A 47-2023")</f>
        <v/>
      </c>
      <c r="V159">
        <f>HYPERLINK("https://klasma.github.io/Logging_2326/klagomål/A 47-2023 FSC-klagomål.docx", "A 47-2023")</f>
        <v/>
      </c>
      <c r="W159">
        <f>HYPERLINK("https://klasma.github.io/Logging_2326/klagomålsmail/A 47-2023 FSC-klagomål mail.docx", "A 47-2023")</f>
        <v/>
      </c>
      <c r="X159">
        <f>HYPERLINK("https://klasma.github.io/Logging_2326/tillsyn/A 47-2023 tillsynsbegäran.docx", "A 47-2023")</f>
        <v/>
      </c>
      <c r="Y159">
        <f>HYPERLINK("https://klasma.github.io/Logging_2326/tillsynsmail/A 47-2023 tillsynsbegäran mail.docx", "A 47-2023")</f>
        <v/>
      </c>
    </row>
    <row r="160" ht="15" customHeight="1">
      <c r="A160" t="inlineStr">
        <is>
          <t>A 24309-2023</t>
        </is>
      </c>
      <c r="B160" s="1" t="n">
        <v>45079</v>
      </c>
      <c r="C160" s="1" t="n">
        <v>45646</v>
      </c>
      <c r="D160" t="inlineStr">
        <is>
          <t>JÄMTLANDS LÄN</t>
        </is>
      </c>
      <c r="E160" t="inlineStr">
        <is>
          <t>BERG</t>
        </is>
      </c>
      <c r="F160" t="inlineStr">
        <is>
          <t>SCA</t>
        </is>
      </c>
      <c r="G160" t="n">
        <v>3.3</v>
      </c>
      <c r="H160" t="n">
        <v>1</v>
      </c>
      <c r="I160" t="n">
        <v>0</v>
      </c>
      <c r="J160" t="n">
        <v>0</v>
      </c>
      <c r="K160" t="n">
        <v>0</v>
      </c>
      <c r="L160" t="n">
        <v>0</v>
      </c>
      <c r="M160" t="n">
        <v>0</v>
      </c>
      <c r="N160" t="n">
        <v>0</v>
      </c>
      <c r="O160" t="n">
        <v>0</v>
      </c>
      <c r="P160" t="n">
        <v>0</v>
      </c>
      <c r="Q160" t="n">
        <v>1</v>
      </c>
      <c r="R160" s="2" t="inlineStr">
        <is>
          <t>Vanlig groda</t>
        </is>
      </c>
      <c r="S160">
        <f>HYPERLINK("https://klasma.github.io/Logging_2326/artfynd/A 24309-2023 artfynd.xlsx", "A 24309-2023")</f>
        <v/>
      </c>
      <c r="T160">
        <f>HYPERLINK("https://klasma.github.io/Logging_2326/kartor/A 24309-2023 karta.png", "A 24309-2023")</f>
        <v/>
      </c>
      <c r="V160">
        <f>HYPERLINK("https://klasma.github.io/Logging_2326/klagomål/A 24309-2023 FSC-klagomål.docx", "A 24309-2023")</f>
        <v/>
      </c>
      <c r="W160">
        <f>HYPERLINK("https://klasma.github.io/Logging_2326/klagomålsmail/A 24309-2023 FSC-klagomål mail.docx", "A 24309-2023")</f>
        <v/>
      </c>
      <c r="X160">
        <f>HYPERLINK("https://klasma.github.io/Logging_2326/tillsyn/A 24309-2023 tillsynsbegäran.docx", "A 24309-2023")</f>
        <v/>
      </c>
      <c r="Y160">
        <f>HYPERLINK("https://klasma.github.io/Logging_2326/tillsynsmail/A 24309-2023 tillsynsbegäran mail.docx", "A 24309-2023")</f>
        <v/>
      </c>
    </row>
    <row r="161" ht="15" customHeight="1">
      <c r="A161" t="inlineStr">
        <is>
          <t>A 33124-2023</t>
        </is>
      </c>
      <c r="B161" s="1" t="n">
        <v>45126</v>
      </c>
      <c r="C161" s="1" t="n">
        <v>45646</v>
      </c>
      <c r="D161" t="inlineStr">
        <is>
          <t>JÄMTLANDS LÄN</t>
        </is>
      </c>
      <c r="E161" t="inlineStr">
        <is>
          <t>BERG</t>
        </is>
      </c>
      <c r="F161" t="inlineStr">
        <is>
          <t>Sveaskog</t>
        </is>
      </c>
      <c r="G161" t="n">
        <v>4.2</v>
      </c>
      <c r="H161" t="n">
        <v>0</v>
      </c>
      <c r="I161" t="n">
        <v>0</v>
      </c>
      <c r="J161" t="n">
        <v>1</v>
      </c>
      <c r="K161" t="n">
        <v>0</v>
      </c>
      <c r="L161" t="n">
        <v>0</v>
      </c>
      <c r="M161" t="n">
        <v>0</v>
      </c>
      <c r="N161" t="n">
        <v>0</v>
      </c>
      <c r="O161" t="n">
        <v>1</v>
      </c>
      <c r="P161" t="n">
        <v>0</v>
      </c>
      <c r="Q161" t="n">
        <v>1</v>
      </c>
      <c r="R161" s="2" t="inlineStr">
        <is>
          <t>Lunglav</t>
        </is>
      </c>
      <c r="S161">
        <f>HYPERLINK("https://klasma.github.io/Logging_2326/artfynd/A 33124-2023 artfynd.xlsx", "A 33124-2023")</f>
        <v/>
      </c>
      <c r="T161">
        <f>HYPERLINK("https://klasma.github.io/Logging_2326/kartor/A 33124-2023 karta.png", "A 33124-2023")</f>
        <v/>
      </c>
      <c r="V161">
        <f>HYPERLINK("https://klasma.github.io/Logging_2326/klagomål/A 33124-2023 FSC-klagomål.docx", "A 33124-2023")</f>
        <v/>
      </c>
      <c r="W161">
        <f>HYPERLINK("https://klasma.github.io/Logging_2326/klagomålsmail/A 33124-2023 FSC-klagomål mail.docx", "A 33124-2023")</f>
        <v/>
      </c>
      <c r="X161">
        <f>HYPERLINK("https://klasma.github.io/Logging_2326/tillsyn/A 33124-2023 tillsynsbegäran.docx", "A 33124-2023")</f>
        <v/>
      </c>
      <c r="Y161">
        <f>HYPERLINK("https://klasma.github.io/Logging_2326/tillsynsmail/A 33124-2023 tillsynsbegäran mail.docx", "A 33124-2023")</f>
        <v/>
      </c>
    </row>
    <row r="162" ht="15" customHeight="1">
      <c r="A162" t="inlineStr">
        <is>
          <t>A 35275-2023</t>
        </is>
      </c>
      <c r="B162" s="1" t="n">
        <v>45145</v>
      </c>
      <c r="C162" s="1" t="n">
        <v>45646</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Motaggsvamp</t>
        </is>
      </c>
      <c r="S162">
        <f>HYPERLINK("https://klasma.github.io/Logging_2326/artfynd/A 35275-2023 artfynd.xlsx", "A 35275-2023")</f>
        <v/>
      </c>
      <c r="T162">
        <f>HYPERLINK("https://klasma.github.io/Logging_2326/kartor/A 35275-2023 karta.png", "A 35275-2023")</f>
        <v/>
      </c>
      <c r="V162">
        <f>HYPERLINK("https://klasma.github.io/Logging_2326/klagomål/A 35275-2023 FSC-klagomål.docx", "A 35275-2023")</f>
        <v/>
      </c>
      <c r="W162">
        <f>HYPERLINK("https://klasma.github.io/Logging_2326/klagomålsmail/A 35275-2023 FSC-klagomål mail.docx", "A 35275-2023")</f>
        <v/>
      </c>
      <c r="X162">
        <f>HYPERLINK("https://klasma.github.io/Logging_2326/tillsyn/A 35275-2023 tillsynsbegäran.docx", "A 35275-2023")</f>
        <v/>
      </c>
      <c r="Y162">
        <f>HYPERLINK("https://klasma.github.io/Logging_2326/tillsynsmail/A 35275-2023 tillsynsbegäran mail.docx", "A 35275-2023")</f>
        <v/>
      </c>
    </row>
    <row r="163" ht="15" customHeight="1">
      <c r="A163" t="inlineStr">
        <is>
          <t>A 50543-2023</t>
        </is>
      </c>
      <c r="B163" s="1" t="n">
        <v>45210</v>
      </c>
      <c r="C163" s="1" t="n">
        <v>45646</v>
      </c>
      <c r="D163" t="inlineStr">
        <is>
          <t>JÄMTLANDS LÄN</t>
        </is>
      </c>
      <c r="E163" t="inlineStr">
        <is>
          <t>BERG</t>
        </is>
      </c>
      <c r="F163" t="inlineStr">
        <is>
          <t>Övriga statliga verk och myndigheter</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50543-2023 artfynd.xlsx", "A 50543-2023")</f>
        <v/>
      </c>
      <c r="T163">
        <f>HYPERLINK("https://klasma.github.io/Logging_2326/kartor/A 50543-2023 karta.png", "A 50543-2023")</f>
        <v/>
      </c>
      <c r="V163">
        <f>HYPERLINK("https://klasma.github.io/Logging_2326/klagomål/A 50543-2023 FSC-klagomål.docx", "A 50543-2023")</f>
        <v/>
      </c>
      <c r="W163">
        <f>HYPERLINK("https://klasma.github.io/Logging_2326/klagomålsmail/A 50543-2023 FSC-klagomål mail.docx", "A 50543-2023")</f>
        <v/>
      </c>
      <c r="X163">
        <f>HYPERLINK("https://klasma.github.io/Logging_2326/tillsyn/A 50543-2023 tillsynsbegäran.docx", "A 50543-2023")</f>
        <v/>
      </c>
      <c r="Y163">
        <f>HYPERLINK("https://klasma.github.io/Logging_2326/tillsynsmail/A 50543-2023 tillsynsbegäran mail.docx", "A 50543-2023")</f>
        <v/>
      </c>
      <c r="Z163">
        <f>HYPERLINK("https://klasma.github.io/Logging_2326/fåglar/A 50543-2023 prioriterade fågelarter.docx", "A 50543-2023")</f>
        <v/>
      </c>
    </row>
    <row r="164" ht="15" customHeight="1">
      <c r="A164" t="inlineStr">
        <is>
          <t>A 50765-2023</t>
        </is>
      </c>
      <c r="B164" s="1" t="n">
        <v>45210</v>
      </c>
      <c r="C164" s="1" t="n">
        <v>45646</v>
      </c>
      <c r="D164" t="inlineStr">
        <is>
          <t>JÄMTLANDS LÄN</t>
        </is>
      </c>
      <c r="E164" t="inlineStr">
        <is>
          <t>BERG</t>
        </is>
      </c>
      <c r="G164" t="n">
        <v>9.4</v>
      </c>
      <c r="H164" t="n">
        <v>0</v>
      </c>
      <c r="I164" t="n">
        <v>0</v>
      </c>
      <c r="J164" t="n">
        <v>1</v>
      </c>
      <c r="K164" t="n">
        <v>0</v>
      </c>
      <c r="L164" t="n">
        <v>0</v>
      </c>
      <c r="M164" t="n">
        <v>0</v>
      </c>
      <c r="N164" t="n">
        <v>0</v>
      </c>
      <c r="O164" t="n">
        <v>1</v>
      </c>
      <c r="P164" t="n">
        <v>0</v>
      </c>
      <c r="Q164" t="n">
        <v>1</v>
      </c>
      <c r="R164" s="2" t="inlineStr">
        <is>
          <t>Äggvaxskivling</t>
        </is>
      </c>
      <c r="S164">
        <f>HYPERLINK("https://klasma.github.io/Logging_2326/artfynd/A 50765-2023 artfynd.xlsx", "A 50765-2023")</f>
        <v/>
      </c>
      <c r="T164">
        <f>HYPERLINK("https://klasma.github.io/Logging_2326/kartor/A 50765-2023 karta.png", "A 50765-2023")</f>
        <v/>
      </c>
      <c r="V164">
        <f>HYPERLINK("https://klasma.github.io/Logging_2326/klagomål/A 50765-2023 FSC-klagomål.docx", "A 50765-2023")</f>
        <v/>
      </c>
      <c r="W164">
        <f>HYPERLINK("https://klasma.github.io/Logging_2326/klagomålsmail/A 50765-2023 FSC-klagomål mail.docx", "A 50765-2023")</f>
        <v/>
      </c>
      <c r="X164">
        <f>HYPERLINK("https://klasma.github.io/Logging_2326/tillsyn/A 50765-2023 tillsynsbegäran.docx", "A 50765-2023")</f>
        <v/>
      </c>
      <c r="Y164">
        <f>HYPERLINK("https://klasma.github.io/Logging_2326/tillsynsmail/A 50765-2023 tillsynsbegäran mail.docx", "A 50765-2023")</f>
        <v/>
      </c>
    </row>
    <row r="165" ht="15" customHeight="1">
      <c r="A165" t="inlineStr">
        <is>
          <t>A 53443-2023</t>
        </is>
      </c>
      <c r="B165" s="1" t="n">
        <v>45210</v>
      </c>
      <c r="C165" s="1" t="n">
        <v>45646</v>
      </c>
      <c r="D165" t="inlineStr">
        <is>
          <t>JÄMTLANDS LÄN</t>
        </is>
      </c>
      <c r="E165" t="inlineStr">
        <is>
          <t>BERG</t>
        </is>
      </c>
      <c r="F165" t="inlineStr">
        <is>
          <t>Övriga statliga verk och myndigheter</t>
        </is>
      </c>
      <c r="G165" t="n">
        <v>3.4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53443-2023 artfynd.xlsx", "A 53443-2023")</f>
        <v/>
      </c>
      <c r="T165">
        <f>HYPERLINK("https://klasma.github.io/Logging_2326/kartor/A 53443-2023 karta.png", "A 53443-2023")</f>
        <v/>
      </c>
      <c r="V165">
        <f>HYPERLINK("https://klasma.github.io/Logging_2326/klagomål/A 53443-2023 FSC-klagomål.docx", "A 53443-2023")</f>
        <v/>
      </c>
      <c r="W165">
        <f>HYPERLINK("https://klasma.github.io/Logging_2326/klagomålsmail/A 53443-2023 FSC-klagomål mail.docx", "A 53443-2023")</f>
        <v/>
      </c>
      <c r="X165">
        <f>HYPERLINK("https://klasma.github.io/Logging_2326/tillsyn/A 53443-2023 tillsynsbegäran.docx", "A 53443-2023")</f>
        <v/>
      </c>
      <c r="Y165">
        <f>HYPERLINK("https://klasma.github.io/Logging_2326/tillsynsmail/A 53443-2023 tillsynsbegäran mail.docx", "A 53443-2023")</f>
        <v/>
      </c>
      <c r="Z165">
        <f>HYPERLINK("https://klasma.github.io/Logging_2326/fåglar/A 53443-2023 prioriterade fågelarter.docx", "A 53443-2023")</f>
        <v/>
      </c>
    </row>
    <row r="166" ht="15" customHeight="1">
      <c r="A166" t="inlineStr">
        <is>
          <t>A 50225-2023</t>
        </is>
      </c>
      <c r="B166" s="1" t="n">
        <v>45215</v>
      </c>
      <c r="C166" s="1" t="n">
        <v>45646</v>
      </c>
      <c r="D166" t="inlineStr">
        <is>
          <t>JÄMTLANDS LÄN</t>
        </is>
      </c>
      <c r="E166" t="inlineStr">
        <is>
          <t>BERG</t>
        </is>
      </c>
      <c r="F166" t="inlineStr">
        <is>
          <t>SCA</t>
        </is>
      </c>
      <c r="G166" t="n">
        <v>4.3</v>
      </c>
      <c r="H166" t="n">
        <v>0</v>
      </c>
      <c r="I166" t="n">
        <v>0</v>
      </c>
      <c r="J166" t="n">
        <v>0</v>
      </c>
      <c r="K166" t="n">
        <v>1</v>
      </c>
      <c r="L166" t="n">
        <v>0</v>
      </c>
      <c r="M166" t="n">
        <v>0</v>
      </c>
      <c r="N166" t="n">
        <v>0</v>
      </c>
      <c r="O166" t="n">
        <v>1</v>
      </c>
      <c r="P166" t="n">
        <v>1</v>
      </c>
      <c r="Q166" t="n">
        <v>1</v>
      </c>
      <c r="R166" s="2" t="inlineStr">
        <is>
          <t>Rynkskinn</t>
        </is>
      </c>
      <c r="S166">
        <f>HYPERLINK("https://klasma.github.io/Logging_2326/artfynd/A 50225-2023 artfynd.xlsx", "A 50225-2023")</f>
        <v/>
      </c>
      <c r="T166">
        <f>HYPERLINK("https://klasma.github.io/Logging_2326/kartor/A 50225-2023 karta.png", "A 50225-2023")</f>
        <v/>
      </c>
      <c r="V166">
        <f>HYPERLINK("https://klasma.github.io/Logging_2326/klagomål/A 50225-2023 FSC-klagomål.docx", "A 50225-2023")</f>
        <v/>
      </c>
      <c r="W166">
        <f>HYPERLINK("https://klasma.github.io/Logging_2326/klagomålsmail/A 50225-2023 FSC-klagomål mail.docx", "A 50225-2023")</f>
        <v/>
      </c>
      <c r="X166">
        <f>HYPERLINK("https://klasma.github.io/Logging_2326/tillsyn/A 50225-2023 tillsynsbegäran.docx", "A 50225-2023")</f>
        <v/>
      </c>
      <c r="Y166">
        <f>HYPERLINK("https://klasma.github.io/Logging_2326/tillsynsmail/A 50225-2023 tillsynsbegäran mail.docx", "A 50225-2023")</f>
        <v/>
      </c>
    </row>
    <row r="167" ht="15" customHeight="1">
      <c r="A167" t="inlineStr">
        <is>
          <t>A 50224-2023</t>
        </is>
      </c>
      <c r="B167" s="1" t="n">
        <v>45215</v>
      </c>
      <c r="C167" s="1" t="n">
        <v>45646</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50519-2023</t>
        </is>
      </c>
      <c r="B168" s="1" t="n">
        <v>45217</v>
      </c>
      <c r="C168" s="1" t="n">
        <v>45646</v>
      </c>
      <c r="D168" t="inlineStr">
        <is>
          <t>JÄMTLANDS LÄN</t>
        </is>
      </c>
      <c r="E168" t="inlineStr">
        <is>
          <t>BERG</t>
        </is>
      </c>
      <c r="F168" t="inlineStr">
        <is>
          <t>SCA</t>
        </is>
      </c>
      <c r="G168" t="n">
        <v>0.8</v>
      </c>
      <c r="H168" t="n">
        <v>0</v>
      </c>
      <c r="I168" t="n">
        <v>1</v>
      </c>
      <c r="J168" t="n">
        <v>0</v>
      </c>
      <c r="K168" t="n">
        <v>0</v>
      </c>
      <c r="L168" t="n">
        <v>0</v>
      </c>
      <c r="M168" t="n">
        <v>0</v>
      </c>
      <c r="N168" t="n">
        <v>0</v>
      </c>
      <c r="O168" t="n">
        <v>0</v>
      </c>
      <c r="P168" t="n">
        <v>0</v>
      </c>
      <c r="Q168" t="n">
        <v>1</v>
      </c>
      <c r="R168" s="2" t="inlineStr">
        <is>
          <t>Norrlandslav</t>
        </is>
      </c>
      <c r="S168">
        <f>HYPERLINK("https://klasma.github.io/Logging_2326/artfynd/A 50519-2023 artfynd.xlsx", "A 50519-2023")</f>
        <v/>
      </c>
      <c r="T168">
        <f>HYPERLINK("https://klasma.github.io/Logging_2326/kartor/A 50519-2023 karta.png", "A 50519-2023")</f>
        <v/>
      </c>
      <c r="V168">
        <f>HYPERLINK("https://klasma.github.io/Logging_2326/klagomål/A 50519-2023 FSC-klagomål.docx", "A 50519-2023")</f>
        <v/>
      </c>
      <c r="W168">
        <f>HYPERLINK("https://klasma.github.io/Logging_2326/klagomålsmail/A 50519-2023 FSC-klagomål mail.docx", "A 50519-2023")</f>
        <v/>
      </c>
      <c r="X168">
        <f>HYPERLINK("https://klasma.github.io/Logging_2326/tillsyn/A 50519-2023 tillsynsbegäran.docx", "A 50519-2023")</f>
        <v/>
      </c>
      <c r="Y168">
        <f>HYPERLINK("https://klasma.github.io/Logging_2326/tillsynsmail/A 50519-2023 tillsynsbegäran mail.docx", "A 50519-2023")</f>
        <v/>
      </c>
    </row>
    <row r="169" ht="15" customHeight="1">
      <c r="A169" t="inlineStr">
        <is>
          <t>A 51811-2023</t>
        </is>
      </c>
      <c r="B169" s="1" t="n">
        <v>45222</v>
      </c>
      <c r="C169" s="1" t="n">
        <v>45646</v>
      </c>
      <c r="D169" t="inlineStr">
        <is>
          <t>JÄMTLANDS LÄN</t>
        </is>
      </c>
      <c r="E169" t="inlineStr">
        <is>
          <t>BERG</t>
        </is>
      </c>
      <c r="F169" t="inlineStr">
        <is>
          <t>SCA</t>
        </is>
      </c>
      <c r="G169" t="n">
        <v>7.9</v>
      </c>
      <c r="H169" t="n">
        <v>0</v>
      </c>
      <c r="I169" t="n">
        <v>0</v>
      </c>
      <c r="J169" t="n">
        <v>0</v>
      </c>
      <c r="K169" t="n">
        <v>1</v>
      </c>
      <c r="L169" t="n">
        <v>0</v>
      </c>
      <c r="M169" t="n">
        <v>0</v>
      </c>
      <c r="N169" t="n">
        <v>0</v>
      </c>
      <c r="O169" t="n">
        <v>1</v>
      </c>
      <c r="P169" t="n">
        <v>1</v>
      </c>
      <c r="Q169" t="n">
        <v>1</v>
      </c>
      <c r="R169" s="2" t="inlineStr">
        <is>
          <t>Gräddporing</t>
        </is>
      </c>
      <c r="S169">
        <f>HYPERLINK("https://klasma.github.io/Logging_2326/artfynd/A 51811-2023 artfynd.xlsx", "A 51811-2023")</f>
        <v/>
      </c>
      <c r="T169">
        <f>HYPERLINK("https://klasma.github.io/Logging_2326/kartor/A 51811-2023 karta.png", "A 51811-2023")</f>
        <v/>
      </c>
      <c r="V169">
        <f>HYPERLINK("https://klasma.github.io/Logging_2326/klagomål/A 51811-2023 FSC-klagomål.docx", "A 51811-2023")</f>
        <v/>
      </c>
      <c r="W169">
        <f>HYPERLINK("https://klasma.github.io/Logging_2326/klagomålsmail/A 51811-2023 FSC-klagomål mail.docx", "A 51811-2023")</f>
        <v/>
      </c>
      <c r="X169">
        <f>HYPERLINK("https://klasma.github.io/Logging_2326/tillsyn/A 51811-2023 tillsynsbegäran.docx", "A 51811-2023")</f>
        <v/>
      </c>
      <c r="Y169">
        <f>HYPERLINK("https://klasma.github.io/Logging_2326/tillsynsmail/A 51811-2023 tillsynsbegäran mail.docx", "A 51811-2023")</f>
        <v/>
      </c>
    </row>
    <row r="170" ht="15" customHeight="1">
      <c r="A170" t="inlineStr">
        <is>
          <t>A 54337-2023</t>
        </is>
      </c>
      <c r="B170" s="1" t="n">
        <v>45233</v>
      </c>
      <c r="C170" s="1" t="n">
        <v>45646</v>
      </c>
      <c r="D170" t="inlineStr">
        <is>
          <t>JÄMTLANDS LÄN</t>
        </is>
      </c>
      <c r="E170" t="inlineStr">
        <is>
          <t>BERG</t>
        </is>
      </c>
      <c r="F170" t="inlineStr">
        <is>
          <t>SCA</t>
        </is>
      </c>
      <c r="G170" t="n">
        <v>18.7</v>
      </c>
      <c r="H170" t="n">
        <v>0</v>
      </c>
      <c r="I170" t="n">
        <v>1</v>
      </c>
      <c r="J170" t="n">
        <v>0</v>
      </c>
      <c r="K170" t="n">
        <v>0</v>
      </c>
      <c r="L170" t="n">
        <v>0</v>
      </c>
      <c r="M170" t="n">
        <v>0</v>
      </c>
      <c r="N170" t="n">
        <v>0</v>
      </c>
      <c r="O170" t="n">
        <v>0</v>
      </c>
      <c r="P170" t="n">
        <v>0</v>
      </c>
      <c r="Q170" t="n">
        <v>1</v>
      </c>
      <c r="R170" s="2" t="inlineStr">
        <is>
          <t>Dropptaggsvamp</t>
        </is>
      </c>
      <c r="S170">
        <f>HYPERLINK("https://klasma.github.io/Logging_2326/artfynd/A 54337-2023 artfynd.xlsx", "A 54337-2023")</f>
        <v/>
      </c>
      <c r="T170">
        <f>HYPERLINK("https://klasma.github.io/Logging_2326/kartor/A 54337-2023 karta.png", "A 54337-2023")</f>
        <v/>
      </c>
      <c r="V170">
        <f>HYPERLINK("https://klasma.github.io/Logging_2326/klagomål/A 54337-2023 FSC-klagomål.docx", "A 54337-2023")</f>
        <v/>
      </c>
      <c r="W170">
        <f>HYPERLINK("https://klasma.github.io/Logging_2326/klagomålsmail/A 54337-2023 FSC-klagomål mail.docx", "A 54337-2023")</f>
        <v/>
      </c>
      <c r="X170">
        <f>HYPERLINK("https://klasma.github.io/Logging_2326/tillsyn/A 54337-2023 tillsynsbegäran.docx", "A 54337-2023")</f>
        <v/>
      </c>
      <c r="Y170">
        <f>HYPERLINK("https://klasma.github.io/Logging_2326/tillsynsmail/A 54337-2023 tillsynsbegäran mail.docx", "A 54337-2023")</f>
        <v/>
      </c>
    </row>
    <row r="171" ht="15" customHeight="1">
      <c r="A171" t="inlineStr">
        <is>
          <t>A 54347-2023</t>
        </is>
      </c>
      <c r="B171" s="1" t="n">
        <v>45233</v>
      </c>
      <c r="C171" s="1" t="n">
        <v>45646</v>
      </c>
      <c r="D171" t="inlineStr">
        <is>
          <t>JÄMTLANDS LÄN</t>
        </is>
      </c>
      <c r="E171" t="inlineStr">
        <is>
          <t>BERG</t>
        </is>
      </c>
      <c r="F171" t="inlineStr">
        <is>
          <t>SCA</t>
        </is>
      </c>
      <c r="G171" t="n">
        <v>13.4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54347-2023 artfynd.xlsx", "A 54347-2023")</f>
        <v/>
      </c>
      <c r="T171">
        <f>HYPERLINK("https://klasma.github.io/Logging_2326/kartor/A 54347-2023 karta.png", "A 54347-2023")</f>
        <v/>
      </c>
      <c r="V171">
        <f>HYPERLINK("https://klasma.github.io/Logging_2326/klagomål/A 54347-2023 FSC-klagomål.docx", "A 54347-2023")</f>
        <v/>
      </c>
      <c r="W171">
        <f>HYPERLINK("https://klasma.github.io/Logging_2326/klagomålsmail/A 54347-2023 FSC-klagomål mail.docx", "A 54347-2023")</f>
        <v/>
      </c>
      <c r="X171">
        <f>HYPERLINK("https://klasma.github.io/Logging_2326/tillsyn/A 54347-2023 tillsynsbegäran.docx", "A 54347-2023")</f>
        <v/>
      </c>
      <c r="Y171">
        <f>HYPERLINK("https://klasma.github.io/Logging_2326/tillsynsmail/A 54347-2023 tillsynsbegäran mail.docx", "A 54347-2023")</f>
        <v/>
      </c>
    </row>
    <row r="172" ht="15" customHeight="1">
      <c r="A172" t="inlineStr">
        <is>
          <t>A 55000-2023</t>
        </is>
      </c>
      <c r="B172" s="1" t="n">
        <v>45237</v>
      </c>
      <c r="C172" s="1" t="n">
        <v>45646</v>
      </c>
      <c r="D172" t="inlineStr">
        <is>
          <t>JÄMTLANDS LÄN</t>
        </is>
      </c>
      <c r="E172" t="inlineStr">
        <is>
          <t>BERG</t>
        </is>
      </c>
      <c r="F172" t="inlineStr">
        <is>
          <t>SCA</t>
        </is>
      </c>
      <c r="G172" t="n">
        <v>1.2</v>
      </c>
      <c r="H172" t="n">
        <v>0</v>
      </c>
      <c r="I172" t="n">
        <v>0</v>
      </c>
      <c r="J172" t="n">
        <v>1</v>
      </c>
      <c r="K172" t="n">
        <v>0</v>
      </c>
      <c r="L172" t="n">
        <v>0</v>
      </c>
      <c r="M172" t="n">
        <v>0</v>
      </c>
      <c r="N172" t="n">
        <v>0</v>
      </c>
      <c r="O172" t="n">
        <v>1</v>
      </c>
      <c r="P172" t="n">
        <v>0</v>
      </c>
      <c r="Q172" t="n">
        <v>1</v>
      </c>
      <c r="R172" s="2" t="inlineStr">
        <is>
          <t>Blå taggsvamp</t>
        </is>
      </c>
      <c r="S172">
        <f>HYPERLINK("https://klasma.github.io/Logging_2326/artfynd/A 55000-2023 artfynd.xlsx", "A 55000-2023")</f>
        <v/>
      </c>
      <c r="T172">
        <f>HYPERLINK("https://klasma.github.io/Logging_2326/kartor/A 55000-2023 karta.png", "A 55000-2023")</f>
        <v/>
      </c>
      <c r="V172">
        <f>HYPERLINK("https://klasma.github.io/Logging_2326/klagomål/A 55000-2023 FSC-klagomål.docx", "A 55000-2023")</f>
        <v/>
      </c>
      <c r="W172">
        <f>HYPERLINK("https://klasma.github.io/Logging_2326/klagomålsmail/A 55000-2023 FSC-klagomål mail.docx", "A 55000-2023")</f>
        <v/>
      </c>
      <c r="X172">
        <f>HYPERLINK("https://klasma.github.io/Logging_2326/tillsyn/A 55000-2023 tillsynsbegäran.docx", "A 55000-2023")</f>
        <v/>
      </c>
      <c r="Y172">
        <f>HYPERLINK("https://klasma.github.io/Logging_2326/tillsynsmail/A 55000-2023 tillsynsbegäran mail.docx", "A 55000-2023")</f>
        <v/>
      </c>
    </row>
    <row r="173" ht="15" customHeight="1">
      <c r="A173" t="inlineStr">
        <is>
          <t>A 57421-2023</t>
        </is>
      </c>
      <c r="B173" s="1" t="n">
        <v>45245</v>
      </c>
      <c r="C173" s="1" t="n">
        <v>45646</v>
      </c>
      <c r="D173" t="inlineStr">
        <is>
          <t>JÄMTLANDS LÄN</t>
        </is>
      </c>
      <c r="E173" t="inlineStr">
        <is>
          <t>BERG</t>
        </is>
      </c>
      <c r="F173" t="inlineStr">
        <is>
          <t>SCA</t>
        </is>
      </c>
      <c r="G173" t="n">
        <v>5.4</v>
      </c>
      <c r="H173" t="n">
        <v>0</v>
      </c>
      <c r="I173" t="n">
        <v>0</v>
      </c>
      <c r="J173" t="n">
        <v>0</v>
      </c>
      <c r="K173" t="n">
        <v>1</v>
      </c>
      <c r="L173" t="n">
        <v>0</v>
      </c>
      <c r="M173" t="n">
        <v>0</v>
      </c>
      <c r="N173" t="n">
        <v>0</v>
      </c>
      <c r="O173" t="n">
        <v>1</v>
      </c>
      <c r="P173" t="n">
        <v>1</v>
      </c>
      <c r="Q173" t="n">
        <v>1</v>
      </c>
      <c r="R173" s="2" t="inlineStr">
        <is>
          <t>Gräddporing</t>
        </is>
      </c>
      <c r="S173">
        <f>HYPERLINK("https://klasma.github.io/Logging_2326/artfynd/A 57421-2023 artfynd.xlsx", "A 57421-2023")</f>
        <v/>
      </c>
      <c r="T173">
        <f>HYPERLINK("https://klasma.github.io/Logging_2326/kartor/A 57421-2023 karta.png", "A 57421-2023")</f>
        <v/>
      </c>
      <c r="V173">
        <f>HYPERLINK("https://klasma.github.io/Logging_2326/klagomål/A 57421-2023 FSC-klagomål.docx", "A 57421-2023")</f>
        <v/>
      </c>
      <c r="W173">
        <f>HYPERLINK("https://klasma.github.io/Logging_2326/klagomålsmail/A 57421-2023 FSC-klagomål mail.docx", "A 57421-2023")</f>
        <v/>
      </c>
      <c r="X173">
        <f>HYPERLINK("https://klasma.github.io/Logging_2326/tillsyn/A 57421-2023 tillsynsbegäran.docx", "A 57421-2023")</f>
        <v/>
      </c>
      <c r="Y173">
        <f>HYPERLINK("https://klasma.github.io/Logging_2326/tillsynsmail/A 57421-2023 tillsynsbegäran mail.docx", "A 57421-2023")</f>
        <v/>
      </c>
    </row>
    <row r="174" ht="15" customHeight="1">
      <c r="A174" t="inlineStr">
        <is>
          <t>A 7195-2024</t>
        </is>
      </c>
      <c r="B174" s="1" t="n">
        <v>45344</v>
      </c>
      <c r="C174" s="1" t="n">
        <v>45646</v>
      </c>
      <c r="D174" t="inlineStr">
        <is>
          <t>JÄMTLANDS LÄN</t>
        </is>
      </c>
      <c r="E174" t="inlineStr">
        <is>
          <t>BERG</t>
        </is>
      </c>
      <c r="G174" t="n">
        <v>4.2</v>
      </c>
      <c r="H174" t="n">
        <v>1</v>
      </c>
      <c r="I174" t="n">
        <v>0</v>
      </c>
      <c r="J174" t="n">
        <v>0</v>
      </c>
      <c r="K174" t="n">
        <v>0</v>
      </c>
      <c r="L174" t="n">
        <v>0</v>
      </c>
      <c r="M174" t="n">
        <v>0</v>
      </c>
      <c r="N174" t="n">
        <v>0</v>
      </c>
      <c r="O174" t="n">
        <v>0</v>
      </c>
      <c r="P174" t="n">
        <v>0</v>
      </c>
      <c r="Q174" t="n">
        <v>1</v>
      </c>
      <c r="R174" s="2" t="inlineStr">
        <is>
          <t>Revlummer</t>
        </is>
      </c>
      <c r="S174">
        <f>HYPERLINK("https://klasma.github.io/Logging_2326/artfynd/A 7195-2024 artfynd.xlsx", "A 7195-2024")</f>
        <v/>
      </c>
      <c r="T174">
        <f>HYPERLINK("https://klasma.github.io/Logging_2326/kartor/A 7195-2024 karta.png", "A 7195-2024")</f>
        <v/>
      </c>
      <c r="V174">
        <f>HYPERLINK("https://klasma.github.io/Logging_2326/klagomål/A 7195-2024 FSC-klagomål.docx", "A 7195-2024")</f>
        <v/>
      </c>
      <c r="W174">
        <f>HYPERLINK("https://klasma.github.io/Logging_2326/klagomålsmail/A 7195-2024 FSC-klagomål mail.docx", "A 7195-2024")</f>
        <v/>
      </c>
      <c r="X174">
        <f>HYPERLINK("https://klasma.github.io/Logging_2326/tillsyn/A 7195-2024 tillsynsbegäran.docx", "A 7195-2024")</f>
        <v/>
      </c>
      <c r="Y174">
        <f>HYPERLINK("https://klasma.github.io/Logging_2326/tillsynsmail/A 7195-2024 tillsynsbegäran mail.docx", "A 7195-2024")</f>
        <v/>
      </c>
    </row>
    <row r="175" ht="15" customHeight="1">
      <c r="A175" t="inlineStr">
        <is>
          <t>A 12733-2024</t>
        </is>
      </c>
      <c r="B175" s="1" t="n">
        <v>45384</v>
      </c>
      <c r="C175" s="1" t="n">
        <v>45646</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20808-2024</t>
        </is>
      </c>
      <c r="B176" s="1" t="n">
        <v>45439</v>
      </c>
      <c r="C176" s="1" t="n">
        <v>45646</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22540-2024</t>
        </is>
      </c>
      <c r="B177" s="1" t="n">
        <v>45447</v>
      </c>
      <c r="C177" s="1" t="n">
        <v>45646</v>
      </c>
      <c r="D177" t="inlineStr">
        <is>
          <t>JÄMTLANDS LÄN</t>
        </is>
      </c>
      <c r="E177" t="inlineStr">
        <is>
          <t>BERG</t>
        </is>
      </c>
      <c r="G177" t="n">
        <v>9.199999999999999</v>
      </c>
      <c r="H177" t="n">
        <v>0</v>
      </c>
      <c r="I177" t="n">
        <v>0</v>
      </c>
      <c r="J177" t="n">
        <v>1</v>
      </c>
      <c r="K177" t="n">
        <v>0</v>
      </c>
      <c r="L177" t="n">
        <v>0</v>
      </c>
      <c r="M177" t="n">
        <v>0</v>
      </c>
      <c r="N177" t="n">
        <v>0</v>
      </c>
      <c r="O177" t="n">
        <v>1</v>
      </c>
      <c r="P177" t="n">
        <v>0</v>
      </c>
      <c r="Q177" t="n">
        <v>1</v>
      </c>
      <c r="R177" s="2" t="inlineStr">
        <is>
          <t>Violettgrå tagellav</t>
        </is>
      </c>
      <c r="S177">
        <f>HYPERLINK("https://klasma.github.io/Logging_2326/artfynd/A 22540-2024 artfynd.xlsx", "A 22540-2024")</f>
        <v/>
      </c>
      <c r="T177">
        <f>HYPERLINK("https://klasma.github.io/Logging_2326/kartor/A 22540-2024 karta.png", "A 22540-2024")</f>
        <v/>
      </c>
      <c r="V177">
        <f>HYPERLINK("https://klasma.github.io/Logging_2326/klagomål/A 22540-2024 FSC-klagomål.docx", "A 22540-2024")</f>
        <v/>
      </c>
      <c r="W177">
        <f>HYPERLINK("https://klasma.github.io/Logging_2326/klagomålsmail/A 22540-2024 FSC-klagomål mail.docx", "A 22540-2024")</f>
        <v/>
      </c>
      <c r="X177">
        <f>HYPERLINK("https://klasma.github.io/Logging_2326/tillsyn/A 22540-2024 tillsynsbegäran.docx", "A 22540-2024")</f>
        <v/>
      </c>
      <c r="Y177">
        <f>HYPERLINK("https://klasma.github.io/Logging_2326/tillsynsmail/A 22540-2024 tillsynsbegäran mail.docx", "A 22540-2024")</f>
        <v/>
      </c>
    </row>
    <row r="178" ht="15" customHeight="1">
      <c r="A178" t="inlineStr">
        <is>
          <t>A 23966-2024</t>
        </is>
      </c>
      <c r="B178" s="1" t="n">
        <v>45456</v>
      </c>
      <c r="C178" s="1" t="n">
        <v>45646</v>
      </c>
      <c r="D178" t="inlineStr">
        <is>
          <t>JÄMTLANDS LÄN</t>
        </is>
      </c>
      <c r="E178" t="inlineStr">
        <is>
          <t>BERG</t>
        </is>
      </c>
      <c r="F178" t="inlineStr">
        <is>
          <t>SCA</t>
        </is>
      </c>
      <c r="G178" t="n">
        <v>28.7</v>
      </c>
      <c r="H178" t="n">
        <v>0</v>
      </c>
      <c r="I178" t="n">
        <v>0</v>
      </c>
      <c r="J178" t="n">
        <v>0</v>
      </c>
      <c r="K178" t="n">
        <v>1</v>
      </c>
      <c r="L178" t="n">
        <v>0</v>
      </c>
      <c r="M178" t="n">
        <v>0</v>
      </c>
      <c r="N178" t="n">
        <v>0</v>
      </c>
      <c r="O178" t="n">
        <v>1</v>
      </c>
      <c r="P178" t="n">
        <v>1</v>
      </c>
      <c r="Q178" t="n">
        <v>1</v>
      </c>
      <c r="R178" s="2" t="inlineStr">
        <is>
          <t>Gräddporing</t>
        </is>
      </c>
      <c r="S178">
        <f>HYPERLINK("https://klasma.github.io/Logging_2326/artfynd/A 23966-2024 artfynd.xlsx", "A 23966-2024")</f>
        <v/>
      </c>
      <c r="T178">
        <f>HYPERLINK("https://klasma.github.io/Logging_2326/kartor/A 23966-2024 karta.png", "A 23966-2024")</f>
        <v/>
      </c>
      <c r="V178">
        <f>HYPERLINK("https://klasma.github.io/Logging_2326/klagomål/A 23966-2024 FSC-klagomål.docx", "A 23966-2024")</f>
        <v/>
      </c>
      <c r="W178">
        <f>HYPERLINK("https://klasma.github.io/Logging_2326/klagomålsmail/A 23966-2024 FSC-klagomål mail.docx", "A 23966-2024")</f>
        <v/>
      </c>
      <c r="X178">
        <f>HYPERLINK("https://klasma.github.io/Logging_2326/tillsyn/A 23966-2024 tillsynsbegäran.docx", "A 23966-2024")</f>
        <v/>
      </c>
      <c r="Y178">
        <f>HYPERLINK("https://klasma.github.io/Logging_2326/tillsynsmail/A 23966-2024 tillsynsbegäran mail.docx", "A 23966-2024")</f>
        <v/>
      </c>
    </row>
    <row r="179" ht="15" customHeight="1">
      <c r="A179" t="inlineStr">
        <is>
          <t>A 29746-2024</t>
        </is>
      </c>
      <c r="B179" s="1" t="n">
        <v>45485</v>
      </c>
      <c r="C179" s="1" t="n">
        <v>45646</v>
      </c>
      <c r="D179" t="inlineStr">
        <is>
          <t>JÄMTLANDS LÄN</t>
        </is>
      </c>
      <c r="E179" t="inlineStr">
        <is>
          <t>BERG</t>
        </is>
      </c>
      <c r="F179" t="inlineStr">
        <is>
          <t>Sveaskog</t>
        </is>
      </c>
      <c r="G179" t="n">
        <v>6</v>
      </c>
      <c r="H179" t="n">
        <v>0</v>
      </c>
      <c r="I179" t="n">
        <v>0</v>
      </c>
      <c r="J179" t="n">
        <v>1</v>
      </c>
      <c r="K179" t="n">
        <v>0</v>
      </c>
      <c r="L179" t="n">
        <v>0</v>
      </c>
      <c r="M179" t="n">
        <v>0</v>
      </c>
      <c r="N179" t="n">
        <v>0</v>
      </c>
      <c r="O179" t="n">
        <v>1</v>
      </c>
      <c r="P179" t="n">
        <v>0</v>
      </c>
      <c r="Q179" t="n">
        <v>1</v>
      </c>
      <c r="R179" s="2" t="inlineStr">
        <is>
          <t>Lunglav</t>
        </is>
      </c>
      <c r="S179">
        <f>HYPERLINK("https://klasma.github.io/Logging_2326/artfynd/A 29746-2024 artfynd.xlsx", "A 29746-2024")</f>
        <v/>
      </c>
      <c r="T179">
        <f>HYPERLINK("https://klasma.github.io/Logging_2326/kartor/A 29746-2024 karta.png", "A 29746-2024")</f>
        <v/>
      </c>
      <c r="V179">
        <f>HYPERLINK("https://klasma.github.io/Logging_2326/klagomål/A 29746-2024 FSC-klagomål.docx", "A 29746-2024")</f>
        <v/>
      </c>
      <c r="W179">
        <f>HYPERLINK("https://klasma.github.io/Logging_2326/klagomålsmail/A 29746-2024 FSC-klagomål mail.docx", "A 29746-2024")</f>
        <v/>
      </c>
      <c r="X179">
        <f>HYPERLINK("https://klasma.github.io/Logging_2326/tillsyn/A 29746-2024 tillsynsbegäran.docx", "A 29746-2024")</f>
        <v/>
      </c>
      <c r="Y179">
        <f>HYPERLINK("https://klasma.github.io/Logging_2326/tillsynsmail/A 29746-2024 tillsynsbegäran mail.docx", "A 29746-2024")</f>
        <v/>
      </c>
    </row>
    <row r="180" ht="15" customHeight="1">
      <c r="A180" t="inlineStr">
        <is>
          <t>A 32171-2024</t>
        </is>
      </c>
      <c r="B180" s="1" t="n">
        <v>45511</v>
      </c>
      <c r="C180" s="1" t="n">
        <v>45646</v>
      </c>
      <c r="D180" t="inlineStr">
        <is>
          <t>JÄMTLANDS LÄN</t>
        </is>
      </c>
      <c r="E180" t="inlineStr">
        <is>
          <t>BERG</t>
        </is>
      </c>
      <c r="G180" t="n">
        <v>9.699999999999999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32171-2024 artfynd.xlsx", "A 32171-2024")</f>
        <v/>
      </c>
      <c r="T180">
        <f>HYPERLINK("https://klasma.github.io/Logging_2326/kartor/A 32171-2024 karta.png", "A 32171-2024")</f>
        <v/>
      </c>
      <c r="V180">
        <f>HYPERLINK("https://klasma.github.io/Logging_2326/klagomål/A 32171-2024 FSC-klagomål.docx", "A 32171-2024")</f>
        <v/>
      </c>
      <c r="W180">
        <f>HYPERLINK("https://klasma.github.io/Logging_2326/klagomålsmail/A 32171-2024 FSC-klagomål mail.docx", "A 32171-2024")</f>
        <v/>
      </c>
      <c r="X180">
        <f>HYPERLINK("https://klasma.github.io/Logging_2326/tillsyn/A 32171-2024 tillsynsbegäran.docx", "A 32171-2024")</f>
        <v/>
      </c>
      <c r="Y180">
        <f>HYPERLINK("https://klasma.github.io/Logging_2326/tillsynsmail/A 32171-2024 tillsynsbegäran mail.docx", "A 32171-2024")</f>
        <v/>
      </c>
      <c r="Z180">
        <f>HYPERLINK("https://klasma.github.io/Logging_2326/fåglar/A 32171-2024 prioriterade fågelarter.docx", "A 32171-2024")</f>
        <v/>
      </c>
    </row>
    <row r="181" ht="15" customHeight="1">
      <c r="A181" t="inlineStr">
        <is>
          <t>A 32246-2024</t>
        </is>
      </c>
      <c r="B181" s="1" t="n">
        <v>45512</v>
      </c>
      <c r="C181" s="1" t="n">
        <v>45646</v>
      </c>
      <c r="D181" t="inlineStr">
        <is>
          <t>JÄMTLANDS LÄN</t>
        </is>
      </c>
      <c r="E181" t="inlineStr">
        <is>
          <t>BERG</t>
        </is>
      </c>
      <c r="F181" t="inlineStr">
        <is>
          <t>SCA</t>
        </is>
      </c>
      <c r="G181" t="n">
        <v>1.7</v>
      </c>
      <c r="H181" t="n">
        <v>0</v>
      </c>
      <c r="I181" t="n">
        <v>0</v>
      </c>
      <c r="J181" t="n">
        <v>1</v>
      </c>
      <c r="K181" t="n">
        <v>0</v>
      </c>
      <c r="L181" t="n">
        <v>0</v>
      </c>
      <c r="M181" t="n">
        <v>0</v>
      </c>
      <c r="N181" t="n">
        <v>0</v>
      </c>
      <c r="O181" t="n">
        <v>1</v>
      </c>
      <c r="P181" t="n">
        <v>0</v>
      </c>
      <c r="Q181" t="n">
        <v>1</v>
      </c>
      <c r="R181" s="2" t="inlineStr">
        <is>
          <t>Brunklöver</t>
        </is>
      </c>
      <c r="S181">
        <f>HYPERLINK("https://klasma.github.io/Logging_2326/artfynd/A 32246-2024 artfynd.xlsx", "A 32246-2024")</f>
        <v/>
      </c>
      <c r="T181">
        <f>HYPERLINK("https://klasma.github.io/Logging_2326/kartor/A 32246-2024 karta.png", "A 32246-2024")</f>
        <v/>
      </c>
      <c r="V181">
        <f>HYPERLINK("https://klasma.github.io/Logging_2326/klagomål/A 32246-2024 FSC-klagomål.docx", "A 32246-2024")</f>
        <v/>
      </c>
      <c r="W181">
        <f>HYPERLINK("https://klasma.github.io/Logging_2326/klagomålsmail/A 32246-2024 FSC-klagomål mail.docx", "A 32246-2024")</f>
        <v/>
      </c>
      <c r="X181">
        <f>HYPERLINK("https://klasma.github.io/Logging_2326/tillsyn/A 32246-2024 tillsynsbegäran.docx", "A 32246-2024")</f>
        <v/>
      </c>
      <c r="Y181">
        <f>HYPERLINK("https://klasma.github.io/Logging_2326/tillsynsmail/A 32246-2024 tillsynsbegäran mail.docx", "A 32246-2024")</f>
        <v/>
      </c>
    </row>
    <row r="182" ht="15" customHeight="1">
      <c r="A182" t="inlineStr">
        <is>
          <t>A 33083-2024</t>
        </is>
      </c>
      <c r="B182" s="1" t="n">
        <v>45517</v>
      </c>
      <c r="C182" s="1" t="n">
        <v>45646</v>
      </c>
      <c r="D182" t="inlineStr">
        <is>
          <t>JÄMTLANDS LÄN</t>
        </is>
      </c>
      <c r="E182" t="inlineStr">
        <is>
          <t>BERG</t>
        </is>
      </c>
      <c r="G182" t="n">
        <v>0.2</v>
      </c>
      <c r="H182" t="n">
        <v>0</v>
      </c>
      <c r="I182" t="n">
        <v>0</v>
      </c>
      <c r="J182" t="n">
        <v>1</v>
      </c>
      <c r="K182" t="n">
        <v>0</v>
      </c>
      <c r="L182" t="n">
        <v>0</v>
      </c>
      <c r="M182" t="n">
        <v>0</v>
      </c>
      <c r="N182" t="n">
        <v>0</v>
      </c>
      <c r="O182" t="n">
        <v>1</v>
      </c>
      <c r="P182" t="n">
        <v>0</v>
      </c>
      <c r="Q182" t="n">
        <v>1</v>
      </c>
      <c r="R182" s="2" t="inlineStr">
        <is>
          <t>Garnlav</t>
        </is>
      </c>
      <c r="S182">
        <f>HYPERLINK("https://klasma.github.io/Logging_2326/artfynd/A 33083-2024 artfynd.xlsx", "A 33083-2024")</f>
        <v/>
      </c>
      <c r="T182">
        <f>HYPERLINK("https://klasma.github.io/Logging_2326/kartor/A 33083-2024 karta.png", "A 33083-2024")</f>
        <v/>
      </c>
      <c r="V182">
        <f>HYPERLINK("https://klasma.github.io/Logging_2326/klagomål/A 33083-2024 FSC-klagomål.docx", "A 33083-2024")</f>
        <v/>
      </c>
      <c r="W182">
        <f>HYPERLINK("https://klasma.github.io/Logging_2326/klagomålsmail/A 33083-2024 FSC-klagomål mail.docx", "A 33083-2024")</f>
        <v/>
      </c>
      <c r="X182">
        <f>HYPERLINK("https://klasma.github.io/Logging_2326/tillsyn/A 33083-2024 tillsynsbegäran.docx", "A 33083-2024")</f>
        <v/>
      </c>
      <c r="Y182">
        <f>HYPERLINK("https://klasma.github.io/Logging_2326/tillsynsmail/A 33083-2024 tillsynsbegäran mail.docx", "A 33083-2024")</f>
        <v/>
      </c>
    </row>
    <row r="183" ht="15" customHeight="1">
      <c r="A183" t="inlineStr">
        <is>
          <t>A 33126-2024</t>
        </is>
      </c>
      <c r="B183" s="1" t="n">
        <v>45518</v>
      </c>
      <c r="C183" s="1" t="n">
        <v>45646</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33317-2024</t>
        </is>
      </c>
      <c r="B184" s="1" t="n">
        <v>45519</v>
      </c>
      <c r="C184" s="1" t="n">
        <v>45646</v>
      </c>
      <c r="D184" t="inlineStr">
        <is>
          <t>JÄMTLANDS LÄN</t>
        </is>
      </c>
      <c r="E184" t="inlineStr">
        <is>
          <t>BERG</t>
        </is>
      </c>
      <c r="F184" t="inlineStr">
        <is>
          <t>SCA</t>
        </is>
      </c>
      <c r="G184" t="n">
        <v>12.8</v>
      </c>
      <c r="H184" t="n">
        <v>0</v>
      </c>
      <c r="I184" t="n">
        <v>0</v>
      </c>
      <c r="J184" t="n">
        <v>1</v>
      </c>
      <c r="K184" t="n">
        <v>0</v>
      </c>
      <c r="L184" t="n">
        <v>0</v>
      </c>
      <c r="M184" t="n">
        <v>0</v>
      </c>
      <c r="N184" t="n">
        <v>0</v>
      </c>
      <c r="O184" t="n">
        <v>1</v>
      </c>
      <c r="P184" t="n">
        <v>0</v>
      </c>
      <c r="Q184" t="n">
        <v>1</v>
      </c>
      <c r="R184" s="2" t="inlineStr">
        <is>
          <t>Gammelgransskål</t>
        </is>
      </c>
      <c r="S184">
        <f>HYPERLINK("https://klasma.github.io/Logging_2326/artfynd/A 33317-2024 artfynd.xlsx", "A 33317-2024")</f>
        <v/>
      </c>
      <c r="T184">
        <f>HYPERLINK("https://klasma.github.io/Logging_2326/kartor/A 33317-2024 karta.png", "A 33317-2024")</f>
        <v/>
      </c>
      <c r="V184">
        <f>HYPERLINK("https://klasma.github.io/Logging_2326/klagomål/A 33317-2024 FSC-klagomål.docx", "A 33317-2024")</f>
        <v/>
      </c>
      <c r="W184">
        <f>HYPERLINK("https://klasma.github.io/Logging_2326/klagomålsmail/A 33317-2024 FSC-klagomål mail.docx", "A 33317-2024")</f>
        <v/>
      </c>
      <c r="X184">
        <f>HYPERLINK("https://klasma.github.io/Logging_2326/tillsyn/A 33317-2024 tillsynsbegäran.docx", "A 33317-2024")</f>
        <v/>
      </c>
      <c r="Y184">
        <f>HYPERLINK("https://klasma.github.io/Logging_2326/tillsynsmail/A 33317-2024 tillsynsbegäran mail.docx", "A 33317-2024")</f>
        <v/>
      </c>
    </row>
    <row r="185" ht="15" customHeight="1">
      <c r="A185" t="inlineStr">
        <is>
          <t>A 36356-2024</t>
        </is>
      </c>
      <c r="B185" s="1" t="n">
        <v>45534</v>
      </c>
      <c r="C185" s="1" t="n">
        <v>45646</v>
      </c>
      <c r="D185" t="inlineStr">
        <is>
          <t>JÄMTLANDS LÄN</t>
        </is>
      </c>
      <c r="E185" t="inlineStr">
        <is>
          <t>BERG</t>
        </is>
      </c>
      <c r="F185" t="inlineStr">
        <is>
          <t>SCA</t>
        </is>
      </c>
      <c r="G185" t="n">
        <v>12.2</v>
      </c>
      <c r="H185" t="n">
        <v>0</v>
      </c>
      <c r="I185" t="n">
        <v>0</v>
      </c>
      <c r="J185" t="n">
        <v>0</v>
      </c>
      <c r="K185" t="n">
        <v>1</v>
      </c>
      <c r="L185" t="n">
        <v>0</v>
      </c>
      <c r="M185" t="n">
        <v>0</v>
      </c>
      <c r="N185" t="n">
        <v>0</v>
      </c>
      <c r="O185" t="n">
        <v>1</v>
      </c>
      <c r="P185" t="n">
        <v>1</v>
      </c>
      <c r="Q185" t="n">
        <v>1</v>
      </c>
      <c r="R185" s="2" t="inlineStr">
        <is>
          <t>Gräddporing</t>
        </is>
      </c>
      <c r="S185">
        <f>HYPERLINK("https://klasma.github.io/Logging_2326/artfynd/A 36356-2024 artfynd.xlsx", "A 36356-2024")</f>
        <v/>
      </c>
      <c r="T185">
        <f>HYPERLINK("https://klasma.github.io/Logging_2326/kartor/A 36356-2024 karta.png", "A 36356-2024")</f>
        <v/>
      </c>
      <c r="V185">
        <f>HYPERLINK("https://klasma.github.io/Logging_2326/klagomål/A 36356-2024 FSC-klagomål.docx", "A 36356-2024")</f>
        <v/>
      </c>
      <c r="W185">
        <f>HYPERLINK("https://klasma.github.io/Logging_2326/klagomålsmail/A 36356-2024 FSC-klagomål mail.docx", "A 36356-2024")</f>
        <v/>
      </c>
      <c r="X185">
        <f>HYPERLINK("https://klasma.github.io/Logging_2326/tillsyn/A 36356-2024 tillsynsbegäran.docx", "A 36356-2024")</f>
        <v/>
      </c>
      <c r="Y185">
        <f>HYPERLINK("https://klasma.github.io/Logging_2326/tillsynsmail/A 36356-2024 tillsynsbegäran mail.docx", "A 36356-2024")</f>
        <v/>
      </c>
    </row>
    <row r="186" ht="15" customHeight="1">
      <c r="A186" t="inlineStr">
        <is>
          <t>A 40215-2024</t>
        </is>
      </c>
      <c r="B186" s="1" t="n">
        <v>45554</v>
      </c>
      <c r="C186" s="1" t="n">
        <v>45646</v>
      </c>
      <c r="D186" t="inlineStr">
        <is>
          <t>JÄMTLANDS LÄN</t>
        </is>
      </c>
      <c r="E186" t="inlineStr">
        <is>
          <t>BERG</t>
        </is>
      </c>
      <c r="F186" t="inlineStr">
        <is>
          <t>SCA</t>
        </is>
      </c>
      <c r="G186" t="n">
        <v>18.6</v>
      </c>
      <c r="H186" t="n">
        <v>0</v>
      </c>
      <c r="I186" t="n">
        <v>1</v>
      </c>
      <c r="J186" t="n">
        <v>0</v>
      </c>
      <c r="K186" t="n">
        <v>0</v>
      </c>
      <c r="L186" t="n">
        <v>0</v>
      </c>
      <c r="M186" t="n">
        <v>0</v>
      </c>
      <c r="N186" t="n">
        <v>0</v>
      </c>
      <c r="O186" t="n">
        <v>0</v>
      </c>
      <c r="P186" t="n">
        <v>0</v>
      </c>
      <c r="Q186" t="n">
        <v>1</v>
      </c>
      <c r="R186" s="2" t="inlineStr">
        <is>
          <t>Dropptaggsvamp</t>
        </is>
      </c>
      <c r="S186">
        <f>HYPERLINK("https://klasma.github.io/Logging_2326/artfynd/A 40215-2024 artfynd.xlsx", "A 40215-2024")</f>
        <v/>
      </c>
      <c r="T186">
        <f>HYPERLINK("https://klasma.github.io/Logging_2326/kartor/A 40215-2024 karta.png", "A 40215-2024")</f>
        <v/>
      </c>
      <c r="V186">
        <f>HYPERLINK("https://klasma.github.io/Logging_2326/klagomål/A 40215-2024 FSC-klagomål.docx", "A 40215-2024")</f>
        <v/>
      </c>
      <c r="W186">
        <f>HYPERLINK("https://klasma.github.io/Logging_2326/klagomålsmail/A 40215-2024 FSC-klagomål mail.docx", "A 40215-2024")</f>
        <v/>
      </c>
      <c r="X186">
        <f>HYPERLINK("https://klasma.github.io/Logging_2326/tillsyn/A 40215-2024 tillsynsbegäran.docx", "A 40215-2024")</f>
        <v/>
      </c>
      <c r="Y186">
        <f>HYPERLINK("https://klasma.github.io/Logging_2326/tillsynsmail/A 40215-2024 tillsynsbegäran mail.docx", "A 40215-2024")</f>
        <v/>
      </c>
    </row>
    <row r="187" ht="15" customHeight="1">
      <c r="A187" t="inlineStr">
        <is>
          <t>A 40210-2024</t>
        </is>
      </c>
      <c r="B187" s="1" t="n">
        <v>45554</v>
      </c>
      <c r="C187" s="1" t="n">
        <v>45646</v>
      </c>
      <c r="D187" t="inlineStr">
        <is>
          <t>JÄMTLANDS LÄN</t>
        </is>
      </c>
      <c r="E187" t="inlineStr">
        <is>
          <t>BERG</t>
        </is>
      </c>
      <c r="F187" t="inlineStr">
        <is>
          <t>SCA</t>
        </is>
      </c>
      <c r="G187" t="n">
        <v>13.1</v>
      </c>
      <c r="H187" t="n">
        <v>0</v>
      </c>
      <c r="I187" t="n">
        <v>0</v>
      </c>
      <c r="J187" t="n">
        <v>1</v>
      </c>
      <c r="K187" t="n">
        <v>0</v>
      </c>
      <c r="L187" t="n">
        <v>0</v>
      </c>
      <c r="M187" t="n">
        <v>0</v>
      </c>
      <c r="N187" t="n">
        <v>0</v>
      </c>
      <c r="O187" t="n">
        <v>1</v>
      </c>
      <c r="P187" t="n">
        <v>0</v>
      </c>
      <c r="Q187" t="n">
        <v>1</v>
      </c>
      <c r="R187" s="2" t="inlineStr">
        <is>
          <t>Blå taggsvamp</t>
        </is>
      </c>
      <c r="S187">
        <f>HYPERLINK("https://klasma.github.io/Logging_2326/artfynd/A 40210-2024 artfynd.xlsx", "A 40210-2024")</f>
        <v/>
      </c>
      <c r="T187">
        <f>HYPERLINK("https://klasma.github.io/Logging_2326/kartor/A 40210-2024 karta.png", "A 40210-2024")</f>
        <v/>
      </c>
      <c r="V187">
        <f>HYPERLINK("https://klasma.github.io/Logging_2326/klagomål/A 40210-2024 FSC-klagomål.docx", "A 40210-2024")</f>
        <v/>
      </c>
      <c r="W187">
        <f>HYPERLINK("https://klasma.github.io/Logging_2326/klagomålsmail/A 40210-2024 FSC-klagomål mail.docx", "A 40210-2024")</f>
        <v/>
      </c>
      <c r="X187">
        <f>HYPERLINK("https://klasma.github.io/Logging_2326/tillsyn/A 40210-2024 tillsynsbegäran.docx", "A 40210-2024")</f>
        <v/>
      </c>
      <c r="Y187">
        <f>HYPERLINK("https://klasma.github.io/Logging_2326/tillsynsmail/A 40210-2024 tillsynsbegäran mail.docx", "A 40210-2024")</f>
        <v/>
      </c>
    </row>
    <row r="188" ht="15" customHeight="1">
      <c r="A188" t="inlineStr">
        <is>
          <t>A 40440-2024</t>
        </is>
      </c>
      <c r="B188" s="1" t="n">
        <v>45555</v>
      </c>
      <c r="C188" s="1" t="n">
        <v>45646</v>
      </c>
      <c r="D188" t="inlineStr">
        <is>
          <t>JÄMTLANDS LÄN</t>
        </is>
      </c>
      <c r="E188" t="inlineStr">
        <is>
          <t>BERG</t>
        </is>
      </c>
      <c r="G188" t="n">
        <v>3.6</v>
      </c>
      <c r="H188" t="n">
        <v>1</v>
      </c>
      <c r="I188" t="n">
        <v>0</v>
      </c>
      <c r="J188" t="n">
        <v>0</v>
      </c>
      <c r="K188" t="n">
        <v>0</v>
      </c>
      <c r="L188" t="n">
        <v>0</v>
      </c>
      <c r="M188" t="n">
        <v>0</v>
      </c>
      <c r="N188" t="n">
        <v>0</v>
      </c>
      <c r="O188" t="n">
        <v>0</v>
      </c>
      <c r="P188" t="n">
        <v>0</v>
      </c>
      <c r="Q188" t="n">
        <v>1</v>
      </c>
      <c r="R188" s="2" t="inlineStr">
        <is>
          <t>Fläcknycklar</t>
        </is>
      </c>
      <c r="S188">
        <f>HYPERLINK("https://klasma.github.io/Logging_2326/artfynd/A 40440-2024 artfynd.xlsx", "A 40440-2024")</f>
        <v/>
      </c>
      <c r="T188">
        <f>HYPERLINK("https://klasma.github.io/Logging_2326/kartor/A 40440-2024 karta.png", "A 40440-2024")</f>
        <v/>
      </c>
      <c r="V188">
        <f>HYPERLINK("https://klasma.github.io/Logging_2326/klagomål/A 40440-2024 FSC-klagomål.docx", "A 40440-2024")</f>
        <v/>
      </c>
      <c r="W188">
        <f>HYPERLINK("https://klasma.github.io/Logging_2326/klagomålsmail/A 40440-2024 FSC-klagomål mail.docx", "A 40440-2024")</f>
        <v/>
      </c>
      <c r="X188">
        <f>HYPERLINK("https://klasma.github.io/Logging_2326/tillsyn/A 40440-2024 tillsynsbegäran.docx", "A 40440-2024")</f>
        <v/>
      </c>
      <c r="Y188">
        <f>HYPERLINK("https://klasma.github.io/Logging_2326/tillsynsmail/A 40440-2024 tillsynsbegäran mail.docx", "A 40440-2024")</f>
        <v/>
      </c>
    </row>
    <row r="189" ht="15" customHeight="1">
      <c r="A189" t="inlineStr">
        <is>
          <t>A 41635-2024</t>
        </is>
      </c>
      <c r="B189" s="1" t="n">
        <v>45560</v>
      </c>
      <c r="C189" s="1" t="n">
        <v>45646</v>
      </c>
      <c r="D189" t="inlineStr">
        <is>
          <t>JÄMTLANDS LÄN</t>
        </is>
      </c>
      <c r="E189" t="inlineStr">
        <is>
          <t>BERG</t>
        </is>
      </c>
      <c r="F189" t="inlineStr">
        <is>
          <t>SCA</t>
        </is>
      </c>
      <c r="G189" t="n">
        <v>4.2</v>
      </c>
      <c r="H189" t="n">
        <v>0</v>
      </c>
      <c r="I189" t="n">
        <v>0</v>
      </c>
      <c r="J189" t="n">
        <v>1</v>
      </c>
      <c r="K189" t="n">
        <v>0</v>
      </c>
      <c r="L189" t="n">
        <v>0</v>
      </c>
      <c r="M189" t="n">
        <v>0</v>
      </c>
      <c r="N189" t="n">
        <v>0</v>
      </c>
      <c r="O189" t="n">
        <v>1</v>
      </c>
      <c r="P189" t="n">
        <v>0</v>
      </c>
      <c r="Q189" t="n">
        <v>1</v>
      </c>
      <c r="R189" s="2" t="inlineStr">
        <is>
          <t>Dvärgbägarlav</t>
        </is>
      </c>
      <c r="S189">
        <f>HYPERLINK("https://klasma.github.io/Logging_2326/artfynd/A 41635-2024 artfynd.xlsx", "A 41635-2024")</f>
        <v/>
      </c>
      <c r="T189">
        <f>HYPERLINK("https://klasma.github.io/Logging_2326/kartor/A 41635-2024 karta.png", "A 41635-2024")</f>
        <v/>
      </c>
      <c r="V189">
        <f>HYPERLINK("https://klasma.github.io/Logging_2326/klagomål/A 41635-2024 FSC-klagomål.docx", "A 41635-2024")</f>
        <v/>
      </c>
      <c r="W189">
        <f>HYPERLINK("https://klasma.github.io/Logging_2326/klagomålsmail/A 41635-2024 FSC-klagomål mail.docx", "A 41635-2024")</f>
        <v/>
      </c>
      <c r="X189">
        <f>HYPERLINK("https://klasma.github.io/Logging_2326/tillsyn/A 41635-2024 tillsynsbegäran.docx", "A 41635-2024")</f>
        <v/>
      </c>
      <c r="Y189">
        <f>HYPERLINK("https://klasma.github.io/Logging_2326/tillsynsmail/A 41635-2024 tillsynsbegäran mail.docx", "A 41635-2024")</f>
        <v/>
      </c>
    </row>
    <row r="190" ht="15" customHeight="1">
      <c r="A190" t="inlineStr">
        <is>
          <t>A 44259-2024</t>
        </is>
      </c>
      <c r="B190" s="1" t="n">
        <v>45573</v>
      </c>
      <c r="C190" s="1" t="n">
        <v>45646</v>
      </c>
      <c r="D190" t="inlineStr">
        <is>
          <t>JÄMTLANDS LÄN</t>
        </is>
      </c>
      <c r="E190" t="inlineStr">
        <is>
          <t>BERG</t>
        </is>
      </c>
      <c r="G190" t="n">
        <v>1.4</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44259-2024 artfynd.xlsx", "A 44259-2024")</f>
        <v/>
      </c>
      <c r="T190">
        <f>HYPERLINK("https://klasma.github.io/Logging_2326/kartor/A 44259-2024 karta.png", "A 44259-2024")</f>
        <v/>
      </c>
      <c r="V190">
        <f>HYPERLINK("https://klasma.github.io/Logging_2326/klagomål/A 44259-2024 FSC-klagomål.docx", "A 44259-2024")</f>
        <v/>
      </c>
      <c r="W190">
        <f>HYPERLINK("https://klasma.github.io/Logging_2326/klagomålsmail/A 44259-2024 FSC-klagomål mail.docx", "A 44259-2024")</f>
        <v/>
      </c>
      <c r="X190">
        <f>HYPERLINK("https://klasma.github.io/Logging_2326/tillsyn/A 44259-2024 tillsynsbegäran.docx", "A 44259-2024")</f>
        <v/>
      </c>
      <c r="Y190">
        <f>HYPERLINK("https://klasma.github.io/Logging_2326/tillsynsmail/A 44259-2024 tillsynsbegäran mail.docx", "A 44259-2024")</f>
        <v/>
      </c>
      <c r="Z190">
        <f>HYPERLINK("https://klasma.github.io/Logging_2326/fåglar/A 44259-2024 prioriterade fågelarter.docx", "A 44259-2024")</f>
        <v/>
      </c>
    </row>
    <row r="191" ht="15" customHeight="1">
      <c r="A191" t="inlineStr">
        <is>
          <t>A 49049-2024</t>
        </is>
      </c>
      <c r="B191" s="1" t="n">
        <v>45594</v>
      </c>
      <c r="C191" s="1" t="n">
        <v>45646</v>
      </c>
      <c r="D191" t="inlineStr">
        <is>
          <t>JÄMTLANDS LÄN</t>
        </is>
      </c>
      <c r="E191" t="inlineStr">
        <is>
          <t>BERG</t>
        </is>
      </c>
      <c r="G191" t="n">
        <v>0.8</v>
      </c>
      <c r="H191" t="n">
        <v>1</v>
      </c>
      <c r="I191" t="n">
        <v>1</v>
      </c>
      <c r="J191" t="n">
        <v>0</v>
      </c>
      <c r="K191" t="n">
        <v>0</v>
      </c>
      <c r="L191" t="n">
        <v>0</v>
      </c>
      <c r="M191" t="n">
        <v>0</v>
      </c>
      <c r="N191" t="n">
        <v>0</v>
      </c>
      <c r="O191" t="n">
        <v>0</v>
      </c>
      <c r="P191" t="n">
        <v>0</v>
      </c>
      <c r="Q191" t="n">
        <v>1</v>
      </c>
      <c r="R191" s="2" t="inlineStr">
        <is>
          <t>Korallrot</t>
        </is>
      </c>
      <c r="S191">
        <f>HYPERLINK("https://klasma.github.io/Logging_2326/artfynd/A 49049-2024 artfynd.xlsx", "A 49049-2024")</f>
        <v/>
      </c>
      <c r="T191">
        <f>HYPERLINK("https://klasma.github.io/Logging_2326/kartor/A 49049-2024 karta.png", "A 49049-2024")</f>
        <v/>
      </c>
      <c r="V191">
        <f>HYPERLINK("https://klasma.github.io/Logging_2326/klagomål/A 49049-2024 FSC-klagomål.docx", "A 49049-2024")</f>
        <v/>
      </c>
      <c r="W191">
        <f>HYPERLINK("https://klasma.github.io/Logging_2326/klagomålsmail/A 49049-2024 FSC-klagomål mail.docx", "A 49049-2024")</f>
        <v/>
      </c>
      <c r="X191">
        <f>HYPERLINK("https://klasma.github.io/Logging_2326/tillsyn/A 49049-2024 tillsynsbegäran.docx", "A 49049-2024")</f>
        <v/>
      </c>
      <c r="Y191">
        <f>HYPERLINK("https://klasma.github.io/Logging_2326/tillsynsmail/A 49049-2024 tillsynsbegäran mail.docx", "A 49049-2024")</f>
        <v/>
      </c>
    </row>
    <row r="192" ht="15" customHeight="1">
      <c r="A192" t="inlineStr">
        <is>
          <t>A 49276-2024</t>
        </is>
      </c>
      <c r="B192" s="1" t="n">
        <v>45595</v>
      </c>
      <c r="C192" s="1" t="n">
        <v>45646</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49276-2024 artfynd.xlsx", "A 49276-2024")</f>
        <v/>
      </c>
      <c r="T192">
        <f>HYPERLINK("https://klasma.github.io/Logging_2326/kartor/A 49276-2024 karta.png", "A 49276-2024")</f>
        <v/>
      </c>
      <c r="V192">
        <f>HYPERLINK("https://klasma.github.io/Logging_2326/klagomål/A 49276-2024 FSC-klagomål.docx", "A 49276-2024")</f>
        <v/>
      </c>
      <c r="W192">
        <f>HYPERLINK("https://klasma.github.io/Logging_2326/klagomålsmail/A 49276-2024 FSC-klagomål mail.docx", "A 49276-2024")</f>
        <v/>
      </c>
      <c r="X192">
        <f>HYPERLINK("https://klasma.github.io/Logging_2326/tillsyn/A 49276-2024 tillsynsbegäran.docx", "A 49276-2024")</f>
        <v/>
      </c>
      <c r="Y192">
        <f>HYPERLINK("https://klasma.github.io/Logging_2326/tillsynsmail/A 49276-2024 tillsynsbegäran mail.docx", "A 49276-2024")</f>
        <v/>
      </c>
    </row>
    <row r="193" ht="15" customHeight="1">
      <c r="A193" t="inlineStr">
        <is>
          <t>A 49626-2024</t>
        </is>
      </c>
      <c r="B193" s="1" t="n">
        <v>45596</v>
      </c>
      <c r="C193" s="1" t="n">
        <v>45646</v>
      </c>
      <c r="D193" t="inlineStr">
        <is>
          <t>JÄMTLANDS LÄN</t>
        </is>
      </c>
      <c r="E193" t="inlineStr">
        <is>
          <t>BERG</t>
        </is>
      </c>
      <c r="G193" t="n">
        <v>14.5</v>
      </c>
      <c r="H193" t="n">
        <v>1</v>
      </c>
      <c r="I193" t="n">
        <v>0</v>
      </c>
      <c r="J193" t="n">
        <v>0</v>
      </c>
      <c r="K193" t="n">
        <v>1</v>
      </c>
      <c r="L193" t="n">
        <v>0</v>
      </c>
      <c r="M193" t="n">
        <v>0</v>
      </c>
      <c r="N193" t="n">
        <v>0</v>
      </c>
      <c r="O193" t="n">
        <v>1</v>
      </c>
      <c r="P193" t="n">
        <v>1</v>
      </c>
      <c r="Q193" t="n">
        <v>1</v>
      </c>
      <c r="R193" s="2" t="inlineStr">
        <is>
          <t>Knärot</t>
        </is>
      </c>
      <c r="S193">
        <f>HYPERLINK("https://klasma.github.io/Logging_2326/artfynd/A 49626-2024 artfynd.xlsx", "A 49626-2024")</f>
        <v/>
      </c>
      <c r="T193">
        <f>HYPERLINK("https://klasma.github.io/Logging_2326/kartor/A 49626-2024 karta.png", "A 49626-2024")</f>
        <v/>
      </c>
      <c r="U193">
        <f>HYPERLINK("https://klasma.github.io/Logging_2326/knärot/A 49626-2024 karta knärot.png", "A 49626-2024")</f>
        <v/>
      </c>
      <c r="V193">
        <f>HYPERLINK("https://klasma.github.io/Logging_2326/klagomål/A 49626-2024 FSC-klagomål.docx", "A 49626-2024")</f>
        <v/>
      </c>
      <c r="W193">
        <f>HYPERLINK("https://klasma.github.io/Logging_2326/klagomålsmail/A 49626-2024 FSC-klagomål mail.docx", "A 49626-2024")</f>
        <v/>
      </c>
      <c r="X193">
        <f>HYPERLINK("https://klasma.github.io/Logging_2326/tillsyn/A 49626-2024 tillsynsbegäran.docx", "A 49626-2024")</f>
        <v/>
      </c>
      <c r="Y193">
        <f>HYPERLINK("https://klasma.github.io/Logging_2326/tillsynsmail/A 49626-2024 tillsynsbegäran mail.docx", "A 49626-2024")</f>
        <v/>
      </c>
    </row>
    <row r="194" ht="15" customHeight="1">
      <c r="A194" t="inlineStr">
        <is>
          <t>A 50556-2024</t>
        </is>
      </c>
      <c r="B194" s="1" t="n">
        <v>45601</v>
      </c>
      <c r="C194" s="1" t="n">
        <v>45646</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45646</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45646</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45646</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45646</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45646</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45646</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45646</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45646</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45646</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45646</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45646</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45646</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45646</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45646</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45646</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45646</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45646</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45646</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45646</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45646</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45646</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45646</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45646</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45646</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45646</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45646</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45646</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45646</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45646</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45646</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45646</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45646</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45646</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45646</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45646</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45646</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45646</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45646</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45646</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45646</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45646</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45646</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45646</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45646</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45646</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45646</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45646</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45646</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45646</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45646</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45646</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45646</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45646</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45646</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45646</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45646</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45646</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45646</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45646</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45646</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45646</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45646</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45646</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45646</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45646</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45646</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45646</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45646</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45646</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45646</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45646</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45646</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45646</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45646</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45646</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45646</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45646</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45646</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45646</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45646</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45646</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45646</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45646</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45646</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45646</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45646</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45646</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45646</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45646</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45646</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45646</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45646</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45646</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45646</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45646</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45646</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45646</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45646</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45646</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45646</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45646</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45646</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45646</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45646</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45646</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45646</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45646</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45646</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45646</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45646</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45646</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45646</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45646</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45646</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45646</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45646</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45646</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45646</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45646</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45646</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45646</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45646</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45646</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45646</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45646</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45646</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45646</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45646</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45646</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45646</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45646</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45646</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45646</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45646</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45646</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45646</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45646</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45646</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45646</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45646</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45646</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45646</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45646</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45646</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45646</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45646</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45646</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45646</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45646</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45646</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45646</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45646</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45646</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45646</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45646</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45646</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45646</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45646</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45646</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45646</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45646</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45646</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45646</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45646</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45646</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45646</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45646</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45646</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45646</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45646</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45646</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45646</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45646</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45646</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45646</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45646</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45646</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45646</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45646</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45646</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45646</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45646</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45646</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45646</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45646</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45646</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45646</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45646</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45646</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45646</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45646</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45646</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45646</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45646</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45646</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45646</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45646</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45646</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45646</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45646</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45646</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45646</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45646</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45646</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45646</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45646</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45646</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45646</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45646</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45646</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45646</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45646</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45646</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45646</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45646</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45646</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45646</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45646</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45646</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45646</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45646</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45646</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45646</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45646</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45646</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45646</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45646</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45646</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45646</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45646</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45646</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45646</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45646</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45646</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45646</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45646</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45646</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45646</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45646</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45646</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45646</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45646</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45646</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45646</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45646</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45646</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45646</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45646</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45646</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45646</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45646</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45646</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45646</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45646</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45646</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45646</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45646</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45646</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45646</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45646</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45646</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45646</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45646</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45646</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45646</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45646</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45646</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45646</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45646</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45646</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45646</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45646</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45646</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45646</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45646</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45646</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45646</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45646</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45646</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45646</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45646</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45646</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45646</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45646</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45646</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45646</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45646</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45646</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45646</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45646</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45646</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45646</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45646</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45646</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45646</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45646</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45646</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45646</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45646</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45646</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45646</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45646</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45646</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45646</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45646</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45646</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45646</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45646</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45646</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45646</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45646</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45646</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45646</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45646</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45646</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45646</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45646</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45646</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45646</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45646</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45646</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45646</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45646</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45646</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45646</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45646</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45646</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45646</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45646</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45646</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45646</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45646</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45646</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45646</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45646</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45646</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45646</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45646</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45646</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45646</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45646</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45646</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45646</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45646</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45646</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45646</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45646</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45646</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45646</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45646</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45646</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45646</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45646</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45646</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45646</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45646</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45646</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45646</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45646</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45646</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45646</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45646</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45646</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45646</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45646</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45646</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45646</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45646</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45646</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45646</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45646</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45646</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45646</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45646</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45646</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45646</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45646</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45646</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45646</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45646</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45646</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45646</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45646</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45646</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45646</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45646</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45646</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45646</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45646</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45646</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45646</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45646</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45646</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45646</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45646</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45646</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45646</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45646</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45646</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45646</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45646</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45646</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45646</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45646</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45646</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45646</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45646</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45646</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45646</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45646</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45646</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45646</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45646</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45646</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45646</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45646</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45646</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45646</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45646</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45646</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45646</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45646</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45646</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45646</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45646</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45646</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45646</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45646</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45646</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45646</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45646</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45646</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45646</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45646</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45646</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45646</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45646</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45646</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45646</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45646</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45646</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45646</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45646</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45646</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45646</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45646</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45646</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45646</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45646</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45646</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45646</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45646</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45646</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45646</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45646</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45646</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45646</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45646</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45646</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45646</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45646</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45646</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45646</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45646</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45646</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45646</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45646</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45646</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45646</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45646</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45646</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45646</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45646</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45646</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45646</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45646</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45646</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45646</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45646</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45646</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45646</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45646</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45646</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45646</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45646</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45646</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45646</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45646</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45646</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45646</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45646</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45646</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45646</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45646</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45646</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45646</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45646</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45646</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45646</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45646</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45646</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45646</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45646</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45646</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45646</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45646</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45646</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45646</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45646</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45646</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45646</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45646</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45646</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45646</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45646</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45646</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45646</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45646</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45646</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45646</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45646</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45646</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45646</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45646</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45646</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45646</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45646</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45646</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45646</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45646</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45646</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45646</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45646</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45646</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45646</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45646</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45646</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45646</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45646</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45646</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45646</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45646</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45646</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45646</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45646</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45646</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45646</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45646</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45646</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45646</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45646</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45646</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45646</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45646</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45646</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45646</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45646</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45646</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45646</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45646</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45646</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45646</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45646</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45646</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45646</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45646</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45646</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45646</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45646</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45646</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45646</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45646</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45646</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45646</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45646</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45646</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45646</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45646</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45646</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45646</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45646</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45646</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45646</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45646</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45646</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45646</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45646</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45646</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45646</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45646</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45646</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45646</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45646</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45646</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45646</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45646</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45646</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45646</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45646</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45646</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45646</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45646</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45646</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45646</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45646</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45646</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45646</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45646</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45646</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45646</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45646</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45646</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45646</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45646</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45646</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45646</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45646</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45646</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45646</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45646</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45646</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45646</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45646</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45646</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45646</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45646</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45646</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45646</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45646</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45646</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45646</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45646</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45646</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45646</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45646</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45646</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45646</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45646</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45646</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45646</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45646</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45646</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45646</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45646</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45646</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45646</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45646</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45646</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45646</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45646</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45646</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45646</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45646</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45646</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45646</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45646</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45646</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45646</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45646</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45646</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45646</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45646</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45646</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45646</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45646</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45646</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45646</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45646</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45646</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45646</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45646</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45646</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45646</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45646</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45646</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45646</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45646</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45646</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45646</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45646</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45646</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45646</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45646</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45646</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45646</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45646</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45646</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45646</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45646</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45646</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45646</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45646</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45646</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45646</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45646</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45646</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45646</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45646</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45646</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45646</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45646</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45646</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45646</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45646</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45646</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45646</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45646</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45646</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45646</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45646</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45646</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45646</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45646</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45646</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45646</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45646</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45646</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45646</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45646</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45646</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45646</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45646</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45646</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45646</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45646</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45646</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45646</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45646</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45646</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45646</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45646</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45646</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45646</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45646</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45646</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45646</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45646</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45646</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45646</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45646</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45646</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45646</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45646</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45646</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45646</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45646</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45646</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45646</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45646</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45646</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45646</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45646</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45646</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45646</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45646</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45646</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45646</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45646</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45646</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45646</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45646</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45646</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45646</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45646</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45646</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45646</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45646</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45646</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45646</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45646</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45646</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45646</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45646</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45646</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45646</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45646</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45646</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45646</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45646</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45646</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45646</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45646</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45646</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45646</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45646</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45646</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45646</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45646</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45646</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45646</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45646</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45646</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45646</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45646</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45646</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45646</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45646</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45646</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45646</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45646</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45646</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45646</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45646</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45646</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45646</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45646</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45646</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45646</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45646</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45646</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45646</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45646</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45646</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45646</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45646</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45646</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45646</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45646</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45646</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45646</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45646</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45646</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45646</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45646</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45646</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45646</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45646</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45646</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45646</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45646</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45646</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45646</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45646</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45646</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45646</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45646</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45646</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45646</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45646</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45646</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45646</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45646</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45646</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45646</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45646</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45646</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45646</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45646</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45646</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45646</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45646</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45646</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45646</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45646</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45646</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45646</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45646</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45646</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45646</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45646</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45646</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45646</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45646</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45646</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45646</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45646</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45646</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45646</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45646</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45646</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45646</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45646</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45646</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45646</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45646</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45646</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45646</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45646</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45646</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45646</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45646</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45646</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45646</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45646</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45646</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45646</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45646</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45646</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45646</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45646</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45646</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45646</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45646</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45646</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45646</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45646</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45646</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45646</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45646</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45646</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45646</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45646</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45646</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45646</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45646</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45646</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45646</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45646</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45646</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45646</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45646</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45646</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45646</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45646</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45646</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45646</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45646</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45646</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45646</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45646</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45646</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45646</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45646</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45646</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45646</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45646</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45646</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45646</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45646</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45646</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45646</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45646</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45646</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45646</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45646</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45646</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45646</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45646</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45646</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45646</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45646</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45646</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45646</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45646</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45646</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45646</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45646</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45646</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45646</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45646</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45646</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45646</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45646</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45646</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45646</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45646</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45646</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45646</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45646</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45646</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45646</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45646</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45646</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45646</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45646</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45646</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45646</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45646</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45646</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45646</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45646</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45646</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45646</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45646</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45646</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45646</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45646</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45646</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45646</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45646</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45646</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45646</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45646</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45646</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45646</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45646</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45646</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45646</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45646</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45646</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45646</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45646</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45646</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45646</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45646</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45646</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45646</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45646</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45646</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45646</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45646</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45646</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45646</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45646</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45646</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45646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45646</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45646</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45646</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45646</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45646</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45646</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45646</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45646</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45646</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45646</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45646</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45646</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45646</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45646</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45646</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45646</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54605-2024</t>
        </is>
      </c>
      <c r="B1217" s="1" t="n">
        <v>45617</v>
      </c>
      <c r="C1217" s="1" t="n">
        <v>45646</v>
      </c>
      <c r="D1217" t="inlineStr">
        <is>
          <t>JÄMTLANDS LÄN</t>
        </is>
      </c>
      <c r="E1217" t="inlineStr">
        <is>
          <t>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54595-2024</t>
        </is>
      </c>
      <c r="B1218" s="1" t="n">
        <v>45617</v>
      </c>
      <c r="C1218" s="1" t="n">
        <v>45646</v>
      </c>
      <c r="D1218" t="inlineStr">
        <is>
          <t>JÄMTLANDS LÄN</t>
        </is>
      </c>
      <c r="E1218" t="inlineStr">
        <is>
          <t>BERG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45646</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45646</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45646</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45646</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45646</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56364-2024</t>
        </is>
      </c>
      <c r="B1224" s="1" t="n">
        <v>45625</v>
      </c>
      <c r="C1224" s="1" t="n">
        <v>45646</v>
      </c>
      <c r="D1224" t="inlineStr">
        <is>
          <t>JÄMTLANDS LÄN</t>
        </is>
      </c>
      <c r="E1224" t="inlineStr">
        <is>
          <t>BERG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45646</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45646</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45646</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45646</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57734-2024</t>
        </is>
      </c>
      <c r="B1229" s="1" t="n">
        <v>45630</v>
      </c>
      <c r="C1229" s="1" t="n">
        <v>45646</v>
      </c>
      <c r="D1229" t="inlineStr">
        <is>
          <t>JÄMTLANDS LÄN</t>
        </is>
      </c>
      <c r="E1229" t="inlineStr">
        <is>
          <t>BERG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57661-2024</t>
        </is>
      </c>
      <c r="B1230" s="1" t="n">
        <v>45630</v>
      </c>
      <c r="C1230" s="1" t="n">
        <v>45646</v>
      </c>
      <c r="D1230" t="inlineStr">
        <is>
          <t>JÄMTLANDS LÄN</t>
        </is>
      </c>
      <c r="E1230" t="inlineStr">
        <is>
          <t>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57669-2024</t>
        </is>
      </c>
      <c r="B1231" s="1" t="n">
        <v>45630</v>
      </c>
      <c r="C1231" s="1" t="n">
        <v>45646</v>
      </c>
      <c r="D1231" t="inlineStr">
        <is>
          <t>JÄMTLANDS LÄN</t>
        </is>
      </c>
      <c r="E1231" t="inlineStr">
        <is>
          <t>BERG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45646</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45646</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45646</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45646</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45646</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45646</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45646</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59526-2024</t>
        </is>
      </c>
      <c r="B1239" s="1" t="n">
        <v>45638</v>
      </c>
      <c r="C1239" s="1" t="n">
        <v>45646</v>
      </c>
      <c r="D1239" t="inlineStr">
        <is>
          <t>JÄMTLANDS LÄN</t>
        </is>
      </c>
      <c r="E1239" t="inlineStr">
        <is>
          <t>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45646</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45646</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59524-2024</t>
        </is>
      </c>
      <c r="B1242" s="1" t="n">
        <v>45638</v>
      </c>
      <c r="C1242" s="1" t="n">
        <v>45646</v>
      </c>
      <c r="D1242" t="inlineStr">
        <is>
          <t>JÄMTLANDS LÄN</t>
        </is>
      </c>
      <c r="E1242" t="inlineStr">
        <is>
          <t>BERG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45646</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59968-2024</t>
        </is>
      </c>
      <c r="B1244" s="1" t="n">
        <v>45642</v>
      </c>
      <c r="C1244" s="1" t="n">
        <v>45646</v>
      </c>
      <c r="D1244" t="inlineStr">
        <is>
          <t>JÄMTLANDS LÄN</t>
        </is>
      </c>
      <c r="E1244" t="inlineStr">
        <is>
          <t>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60075-2024</t>
        </is>
      </c>
      <c r="B1245" s="1" t="n">
        <v>45642</v>
      </c>
      <c r="C1245" s="1" t="n">
        <v>45646</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45646</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45646</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c r="A1248" t="inlineStr">
        <is>
          <t>A 61085-2024</t>
        </is>
      </c>
      <c r="B1248" s="1" t="n">
        <v>45645</v>
      </c>
      <c r="C1248" s="1" t="n">
        <v>45646</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2024-12-20T15:21:25Z</dcterms:created>
  <dcterms:modified xmlns:dcterms="http://purl.org/dc/terms/" xmlns:xsi="http://www.w3.org/2001/XMLSchema-instance" xsi:type="dcterms:W3CDTF">2024-12-20T15:21:26Z</dcterms:modified>
</cp:coreProperties>
</file>