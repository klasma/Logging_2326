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45936</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45936</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45936</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45936</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45936</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45936</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45936</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45936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45936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45936</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45936</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37754-2025</t>
        </is>
      </c>
      <c r="B26" s="1" t="n">
        <v>45880.67747685185</v>
      </c>
      <c r="C26" s="1" t="n">
        <v>45936</v>
      </c>
      <c r="D26" t="inlineStr">
        <is>
          <t>JÄMTLANDS LÄN</t>
        </is>
      </c>
      <c r="E26" t="inlineStr">
        <is>
          <t>BERG</t>
        </is>
      </c>
      <c r="F26" t="inlineStr">
        <is>
          <t>SCA</t>
        </is>
      </c>
      <c r="G26" t="n">
        <v>39.1</v>
      </c>
      <c r="H26" t="n">
        <v>2</v>
      </c>
      <c r="I26" t="n">
        <v>0</v>
      </c>
      <c r="J26" t="n">
        <v>10</v>
      </c>
      <c r="K26" t="n">
        <v>0</v>
      </c>
      <c r="L26" t="n">
        <v>0</v>
      </c>
      <c r="M26" t="n">
        <v>0</v>
      </c>
      <c r="N26" t="n">
        <v>0</v>
      </c>
      <c r="O26" t="n">
        <v>10</v>
      </c>
      <c r="P26" t="n">
        <v>0</v>
      </c>
      <c r="Q26" t="n">
        <v>11</v>
      </c>
      <c r="R26" s="2" t="inlineStr">
        <is>
          <t>Blanksvart spiklav
Dvärgbägarlav
Kolflarnlav
Kortskaftad ärgspik
Mörk kolflarnlav
Nordtagging
Skrovellav
Talltita
Vedflamlav
Vedskivlav
Lavskrika</t>
        </is>
      </c>
      <c r="S26">
        <f>HYPERLINK("https://klasma.github.io/Logging_2326/artfynd/A 37754-2025 artfynd.xlsx", "A 37754-2025")</f>
        <v/>
      </c>
      <c r="T26">
        <f>HYPERLINK("https://klasma.github.io/Logging_2326/kartor/A 37754-2025 karta.png", "A 37754-2025")</f>
        <v/>
      </c>
      <c r="V26">
        <f>HYPERLINK("https://klasma.github.io/Logging_2326/klagomål/A 37754-2025 FSC-klagomål.docx", "A 37754-2025")</f>
        <v/>
      </c>
      <c r="W26">
        <f>HYPERLINK("https://klasma.github.io/Logging_2326/klagomålsmail/A 37754-2025 FSC-klagomål mail.docx", "A 37754-2025")</f>
        <v/>
      </c>
      <c r="X26">
        <f>HYPERLINK("https://klasma.github.io/Logging_2326/tillsyn/A 37754-2025 tillsynsbegäran.docx", "A 37754-2025")</f>
        <v/>
      </c>
      <c r="Y26">
        <f>HYPERLINK("https://klasma.github.io/Logging_2326/tillsynsmail/A 37754-2025 tillsynsbegäran mail.docx", "A 37754-2025")</f>
        <v/>
      </c>
      <c r="Z26">
        <f>HYPERLINK("https://klasma.github.io/Logging_2326/fåglar/A 37754-2025 prioriterade fågelarter.docx", "A 37754-2025")</f>
        <v/>
      </c>
    </row>
    <row r="27" ht="15" customHeight="1">
      <c r="A27" t="inlineStr">
        <is>
          <t>A 53455-2024</t>
        </is>
      </c>
      <c r="B27" s="1" t="n">
        <v>45614.54873842592</v>
      </c>
      <c r="C27" s="1" t="n">
        <v>45936</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39282-2025</t>
        </is>
      </c>
      <c r="B28" s="1" t="n">
        <v>45889.40362268518</v>
      </c>
      <c r="C28" s="1" t="n">
        <v>45936</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17109-2024</t>
        </is>
      </c>
      <c r="B29" s="1" t="n">
        <v>45412</v>
      </c>
      <c r="C29" s="1" t="n">
        <v>45936</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45936</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45936</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9919-2021</t>
        </is>
      </c>
      <c r="B32" s="1" t="n">
        <v>44253</v>
      </c>
      <c r="C32" s="1" t="n">
        <v>45936</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45936</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7473-2023</t>
        </is>
      </c>
      <c r="B35" s="1" t="n">
        <v>44966</v>
      </c>
      <c r="C35" s="1" t="n">
        <v>45936</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45936</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45936</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45936</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45936</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45936</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45936</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45936</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45936</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45936</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45936</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45936</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45936</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45936</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45936</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54406-2023</t>
        </is>
      </c>
      <c r="B50" s="1" t="n">
        <v>45233.38612268519</v>
      </c>
      <c r="C50" s="1" t="n">
        <v>45936</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49626-2024</t>
        </is>
      </c>
      <c r="B51" s="1" t="n">
        <v>45596.59109953704</v>
      </c>
      <c r="C51" s="1" t="n">
        <v>45936</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17078-2024</t>
        </is>
      </c>
      <c r="B52" s="1" t="n">
        <v>45412</v>
      </c>
      <c r="C52" s="1" t="n">
        <v>45936</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27571-2025</t>
        </is>
      </c>
      <c r="B53" s="1" t="n">
        <v>45813.49040509259</v>
      </c>
      <c r="C53" s="1" t="n">
        <v>45936</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24670-2025</t>
        </is>
      </c>
      <c r="B54" s="1" t="n">
        <v>45798.64947916667</v>
      </c>
      <c r="C54" s="1" t="n">
        <v>45936</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45936</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12431-2025</t>
        </is>
      </c>
      <c r="B56" s="1" t="n">
        <v>45730</v>
      </c>
      <c r="C56" s="1" t="n">
        <v>45936</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16508-2021</t>
        </is>
      </c>
      <c r="B57" s="1" t="n">
        <v>44293</v>
      </c>
      <c r="C57" s="1" t="n">
        <v>45936</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45936</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24204-2024</t>
        </is>
      </c>
      <c r="B59" s="1" t="n">
        <v>45456</v>
      </c>
      <c r="C59" s="1" t="n">
        <v>45936</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45936</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19530-2025</t>
        </is>
      </c>
      <c r="B61" s="1" t="n">
        <v>45770.46903935185</v>
      </c>
      <c r="C61" s="1" t="n">
        <v>45936</v>
      </c>
      <c r="D61" t="inlineStr">
        <is>
          <t>JÄMTLANDS LÄN</t>
        </is>
      </c>
      <c r="E61" t="inlineStr">
        <is>
          <t>BERG</t>
        </is>
      </c>
      <c r="F61" t="inlineStr">
        <is>
          <t>SCA</t>
        </is>
      </c>
      <c r="G61" t="n">
        <v>3.3</v>
      </c>
      <c r="H61" t="n">
        <v>3</v>
      </c>
      <c r="I61" t="n">
        <v>1</v>
      </c>
      <c r="J61" t="n">
        <v>3</v>
      </c>
      <c r="K61" t="n">
        <v>0</v>
      </c>
      <c r="L61" t="n">
        <v>0</v>
      </c>
      <c r="M61" t="n">
        <v>0</v>
      </c>
      <c r="N61" t="n">
        <v>0</v>
      </c>
      <c r="O61" t="n">
        <v>3</v>
      </c>
      <c r="P61" t="n">
        <v>0</v>
      </c>
      <c r="Q61" t="n">
        <v>5</v>
      </c>
      <c r="R61" s="2" t="inlineStr">
        <is>
          <t>Kolflarnlav
Talltita
Tretåig hackspett
Skarp dropptaggsvamp
Lavskrika</t>
        </is>
      </c>
      <c r="S61">
        <f>HYPERLINK("https://klasma.github.io/Logging_2326/artfynd/A 19530-2025 artfynd.xlsx", "A 19530-2025")</f>
        <v/>
      </c>
      <c r="T61">
        <f>HYPERLINK("https://klasma.github.io/Logging_2326/kartor/A 19530-2025 karta.png", "A 19530-2025")</f>
        <v/>
      </c>
      <c r="V61">
        <f>HYPERLINK("https://klasma.github.io/Logging_2326/klagomål/A 19530-2025 FSC-klagomål.docx", "A 19530-2025")</f>
        <v/>
      </c>
      <c r="W61">
        <f>HYPERLINK("https://klasma.github.io/Logging_2326/klagomålsmail/A 19530-2025 FSC-klagomål mail.docx", "A 19530-2025")</f>
        <v/>
      </c>
      <c r="X61">
        <f>HYPERLINK("https://klasma.github.io/Logging_2326/tillsyn/A 19530-2025 tillsynsbegäran.docx", "A 19530-2025")</f>
        <v/>
      </c>
      <c r="Y61">
        <f>HYPERLINK("https://klasma.github.io/Logging_2326/tillsynsmail/A 19530-2025 tillsynsbegäran mail.docx", "A 19530-2025")</f>
        <v/>
      </c>
      <c r="Z61">
        <f>HYPERLINK("https://klasma.github.io/Logging_2326/fåglar/A 19530-2025 prioriterade fågelarter.docx", "A 19530-2025")</f>
        <v/>
      </c>
    </row>
    <row r="62" ht="15" customHeight="1">
      <c r="A62" t="inlineStr">
        <is>
          <t>A 54841-2022</t>
        </is>
      </c>
      <c r="B62" s="1" t="n">
        <v>44883</v>
      </c>
      <c r="C62" s="1" t="n">
        <v>45936</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39281-2025</t>
        </is>
      </c>
      <c r="B63" s="1" t="n">
        <v>45889.40315972222</v>
      </c>
      <c r="C63" s="1" t="n">
        <v>45936</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45936</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39288-2025</t>
        </is>
      </c>
      <c r="B65" s="1" t="n">
        <v>45889.40723379629</v>
      </c>
      <c r="C65" s="1" t="n">
        <v>45936</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20337-2025</t>
        </is>
      </c>
      <c r="B66" s="1" t="n">
        <v>45775.36545138889</v>
      </c>
      <c r="C66" s="1" t="n">
        <v>45936</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45936</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12973-2024</t>
        </is>
      </c>
      <c r="B68" s="1" t="n">
        <v>45385.51104166666</v>
      </c>
      <c r="C68" s="1" t="n">
        <v>45936</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54979-2021</t>
        </is>
      </c>
      <c r="B69" s="1" t="n">
        <v>44474.53888888889</v>
      </c>
      <c r="C69" s="1" t="n">
        <v>45936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59823-2022</t>
        </is>
      </c>
      <c r="B72" s="1" t="n">
        <v>44900</v>
      </c>
      <c r="C72" s="1" t="n">
        <v>45936</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46938-2025</t>
        </is>
      </c>
      <c r="B73" s="1" t="n">
        <v>45929.45290509259</v>
      </c>
      <c r="C73" s="1" t="n">
        <v>45936</v>
      </c>
      <c r="D73" t="inlineStr">
        <is>
          <t>JÄMTLANDS LÄN</t>
        </is>
      </c>
      <c r="E73" t="inlineStr">
        <is>
          <t>BERG</t>
        </is>
      </c>
      <c r="G73" t="n">
        <v>10.7</v>
      </c>
      <c r="H73" t="n">
        <v>2</v>
      </c>
      <c r="I73" t="n">
        <v>3</v>
      </c>
      <c r="J73" t="n">
        <v>1</v>
      </c>
      <c r="K73" t="n">
        <v>0</v>
      </c>
      <c r="L73" t="n">
        <v>0</v>
      </c>
      <c r="M73" t="n">
        <v>0</v>
      </c>
      <c r="N73" t="n">
        <v>0</v>
      </c>
      <c r="O73" t="n">
        <v>1</v>
      </c>
      <c r="P73" t="n">
        <v>0</v>
      </c>
      <c r="Q73" t="n">
        <v>4</v>
      </c>
      <c r="R73" s="2" t="inlineStr">
        <is>
          <t>Ullticka
Korallrot
Spindelblomster
Ögonpyrola</t>
        </is>
      </c>
      <c r="S73">
        <f>HYPERLINK("https://klasma.github.io/Logging_2326/artfynd/A 46938-2025 artfynd.xlsx", "A 46938-2025")</f>
        <v/>
      </c>
      <c r="T73">
        <f>HYPERLINK("https://klasma.github.io/Logging_2326/kartor/A 46938-2025 karta.png", "A 46938-2025")</f>
        <v/>
      </c>
      <c r="V73">
        <f>HYPERLINK("https://klasma.github.io/Logging_2326/klagomål/A 46938-2025 FSC-klagomål.docx", "A 46938-2025")</f>
        <v/>
      </c>
      <c r="W73">
        <f>HYPERLINK("https://klasma.github.io/Logging_2326/klagomålsmail/A 46938-2025 FSC-klagomål mail.docx", "A 46938-2025")</f>
        <v/>
      </c>
      <c r="X73">
        <f>HYPERLINK("https://klasma.github.io/Logging_2326/tillsyn/A 46938-2025 tillsynsbegäran.docx", "A 46938-2025")</f>
        <v/>
      </c>
      <c r="Y73">
        <f>HYPERLINK("https://klasma.github.io/Logging_2326/tillsynsmail/A 46938-2025 tillsynsbegäran mail.docx", "A 46938-2025")</f>
        <v/>
      </c>
    </row>
    <row r="74" ht="15" customHeight="1">
      <c r="A74" t="inlineStr">
        <is>
          <t>A 56224-2024</t>
        </is>
      </c>
      <c r="B74" s="1" t="n">
        <v>45624.61491898148</v>
      </c>
      <c r="C74" s="1" t="n">
        <v>45936</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45936</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46795-2025</t>
        </is>
      </c>
      <c r="B76" s="1" t="n">
        <v>45926.65668981482</v>
      </c>
      <c r="C76" s="1" t="n">
        <v>45936</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12962-2024</t>
        </is>
      </c>
      <c r="B77" s="1" t="n">
        <v>45385.49314814815</v>
      </c>
      <c r="C77" s="1" t="n">
        <v>45936</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27100-2025</t>
        </is>
      </c>
      <c r="B78" s="1" t="n">
        <v>45811.67803240741</v>
      </c>
      <c r="C78" s="1" t="n">
        <v>45936</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45936</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25871-2025</t>
        </is>
      </c>
      <c r="B80" s="1" t="n">
        <v>45804.4903125</v>
      </c>
      <c r="C80" s="1" t="n">
        <v>45936</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45936</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45936</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31715-2025</t>
        </is>
      </c>
      <c r="B83" s="1" t="n">
        <v>45834.45671296296</v>
      </c>
      <c r="C83" s="1" t="n">
        <v>45936</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45936</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45424-2024</t>
        </is>
      </c>
      <c r="B85" s="1" t="n">
        <v>45576.60398148148</v>
      </c>
      <c r="C85" s="1" t="n">
        <v>45936</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40913-2025</t>
        </is>
      </c>
      <c r="B86" s="1" t="n">
        <v>45897.61719907408</v>
      </c>
      <c r="C86" s="1" t="n">
        <v>45936</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38156-2024</t>
        </is>
      </c>
      <c r="B87" s="1" t="n">
        <v>45545</v>
      </c>
      <c r="C87" s="1" t="n">
        <v>45936</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45936</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45936</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45936</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54999-2023</t>
        </is>
      </c>
      <c r="B91" s="1" t="n">
        <v>45236</v>
      </c>
      <c r="C91" s="1" t="n">
        <v>45936</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37063-2025</t>
        </is>
      </c>
      <c r="B92" s="1" t="n">
        <v>45875.38596064815</v>
      </c>
      <c r="C92" s="1" t="n">
        <v>45936</v>
      </c>
      <c r="D92" t="inlineStr">
        <is>
          <t>JÄMTLANDS LÄN</t>
        </is>
      </c>
      <c r="E92" t="inlineStr">
        <is>
          <t>BERG</t>
        </is>
      </c>
      <c r="F92" t="inlineStr">
        <is>
          <t>SCA</t>
        </is>
      </c>
      <c r="G92" t="n">
        <v>10.4</v>
      </c>
      <c r="H92" t="n">
        <v>0</v>
      </c>
      <c r="I92" t="n">
        <v>0</v>
      </c>
      <c r="J92" t="n">
        <v>2</v>
      </c>
      <c r="K92" t="n">
        <v>1</v>
      </c>
      <c r="L92" t="n">
        <v>0</v>
      </c>
      <c r="M92" t="n">
        <v>0</v>
      </c>
      <c r="N92" t="n">
        <v>0</v>
      </c>
      <c r="O92" t="n">
        <v>3</v>
      </c>
      <c r="P92" t="n">
        <v>1</v>
      </c>
      <c r="Q92" t="n">
        <v>3</v>
      </c>
      <c r="R92" s="2" t="inlineStr">
        <is>
          <t>Fläckporing
Dvärgbägarlav
Kolflarnlav</t>
        </is>
      </c>
      <c r="S92">
        <f>HYPERLINK("https://klasma.github.io/Logging_2326/artfynd/A 37063-2025 artfynd.xlsx", "A 37063-2025")</f>
        <v/>
      </c>
      <c r="T92">
        <f>HYPERLINK("https://klasma.github.io/Logging_2326/kartor/A 37063-2025 karta.png", "A 37063-2025")</f>
        <v/>
      </c>
      <c r="V92">
        <f>HYPERLINK("https://klasma.github.io/Logging_2326/klagomål/A 37063-2025 FSC-klagomål.docx", "A 37063-2025")</f>
        <v/>
      </c>
      <c r="W92">
        <f>HYPERLINK("https://klasma.github.io/Logging_2326/klagomålsmail/A 37063-2025 FSC-klagomål mail.docx", "A 37063-2025")</f>
        <v/>
      </c>
      <c r="X92">
        <f>HYPERLINK("https://klasma.github.io/Logging_2326/tillsyn/A 37063-2025 tillsynsbegäran.docx", "A 37063-2025")</f>
        <v/>
      </c>
      <c r="Y92">
        <f>HYPERLINK("https://klasma.github.io/Logging_2326/tillsynsmail/A 37063-2025 tillsynsbegäran mail.docx", "A 37063-2025")</f>
        <v/>
      </c>
    </row>
    <row r="93" ht="15" customHeight="1">
      <c r="A93" t="inlineStr">
        <is>
          <t>A 47122-2024</t>
        </is>
      </c>
      <c r="B93" s="1" t="n">
        <v>45586.5674074074</v>
      </c>
      <c r="C93" s="1" t="n">
        <v>45936</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45936</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52189-2024</t>
        </is>
      </c>
      <c r="B95" s="1" t="n">
        <v>45608</v>
      </c>
      <c r="C95" s="1" t="n">
        <v>45936</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45936</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12995-2024</t>
        </is>
      </c>
      <c r="B97" s="1" t="n">
        <v>45385.56458333333</v>
      </c>
      <c r="C97" s="1" t="n">
        <v>45936</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68433-2021</t>
        </is>
      </c>
      <c r="B98" s="1" t="n">
        <v>44529</v>
      </c>
      <c r="C98" s="1" t="n">
        <v>45936</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6784-2022</t>
        </is>
      </c>
      <c r="B99" s="1" t="n">
        <v>44602</v>
      </c>
      <c r="C99" s="1" t="n">
        <v>45936</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45936</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3062-2025</t>
        </is>
      </c>
      <c r="B101" s="1" t="n">
        <v>45678</v>
      </c>
      <c r="C101" s="1" t="n">
        <v>45936</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14599-2021</t>
        </is>
      </c>
      <c r="B102" s="1" t="n">
        <v>44279</v>
      </c>
      <c r="C102" s="1" t="n">
        <v>45936</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45936</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45936</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51950-2021</t>
        </is>
      </c>
      <c r="B105" s="1" t="n">
        <v>44462.9562037037</v>
      </c>
      <c r="C105" s="1" t="n">
        <v>45936</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45936</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8734-2025</t>
        </is>
      </c>
      <c r="B107" s="1" t="n">
        <v>45712.53209490741</v>
      </c>
      <c r="C107" s="1" t="n">
        <v>45936</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59786-2020</t>
        </is>
      </c>
      <c r="B108" s="1" t="n">
        <v>44148</v>
      </c>
      <c r="C108" s="1" t="n">
        <v>45936</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30334-2024</t>
        </is>
      </c>
      <c r="B109" s="1" t="n">
        <v>45490.95396990741</v>
      </c>
      <c r="C109" s="1" t="n">
        <v>45936</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26944-2024</t>
        </is>
      </c>
      <c r="B110" s="1" t="n">
        <v>45470.96880787037</v>
      </c>
      <c r="C110" s="1" t="n">
        <v>45936</v>
      </c>
      <c r="D110" t="inlineStr">
        <is>
          <t>JÄMTLANDS LÄN</t>
        </is>
      </c>
      <c r="E110" t="inlineStr">
        <is>
          <t>BERG</t>
        </is>
      </c>
      <c r="F110" t="inlineStr">
        <is>
          <t>SCA</t>
        </is>
      </c>
      <c r="G110" t="n">
        <v>5.7</v>
      </c>
      <c r="H110" t="n">
        <v>0</v>
      </c>
      <c r="I110" t="n">
        <v>0</v>
      </c>
      <c r="J110" t="n">
        <v>2</v>
      </c>
      <c r="K110" t="n">
        <v>0</v>
      </c>
      <c r="L110" t="n">
        <v>0</v>
      </c>
      <c r="M110" t="n">
        <v>0</v>
      </c>
      <c r="N110" t="n">
        <v>0</v>
      </c>
      <c r="O110" t="n">
        <v>2</v>
      </c>
      <c r="P110" t="n">
        <v>0</v>
      </c>
      <c r="Q110" t="n">
        <v>2</v>
      </c>
      <c r="R110" s="2" t="inlineStr">
        <is>
          <t>Blå taggsvamp
Gammelgransskål</t>
        </is>
      </c>
      <c r="S110">
        <f>HYPERLINK("https://klasma.github.io/Logging_2326/artfynd/A 26944-2024 artfynd.xlsx", "A 26944-2024")</f>
        <v/>
      </c>
      <c r="T110">
        <f>HYPERLINK("https://klasma.github.io/Logging_2326/kartor/A 26944-2024 karta.png", "A 26944-2024")</f>
        <v/>
      </c>
      <c r="V110">
        <f>HYPERLINK("https://klasma.github.io/Logging_2326/klagomål/A 26944-2024 FSC-klagomål.docx", "A 26944-2024")</f>
        <v/>
      </c>
      <c r="W110">
        <f>HYPERLINK("https://klasma.github.io/Logging_2326/klagomålsmail/A 26944-2024 FSC-klagomål mail.docx", "A 26944-2024")</f>
        <v/>
      </c>
      <c r="X110">
        <f>HYPERLINK("https://klasma.github.io/Logging_2326/tillsyn/A 26944-2024 tillsynsbegäran.docx", "A 26944-2024")</f>
        <v/>
      </c>
      <c r="Y110">
        <f>HYPERLINK("https://klasma.github.io/Logging_2326/tillsynsmail/A 26944-2024 tillsynsbegäran mail.docx", "A 26944-2024")</f>
        <v/>
      </c>
    </row>
    <row r="111" ht="15" customHeight="1">
      <c r="A111" t="inlineStr">
        <is>
          <t>A 33009-2024</t>
        </is>
      </c>
      <c r="B111" s="1" t="n">
        <v>45517.50332175926</v>
      </c>
      <c r="C111" s="1" t="n">
        <v>45936</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12734-2024</t>
        </is>
      </c>
      <c r="B112" s="1" t="n">
        <v>45384</v>
      </c>
      <c r="C112" s="1" t="n">
        <v>45936</v>
      </c>
      <c r="D112" t="inlineStr">
        <is>
          <t>JÄMTLANDS LÄN</t>
        </is>
      </c>
      <c r="E112" t="inlineStr">
        <is>
          <t>BERG</t>
        </is>
      </c>
      <c r="G112" t="n">
        <v>7.2</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12734-2024 artfynd.xlsx", "A 12734-2024")</f>
        <v/>
      </c>
      <c r="T112">
        <f>HYPERLINK("https://klasma.github.io/Logging_2326/kartor/A 12734-2024 karta.png", "A 12734-2024")</f>
        <v/>
      </c>
      <c r="V112">
        <f>HYPERLINK("https://klasma.github.io/Logging_2326/klagomål/A 12734-2024 FSC-klagomål.docx", "A 12734-2024")</f>
        <v/>
      </c>
      <c r="W112">
        <f>HYPERLINK("https://klasma.github.io/Logging_2326/klagomålsmail/A 12734-2024 FSC-klagomål mail.docx", "A 12734-2024")</f>
        <v/>
      </c>
      <c r="X112">
        <f>HYPERLINK("https://klasma.github.io/Logging_2326/tillsyn/A 12734-2024 tillsynsbegäran.docx", "A 12734-2024")</f>
        <v/>
      </c>
      <c r="Y112">
        <f>HYPERLINK("https://klasma.github.io/Logging_2326/tillsynsmail/A 12734-2024 tillsynsbegäran mail.docx", "A 12734-2024")</f>
        <v/>
      </c>
      <c r="Z112">
        <f>HYPERLINK("https://klasma.github.io/Logging_2326/fåglar/A 12734-2024 prioriterade fågelarter.docx", "A 12734-2024")</f>
        <v/>
      </c>
    </row>
    <row r="113" ht="15" customHeight="1">
      <c r="A113" t="inlineStr">
        <is>
          <t>A 55331-2023</t>
        </is>
      </c>
      <c r="B113" s="1" t="n">
        <v>45237</v>
      </c>
      <c r="C113" s="1" t="n">
        <v>45936</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10133-2023</t>
        </is>
      </c>
      <c r="B114" s="1" t="n">
        <v>44986</v>
      </c>
      <c r="C114" s="1" t="n">
        <v>45936</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28769-2024</t>
        </is>
      </c>
      <c r="B115" s="1" t="n">
        <v>45478</v>
      </c>
      <c r="C115" s="1" t="n">
        <v>45936</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14344-2025</t>
        </is>
      </c>
      <c r="B116" s="1" t="n">
        <v>45741</v>
      </c>
      <c r="C116" s="1" t="n">
        <v>45936</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47858-2025</t>
        </is>
      </c>
      <c r="B117" s="1" t="n">
        <v>45932.40699074074</v>
      </c>
      <c r="C117" s="1" t="n">
        <v>45936</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60333-2024</t>
        </is>
      </c>
      <c r="B118" s="1" t="n">
        <v>45643</v>
      </c>
      <c r="C118" s="1" t="n">
        <v>45936</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45936</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27919-2024</t>
        </is>
      </c>
      <c r="B120" s="1" t="n">
        <v>45475.94865740741</v>
      </c>
      <c r="C120" s="1" t="n">
        <v>45936</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45936</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45936</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45936</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26748-2025</t>
        </is>
      </c>
      <c r="B124" s="1" t="n">
        <v>45810.53988425926</v>
      </c>
      <c r="C124" s="1" t="n">
        <v>45936</v>
      </c>
      <c r="D124" t="inlineStr">
        <is>
          <t>JÄMTLANDS LÄN</t>
        </is>
      </c>
      <c r="E124" t="inlineStr">
        <is>
          <t>BERG</t>
        </is>
      </c>
      <c r="G124" t="n">
        <v>17.4</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26748-2025 artfynd.xlsx", "A 26748-2025")</f>
        <v/>
      </c>
      <c r="T124">
        <f>HYPERLINK("https://klasma.github.io/Logging_2326/kartor/A 26748-2025 karta.png", "A 26748-2025")</f>
        <v/>
      </c>
      <c r="V124">
        <f>HYPERLINK("https://klasma.github.io/Logging_2326/klagomål/A 26748-2025 FSC-klagomål.docx", "A 26748-2025")</f>
        <v/>
      </c>
      <c r="W124">
        <f>HYPERLINK("https://klasma.github.io/Logging_2326/klagomålsmail/A 26748-2025 FSC-klagomål mail.docx", "A 26748-2025")</f>
        <v/>
      </c>
      <c r="X124">
        <f>HYPERLINK("https://klasma.github.io/Logging_2326/tillsyn/A 26748-2025 tillsynsbegäran.docx", "A 26748-2025")</f>
        <v/>
      </c>
      <c r="Y124">
        <f>HYPERLINK("https://klasma.github.io/Logging_2326/tillsynsmail/A 26748-2025 tillsynsbegäran mail.docx", "A 26748-2025")</f>
        <v/>
      </c>
      <c r="Z124">
        <f>HYPERLINK("https://klasma.github.io/Logging_2326/fåglar/A 26748-2025 prioriterade fågelarter.docx", "A 26748-2025")</f>
        <v/>
      </c>
    </row>
    <row r="125" ht="15" customHeight="1">
      <c r="A125" t="inlineStr">
        <is>
          <t>A 27647-2025</t>
        </is>
      </c>
      <c r="B125" s="1" t="n">
        <v>45813.59454861111</v>
      </c>
      <c r="C125" s="1" t="n">
        <v>45936</v>
      </c>
      <c r="D125" t="inlineStr">
        <is>
          <t>JÄMTLANDS LÄN</t>
        </is>
      </c>
      <c r="E125" t="inlineStr">
        <is>
          <t>BERG</t>
        </is>
      </c>
      <c r="F125" t="inlineStr">
        <is>
          <t>SCA</t>
        </is>
      </c>
      <c r="G125" t="n">
        <v>3.1</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27647-2025 artfynd.xlsx", "A 27647-2025")</f>
        <v/>
      </c>
      <c r="T125">
        <f>HYPERLINK("https://klasma.github.io/Logging_2326/kartor/A 27647-2025 karta.png", "A 27647-2025")</f>
        <v/>
      </c>
      <c r="V125">
        <f>HYPERLINK("https://klasma.github.io/Logging_2326/klagomål/A 27647-2025 FSC-klagomål.docx", "A 27647-2025")</f>
        <v/>
      </c>
      <c r="W125">
        <f>HYPERLINK("https://klasma.github.io/Logging_2326/klagomålsmail/A 27647-2025 FSC-klagomål mail.docx", "A 27647-2025")</f>
        <v/>
      </c>
      <c r="X125">
        <f>HYPERLINK("https://klasma.github.io/Logging_2326/tillsyn/A 27647-2025 tillsynsbegäran.docx", "A 27647-2025")</f>
        <v/>
      </c>
      <c r="Y125">
        <f>HYPERLINK("https://klasma.github.io/Logging_2326/tillsynsmail/A 27647-2025 tillsynsbegäran mail.docx", "A 27647-2025")</f>
        <v/>
      </c>
    </row>
    <row r="126" ht="15" customHeight="1">
      <c r="A126" t="inlineStr">
        <is>
          <t>A 48880-2023</t>
        </is>
      </c>
      <c r="B126" s="1" t="n">
        <v>45209</v>
      </c>
      <c r="C126" s="1" t="n">
        <v>45936</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31709-2025</t>
        </is>
      </c>
      <c r="B127" s="1" t="n">
        <v>45834.42543981481</v>
      </c>
      <c r="C127" s="1" t="n">
        <v>45936</v>
      </c>
      <c r="D127" t="inlineStr">
        <is>
          <t>JÄMTLANDS LÄN</t>
        </is>
      </c>
      <c r="E127" t="inlineStr">
        <is>
          <t>BERG</t>
        </is>
      </c>
      <c r="G127" t="n">
        <v>22.2</v>
      </c>
      <c r="H127" t="n">
        <v>1</v>
      </c>
      <c r="I127" t="n">
        <v>0</v>
      </c>
      <c r="J127" t="n">
        <v>1</v>
      </c>
      <c r="K127" t="n">
        <v>0</v>
      </c>
      <c r="L127" t="n">
        <v>1</v>
      </c>
      <c r="M127" t="n">
        <v>0</v>
      </c>
      <c r="N127" t="n">
        <v>0</v>
      </c>
      <c r="O127" t="n">
        <v>2</v>
      </c>
      <c r="P127" t="n">
        <v>1</v>
      </c>
      <c r="Q127" t="n">
        <v>2</v>
      </c>
      <c r="R127" s="2" t="inlineStr">
        <is>
          <t>Mikroskapania
Platt spretmossa</t>
        </is>
      </c>
      <c r="S127">
        <f>HYPERLINK("https://klasma.github.io/Logging_2326/artfynd/A 31709-2025 artfynd.xlsx", "A 31709-2025")</f>
        <v/>
      </c>
      <c r="T127">
        <f>HYPERLINK("https://klasma.github.io/Logging_2326/kartor/A 31709-2025 karta.png", "A 31709-2025")</f>
        <v/>
      </c>
      <c r="V127">
        <f>HYPERLINK("https://klasma.github.io/Logging_2326/klagomål/A 31709-2025 FSC-klagomål.docx", "A 31709-2025")</f>
        <v/>
      </c>
      <c r="W127">
        <f>HYPERLINK("https://klasma.github.io/Logging_2326/klagomålsmail/A 31709-2025 FSC-klagomål mail.docx", "A 31709-2025")</f>
        <v/>
      </c>
      <c r="X127">
        <f>HYPERLINK("https://klasma.github.io/Logging_2326/tillsyn/A 31709-2025 tillsynsbegäran.docx", "A 31709-2025")</f>
        <v/>
      </c>
      <c r="Y127">
        <f>HYPERLINK("https://klasma.github.io/Logging_2326/tillsynsmail/A 31709-2025 tillsynsbegäran mail.docx", "A 31709-2025")</f>
        <v/>
      </c>
    </row>
    <row r="128" ht="15" customHeight="1">
      <c r="A128" t="inlineStr">
        <is>
          <t>A 19948-2025</t>
        </is>
      </c>
      <c r="B128" s="1" t="n">
        <v>45771.65668981482</v>
      </c>
      <c r="C128" s="1" t="n">
        <v>45936</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42120-2025</t>
        </is>
      </c>
      <c r="B129" s="1" t="n">
        <v>45904.34236111111</v>
      </c>
      <c r="C129" s="1" t="n">
        <v>45936</v>
      </c>
      <c r="D129" t="inlineStr">
        <is>
          <t>JÄMTLANDS LÄN</t>
        </is>
      </c>
      <c r="E129" t="inlineStr">
        <is>
          <t>BERG</t>
        </is>
      </c>
      <c r="F129" t="inlineStr">
        <is>
          <t>Sveaskog</t>
        </is>
      </c>
      <c r="G129" t="n">
        <v>4.5</v>
      </c>
      <c r="H129" t="n">
        <v>0</v>
      </c>
      <c r="I129" t="n">
        <v>0</v>
      </c>
      <c r="J129" t="n">
        <v>2</v>
      </c>
      <c r="K129" t="n">
        <v>0</v>
      </c>
      <c r="L129" t="n">
        <v>0</v>
      </c>
      <c r="M129" t="n">
        <v>0</v>
      </c>
      <c r="N129" t="n">
        <v>0</v>
      </c>
      <c r="O129" t="n">
        <v>2</v>
      </c>
      <c r="P129" t="n">
        <v>0</v>
      </c>
      <c r="Q129" t="n">
        <v>2</v>
      </c>
      <c r="R129" s="2" t="inlineStr">
        <is>
          <t>Garnlav
Kolflarnlav</t>
        </is>
      </c>
      <c r="S129">
        <f>HYPERLINK("https://klasma.github.io/Logging_2326/artfynd/A 42120-2025 artfynd.xlsx", "A 42120-2025")</f>
        <v/>
      </c>
      <c r="T129">
        <f>HYPERLINK("https://klasma.github.io/Logging_2326/kartor/A 42120-2025 karta.png", "A 42120-2025")</f>
        <v/>
      </c>
      <c r="V129">
        <f>HYPERLINK("https://klasma.github.io/Logging_2326/klagomål/A 42120-2025 FSC-klagomål.docx", "A 42120-2025")</f>
        <v/>
      </c>
      <c r="W129">
        <f>HYPERLINK("https://klasma.github.io/Logging_2326/klagomålsmail/A 42120-2025 FSC-klagomål mail.docx", "A 42120-2025")</f>
        <v/>
      </c>
      <c r="X129">
        <f>HYPERLINK("https://klasma.github.io/Logging_2326/tillsyn/A 42120-2025 tillsynsbegäran.docx", "A 42120-2025")</f>
        <v/>
      </c>
      <c r="Y129">
        <f>HYPERLINK("https://klasma.github.io/Logging_2326/tillsynsmail/A 42120-2025 tillsynsbegäran mail.docx", "A 42120-2025")</f>
        <v/>
      </c>
    </row>
    <row r="130" ht="15" customHeight="1">
      <c r="A130" t="inlineStr">
        <is>
          <t>A 16834-2021</t>
        </is>
      </c>
      <c r="B130" s="1" t="n">
        <v>44293</v>
      </c>
      <c r="C130" s="1" t="n">
        <v>45936</v>
      </c>
      <c r="D130" t="inlineStr">
        <is>
          <t>JÄMTLANDS LÄN</t>
        </is>
      </c>
      <c r="E130" t="inlineStr">
        <is>
          <t>BERG</t>
        </is>
      </c>
      <c r="G130" t="n">
        <v>18.7</v>
      </c>
      <c r="H130" t="n">
        <v>0</v>
      </c>
      <c r="I130" t="n">
        <v>0</v>
      </c>
      <c r="J130" t="n">
        <v>1</v>
      </c>
      <c r="K130" t="n">
        <v>0</v>
      </c>
      <c r="L130" t="n">
        <v>0</v>
      </c>
      <c r="M130" t="n">
        <v>0</v>
      </c>
      <c r="N130" t="n">
        <v>0</v>
      </c>
      <c r="O130" t="n">
        <v>1</v>
      </c>
      <c r="P130" t="n">
        <v>0</v>
      </c>
      <c r="Q130" t="n">
        <v>1</v>
      </c>
      <c r="R130" s="2" t="inlineStr">
        <is>
          <t>Gränsticka</t>
        </is>
      </c>
      <c r="S130">
        <f>HYPERLINK("https://klasma.github.io/Logging_2326/artfynd/A 16834-2021 artfynd.xlsx", "A 16834-2021")</f>
        <v/>
      </c>
      <c r="T130">
        <f>HYPERLINK("https://klasma.github.io/Logging_2326/kartor/A 16834-2021 karta.png", "A 16834-2021")</f>
        <v/>
      </c>
      <c r="V130">
        <f>HYPERLINK("https://klasma.github.io/Logging_2326/klagomål/A 16834-2021 FSC-klagomål.docx", "A 16834-2021")</f>
        <v/>
      </c>
      <c r="W130">
        <f>HYPERLINK("https://klasma.github.io/Logging_2326/klagomålsmail/A 16834-2021 FSC-klagomål mail.docx", "A 16834-2021")</f>
        <v/>
      </c>
      <c r="X130">
        <f>HYPERLINK("https://klasma.github.io/Logging_2326/tillsyn/A 16834-2021 tillsynsbegäran.docx", "A 16834-2021")</f>
        <v/>
      </c>
      <c r="Y130">
        <f>HYPERLINK("https://klasma.github.io/Logging_2326/tillsynsmail/A 16834-2021 tillsynsbegäran mail.docx", "A 16834-2021")</f>
        <v/>
      </c>
    </row>
    <row r="131" ht="15" customHeight="1">
      <c r="A131" t="inlineStr">
        <is>
          <t>A 41317-2022</t>
        </is>
      </c>
      <c r="B131" s="1" t="n">
        <v>44826</v>
      </c>
      <c r="C131" s="1" t="n">
        <v>45936</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50556-2024</t>
        </is>
      </c>
      <c r="B132" s="1" t="n">
        <v>45601.59604166666</v>
      </c>
      <c r="C132" s="1" t="n">
        <v>45936</v>
      </c>
      <c r="D132" t="inlineStr">
        <is>
          <t>JÄMTLANDS LÄN</t>
        </is>
      </c>
      <c r="E132" t="inlineStr">
        <is>
          <t>BERG</t>
        </is>
      </c>
      <c r="G132" t="n">
        <v>5.7</v>
      </c>
      <c r="H132" t="n">
        <v>0</v>
      </c>
      <c r="I132" t="n">
        <v>0</v>
      </c>
      <c r="J132" t="n">
        <v>1</v>
      </c>
      <c r="K132" t="n">
        <v>0</v>
      </c>
      <c r="L132" t="n">
        <v>0</v>
      </c>
      <c r="M132" t="n">
        <v>0</v>
      </c>
      <c r="N132" t="n">
        <v>0</v>
      </c>
      <c r="O132" t="n">
        <v>1</v>
      </c>
      <c r="P132" t="n">
        <v>0</v>
      </c>
      <c r="Q132" t="n">
        <v>1</v>
      </c>
      <c r="R132" s="2" t="inlineStr">
        <is>
          <t>Kalkbräken</t>
        </is>
      </c>
      <c r="S132">
        <f>HYPERLINK("https://klasma.github.io/Logging_2326/artfynd/A 50556-2024 artfynd.xlsx", "A 50556-2024")</f>
        <v/>
      </c>
      <c r="T132">
        <f>HYPERLINK("https://klasma.github.io/Logging_2326/kartor/A 50556-2024 karta.png", "A 50556-2024")</f>
        <v/>
      </c>
      <c r="V132">
        <f>HYPERLINK("https://klasma.github.io/Logging_2326/klagomål/A 50556-2024 FSC-klagomål.docx", "A 50556-2024")</f>
        <v/>
      </c>
      <c r="W132">
        <f>HYPERLINK("https://klasma.github.io/Logging_2326/klagomålsmail/A 50556-2024 FSC-klagomål mail.docx", "A 50556-2024")</f>
        <v/>
      </c>
      <c r="X132">
        <f>HYPERLINK("https://klasma.github.io/Logging_2326/tillsyn/A 50556-2024 tillsynsbegäran.docx", "A 50556-2024")</f>
        <v/>
      </c>
      <c r="Y132">
        <f>HYPERLINK("https://klasma.github.io/Logging_2326/tillsynsmail/A 50556-2024 tillsynsbegäran mail.docx", "A 50556-2024")</f>
        <v/>
      </c>
    </row>
    <row r="133" ht="15" customHeight="1">
      <c r="A133" t="inlineStr">
        <is>
          <t>A 20808-2024</t>
        </is>
      </c>
      <c r="B133" s="1" t="n">
        <v>45439</v>
      </c>
      <c r="C133" s="1" t="n">
        <v>45936</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49276-2024</t>
        </is>
      </c>
      <c r="B134" s="1" t="n">
        <v>45595.50819444445</v>
      </c>
      <c r="C134" s="1" t="n">
        <v>45936</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37513-2025</t>
        </is>
      </c>
      <c r="B135" s="1" t="n">
        <v>45877.69828703703</v>
      </c>
      <c r="C135" s="1" t="n">
        <v>45936</v>
      </c>
      <c r="D135" t="inlineStr">
        <is>
          <t>JÄMTLANDS LÄN</t>
        </is>
      </c>
      <c r="E135" t="inlineStr">
        <is>
          <t>BERG</t>
        </is>
      </c>
      <c r="F135" t="inlineStr">
        <is>
          <t>SCA</t>
        </is>
      </c>
      <c r="G135" t="n">
        <v>14.1</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37513-2025 artfynd.xlsx", "A 37513-2025")</f>
        <v/>
      </c>
      <c r="T135">
        <f>HYPERLINK("https://klasma.github.io/Logging_2326/kartor/A 37513-2025 karta.png", "A 37513-2025")</f>
        <v/>
      </c>
      <c r="V135">
        <f>HYPERLINK("https://klasma.github.io/Logging_2326/klagomål/A 37513-2025 FSC-klagomål.docx", "A 37513-2025")</f>
        <v/>
      </c>
      <c r="W135">
        <f>HYPERLINK("https://klasma.github.io/Logging_2326/klagomålsmail/A 37513-2025 FSC-klagomål mail.docx", "A 37513-2025")</f>
        <v/>
      </c>
      <c r="X135">
        <f>HYPERLINK("https://klasma.github.io/Logging_2326/tillsyn/A 37513-2025 tillsynsbegäran.docx", "A 37513-2025")</f>
        <v/>
      </c>
      <c r="Y135">
        <f>HYPERLINK("https://klasma.github.io/Logging_2326/tillsynsmail/A 37513-2025 tillsynsbegäran mail.docx", "A 37513-2025")</f>
        <v/>
      </c>
    </row>
    <row r="136" ht="15" customHeight="1">
      <c r="A136" t="inlineStr">
        <is>
          <t>A 53086-2024</t>
        </is>
      </c>
      <c r="B136" s="1" t="n">
        <v>45611.51084490741</v>
      </c>
      <c r="C136" s="1" t="n">
        <v>45936</v>
      </c>
      <c r="D136" t="inlineStr">
        <is>
          <t>JÄMTLANDS LÄN</t>
        </is>
      </c>
      <c r="E136" t="inlineStr">
        <is>
          <t>BERG</t>
        </is>
      </c>
      <c r="F136" t="inlineStr">
        <is>
          <t>SCA</t>
        </is>
      </c>
      <c r="G136" t="n">
        <v>7.7</v>
      </c>
      <c r="H136" t="n">
        <v>0</v>
      </c>
      <c r="I136" t="n">
        <v>0</v>
      </c>
      <c r="J136" t="n">
        <v>1</v>
      </c>
      <c r="K136" t="n">
        <v>0</v>
      </c>
      <c r="L136" t="n">
        <v>0</v>
      </c>
      <c r="M136" t="n">
        <v>0</v>
      </c>
      <c r="N136" t="n">
        <v>0</v>
      </c>
      <c r="O136" t="n">
        <v>1</v>
      </c>
      <c r="P136" t="n">
        <v>0</v>
      </c>
      <c r="Q136" t="n">
        <v>1</v>
      </c>
      <c r="R136" s="2" t="inlineStr">
        <is>
          <t>Dvärgbägarlav</t>
        </is>
      </c>
      <c r="S136">
        <f>HYPERLINK("https://klasma.github.io/Logging_2326/artfynd/A 53086-2024 artfynd.xlsx", "A 53086-2024")</f>
        <v/>
      </c>
      <c r="T136">
        <f>HYPERLINK("https://klasma.github.io/Logging_2326/kartor/A 53086-2024 karta.png", "A 53086-2024")</f>
        <v/>
      </c>
      <c r="V136">
        <f>HYPERLINK("https://klasma.github.io/Logging_2326/klagomål/A 53086-2024 FSC-klagomål.docx", "A 53086-2024")</f>
        <v/>
      </c>
      <c r="W136">
        <f>HYPERLINK("https://klasma.github.io/Logging_2326/klagomålsmail/A 53086-2024 FSC-klagomål mail.docx", "A 53086-2024")</f>
        <v/>
      </c>
      <c r="X136">
        <f>HYPERLINK("https://klasma.github.io/Logging_2326/tillsyn/A 53086-2024 tillsynsbegäran.docx", "A 53086-2024")</f>
        <v/>
      </c>
      <c r="Y136">
        <f>HYPERLINK("https://klasma.github.io/Logging_2326/tillsynsmail/A 53086-2024 tillsynsbegäran mail.docx", "A 53086-2024")</f>
        <v/>
      </c>
    </row>
    <row r="137" ht="15" customHeight="1">
      <c r="A137" t="inlineStr">
        <is>
          <t>A 41635-2024</t>
        </is>
      </c>
      <c r="B137" s="1" t="n">
        <v>45560.61601851852</v>
      </c>
      <c r="C137" s="1" t="n">
        <v>45936</v>
      </c>
      <c r="D137" t="inlineStr">
        <is>
          <t>JÄMTLANDS LÄN</t>
        </is>
      </c>
      <c r="E137" t="inlineStr">
        <is>
          <t>BERG</t>
        </is>
      </c>
      <c r="F137" t="inlineStr">
        <is>
          <t>SCA</t>
        </is>
      </c>
      <c r="G137" t="n">
        <v>4.2</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41635-2024 artfynd.xlsx", "A 41635-2024")</f>
        <v/>
      </c>
      <c r="T137">
        <f>HYPERLINK("https://klasma.github.io/Logging_2326/kartor/A 41635-2024 karta.png", "A 41635-2024")</f>
        <v/>
      </c>
      <c r="V137">
        <f>HYPERLINK("https://klasma.github.io/Logging_2326/klagomål/A 41635-2024 FSC-klagomål.docx", "A 41635-2024")</f>
        <v/>
      </c>
      <c r="W137">
        <f>HYPERLINK("https://klasma.github.io/Logging_2326/klagomålsmail/A 41635-2024 FSC-klagomål mail.docx", "A 41635-2024")</f>
        <v/>
      </c>
      <c r="X137">
        <f>HYPERLINK("https://klasma.github.io/Logging_2326/tillsyn/A 41635-2024 tillsynsbegäran.docx", "A 41635-2024")</f>
        <v/>
      </c>
      <c r="Y137">
        <f>HYPERLINK("https://klasma.github.io/Logging_2326/tillsynsmail/A 41635-2024 tillsynsbegäran mail.docx", "A 41635-2024")</f>
        <v/>
      </c>
    </row>
    <row r="138" ht="15" customHeight="1">
      <c r="A138" t="inlineStr">
        <is>
          <t>A 37651-2025</t>
        </is>
      </c>
      <c r="B138" s="1" t="n">
        <v>45880.49006944444</v>
      </c>
      <c r="C138" s="1" t="n">
        <v>45936</v>
      </c>
      <c r="D138" t="inlineStr">
        <is>
          <t>JÄMTLANDS LÄN</t>
        </is>
      </c>
      <c r="E138" t="inlineStr">
        <is>
          <t>BERG</t>
        </is>
      </c>
      <c r="F138" t="inlineStr">
        <is>
          <t>SCA</t>
        </is>
      </c>
      <c r="G138" t="n">
        <v>8.5</v>
      </c>
      <c r="H138" t="n">
        <v>0</v>
      </c>
      <c r="I138" t="n">
        <v>0</v>
      </c>
      <c r="J138" t="n">
        <v>1</v>
      </c>
      <c r="K138" t="n">
        <v>0</v>
      </c>
      <c r="L138" t="n">
        <v>0</v>
      </c>
      <c r="M138" t="n">
        <v>0</v>
      </c>
      <c r="N138" t="n">
        <v>0</v>
      </c>
      <c r="O138" t="n">
        <v>1</v>
      </c>
      <c r="P138" t="n">
        <v>0</v>
      </c>
      <c r="Q138" t="n">
        <v>1</v>
      </c>
      <c r="R138" s="2" t="inlineStr">
        <is>
          <t>Vedflamlav</t>
        </is>
      </c>
      <c r="S138">
        <f>HYPERLINK("https://klasma.github.io/Logging_2326/artfynd/A 37651-2025 artfynd.xlsx", "A 37651-2025")</f>
        <v/>
      </c>
      <c r="T138">
        <f>HYPERLINK("https://klasma.github.io/Logging_2326/kartor/A 37651-2025 karta.png", "A 37651-2025")</f>
        <v/>
      </c>
      <c r="V138">
        <f>HYPERLINK("https://klasma.github.io/Logging_2326/klagomål/A 37651-2025 FSC-klagomål.docx", "A 37651-2025")</f>
        <v/>
      </c>
      <c r="W138">
        <f>HYPERLINK("https://klasma.github.io/Logging_2326/klagomålsmail/A 37651-2025 FSC-klagomål mail.docx", "A 37651-2025")</f>
        <v/>
      </c>
      <c r="X138">
        <f>HYPERLINK("https://klasma.github.io/Logging_2326/tillsyn/A 37651-2025 tillsynsbegäran.docx", "A 37651-2025")</f>
        <v/>
      </c>
      <c r="Y138">
        <f>HYPERLINK("https://klasma.github.io/Logging_2326/tillsynsmail/A 37651-2025 tillsynsbegäran mail.docx", "A 37651-2025")</f>
        <v/>
      </c>
    </row>
    <row r="139" ht="15" customHeight="1">
      <c r="A139" t="inlineStr">
        <is>
          <t>A 40382-2024</t>
        </is>
      </c>
      <c r="B139" s="1" t="n">
        <v>45555.42225694445</v>
      </c>
      <c r="C139" s="1" t="n">
        <v>45936</v>
      </c>
      <c r="D139" t="inlineStr">
        <is>
          <t>JÄMTLANDS LÄN</t>
        </is>
      </c>
      <c r="E139" t="inlineStr">
        <is>
          <t>BERG</t>
        </is>
      </c>
      <c r="G139" t="n">
        <v>1.5</v>
      </c>
      <c r="H139" t="n">
        <v>0</v>
      </c>
      <c r="I139" t="n">
        <v>0</v>
      </c>
      <c r="J139" t="n">
        <v>1</v>
      </c>
      <c r="K139" t="n">
        <v>0</v>
      </c>
      <c r="L139" t="n">
        <v>0</v>
      </c>
      <c r="M139" t="n">
        <v>0</v>
      </c>
      <c r="N139" t="n">
        <v>0</v>
      </c>
      <c r="O139" t="n">
        <v>1</v>
      </c>
      <c r="P139" t="n">
        <v>0</v>
      </c>
      <c r="Q139" t="n">
        <v>1</v>
      </c>
      <c r="R139" s="2" t="inlineStr">
        <is>
          <t>Backruta</t>
        </is>
      </c>
      <c r="S139">
        <f>HYPERLINK("https://klasma.github.io/Logging_2326/artfynd/A 40382-2024 artfynd.xlsx", "A 40382-2024")</f>
        <v/>
      </c>
      <c r="T139">
        <f>HYPERLINK("https://klasma.github.io/Logging_2326/kartor/A 40382-2024 karta.png", "A 40382-2024")</f>
        <v/>
      </c>
      <c r="V139">
        <f>HYPERLINK("https://klasma.github.io/Logging_2326/klagomål/A 40382-2024 FSC-klagomål.docx", "A 40382-2024")</f>
        <v/>
      </c>
      <c r="W139">
        <f>HYPERLINK("https://klasma.github.io/Logging_2326/klagomålsmail/A 40382-2024 FSC-klagomål mail.docx", "A 40382-2024")</f>
        <v/>
      </c>
      <c r="X139">
        <f>HYPERLINK("https://klasma.github.io/Logging_2326/tillsyn/A 40382-2024 tillsynsbegäran.docx", "A 40382-2024")</f>
        <v/>
      </c>
      <c r="Y139">
        <f>HYPERLINK("https://klasma.github.io/Logging_2326/tillsynsmail/A 40382-2024 tillsynsbegäran mail.docx", "A 40382-2024")</f>
        <v/>
      </c>
    </row>
    <row r="140" ht="15" customHeight="1">
      <c r="A140" t="inlineStr">
        <is>
          <t>A 34891-2024</t>
        </is>
      </c>
      <c r="B140" s="1" t="n">
        <v>45527.36498842593</v>
      </c>
      <c r="C140" s="1" t="n">
        <v>45936</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56202-2021</t>
        </is>
      </c>
      <c r="B141" s="1" t="n">
        <v>44477</v>
      </c>
      <c r="C141" s="1" t="n">
        <v>45936</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20444-2025</t>
        </is>
      </c>
      <c r="B142" s="1" t="n">
        <v>45775.48989583334</v>
      </c>
      <c r="C142" s="1" t="n">
        <v>45936</v>
      </c>
      <c r="D142" t="inlineStr">
        <is>
          <t>JÄMTLANDS LÄN</t>
        </is>
      </c>
      <c r="E142" t="inlineStr">
        <is>
          <t>BERG</t>
        </is>
      </c>
      <c r="F142" t="inlineStr">
        <is>
          <t>SCA</t>
        </is>
      </c>
      <c r="G142" t="n">
        <v>2.3</v>
      </c>
      <c r="H142" t="n">
        <v>0</v>
      </c>
      <c r="I142" t="n">
        <v>0</v>
      </c>
      <c r="J142" t="n">
        <v>0</v>
      </c>
      <c r="K142" t="n">
        <v>1</v>
      </c>
      <c r="L142" t="n">
        <v>0</v>
      </c>
      <c r="M142" t="n">
        <v>0</v>
      </c>
      <c r="N142" t="n">
        <v>0</v>
      </c>
      <c r="O142" t="n">
        <v>1</v>
      </c>
      <c r="P142" t="n">
        <v>1</v>
      </c>
      <c r="Q142" t="n">
        <v>1</v>
      </c>
      <c r="R142" s="2" t="inlineStr">
        <is>
          <t>Gräddporing</t>
        </is>
      </c>
      <c r="S142">
        <f>HYPERLINK("https://klasma.github.io/Logging_2326/artfynd/A 20444-2025 artfynd.xlsx", "A 20444-2025")</f>
        <v/>
      </c>
      <c r="T142">
        <f>HYPERLINK("https://klasma.github.io/Logging_2326/kartor/A 20444-2025 karta.png", "A 20444-2025")</f>
        <v/>
      </c>
      <c r="V142">
        <f>HYPERLINK("https://klasma.github.io/Logging_2326/klagomål/A 20444-2025 FSC-klagomål.docx", "A 20444-2025")</f>
        <v/>
      </c>
      <c r="W142">
        <f>HYPERLINK("https://klasma.github.io/Logging_2326/klagomålsmail/A 20444-2025 FSC-klagomål mail.docx", "A 20444-2025")</f>
        <v/>
      </c>
      <c r="X142">
        <f>HYPERLINK("https://klasma.github.io/Logging_2326/tillsyn/A 20444-2025 tillsynsbegäran.docx", "A 20444-2025")</f>
        <v/>
      </c>
      <c r="Y142">
        <f>HYPERLINK("https://klasma.github.io/Logging_2326/tillsynsmail/A 20444-2025 tillsynsbegäran mail.docx", "A 20444-2025")</f>
        <v/>
      </c>
    </row>
    <row r="143" ht="15" customHeight="1">
      <c r="A143" t="inlineStr">
        <is>
          <t>A 9657-2023</t>
        </is>
      </c>
      <c r="B143" s="1" t="n">
        <v>44978</v>
      </c>
      <c r="C143" s="1" t="n">
        <v>45936</v>
      </c>
      <c r="D143" t="inlineStr">
        <is>
          <t>JÄMTLANDS LÄN</t>
        </is>
      </c>
      <c r="E143" t="inlineStr">
        <is>
          <t>BERG</t>
        </is>
      </c>
      <c r="G143" t="n">
        <v>2.7</v>
      </c>
      <c r="H143" t="n">
        <v>0</v>
      </c>
      <c r="I143" t="n">
        <v>0</v>
      </c>
      <c r="J143" t="n">
        <v>1</v>
      </c>
      <c r="K143" t="n">
        <v>0</v>
      </c>
      <c r="L143" t="n">
        <v>0</v>
      </c>
      <c r="M143" t="n">
        <v>0</v>
      </c>
      <c r="N143" t="n">
        <v>0</v>
      </c>
      <c r="O143" t="n">
        <v>1</v>
      </c>
      <c r="P143" t="n">
        <v>0</v>
      </c>
      <c r="Q143" t="n">
        <v>1</v>
      </c>
      <c r="R143" s="2" t="inlineStr">
        <is>
          <t>Garnlav</t>
        </is>
      </c>
      <c r="S143">
        <f>HYPERLINK("https://klasma.github.io/Logging_2326/artfynd/A 9657-2023 artfynd.xlsx", "A 9657-2023")</f>
        <v/>
      </c>
      <c r="T143">
        <f>HYPERLINK("https://klasma.github.io/Logging_2326/kartor/A 9657-2023 karta.png", "A 9657-2023")</f>
        <v/>
      </c>
      <c r="V143">
        <f>HYPERLINK("https://klasma.github.io/Logging_2326/klagomål/A 9657-2023 FSC-klagomål.docx", "A 9657-2023")</f>
        <v/>
      </c>
      <c r="W143">
        <f>HYPERLINK("https://klasma.github.io/Logging_2326/klagomålsmail/A 9657-2023 FSC-klagomål mail.docx", "A 9657-2023")</f>
        <v/>
      </c>
      <c r="X143">
        <f>HYPERLINK("https://klasma.github.io/Logging_2326/tillsyn/A 9657-2023 tillsynsbegäran.docx", "A 9657-2023")</f>
        <v/>
      </c>
      <c r="Y143">
        <f>HYPERLINK("https://klasma.github.io/Logging_2326/tillsynsmail/A 9657-2023 tillsynsbegäran mail.docx", "A 9657-2023")</f>
        <v/>
      </c>
    </row>
    <row r="144" ht="15" customHeight="1">
      <c r="A144" t="inlineStr">
        <is>
          <t>A 54595-2024</t>
        </is>
      </c>
      <c r="B144" s="1" t="n">
        <v>45617.67353009259</v>
      </c>
      <c r="C144" s="1" t="n">
        <v>45936</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47656-2025</t>
        </is>
      </c>
      <c r="B145" s="1" t="n">
        <v>45931.55247685185</v>
      </c>
      <c r="C145" s="1" t="n">
        <v>45936</v>
      </c>
      <c r="D145" t="inlineStr">
        <is>
          <t>JÄMTLANDS LÄN</t>
        </is>
      </c>
      <c r="E145" t="inlineStr">
        <is>
          <t>BERG</t>
        </is>
      </c>
      <c r="F145" t="inlineStr">
        <is>
          <t>SCA</t>
        </is>
      </c>
      <c r="G145" t="n">
        <v>1.2</v>
      </c>
      <c r="H145" t="n">
        <v>0</v>
      </c>
      <c r="I145" t="n">
        <v>0</v>
      </c>
      <c r="J145" t="n">
        <v>1</v>
      </c>
      <c r="K145" t="n">
        <v>0</v>
      </c>
      <c r="L145" t="n">
        <v>0</v>
      </c>
      <c r="M145" t="n">
        <v>0</v>
      </c>
      <c r="N145" t="n">
        <v>0</v>
      </c>
      <c r="O145" t="n">
        <v>1</v>
      </c>
      <c r="P145" t="n">
        <v>0</v>
      </c>
      <c r="Q145" t="n">
        <v>1</v>
      </c>
      <c r="R145" s="2" t="inlineStr">
        <is>
          <t>Vedflamlav</t>
        </is>
      </c>
      <c r="S145">
        <f>HYPERLINK("https://klasma.github.io/Logging_2326/artfynd/A 47656-2025 artfynd.xlsx", "A 47656-2025")</f>
        <v/>
      </c>
      <c r="T145">
        <f>HYPERLINK("https://klasma.github.io/Logging_2326/kartor/A 47656-2025 karta.png", "A 47656-2025")</f>
        <v/>
      </c>
      <c r="V145">
        <f>HYPERLINK("https://klasma.github.io/Logging_2326/klagomål/A 47656-2025 FSC-klagomål.docx", "A 47656-2025")</f>
        <v/>
      </c>
      <c r="W145">
        <f>HYPERLINK("https://klasma.github.io/Logging_2326/klagomålsmail/A 47656-2025 FSC-klagomål mail.docx", "A 47656-2025")</f>
        <v/>
      </c>
      <c r="X145">
        <f>HYPERLINK("https://klasma.github.io/Logging_2326/tillsyn/A 47656-2025 tillsynsbegäran.docx", "A 47656-2025")</f>
        <v/>
      </c>
      <c r="Y145">
        <f>HYPERLINK("https://klasma.github.io/Logging_2326/tillsynsmail/A 47656-2025 tillsynsbegäran mail.docx", "A 47656-2025")</f>
        <v/>
      </c>
    </row>
    <row r="146" ht="15" customHeight="1">
      <c r="A146" t="inlineStr">
        <is>
          <t>A 47658-2025</t>
        </is>
      </c>
      <c r="B146" s="1" t="n">
        <v>45931.55266203704</v>
      </c>
      <c r="C146" s="1" t="n">
        <v>45936</v>
      </c>
      <c r="D146" t="inlineStr">
        <is>
          <t>JÄMTLANDS LÄN</t>
        </is>
      </c>
      <c r="E146" t="inlineStr">
        <is>
          <t>BERG</t>
        </is>
      </c>
      <c r="F146" t="inlineStr">
        <is>
          <t>SCA</t>
        </is>
      </c>
      <c r="G146" t="n">
        <v>3.2</v>
      </c>
      <c r="H146" t="n">
        <v>0</v>
      </c>
      <c r="I146" t="n">
        <v>0</v>
      </c>
      <c r="J146" t="n">
        <v>1</v>
      </c>
      <c r="K146" t="n">
        <v>0</v>
      </c>
      <c r="L146" t="n">
        <v>0</v>
      </c>
      <c r="M146" t="n">
        <v>0</v>
      </c>
      <c r="N146" t="n">
        <v>0</v>
      </c>
      <c r="O146" t="n">
        <v>1</v>
      </c>
      <c r="P146" t="n">
        <v>0</v>
      </c>
      <c r="Q146" t="n">
        <v>1</v>
      </c>
      <c r="R146" s="2" t="inlineStr">
        <is>
          <t>Blågrå svartspik</t>
        </is>
      </c>
      <c r="S146">
        <f>HYPERLINK("https://klasma.github.io/Logging_2326/artfynd/A 47658-2025 artfynd.xlsx", "A 47658-2025")</f>
        <v/>
      </c>
      <c r="T146">
        <f>HYPERLINK("https://klasma.github.io/Logging_2326/kartor/A 47658-2025 karta.png", "A 47658-2025")</f>
        <v/>
      </c>
      <c r="V146">
        <f>HYPERLINK("https://klasma.github.io/Logging_2326/klagomål/A 47658-2025 FSC-klagomål.docx", "A 47658-2025")</f>
        <v/>
      </c>
      <c r="W146">
        <f>HYPERLINK("https://klasma.github.io/Logging_2326/klagomålsmail/A 47658-2025 FSC-klagomål mail.docx", "A 47658-2025")</f>
        <v/>
      </c>
      <c r="X146">
        <f>HYPERLINK("https://klasma.github.io/Logging_2326/tillsyn/A 47658-2025 tillsynsbegäran.docx", "A 47658-2025")</f>
        <v/>
      </c>
      <c r="Y146">
        <f>HYPERLINK("https://klasma.github.io/Logging_2326/tillsynsmail/A 47658-2025 tillsynsbegäran mail.docx", "A 47658-2025")</f>
        <v/>
      </c>
    </row>
    <row r="147" ht="15" customHeight="1">
      <c r="A147" t="inlineStr">
        <is>
          <t>A 49049-2024</t>
        </is>
      </c>
      <c r="B147" s="1" t="n">
        <v>45594.5742824074</v>
      </c>
      <c r="C147" s="1" t="n">
        <v>45936</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39001-2025</t>
        </is>
      </c>
      <c r="B148" s="1" t="n">
        <v>45888.344375</v>
      </c>
      <c r="C148" s="1" t="n">
        <v>45936</v>
      </c>
      <c r="D148" t="inlineStr">
        <is>
          <t>JÄMTLANDS LÄN</t>
        </is>
      </c>
      <c r="E148" t="inlineStr">
        <is>
          <t>BERG</t>
        </is>
      </c>
      <c r="F148" t="inlineStr">
        <is>
          <t>SCA</t>
        </is>
      </c>
      <c r="G148" t="n">
        <v>4.4</v>
      </c>
      <c r="H148" t="n">
        <v>0</v>
      </c>
      <c r="I148" t="n">
        <v>0</v>
      </c>
      <c r="J148" t="n">
        <v>1</v>
      </c>
      <c r="K148" t="n">
        <v>0</v>
      </c>
      <c r="L148" t="n">
        <v>0</v>
      </c>
      <c r="M148" t="n">
        <v>0</v>
      </c>
      <c r="N148" t="n">
        <v>0</v>
      </c>
      <c r="O148" t="n">
        <v>1</v>
      </c>
      <c r="P148" t="n">
        <v>0</v>
      </c>
      <c r="Q148" t="n">
        <v>1</v>
      </c>
      <c r="R148" s="2" t="inlineStr">
        <is>
          <t>Vedflamlav</t>
        </is>
      </c>
      <c r="S148">
        <f>HYPERLINK("https://klasma.github.io/Logging_2326/artfynd/A 39001-2025 artfynd.xlsx", "A 39001-2025")</f>
        <v/>
      </c>
      <c r="T148">
        <f>HYPERLINK("https://klasma.github.io/Logging_2326/kartor/A 39001-2025 karta.png", "A 39001-2025")</f>
        <v/>
      </c>
      <c r="V148">
        <f>HYPERLINK("https://klasma.github.io/Logging_2326/klagomål/A 39001-2025 FSC-klagomål.docx", "A 39001-2025")</f>
        <v/>
      </c>
      <c r="W148">
        <f>HYPERLINK("https://klasma.github.io/Logging_2326/klagomålsmail/A 39001-2025 FSC-klagomål mail.docx", "A 39001-2025")</f>
        <v/>
      </c>
      <c r="X148">
        <f>HYPERLINK("https://klasma.github.io/Logging_2326/tillsyn/A 39001-2025 tillsynsbegäran.docx", "A 39001-2025")</f>
        <v/>
      </c>
      <c r="Y148">
        <f>HYPERLINK("https://klasma.github.io/Logging_2326/tillsynsmail/A 39001-2025 tillsynsbegäran mail.docx", "A 39001-2025")</f>
        <v/>
      </c>
    </row>
    <row r="149" ht="15" customHeight="1">
      <c r="A149" t="inlineStr">
        <is>
          <t>A 47946-2025</t>
        </is>
      </c>
      <c r="B149" s="1" t="n">
        <v>45932.57346064815</v>
      </c>
      <c r="C149" s="1" t="n">
        <v>45936</v>
      </c>
      <c r="D149" t="inlineStr">
        <is>
          <t>JÄMTLANDS LÄN</t>
        </is>
      </c>
      <c r="E149" t="inlineStr">
        <is>
          <t>BERG</t>
        </is>
      </c>
      <c r="F149" t="inlineStr">
        <is>
          <t>SCA</t>
        </is>
      </c>
      <c r="G149" t="n">
        <v>7.7</v>
      </c>
      <c r="H149" t="n">
        <v>0</v>
      </c>
      <c r="I149" t="n">
        <v>0</v>
      </c>
      <c r="J149" t="n">
        <v>0</v>
      </c>
      <c r="K149" t="n">
        <v>1</v>
      </c>
      <c r="L149" t="n">
        <v>0</v>
      </c>
      <c r="M149" t="n">
        <v>0</v>
      </c>
      <c r="N149" t="n">
        <v>0</v>
      </c>
      <c r="O149" t="n">
        <v>1</v>
      </c>
      <c r="P149" t="n">
        <v>1</v>
      </c>
      <c r="Q149" t="n">
        <v>1</v>
      </c>
      <c r="R149" s="2" t="inlineStr">
        <is>
          <t>Gräddporing</t>
        </is>
      </c>
      <c r="S149">
        <f>HYPERLINK("https://klasma.github.io/Logging_2326/artfynd/A 47946-2025 artfynd.xlsx", "A 47946-2025")</f>
        <v/>
      </c>
      <c r="T149">
        <f>HYPERLINK("https://klasma.github.io/Logging_2326/kartor/A 47946-2025 karta.png", "A 47946-2025")</f>
        <v/>
      </c>
      <c r="V149">
        <f>HYPERLINK("https://klasma.github.io/Logging_2326/klagomål/A 47946-2025 FSC-klagomål.docx", "A 47946-2025")</f>
        <v/>
      </c>
      <c r="W149">
        <f>HYPERLINK("https://klasma.github.io/Logging_2326/klagomålsmail/A 47946-2025 FSC-klagomål mail.docx", "A 47946-2025")</f>
        <v/>
      </c>
      <c r="X149">
        <f>HYPERLINK("https://klasma.github.io/Logging_2326/tillsyn/A 47946-2025 tillsynsbegäran.docx", "A 47946-2025")</f>
        <v/>
      </c>
      <c r="Y149">
        <f>HYPERLINK("https://klasma.github.io/Logging_2326/tillsynsmail/A 47946-2025 tillsynsbegäran mail.docx", "A 47946-2025")</f>
        <v/>
      </c>
    </row>
    <row r="150" ht="15" customHeight="1">
      <c r="A150" t="inlineStr">
        <is>
          <t>A 25853-2025</t>
        </is>
      </c>
      <c r="B150" s="1" t="n">
        <v>45804.46908564815</v>
      </c>
      <c r="C150" s="1" t="n">
        <v>45936</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21681-2025</t>
        </is>
      </c>
      <c r="B151" s="1" t="n">
        <v>45783.49015046296</v>
      </c>
      <c r="C151" s="1" t="n">
        <v>45936</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53708-2024</t>
        </is>
      </c>
      <c r="B152" s="1" t="n">
        <v>45615.40983796296</v>
      </c>
      <c r="C152" s="1" t="n">
        <v>45936</v>
      </c>
      <c r="D152" t="inlineStr">
        <is>
          <t>JÄMTLANDS LÄN</t>
        </is>
      </c>
      <c r="E152" t="inlineStr">
        <is>
          <t>BERG</t>
        </is>
      </c>
      <c r="G152" t="n">
        <v>8.199999999999999</v>
      </c>
      <c r="H152" t="n">
        <v>0</v>
      </c>
      <c r="I152" t="n">
        <v>0</v>
      </c>
      <c r="J152" t="n">
        <v>1</v>
      </c>
      <c r="K152" t="n">
        <v>0</v>
      </c>
      <c r="L152" t="n">
        <v>0</v>
      </c>
      <c r="M152" t="n">
        <v>0</v>
      </c>
      <c r="N152" t="n">
        <v>0</v>
      </c>
      <c r="O152" t="n">
        <v>1</v>
      </c>
      <c r="P152" t="n">
        <v>0</v>
      </c>
      <c r="Q152" t="n">
        <v>1</v>
      </c>
      <c r="R152" s="2" t="inlineStr">
        <is>
          <t>Lunglav</t>
        </is>
      </c>
      <c r="S152">
        <f>HYPERLINK("https://klasma.github.io/Logging_2326/artfynd/A 53708-2024 artfynd.xlsx", "A 53708-2024")</f>
        <v/>
      </c>
      <c r="T152">
        <f>HYPERLINK("https://klasma.github.io/Logging_2326/kartor/A 53708-2024 karta.png", "A 53708-2024")</f>
        <v/>
      </c>
      <c r="V152">
        <f>HYPERLINK("https://klasma.github.io/Logging_2326/klagomål/A 53708-2024 FSC-klagomål.docx", "A 53708-2024")</f>
        <v/>
      </c>
      <c r="W152">
        <f>HYPERLINK("https://klasma.github.io/Logging_2326/klagomålsmail/A 53708-2024 FSC-klagomål mail.docx", "A 53708-2024")</f>
        <v/>
      </c>
      <c r="X152">
        <f>HYPERLINK("https://klasma.github.io/Logging_2326/tillsyn/A 53708-2024 tillsynsbegäran.docx", "A 53708-2024")</f>
        <v/>
      </c>
      <c r="Y152">
        <f>HYPERLINK("https://klasma.github.io/Logging_2326/tillsynsmail/A 53708-2024 tillsynsbegäran mail.docx", "A 53708-2024")</f>
        <v/>
      </c>
    </row>
    <row r="153" ht="15" customHeight="1">
      <c r="A153" t="inlineStr">
        <is>
          <t>A 33126-2024</t>
        </is>
      </c>
      <c r="B153" s="1" t="n">
        <v>45517.9575462963</v>
      </c>
      <c r="C153" s="1" t="n">
        <v>45936</v>
      </c>
      <c r="D153" t="inlineStr">
        <is>
          <t>JÄMTLANDS LÄN</t>
        </is>
      </c>
      <c r="E153" t="inlineStr">
        <is>
          <t>BERG</t>
        </is>
      </c>
      <c r="F153" t="inlineStr">
        <is>
          <t>SCA</t>
        </is>
      </c>
      <c r="G153" t="n">
        <v>4.2</v>
      </c>
      <c r="H153" t="n">
        <v>0</v>
      </c>
      <c r="I153" t="n">
        <v>0</v>
      </c>
      <c r="J153" t="n">
        <v>0</v>
      </c>
      <c r="K153" t="n">
        <v>1</v>
      </c>
      <c r="L153" t="n">
        <v>0</v>
      </c>
      <c r="M153" t="n">
        <v>0</v>
      </c>
      <c r="N153" t="n">
        <v>0</v>
      </c>
      <c r="O153" t="n">
        <v>1</v>
      </c>
      <c r="P153" t="n">
        <v>1</v>
      </c>
      <c r="Q153" t="n">
        <v>1</v>
      </c>
      <c r="R153" s="2" t="inlineStr">
        <is>
          <t>Gräddporing</t>
        </is>
      </c>
      <c r="S153">
        <f>HYPERLINK("https://klasma.github.io/Logging_2326/artfynd/A 33126-2024 artfynd.xlsx", "A 33126-2024")</f>
        <v/>
      </c>
      <c r="T153">
        <f>HYPERLINK("https://klasma.github.io/Logging_2326/kartor/A 33126-2024 karta.png", "A 33126-2024")</f>
        <v/>
      </c>
      <c r="V153">
        <f>HYPERLINK("https://klasma.github.io/Logging_2326/klagomål/A 33126-2024 FSC-klagomål.docx", "A 33126-2024")</f>
        <v/>
      </c>
      <c r="W153">
        <f>HYPERLINK("https://klasma.github.io/Logging_2326/klagomålsmail/A 33126-2024 FSC-klagomål mail.docx", "A 33126-2024")</f>
        <v/>
      </c>
      <c r="X153">
        <f>HYPERLINK("https://klasma.github.io/Logging_2326/tillsyn/A 33126-2024 tillsynsbegäran.docx", "A 33126-2024")</f>
        <v/>
      </c>
      <c r="Y153">
        <f>HYPERLINK("https://klasma.github.io/Logging_2326/tillsynsmail/A 33126-2024 tillsynsbegäran mail.docx", "A 33126-2024")</f>
        <v/>
      </c>
    </row>
    <row r="154" ht="15" customHeight="1">
      <c r="A154" t="inlineStr">
        <is>
          <t>A 24331-2025</t>
        </is>
      </c>
      <c r="B154" s="1" t="n">
        <v>45797</v>
      </c>
      <c r="C154" s="1" t="n">
        <v>45936</v>
      </c>
      <c r="D154" t="inlineStr">
        <is>
          <t>JÄMTLANDS LÄN</t>
        </is>
      </c>
      <c r="E154" t="inlineStr">
        <is>
          <t>BERG</t>
        </is>
      </c>
      <c r="G154" t="n">
        <v>9</v>
      </c>
      <c r="H154" t="n">
        <v>1</v>
      </c>
      <c r="I154" t="n">
        <v>0</v>
      </c>
      <c r="J154" t="n">
        <v>0</v>
      </c>
      <c r="K154" t="n">
        <v>0</v>
      </c>
      <c r="L154" t="n">
        <v>0</v>
      </c>
      <c r="M154" t="n">
        <v>0</v>
      </c>
      <c r="N154" t="n">
        <v>0</v>
      </c>
      <c r="O154" t="n">
        <v>0</v>
      </c>
      <c r="P154" t="n">
        <v>0</v>
      </c>
      <c r="Q154" t="n">
        <v>1</v>
      </c>
      <c r="R154" s="2" t="inlineStr">
        <is>
          <t>Blåsippa</t>
        </is>
      </c>
      <c r="S154">
        <f>HYPERLINK("https://klasma.github.io/Logging_2326/artfynd/A 24331-2025 artfynd.xlsx", "A 24331-2025")</f>
        <v/>
      </c>
      <c r="T154">
        <f>HYPERLINK("https://klasma.github.io/Logging_2326/kartor/A 24331-2025 karta.png", "A 24331-2025")</f>
        <v/>
      </c>
      <c r="V154">
        <f>HYPERLINK("https://klasma.github.io/Logging_2326/klagomål/A 24331-2025 FSC-klagomål.docx", "A 24331-2025")</f>
        <v/>
      </c>
      <c r="W154">
        <f>HYPERLINK("https://klasma.github.io/Logging_2326/klagomålsmail/A 24331-2025 FSC-klagomål mail.docx", "A 24331-2025")</f>
        <v/>
      </c>
      <c r="X154">
        <f>HYPERLINK("https://klasma.github.io/Logging_2326/tillsyn/A 24331-2025 tillsynsbegäran.docx", "A 24331-2025")</f>
        <v/>
      </c>
      <c r="Y154">
        <f>HYPERLINK("https://klasma.github.io/Logging_2326/tillsynsmail/A 24331-2025 tillsynsbegäran mail.docx", "A 24331-2025")</f>
        <v/>
      </c>
    </row>
    <row r="155" ht="15" customHeight="1">
      <c r="A155" t="inlineStr">
        <is>
          <t>A 25556-2025</t>
        </is>
      </c>
      <c r="B155" s="1" t="n">
        <v>45803.45106481481</v>
      </c>
      <c r="C155" s="1" t="n">
        <v>45936</v>
      </c>
      <c r="D155" t="inlineStr">
        <is>
          <t>JÄMTLANDS LÄN</t>
        </is>
      </c>
      <c r="E155" t="inlineStr">
        <is>
          <t>BERG</t>
        </is>
      </c>
      <c r="G155" t="n">
        <v>6.2</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25556-2025 artfynd.xlsx", "A 25556-2025")</f>
        <v/>
      </c>
      <c r="T155">
        <f>HYPERLINK("https://klasma.github.io/Logging_2326/kartor/A 25556-2025 karta.png", "A 25556-2025")</f>
        <v/>
      </c>
      <c r="V155">
        <f>HYPERLINK("https://klasma.github.io/Logging_2326/klagomål/A 25556-2025 FSC-klagomål.docx", "A 25556-2025")</f>
        <v/>
      </c>
      <c r="W155">
        <f>HYPERLINK("https://klasma.github.io/Logging_2326/klagomålsmail/A 25556-2025 FSC-klagomål mail.docx", "A 25556-2025")</f>
        <v/>
      </c>
      <c r="X155">
        <f>HYPERLINK("https://klasma.github.io/Logging_2326/tillsyn/A 25556-2025 tillsynsbegäran.docx", "A 25556-2025")</f>
        <v/>
      </c>
      <c r="Y155">
        <f>HYPERLINK("https://klasma.github.io/Logging_2326/tillsynsmail/A 25556-2025 tillsynsbegäran mail.docx", "A 25556-2025")</f>
        <v/>
      </c>
      <c r="Z155">
        <f>HYPERLINK("https://klasma.github.io/Logging_2326/fåglar/A 25556-2025 prioriterade fågelarter.docx", "A 25556-2025")</f>
        <v/>
      </c>
    </row>
    <row r="156" ht="15" customHeight="1">
      <c r="A156" t="inlineStr">
        <is>
          <t>A 23177-2024</t>
        </is>
      </c>
      <c r="B156" s="1" t="n">
        <v>45450</v>
      </c>
      <c r="C156" s="1" t="n">
        <v>45936</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52193-2024</t>
        </is>
      </c>
      <c r="B157" s="1" t="n">
        <v>45608</v>
      </c>
      <c r="C157" s="1" t="n">
        <v>45936</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44259-2024</t>
        </is>
      </c>
      <c r="B158" s="1" t="n">
        <v>45573</v>
      </c>
      <c r="C158" s="1" t="n">
        <v>45936</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44259-2024 artfynd.xlsx", "A 44259-2024")</f>
        <v/>
      </c>
      <c r="T158">
        <f>HYPERLINK("https://klasma.github.io/Logging_2326/kartor/A 44259-2024 karta.png", "A 44259-2024")</f>
        <v/>
      </c>
      <c r="V158">
        <f>HYPERLINK("https://klasma.github.io/Logging_2326/klagomål/A 44259-2024 FSC-klagomål.docx", "A 44259-2024")</f>
        <v/>
      </c>
      <c r="W158">
        <f>HYPERLINK("https://klasma.github.io/Logging_2326/klagomålsmail/A 44259-2024 FSC-klagomål mail.docx", "A 44259-2024")</f>
        <v/>
      </c>
      <c r="X158">
        <f>HYPERLINK("https://klasma.github.io/Logging_2326/tillsyn/A 44259-2024 tillsynsbegäran.docx", "A 44259-2024")</f>
        <v/>
      </c>
      <c r="Y158">
        <f>HYPERLINK("https://klasma.github.io/Logging_2326/tillsynsmail/A 44259-2024 tillsynsbegäran mail.docx", "A 44259-2024")</f>
        <v/>
      </c>
      <c r="Z158">
        <f>HYPERLINK("https://klasma.github.io/Logging_2326/fåglar/A 44259-2024 prioriterade fågelarter.docx", "A 44259-2024")</f>
        <v/>
      </c>
    </row>
    <row r="159" ht="15" customHeight="1">
      <c r="A159" t="inlineStr">
        <is>
          <t>A 32171-2024</t>
        </is>
      </c>
      <c r="B159" s="1" t="n">
        <v>45511</v>
      </c>
      <c r="C159" s="1" t="n">
        <v>45936</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53014-2022</t>
        </is>
      </c>
      <c r="B160" s="1" t="n">
        <v>44875</v>
      </c>
      <c r="C160" s="1" t="n">
        <v>45936</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24309-2023</t>
        </is>
      </c>
      <c r="B161" s="1" t="n">
        <v>45079</v>
      </c>
      <c r="C161" s="1" t="n">
        <v>45936</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32686-2022</t>
        </is>
      </c>
      <c r="B162" s="1" t="n">
        <v>44776</v>
      </c>
      <c r="C162" s="1" t="n">
        <v>45936</v>
      </c>
      <c r="D162" t="inlineStr">
        <is>
          <t>JÄMTLANDS LÄN</t>
        </is>
      </c>
      <c r="E162" t="inlineStr">
        <is>
          <t>BERG</t>
        </is>
      </c>
      <c r="G162" t="n">
        <v>4.8</v>
      </c>
      <c r="H162" t="n">
        <v>1</v>
      </c>
      <c r="I162" t="n">
        <v>0</v>
      </c>
      <c r="J162" t="n">
        <v>0</v>
      </c>
      <c r="K162" t="n">
        <v>1</v>
      </c>
      <c r="L162" t="n">
        <v>0</v>
      </c>
      <c r="M162" t="n">
        <v>0</v>
      </c>
      <c r="N162" t="n">
        <v>0</v>
      </c>
      <c r="O162" t="n">
        <v>1</v>
      </c>
      <c r="P162" t="n">
        <v>1</v>
      </c>
      <c r="Q162" t="n">
        <v>1</v>
      </c>
      <c r="R162" s="2" t="inlineStr">
        <is>
          <t>Knärot</t>
        </is>
      </c>
      <c r="S162">
        <f>HYPERLINK("https://klasma.github.io/Logging_2326/artfynd/A 32686-2022 artfynd.xlsx", "A 32686-2022")</f>
        <v/>
      </c>
      <c r="T162">
        <f>HYPERLINK("https://klasma.github.io/Logging_2326/kartor/A 32686-2022 karta.png", "A 32686-2022")</f>
        <v/>
      </c>
      <c r="U162">
        <f>HYPERLINK("https://klasma.github.io/Logging_2326/knärot/A 32686-2022 karta knärot.png", "A 32686-2022")</f>
        <v/>
      </c>
      <c r="V162">
        <f>HYPERLINK("https://klasma.github.io/Logging_2326/klagomål/A 32686-2022 FSC-klagomål.docx", "A 32686-2022")</f>
        <v/>
      </c>
      <c r="W162">
        <f>HYPERLINK("https://klasma.github.io/Logging_2326/klagomålsmail/A 32686-2022 FSC-klagomål mail.docx", "A 32686-2022")</f>
        <v/>
      </c>
      <c r="X162">
        <f>HYPERLINK("https://klasma.github.io/Logging_2326/tillsyn/A 32686-2022 tillsynsbegäran.docx", "A 32686-2022")</f>
        <v/>
      </c>
      <c r="Y162">
        <f>HYPERLINK("https://klasma.github.io/Logging_2326/tillsynsmail/A 32686-2022 tillsynsbegäran mail.docx", "A 32686-2022")</f>
        <v/>
      </c>
    </row>
    <row r="163" ht="15" customHeight="1">
      <c r="A163" t="inlineStr">
        <is>
          <t>A 31837-2025</t>
        </is>
      </c>
      <c r="B163" s="1" t="n">
        <v>45834.59467592592</v>
      </c>
      <c r="C163" s="1" t="n">
        <v>45936</v>
      </c>
      <c r="D163" t="inlineStr">
        <is>
          <t>JÄMTLANDS LÄN</t>
        </is>
      </c>
      <c r="E163" t="inlineStr">
        <is>
          <t>BERG</t>
        </is>
      </c>
      <c r="F163" t="inlineStr">
        <is>
          <t>SCA</t>
        </is>
      </c>
      <c r="G163" t="n">
        <v>12.2</v>
      </c>
      <c r="H163" t="n">
        <v>0</v>
      </c>
      <c r="I163" t="n">
        <v>0</v>
      </c>
      <c r="J163" t="n">
        <v>0</v>
      </c>
      <c r="K163" t="n">
        <v>1</v>
      </c>
      <c r="L163" t="n">
        <v>0</v>
      </c>
      <c r="M163" t="n">
        <v>0</v>
      </c>
      <c r="N163" t="n">
        <v>0</v>
      </c>
      <c r="O163" t="n">
        <v>1</v>
      </c>
      <c r="P163" t="n">
        <v>1</v>
      </c>
      <c r="Q163" t="n">
        <v>1</v>
      </c>
      <c r="R163" s="2" t="inlineStr">
        <is>
          <t>Gräddporing</t>
        </is>
      </c>
      <c r="S163">
        <f>HYPERLINK("https://klasma.github.io/Logging_2326/artfynd/A 31837-2025 artfynd.xlsx", "A 31837-2025")</f>
        <v/>
      </c>
      <c r="T163">
        <f>HYPERLINK("https://klasma.github.io/Logging_2326/kartor/A 31837-2025 karta.png", "A 31837-2025")</f>
        <v/>
      </c>
      <c r="V163">
        <f>HYPERLINK("https://klasma.github.io/Logging_2326/klagomål/A 31837-2025 FSC-klagomål.docx", "A 31837-2025")</f>
        <v/>
      </c>
      <c r="W163">
        <f>HYPERLINK("https://klasma.github.io/Logging_2326/klagomålsmail/A 31837-2025 FSC-klagomål mail.docx", "A 31837-2025")</f>
        <v/>
      </c>
      <c r="X163">
        <f>HYPERLINK("https://klasma.github.io/Logging_2326/tillsyn/A 31837-2025 tillsynsbegäran.docx", "A 31837-2025")</f>
        <v/>
      </c>
      <c r="Y163">
        <f>HYPERLINK("https://klasma.github.io/Logging_2326/tillsynsmail/A 31837-2025 tillsynsbegäran mail.docx", "A 31837-2025")</f>
        <v/>
      </c>
    </row>
    <row r="164" ht="15" customHeight="1">
      <c r="A164" t="inlineStr">
        <is>
          <t>A 68434-2021</t>
        </is>
      </c>
      <c r="B164" s="1" t="n">
        <v>44529</v>
      </c>
      <c r="C164" s="1" t="n">
        <v>45936</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33501-2025</t>
        </is>
      </c>
      <c r="B165" s="1" t="n">
        <v>45841</v>
      </c>
      <c r="C165" s="1" t="n">
        <v>45936</v>
      </c>
      <c r="D165" t="inlineStr">
        <is>
          <t>JÄMTLANDS LÄN</t>
        </is>
      </c>
      <c r="E165" t="inlineStr">
        <is>
          <t>BERG</t>
        </is>
      </c>
      <c r="G165" t="n">
        <v>6.9</v>
      </c>
      <c r="H165" t="n">
        <v>1</v>
      </c>
      <c r="I165" t="n">
        <v>1</v>
      </c>
      <c r="J165" t="n">
        <v>0</v>
      </c>
      <c r="K165" t="n">
        <v>0</v>
      </c>
      <c r="L165" t="n">
        <v>0</v>
      </c>
      <c r="M165" t="n">
        <v>0</v>
      </c>
      <c r="N165" t="n">
        <v>0</v>
      </c>
      <c r="O165" t="n">
        <v>0</v>
      </c>
      <c r="P165" t="n">
        <v>0</v>
      </c>
      <c r="Q165" t="n">
        <v>1</v>
      </c>
      <c r="R165" s="2" t="inlineStr">
        <is>
          <t>Korallrot</t>
        </is>
      </c>
      <c r="S165">
        <f>HYPERLINK("https://klasma.github.io/Logging_2326/artfynd/A 33501-2025 artfynd.xlsx", "A 33501-2025")</f>
        <v/>
      </c>
      <c r="T165">
        <f>HYPERLINK("https://klasma.github.io/Logging_2326/kartor/A 33501-2025 karta.png", "A 33501-2025")</f>
        <v/>
      </c>
      <c r="V165">
        <f>HYPERLINK("https://klasma.github.io/Logging_2326/klagomål/A 33501-2025 FSC-klagomål.docx", "A 33501-2025")</f>
        <v/>
      </c>
      <c r="W165">
        <f>HYPERLINK("https://klasma.github.io/Logging_2326/klagomålsmail/A 33501-2025 FSC-klagomål mail.docx", "A 33501-2025")</f>
        <v/>
      </c>
      <c r="X165">
        <f>HYPERLINK("https://klasma.github.io/Logging_2326/tillsyn/A 33501-2025 tillsynsbegäran.docx", "A 33501-2025")</f>
        <v/>
      </c>
      <c r="Y165">
        <f>HYPERLINK("https://klasma.github.io/Logging_2326/tillsynsmail/A 33501-2025 tillsynsbegäran mail.docx", "A 33501-2025")</f>
        <v/>
      </c>
    </row>
    <row r="166" ht="15" customHeight="1">
      <c r="A166" t="inlineStr">
        <is>
          <t>A 21370-2025</t>
        </is>
      </c>
      <c r="B166" s="1" t="n">
        <v>45782.4484375</v>
      </c>
      <c r="C166" s="1" t="n">
        <v>45936</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45936</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47-2023</t>
        </is>
      </c>
      <c r="B168" s="1" t="n">
        <v>44928</v>
      </c>
      <c r="C168" s="1" t="n">
        <v>45936</v>
      </c>
      <c r="D168" t="inlineStr">
        <is>
          <t>JÄMTLANDS LÄN</t>
        </is>
      </c>
      <c r="E168" t="inlineStr">
        <is>
          <t>BERG</t>
        </is>
      </c>
      <c r="F168" t="inlineStr">
        <is>
          <t>Naturvårdsverket</t>
        </is>
      </c>
      <c r="G168" t="n">
        <v>1.5</v>
      </c>
      <c r="H168" t="n">
        <v>0</v>
      </c>
      <c r="I168" t="n">
        <v>0</v>
      </c>
      <c r="J168" t="n">
        <v>1</v>
      </c>
      <c r="K168" t="n">
        <v>0</v>
      </c>
      <c r="L168" t="n">
        <v>0</v>
      </c>
      <c r="M168" t="n">
        <v>0</v>
      </c>
      <c r="N168" t="n">
        <v>0</v>
      </c>
      <c r="O168" t="n">
        <v>1</v>
      </c>
      <c r="P168" t="n">
        <v>0</v>
      </c>
      <c r="Q168" t="n">
        <v>1</v>
      </c>
      <c r="R168" s="2" t="inlineStr">
        <is>
          <t>Violettgrå tagellav</t>
        </is>
      </c>
      <c r="S168">
        <f>HYPERLINK("https://klasma.github.io/Logging_2326/artfynd/A 47-2023 artfynd.xlsx", "A 47-2023")</f>
        <v/>
      </c>
      <c r="T168">
        <f>HYPERLINK("https://klasma.github.io/Logging_2326/kartor/A 47-2023 karta.png", "A 47-2023")</f>
        <v/>
      </c>
      <c r="U168">
        <f>HYPERLINK("https://klasma.github.io/Logging_2326/knärot/A 47-2023 karta knärot.png", "A 47-2023")</f>
        <v/>
      </c>
      <c r="V168">
        <f>HYPERLINK("https://klasma.github.io/Logging_2326/klagomål/A 47-2023 FSC-klagomål.docx", "A 47-2023")</f>
        <v/>
      </c>
      <c r="W168">
        <f>HYPERLINK("https://klasma.github.io/Logging_2326/klagomålsmail/A 47-2023 FSC-klagomål mail.docx", "A 47-2023")</f>
        <v/>
      </c>
      <c r="X168">
        <f>HYPERLINK("https://klasma.github.io/Logging_2326/tillsyn/A 47-2023 tillsynsbegäran.docx", "A 47-2023")</f>
        <v/>
      </c>
      <c r="Y168">
        <f>HYPERLINK("https://klasma.github.io/Logging_2326/tillsynsmail/A 47-2023 tillsynsbegäran mail.docx", "A 47-2023")</f>
        <v/>
      </c>
    </row>
    <row r="169" ht="15" customHeight="1">
      <c r="A169" t="inlineStr">
        <is>
          <t>A 33083-2024</t>
        </is>
      </c>
      <c r="B169" s="1" t="n">
        <v>45517.675</v>
      </c>
      <c r="C169" s="1" t="n">
        <v>45936</v>
      </c>
      <c r="D169" t="inlineStr">
        <is>
          <t>JÄMTLANDS LÄN</t>
        </is>
      </c>
      <c r="E169" t="inlineStr">
        <is>
          <t>BERG</t>
        </is>
      </c>
      <c r="G169" t="n">
        <v>0.2</v>
      </c>
      <c r="H169" t="n">
        <v>0</v>
      </c>
      <c r="I169" t="n">
        <v>0</v>
      </c>
      <c r="J169" t="n">
        <v>1</v>
      </c>
      <c r="K169" t="n">
        <v>0</v>
      </c>
      <c r="L169" t="n">
        <v>0</v>
      </c>
      <c r="M169" t="n">
        <v>0</v>
      </c>
      <c r="N169" t="n">
        <v>0</v>
      </c>
      <c r="O169" t="n">
        <v>1</v>
      </c>
      <c r="P169" t="n">
        <v>0</v>
      </c>
      <c r="Q169" t="n">
        <v>1</v>
      </c>
      <c r="R169" s="2" t="inlineStr">
        <is>
          <t>Garnlav</t>
        </is>
      </c>
      <c r="S169">
        <f>HYPERLINK("https://klasma.github.io/Logging_2326/artfynd/A 33083-2024 artfynd.xlsx", "A 33083-2024")</f>
        <v/>
      </c>
      <c r="T169">
        <f>HYPERLINK("https://klasma.github.io/Logging_2326/kartor/A 33083-2024 karta.png", "A 33083-2024")</f>
        <v/>
      </c>
      <c r="V169">
        <f>HYPERLINK("https://klasma.github.io/Logging_2326/klagomål/A 33083-2024 FSC-klagomål.docx", "A 33083-2024")</f>
        <v/>
      </c>
      <c r="W169">
        <f>HYPERLINK("https://klasma.github.io/Logging_2326/klagomålsmail/A 33083-2024 FSC-klagomål mail.docx", "A 33083-2024")</f>
        <v/>
      </c>
      <c r="X169">
        <f>HYPERLINK("https://klasma.github.io/Logging_2326/tillsyn/A 33083-2024 tillsynsbegäran.docx", "A 33083-2024")</f>
        <v/>
      </c>
      <c r="Y169">
        <f>HYPERLINK("https://klasma.github.io/Logging_2326/tillsynsmail/A 33083-2024 tillsynsbegäran mail.docx", "A 33083-2024")</f>
        <v/>
      </c>
    </row>
    <row r="170" ht="15" customHeight="1">
      <c r="A170" t="inlineStr">
        <is>
          <t>A 35211-2025</t>
        </is>
      </c>
      <c r="B170" s="1" t="n">
        <v>45853.45060185185</v>
      </c>
      <c r="C170" s="1" t="n">
        <v>45936</v>
      </c>
      <c r="D170" t="inlineStr">
        <is>
          <t>JÄMTLANDS LÄN</t>
        </is>
      </c>
      <c r="E170" t="inlineStr">
        <is>
          <t>BERG</t>
        </is>
      </c>
      <c r="G170" t="n">
        <v>0.8</v>
      </c>
      <c r="H170" t="n">
        <v>1</v>
      </c>
      <c r="I170" t="n">
        <v>0</v>
      </c>
      <c r="J170" t="n">
        <v>0</v>
      </c>
      <c r="K170" t="n">
        <v>1</v>
      </c>
      <c r="L170" t="n">
        <v>0</v>
      </c>
      <c r="M170" t="n">
        <v>0</v>
      </c>
      <c r="N170" t="n">
        <v>0</v>
      </c>
      <c r="O170" t="n">
        <v>1</v>
      </c>
      <c r="P170" t="n">
        <v>1</v>
      </c>
      <c r="Q170" t="n">
        <v>1</v>
      </c>
      <c r="R170" s="2" t="inlineStr">
        <is>
          <t>Knärot</t>
        </is>
      </c>
      <c r="S170">
        <f>HYPERLINK("https://klasma.github.io/Logging_2326/artfynd/A 35211-2025 artfynd.xlsx", "A 35211-2025")</f>
        <v/>
      </c>
      <c r="T170">
        <f>HYPERLINK("https://klasma.github.io/Logging_2326/kartor/A 35211-2025 karta.png", "A 35211-2025")</f>
        <v/>
      </c>
      <c r="U170">
        <f>HYPERLINK("https://klasma.github.io/Logging_2326/knärot/A 35211-2025 karta knärot.png", "A 35211-2025")</f>
        <v/>
      </c>
      <c r="V170">
        <f>HYPERLINK("https://klasma.github.io/Logging_2326/klagomål/A 35211-2025 FSC-klagomål.docx", "A 35211-2025")</f>
        <v/>
      </c>
      <c r="W170">
        <f>HYPERLINK("https://klasma.github.io/Logging_2326/klagomålsmail/A 35211-2025 FSC-klagomål mail.docx", "A 35211-2025")</f>
        <v/>
      </c>
      <c r="X170">
        <f>HYPERLINK("https://klasma.github.io/Logging_2326/tillsyn/A 35211-2025 tillsynsbegäran.docx", "A 35211-2025")</f>
        <v/>
      </c>
      <c r="Y170">
        <f>HYPERLINK("https://klasma.github.io/Logging_2326/tillsynsmail/A 35211-2025 tillsynsbegäran mail.docx", "A 35211-2025")</f>
        <v/>
      </c>
    </row>
    <row r="171" ht="15" customHeight="1">
      <c r="A171" t="inlineStr">
        <is>
          <t>A 35535-2025</t>
        </is>
      </c>
      <c r="B171" s="1" t="n">
        <v>45856.45047453704</v>
      </c>
      <c r="C171" s="1" t="n">
        <v>45936</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40440-2024</t>
        </is>
      </c>
      <c r="B172" s="1" t="n">
        <v>45555.48267361111</v>
      </c>
      <c r="C172" s="1" t="n">
        <v>45936</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45936</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49196-2022</t>
        </is>
      </c>
      <c r="B174" s="1" t="n">
        <v>44860.95508101852</v>
      </c>
      <c r="C174" s="1" t="n">
        <v>45936</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45936</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45936</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62490-2020</t>
        </is>
      </c>
      <c r="B177" s="1" t="n">
        <v>44160</v>
      </c>
      <c r="C177" s="1" t="n">
        <v>45936</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3801-2022</t>
        </is>
      </c>
      <c r="B178" s="1" t="n">
        <v>44586.93952546296</v>
      </c>
      <c r="C178" s="1" t="n">
        <v>45936</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45936</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45936</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45936</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45936</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28883-2021</t>
        </is>
      </c>
      <c r="B183" s="1" t="n">
        <v>44357</v>
      </c>
      <c r="C183" s="1" t="n">
        <v>45936</v>
      </c>
      <c r="D183" t="inlineStr">
        <is>
          <t>JÄMTLANDS LÄN</t>
        </is>
      </c>
      <c r="E183" t="inlineStr">
        <is>
          <t>BERG</t>
        </is>
      </c>
      <c r="F183" t="inlineStr">
        <is>
          <t>Kyrkan</t>
        </is>
      </c>
      <c r="G183" t="n">
        <v>7.3</v>
      </c>
      <c r="H183" t="n">
        <v>0</v>
      </c>
      <c r="I183" t="n">
        <v>0</v>
      </c>
      <c r="J183" t="n">
        <v>0</v>
      </c>
      <c r="K183" t="n">
        <v>0</v>
      </c>
      <c r="L183" t="n">
        <v>0</v>
      </c>
      <c r="M183" t="n">
        <v>0</v>
      </c>
      <c r="N183" t="n">
        <v>0</v>
      </c>
      <c r="O183" t="n">
        <v>0</v>
      </c>
      <c r="P183" t="n">
        <v>0</v>
      </c>
      <c r="Q183" t="n">
        <v>0</v>
      </c>
      <c r="R183" s="2" t="inlineStr"/>
    </row>
    <row r="184" ht="15" customHeight="1">
      <c r="A184" t="inlineStr">
        <is>
          <t>A 70463-2021</t>
        </is>
      </c>
      <c r="B184" s="1" t="n">
        <v>44536.65293981481</v>
      </c>
      <c r="C184" s="1" t="n">
        <v>45936</v>
      </c>
      <c r="D184" t="inlineStr">
        <is>
          <t>JÄMTLANDS LÄN</t>
        </is>
      </c>
      <c r="E184" t="inlineStr">
        <is>
          <t>BERG</t>
        </is>
      </c>
      <c r="G184" t="n">
        <v>10.8</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45936</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45936</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16828-2021</t>
        </is>
      </c>
      <c r="B187" s="1" t="n">
        <v>44293</v>
      </c>
      <c r="C187" s="1" t="n">
        <v>45936</v>
      </c>
      <c r="D187" t="inlineStr">
        <is>
          <t>JÄMTLANDS LÄN</t>
        </is>
      </c>
      <c r="E187" t="inlineStr">
        <is>
          <t>BERG</t>
        </is>
      </c>
      <c r="G187" t="n">
        <v>2.2</v>
      </c>
      <c r="H187" t="n">
        <v>0</v>
      </c>
      <c r="I187" t="n">
        <v>0</v>
      </c>
      <c r="J187" t="n">
        <v>0</v>
      </c>
      <c r="K187" t="n">
        <v>0</v>
      </c>
      <c r="L187" t="n">
        <v>0</v>
      </c>
      <c r="M187" t="n">
        <v>0</v>
      </c>
      <c r="N187" t="n">
        <v>0</v>
      </c>
      <c r="O187" t="n">
        <v>0</v>
      </c>
      <c r="P187" t="n">
        <v>0</v>
      </c>
      <c r="Q187" t="n">
        <v>0</v>
      </c>
      <c r="R187" s="2" t="inlineStr"/>
    </row>
    <row r="188" ht="15" customHeight="1">
      <c r="A188" t="inlineStr">
        <is>
          <t>A 43296-2022</t>
        </is>
      </c>
      <c r="B188" s="1" t="n">
        <v>44834</v>
      </c>
      <c r="C188" s="1" t="n">
        <v>45936</v>
      </c>
      <c r="D188" t="inlineStr">
        <is>
          <t>JÄMTLANDS LÄN</t>
        </is>
      </c>
      <c r="E188" t="inlineStr">
        <is>
          <t>BERG</t>
        </is>
      </c>
      <c r="G188" t="n">
        <v>3.7</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45936</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45936</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45936</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45936</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45936</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45936</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45936</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45936</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45936</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45936</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45936</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45936</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45936</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45936</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45936</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45936</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45936</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45936</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45936</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164-2022</t>
        </is>
      </c>
      <c r="B208" s="1" t="n">
        <v>44564</v>
      </c>
      <c r="C208" s="1" t="n">
        <v>45936</v>
      </c>
      <c r="D208" t="inlineStr">
        <is>
          <t>JÄMTLANDS LÄN</t>
        </is>
      </c>
      <c r="E208" t="inlineStr">
        <is>
          <t>BERG</t>
        </is>
      </c>
      <c r="G208" t="n">
        <v>12.4</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44536.66070601852</v>
      </c>
      <c r="C209" s="1" t="n">
        <v>45936</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45936</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45936</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45936</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9920-2021</t>
        </is>
      </c>
      <c r="B213" s="1" t="n">
        <v>44253</v>
      </c>
      <c r="C213" s="1" t="n">
        <v>45936</v>
      </c>
      <c r="D213" t="inlineStr">
        <is>
          <t>JÄMTLANDS LÄN</t>
        </is>
      </c>
      <c r="E213" t="inlineStr">
        <is>
          <t>BERG</t>
        </is>
      </c>
      <c r="G213" t="n">
        <v>3.5</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45936</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33878-2021</t>
        </is>
      </c>
      <c r="B215" s="1" t="n">
        <v>44378.64378472222</v>
      </c>
      <c r="C215" s="1" t="n">
        <v>45936</v>
      </c>
      <c r="D215" t="inlineStr">
        <is>
          <t>JÄMTLANDS LÄN</t>
        </is>
      </c>
      <c r="E215" t="inlineStr">
        <is>
          <t>BERG</t>
        </is>
      </c>
      <c r="G215" t="n">
        <v>6.6</v>
      </c>
      <c r="H215" t="n">
        <v>0</v>
      </c>
      <c r="I215" t="n">
        <v>0</v>
      </c>
      <c r="J215" t="n">
        <v>0</v>
      </c>
      <c r="K215" t="n">
        <v>0</v>
      </c>
      <c r="L215" t="n">
        <v>0</v>
      </c>
      <c r="M215" t="n">
        <v>0</v>
      </c>
      <c r="N215" t="n">
        <v>0</v>
      </c>
      <c r="O215" t="n">
        <v>0</v>
      </c>
      <c r="P215" t="n">
        <v>0</v>
      </c>
      <c r="Q215" t="n">
        <v>0</v>
      </c>
      <c r="R215" s="2" t="inlineStr"/>
    </row>
    <row r="216" ht="15" customHeight="1">
      <c r="A216" t="inlineStr">
        <is>
          <t>A 68483-2021</t>
        </is>
      </c>
      <c r="B216" s="1" t="n">
        <v>44529</v>
      </c>
      <c r="C216" s="1" t="n">
        <v>45936</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20179-2021</t>
        </is>
      </c>
      <c r="B217" s="1" t="n">
        <v>44314.56744212963</v>
      </c>
      <c r="C217" s="1" t="n">
        <v>45936</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45936</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45936</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45936</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45936</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63002-2020</t>
        </is>
      </c>
      <c r="B222" s="1" t="n">
        <v>44162.47145833333</v>
      </c>
      <c r="C222" s="1" t="n">
        <v>45936</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63009-2020</t>
        </is>
      </c>
      <c r="B223" s="1" t="n">
        <v>44162.48234953704</v>
      </c>
      <c r="C223" s="1" t="n">
        <v>45936</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68896-2020</t>
        </is>
      </c>
      <c r="B224" s="1" t="n">
        <v>44187</v>
      </c>
      <c r="C224" s="1" t="n">
        <v>45936</v>
      </c>
      <c r="D224" t="inlineStr">
        <is>
          <t>JÄMTLANDS LÄN</t>
        </is>
      </c>
      <c r="E224" t="inlineStr">
        <is>
          <t>BERG</t>
        </is>
      </c>
      <c r="G224" t="n">
        <v>9.6</v>
      </c>
      <c r="H224" t="n">
        <v>0</v>
      </c>
      <c r="I224" t="n">
        <v>0</v>
      </c>
      <c r="J224" t="n">
        <v>0</v>
      </c>
      <c r="K224" t="n">
        <v>0</v>
      </c>
      <c r="L224" t="n">
        <v>0</v>
      </c>
      <c r="M224" t="n">
        <v>0</v>
      </c>
      <c r="N224" t="n">
        <v>0</v>
      </c>
      <c r="O224" t="n">
        <v>0</v>
      </c>
      <c r="P224" t="n">
        <v>0</v>
      </c>
      <c r="Q224" t="n">
        <v>0</v>
      </c>
      <c r="R224" s="2" t="inlineStr"/>
    </row>
    <row r="225" ht="15" customHeight="1">
      <c r="A225" t="inlineStr">
        <is>
          <t>A 34803-2022</t>
        </is>
      </c>
      <c r="B225" s="1" t="n">
        <v>44795.94754629629</v>
      </c>
      <c r="C225" s="1" t="n">
        <v>45936</v>
      </c>
      <c r="D225" t="inlineStr">
        <is>
          <t>JÄMTLANDS LÄN</t>
        </is>
      </c>
      <c r="E225" t="inlineStr">
        <is>
          <t>BERG</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6090-2022</t>
        </is>
      </c>
      <c r="B226" s="1" t="n">
        <v>44599</v>
      </c>
      <c r="C226" s="1" t="n">
        <v>45936</v>
      </c>
      <c r="D226" t="inlineStr">
        <is>
          <t>JÄMTLANDS LÄN</t>
        </is>
      </c>
      <c r="E226" t="inlineStr">
        <is>
          <t>BERG</t>
        </is>
      </c>
      <c r="G226" t="n">
        <v>1.3</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45936</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68468-2021</t>
        </is>
      </c>
      <c r="B228" s="1" t="n">
        <v>44529</v>
      </c>
      <c r="C228" s="1" t="n">
        <v>45936</v>
      </c>
      <c r="D228" t="inlineStr">
        <is>
          <t>JÄMTLANDS LÄN</t>
        </is>
      </c>
      <c r="E228" t="inlineStr">
        <is>
          <t>BERG</t>
        </is>
      </c>
      <c r="G228" t="n">
        <v>4.6</v>
      </c>
      <c r="H228" t="n">
        <v>0</v>
      </c>
      <c r="I228" t="n">
        <v>0</v>
      </c>
      <c r="J228" t="n">
        <v>0</v>
      </c>
      <c r="K228" t="n">
        <v>0</v>
      </c>
      <c r="L228" t="n">
        <v>0</v>
      </c>
      <c r="M228" t="n">
        <v>0</v>
      </c>
      <c r="N228" t="n">
        <v>0</v>
      </c>
      <c r="O228" t="n">
        <v>0</v>
      </c>
      <c r="P228" t="n">
        <v>0</v>
      </c>
      <c r="Q228" t="n">
        <v>0</v>
      </c>
      <c r="R228" s="2" t="inlineStr"/>
    </row>
    <row r="229" ht="15" customHeight="1">
      <c r="A229" t="inlineStr">
        <is>
          <t>A 18567-2021</t>
        </is>
      </c>
      <c r="B229" s="1" t="n">
        <v>44306.55199074074</v>
      </c>
      <c r="C229" s="1" t="n">
        <v>45936</v>
      </c>
      <c r="D229" t="inlineStr">
        <is>
          <t>JÄMTLANDS LÄN</t>
        </is>
      </c>
      <c r="E229" t="inlineStr">
        <is>
          <t>BERG</t>
        </is>
      </c>
      <c r="G229" t="n">
        <v>3</v>
      </c>
      <c r="H229" t="n">
        <v>0</v>
      </c>
      <c r="I229" t="n">
        <v>0</v>
      </c>
      <c r="J229" t="n">
        <v>0</v>
      </c>
      <c r="K229" t="n">
        <v>0</v>
      </c>
      <c r="L229" t="n">
        <v>0</v>
      </c>
      <c r="M229" t="n">
        <v>0</v>
      </c>
      <c r="N229" t="n">
        <v>0</v>
      </c>
      <c r="O229" t="n">
        <v>0</v>
      </c>
      <c r="P229" t="n">
        <v>0</v>
      </c>
      <c r="Q229" t="n">
        <v>0</v>
      </c>
      <c r="R229" s="2" t="inlineStr"/>
    </row>
    <row r="230" ht="15" customHeight="1">
      <c r="A230" t="inlineStr">
        <is>
          <t>A 18569-2021</t>
        </is>
      </c>
      <c r="B230" s="1" t="n">
        <v>44306.55394675926</v>
      </c>
      <c r="C230" s="1" t="n">
        <v>45936</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45936</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45936</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35308-2021</t>
        </is>
      </c>
      <c r="B233" s="1" t="n">
        <v>44384</v>
      </c>
      <c r="C233" s="1" t="n">
        <v>45936</v>
      </c>
      <c r="D233" t="inlineStr">
        <is>
          <t>JÄMTLANDS LÄN</t>
        </is>
      </c>
      <c r="E233" t="inlineStr">
        <is>
          <t>BERG</t>
        </is>
      </c>
      <c r="G233" t="n">
        <v>2.9</v>
      </c>
      <c r="H233" t="n">
        <v>0</v>
      </c>
      <c r="I233" t="n">
        <v>0</v>
      </c>
      <c r="J233" t="n">
        <v>0</v>
      </c>
      <c r="K233" t="n">
        <v>0</v>
      </c>
      <c r="L233" t="n">
        <v>0</v>
      </c>
      <c r="M233" t="n">
        <v>0</v>
      </c>
      <c r="N233" t="n">
        <v>0</v>
      </c>
      <c r="O233" t="n">
        <v>0</v>
      </c>
      <c r="P233" t="n">
        <v>0</v>
      </c>
      <c r="Q233" t="n">
        <v>0</v>
      </c>
      <c r="R233" s="2" t="inlineStr"/>
      <c r="U233">
        <f>HYPERLINK("https://klasma.github.io/Logging_2326/knärot/A 35308-2021 karta knärot.png", "A 35308-2021")</f>
        <v/>
      </c>
      <c r="V233">
        <f>HYPERLINK("https://klasma.github.io/Logging_2326/klagomål/A 35308-2021 FSC-klagomål.docx", "A 35308-2021")</f>
        <v/>
      </c>
      <c r="W233">
        <f>HYPERLINK("https://klasma.github.io/Logging_2326/klagomålsmail/A 35308-2021 FSC-klagomål mail.docx", "A 35308-2021")</f>
        <v/>
      </c>
      <c r="X233">
        <f>HYPERLINK("https://klasma.github.io/Logging_2326/tillsyn/A 35308-2021 tillsynsbegäran.docx", "A 35308-2021")</f>
        <v/>
      </c>
      <c r="Y233">
        <f>HYPERLINK("https://klasma.github.io/Logging_2326/tillsynsmail/A 35308-2021 tillsynsbegäran mail.docx", "A 35308-2021")</f>
        <v/>
      </c>
    </row>
    <row r="234" ht="15" customHeight="1">
      <c r="A234" t="inlineStr">
        <is>
          <t>A 21629-2021</t>
        </is>
      </c>
      <c r="B234" s="1" t="n">
        <v>44321</v>
      </c>
      <c r="C234" s="1" t="n">
        <v>45936</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45936</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45936</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45936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51951-2021</t>
        </is>
      </c>
      <c r="B238" s="1" t="n">
        <v>44462</v>
      </c>
      <c r="C238" s="1" t="n">
        <v>45936</v>
      </c>
      <c r="D238" t="inlineStr">
        <is>
          <t>JÄMTLANDS LÄN</t>
        </is>
      </c>
      <c r="E238" t="inlineStr">
        <is>
          <t>BERG</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45936</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45936</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9482-2024</t>
        </is>
      </c>
      <c r="B241" s="1" t="n">
        <v>45359.57847222222</v>
      </c>
      <c r="C241" s="1" t="n">
        <v>45936</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65209-2023</t>
        </is>
      </c>
      <c r="B242" s="1" t="n">
        <v>45289</v>
      </c>
      <c r="C242" s="1" t="n">
        <v>45936</v>
      </c>
      <c r="D242" t="inlineStr">
        <is>
          <t>JÄMTLANDS LÄN</t>
        </is>
      </c>
      <c r="E242" t="inlineStr">
        <is>
          <t>BERG</t>
        </is>
      </c>
      <c r="G242" t="n">
        <v>1</v>
      </c>
      <c r="H242" t="n">
        <v>0</v>
      </c>
      <c r="I242" t="n">
        <v>0</v>
      </c>
      <c r="J242" t="n">
        <v>0</v>
      </c>
      <c r="K242" t="n">
        <v>0</v>
      </c>
      <c r="L242" t="n">
        <v>0</v>
      </c>
      <c r="M242" t="n">
        <v>0</v>
      </c>
      <c r="N242" t="n">
        <v>0</v>
      </c>
      <c r="O242" t="n">
        <v>0</v>
      </c>
      <c r="P242" t="n">
        <v>0</v>
      </c>
      <c r="Q242" t="n">
        <v>0</v>
      </c>
      <c r="R242" s="2" t="inlineStr"/>
    </row>
    <row r="243" ht="15" customHeight="1">
      <c r="A243" t="inlineStr">
        <is>
          <t>A 18685-2024</t>
        </is>
      </c>
      <c r="B243" s="1" t="n">
        <v>45426.38322916667</v>
      </c>
      <c r="C243" s="1" t="n">
        <v>45936</v>
      </c>
      <c r="D243" t="inlineStr">
        <is>
          <t>JÄMTLANDS LÄN</t>
        </is>
      </c>
      <c r="E243" t="inlineStr">
        <is>
          <t>BERG</t>
        </is>
      </c>
      <c r="G243" t="n">
        <v>5.1</v>
      </c>
      <c r="H243" t="n">
        <v>0</v>
      </c>
      <c r="I243" t="n">
        <v>0</v>
      </c>
      <c r="J243" t="n">
        <v>0</v>
      </c>
      <c r="K243" t="n">
        <v>0</v>
      </c>
      <c r="L243" t="n">
        <v>0</v>
      </c>
      <c r="M243" t="n">
        <v>0</v>
      </c>
      <c r="N243" t="n">
        <v>0</v>
      </c>
      <c r="O243" t="n">
        <v>0</v>
      </c>
      <c r="P243" t="n">
        <v>0</v>
      </c>
      <c r="Q243" t="n">
        <v>0</v>
      </c>
      <c r="R243" s="2" t="inlineStr"/>
    </row>
    <row r="244" ht="15" customHeight="1">
      <c r="A244" t="inlineStr">
        <is>
          <t>A 37726-2022</t>
        </is>
      </c>
      <c r="B244" s="1" t="n">
        <v>44810.56636574074</v>
      </c>
      <c r="C244" s="1" t="n">
        <v>45936</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10230-2024</t>
        </is>
      </c>
      <c r="B245" s="1" t="n">
        <v>45365.31883101852</v>
      </c>
      <c r="C245" s="1" t="n">
        <v>45936</v>
      </c>
      <c r="D245" t="inlineStr">
        <is>
          <t>JÄMTLANDS LÄN</t>
        </is>
      </c>
      <c r="E245" t="inlineStr">
        <is>
          <t>BERG</t>
        </is>
      </c>
      <c r="G245" t="n">
        <v>6.3</v>
      </c>
      <c r="H245" t="n">
        <v>0</v>
      </c>
      <c r="I245" t="n">
        <v>0</v>
      </c>
      <c r="J245" t="n">
        <v>0</v>
      </c>
      <c r="K245" t="n">
        <v>0</v>
      </c>
      <c r="L245" t="n">
        <v>0</v>
      </c>
      <c r="M245" t="n">
        <v>0</v>
      </c>
      <c r="N245" t="n">
        <v>0</v>
      </c>
      <c r="O245" t="n">
        <v>0</v>
      </c>
      <c r="P245" t="n">
        <v>0</v>
      </c>
      <c r="Q245" t="n">
        <v>0</v>
      </c>
      <c r="R245" s="2" t="inlineStr"/>
    </row>
    <row r="246" ht="15" customHeight="1">
      <c r="A246" t="inlineStr">
        <is>
          <t>A 36079-2024</t>
        </is>
      </c>
      <c r="B246" s="1" t="n">
        <v>45533.66685185185</v>
      </c>
      <c r="C246" s="1" t="n">
        <v>45936</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36287-2024</t>
        </is>
      </c>
      <c r="B247" s="1" t="n">
        <v>45534</v>
      </c>
      <c r="C247" s="1" t="n">
        <v>45936</v>
      </c>
      <c r="D247" t="inlineStr">
        <is>
          <t>JÄMTLANDS LÄN</t>
        </is>
      </c>
      <c r="E247" t="inlineStr">
        <is>
          <t>BERG</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46199-2022</t>
        </is>
      </c>
      <c r="B248" s="1" t="n">
        <v>44847.53822916667</v>
      </c>
      <c r="C248" s="1" t="n">
        <v>45936</v>
      </c>
      <c r="D248" t="inlineStr">
        <is>
          <t>JÄMTLANDS LÄN</t>
        </is>
      </c>
      <c r="E248" t="inlineStr">
        <is>
          <t>BERG</t>
        </is>
      </c>
      <c r="G248" t="n">
        <v>5.6</v>
      </c>
      <c r="H248" t="n">
        <v>0</v>
      </c>
      <c r="I248" t="n">
        <v>0</v>
      </c>
      <c r="J248" t="n">
        <v>0</v>
      </c>
      <c r="K248" t="n">
        <v>0</v>
      </c>
      <c r="L248" t="n">
        <v>0</v>
      </c>
      <c r="M248" t="n">
        <v>0</v>
      </c>
      <c r="N248" t="n">
        <v>0</v>
      </c>
      <c r="O248" t="n">
        <v>0</v>
      </c>
      <c r="P248" t="n">
        <v>0</v>
      </c>
      <c r="Q248" t="n">
        <v>0</v>
      </c>
      <c r="R248" s="2" t="inlineStr"/>
    </row>
    <row r="249" ht="15" customHeight="1">
      <c r="A249" t="inlineStr">
        <is>
          <t>A 21717-2023</t>
        </is>
      </c>
      <c r="B249" s="1" t="n">
        <v>45063</v>
      </c>
      <c r="C249" s="1" t="n">
        <v>45936</v>
      </c>
      <c r="D249" t="inlineStr">
        <is>
          <t>JÄMTLANDS LÄN</t>
        </is>
      </c>
      <c r="E249" t="inlineStr">
        <is>
          <t>BERG</t>
        </is>
      </c>
      <c r="G249" t="n">
        <v>6</v>
      </c>
      <c r="H249" t="n">
        <v>0</v>
      </c>
      <c r="I249" t="n">
        <v>0</v>
      </c>
      <c r="J249" t="n">
        <v>0</v>
      </c>
      <c r="K249" t="n">
        <v>0</v>
      </c>
      <c r="L249" t="n">
        <v>0</v>
      </c>
      <c r="M249" t="n">
        <v>0</v>
      </c>
      <c r="N249" t="n">
        <v>0</v>
      </c>
      <c r="O249" t="n">
        <v>0</v>
      </c>
      <c r="P249" t="n">
        <v>0</v>
      </c>
      <c r="Q249" t="n">
        <v>0</v>
      </c>
      <c r="R249" s="2" t="inlineStr"/>
    </row>
    <row r="250" ht="15" customHeight="1">
      <c r="A250" t="inlineStr">
        <is>
          <t>A 43616-2024</t>
        </is>
      </c>
      <c r="B250" s="1" t="n">
        <v>45569</v>
      </c>
      <c r="C250" s="1" t="n">
        <v>45936</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13636-2022</t>
        </is>
      </c>
      <c r="B251" s="1" t="n">
        <v>44648</v>
      </c>
      <c r="C251" s="1" t="n">
        <v>45936</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44110-2022</t>
        </is>
      </c>
      <c r="B252" s="1" t="n">
        <v>44837</v>
      </c>
      <c r="C252" s="1" t="n">
        <v>45936</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5221-2022</t>
        </is>
      </c>
      <c r="B253" s="1" t="n">
        <v>44594.48864583333</v>
      </c>
      <c r="C253" s="1" t="n">
        <v>45936</v>
      </c>
      <c r="D253" t="inlineStr">
        <is>
          <t>JÄMTLANDS LÄN</t>
        </is>
      </c>
      <c r="E253" t="inlineStr">
        <is>
          <t>BERG</t>
        </is>
      </c>
      <c r="G253" t="n">
        <v>4.9</v>
      </c>
      <c r="H253" t="n">
        <v>0</v>
      </c>
      <c r="I253" t="n">
        <v>0</v>
      </c>
      <c r="J253" t="n">
        <v>0</v>
      </c>
      <c r="K253" t="n">
        <v>0</v>
      </c>
      <c r="L253" t="n">
        <v>0</v>
      </c>
      <c r="M253" t="n">
        <v>0</v>
      </c>
      <c r="N253" t="n">
        <v>0</v>
      </c>
      <c r="O253" t="n">
        <v>0</v>
      </c>
      <c r="P253" t="n">
        <v>0</v>
      </c>
      <c r="Q253" t="n">
        <v>0</v>
      </c>
      <c r="R253" s="2" t="inlineStr"/>
    </row>
    <row r="254" ht="15" customHeight="1">
      <c r="A254" t="inlineStr">
        <is>
          <t>A 5222-2022</t>
        </is>
      </c>
      <c r="B254" s="1" t="n">
        <v>44594.4892824074</v>
      </c>
      <c r="C254" s="1" t="n">
        <v>45936</v>
      </c>
      <c r="D254" t="inlineStr">
        <is>
          <t>JÄMTLANDS LÄN</t>
        </is>
      </c>
      <c r="E254" t="inlineStr">
        <is>
          <t>BERG</t>
        </is>
      </c>
      <c r="G254" t="n">
        <v>12.3</v>
      </c>
      <c r="H254" t="n">
        <v>0</v>
      </c>
      <c r="I254" t="n">
        <v>0</v>
      </c>
      <c r="J254" t="n">
        <v>0</v>
      </c>
      <c r="K254" t="n">
        <v>0</v>
      </c>
      <c r="L254" t="n">
        <v>0</v>
      </c>
      <c r="M254" t="n">
        <v>0</v>
      </c>
      <c r="N254" t="n">
        <v>0</v>
      </c>
      <c r="O254" t="n">
        <v>0</v>
      </c>
      <c r="P254" t="n">
        <v>0</v>
      </c>
      <c r="Q254" t="n">
        <v>0</v>
      </c>
      <c r="R254" s="2" t="inlineStr"/>
    </row>
    <row r="255" ht="15" customHeight="1">
      <c r="A255" t="inlineStr">
        <is>
          <t>A 56490-2024</t>
        </is>
      </c>
      <c r="B255" s="1" t="n">
        <v>45625.48765046296</v>
      </c>
      <c r="C255" s="1" t="n">
        <v>45936</v>
      </c>
      <c r="D255" t="inlineStr">
        <is>
          <t>JÄMTLANDS LÄN</t>
        </is>
      </c>
      <c r="E255" t="inlineStr">
        <is>
          <t>BERG</t>
        </is>
      </c>
      <c r="G255" t="n">
        <v>5.9</v>
      </c>
      <c r="H255" t="n">
        <v>0</v>
      </c>
      <c r="I255" t="n">
        <v>0</v>
      </c>
      <c r="J255" t="n">
        <v>0</v>
      </c>
      <c r="K255" t="n">
        <v>0</v>
      </c>
      <c r="L255" t="n">
        <v>0</v>
      </c>
      <c r="M255" t="n">
        <v>0</v>
      </c>
      <c r="N255" t="n">
        <v>0</v>
      </c>
      <c r="O255" t="n">
        <v>0</v>
      </c>
      <c r="P255" t="n">
        <v>0</v>
      </c>
      <c r="Q255" t="n">
        <v>0</v>
      </c>
      <c r="R255" s="2" t="inlineStr"/>
    </row>
    <row r="256" ht="15" customHeight="1">
      <c r="A256" t="inlineStr">
        <is>
          <t>A 44442-2022</t>
        </is>
      </c>
      <c r="B256" s="1" t="n">
        <v>44839</v>
      </c>
      <c r="C256" s="1" t="n">
        <v>45936</v>
      </c>
      <c r="D256" t="inlineStr">
        <is>
          <t>JÄMTLANDS LÄN</t>
        </is>
      </c>
      <c r="E256" t="inlineStr">
        <is>
          <t>BERG</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8711-2024</t>
        </is>
      </c>
      <c r="B257" s="1" t="n">
        <v>45356</v>
      </c>
      <c r="C257" s="1" t="n">
        <v>45936</v>
      </c>
      <c r="D257" t="inlineStr">
        <is>
          <t>JÄMTLANDS LÄN</t>
        </is>
      </c>
      <c r="E257" t="inlineStr">
        <is>
          <t>BERG</t>
        </is>
      </c>
      <c r="G257" t="n">
        <v>5.2</v>
      </c>
      <c r="H257" t="n">
        <v>0</v>
      </c>
      <c r="I257" t="n">
        <v>0</v>
      </c>
      <c r="J257" t="n">
        <v>0</v>
      </c>
      <c r="K257" t="n">
        <v>0</v>
      </c>
      <c r="L257" t="n">
        <v>0</v>
      </c>
      <c r="M257" t="n">
        <v>0</v>
      </c>
      <c r="N257" t="n">
        <v>0</v>
      </c>
      <c r="O257" t="n">
        <v>0</v>
      </c>
      <c r="P257" t="n">
        <v>0</v>
      </c>
      <c r="Q257" t="n">
        <v>0</v>
      </c>
      <c r="R257" s="2" t="inlineStr"/>
    </row>
    <row r="258" ht="15" customHeight="1">
      <c r="A258" t="inlineStr">
        <is>
          <t>A 14198-2023</t>
        </is>
      </c>
      <c r="B258" s="1" t="n">
        <v>45009.57518518518</v>
      </c>
      <c r="C258" s="1" t="n">
        <v>45936</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10974-2025</t>
        </is>
      </c>
      <c r="B259" s="1" t="n">
        <v>45723.38790509259</v>
      </c>
      <c r="C259" s="1" t="n">
        <v>45936</v>
      </c>
      <c r="D259" t="inlineStr">
        <is>
          <t>JÄMTLANDS LÄN</t>
        </is>
      </c>
      <c r="E259" t="inlineStr">
        <is>
          <t>BERG</t>
        </is>
      </c>
      <c r="G259" t="n">
        <v>6.9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45936</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1596-2024</t>
        </is>
      </c>
      <c r="B261" s="1" t="n">
        <v>45306</v>
      </c>
      <c r="C261" s="1" t="n">
        <v>45936</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45936</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1520-2022</t>
        </is>
      </c>
      <c r="B263" s="1" t="n">
        <v>44572</v>
      </c>
      <c r="C263" s="1" t="n">
        <v>45936</v>
      </c>
      <c r="D263" t="inlineStr">
        <is>
          <t>JÄMTLANDS LÄN</t>
        </is>
      </c>
      <c r="E263" t="inlineStr">
        <is>
          <t>BERG</t>
        </is>
      </c>
      <c r="G263" t="n">
        <v>7.7</v>
      </c>
      <c r="H263" t="n">
        <v>0</v>
      </c>
      <c r="I263" t="n">
        <v>0</v>
      </c>
      <c r="J263" t="n">
        <v>0</v>
      </c>
      <c r="K263" t="n">
        <v>0</v>
      </c>
      <c r="L263" t="n">
        <v>0</v>
      </c>
      <c r="M263" t="n">
        <v>0</v>
      </c>
      <c r="N263" t="n">
        <v>0</v>
      </c>
      <c r="O263" t="n">
        <v>0</v>
      </c>
      <c r="P263" t="n">
        <v>0</v>
      </c>
      <c r="Q263" t="n">
        <v>0</v>
      </c>
      <c r="R263" s="2" t="inlineStr"/>
    </row>
    <row r="264" ht="15" customHeight="1">
      <c r="A264" t="inlineStr">
        <is>
          <t>A 27239-2023</t>
        </is>
      </c>
      <c r="B264" s="1" t="n">
        <v>45092</v>
      </c>
      <c r="C264" s="1" t="n">
        <v>45936</v>
      </c>
      <c r="D264" t="inlineStr">
        <is>
          <t>JÄMTLANDS LÄN</t>
        </is>
      </c>
      <c r="E264" t="inlineStr">
        <is>
          <t>BERG</t>
        </is>
      </c>
      <c r="G264" t="n">
        <v>5.3</v>
      </c>
      <c r="H264" t="n">
        <v>0</v>
      </c>
      <c r="I264" t="n">
        <v>0</v>
      </c>
      <c r="J264" t="n">
        <v>0</v>
      </c>
      <c r="K264" t="n">
        <v>0</v>
      </c>
      <c r="L264" t="n">
        <v>0</v>
      </c>
      <c r="M264" t="n">
        <v>0</v>
      </c>
      <c r="N264" t="n">
        <v>0</v>
      </c>
      <c r="O264" t="n">
        <v>0</v>
      </c>
      <c r="P264" t="n">
        <v>0</v>
      </c>
      <c r="Q264" t="n">
        <v>0</v>
      </c>
      <c r="R264" s="2" t="inlineStr"/>
    </row>
    <row r="265" ht="15" customHeight="1">
      <c r="A265" t="inlineStr">
        <is>
          <t>A 62360-2023</t>
        </is>
      </c>
      <c r="B265" s="1" t="n">
        <v>45267</v>
      </c>
      <c r="C265" s="1" t="n">
        <v>45936</v>
      </c>
      <c r="D265" t="inlineStr">
        <is>
          <t>JÄMTLANDS LÄN</t>
        </is>
      </c>
      <c r="E265" t="inlineStr">
        <is>
          <t>BERG</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53456-2022</t>
        </is>
      </c>
      <c r="B266" s="1" t="n">
        <v>44874</v>
      </c>
      <c r="C266" s="1" t="n">
        <v>45936</v>
      </c>
      <c r="D266" t="inlineStr">
        <is>
          <t>JÄMTLANDS LÄN</t>
        </is>
      </c>
      <c r="E266" t="inlineStr">
        <is>
          <t>BERG</t>
        </is>
      </c>
      <c r="G266" t="n">
        <v>13.3</v>
      </c>
      <c r="H266" t="n">
        <v>0</v>
      </c>
      <c r="I266" t="n">
        <v>0</v>
      </c>
      <c r="J266" t="n">
        <v>0</v>
      </c>
      <c r="K266" t="n">
        <v>0</v>
      </c>
      <c r="L266" t="n">
        <v>0</v>
      </c>
      <c r="M266" t="n">
        <v>0</v>
      </c>
      <c r="N266" t="n">
        <v>0</v>
      </c>
      <c r="O266" t="n">
        <v>0</v>
      </c>
      <c r="P266" t="n">
        <v>0</v>
      </c>
      <c r="Q266" t="n">
        <v>0</v>
      </c>
      <c r="R266" s="2" t="inlineStr"/>
    </row>
    <row r="267" ht="15" customHeight="1">
      <c r="A267" t="inlineStr">
        <is>
          <t>A 32248-2024</t>
        </is>
      </c>
      <c r="B267" s="1" t="n">
        <v>45511.95144675926</v>
      </c>
      <c r="C267" s="1" t="n">
        <v>45936</v>
      </c>
      <c r="D267" t="inlineStr">
        <is>
          <t>JÄMTLANDS LÄN</t>
        </is>
      </c>
      <c r="E267" t="inlineStr">
        <is>
          <t>BERG</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39103-2024</t>
        </is>
      </c>
      <c r="B268" s="1" t="n">
        <v>45548.57025462963</v>
      </c>
      <c r="C268" s="1" t="n">
        <v>45936</v>
      </c>
      <c r="D268" t="inlineStr">
        <is>
          <t>JÄMTLANDS LÄN</t>
        </is>
      </c>
      <c r="E268" t="inlineStr">
        <is>
          <t>BERG</t>
        </is>
      </c>
      <c r="G268" t="n">
        <v>38.4</v>
      </c>
      <c r="H268" t="n">
        <v>0</v>
      </c>
      <c r="I268" t="n">
        <v>0</v>
      </c>
      <c r="J268" t="n">
        <v>0</v>
      </c>
      <c r="K268" t="n">
        <v>0</v>
      </c>
      <c r="L268" t="n">
        <v>0</v>
      </c>
      <c r="M268" t="n">
        <v>0</v>
      </c>
      <c r="N268" t="n">
        <v>0</v>
      </c>
      <c r="O268" t="n">
        <v>0</v>
      </c>
      <c r="P268" t="n">
        <v>0</v>
      </c>
      <c r="Q268" t="n">
        <v>0</v>
      </c>
      <c r="R268" s="2" t="inlineStr"/>
    </row>
    <row r="269" ht="15" customHeight="1">
      <c r="A269" t="inlineStr">
        <is>
          <t>A 8191-2025</t>
        </is>
      </c>
      <c r="B269" s="1" t="n">
        <v>45708.40821759259</v>
      </c>
      <c r="C269" s="1" t="n">
        <v>45936</v>
      </c>
      <c r="D269" t="inlineStr">
        <is>
          <t>JÄMTLANDS LÄN</t>
        </is>
      </c>
      <c r="E269" t="inlineStr">
        <is>
          <t>BERG</t>
        </is>
      </c>
      <c r="G269" t="n">
        <v>1.1</v>
      </c>
      <c r="H269" t="n">
        <v>0</v>
      </c>
      <c r="I269" t="n">
        <v>0</v>
      </c>
      <c r="J269" t="n">
        <v>0</v>
      </c>
      <c r="K269" t="n">
        <v>0</v>
      </c>
      <c r="L269" t="n">
        <v>0</v>
      </c>
      <c r="M269" t="n">
        <v>0</v>
      </c>
      <c r="N269" t="n">
        <v>0</v>
      </c>
      <c r="O269" t="n">
        <v>0</v>
      </c>
      <c r="P269" t="n">
        <v>0</v>
      </c>
      <c r="Q269" t="n">
        <v>0</v>
      </c>
      <c r="R269" s="2" t="inlineStr"/>
    </row>
    <row r="270" ht="15" customHeight="1">
      <c r="A270" t="inlineStr">
        <is>
          <t>A 9114-2022</t>
        </is>
      </c>
      <c r="B270" s="1" t="n">
        <v>44615</v>
      </c>
      <c r="C270" s="1" t="n">
        <v>45936</v>
      </c>
      <c r="D270" t="inlineStr">
        <is>
          <t>JÄMTLANDS LÄN</t>
        </is>
      </c>
      <c r="E270" t="inlineStr">
        <is>
          <t>BERG</t>
        </is>
      </c>
      <c r="G270" t="n">
        <v>2.9</v>
      </c>
      <c r="H270" t="n">
        <v>0</v>
      </c>
      <c r="I270" t="n">
        <v>0</v>
      </c>
      <c r="J270" t="n">
        <v>0</v>
      </c>
      <c r="K270" t="n">
        <v>0</v>
      </c>
      <c r="L270" t="n">
        <v>0</v>
      </c>
      <c r="M270" t="n">
        <v>0</v>
      </c>
      <c r="N270" t="n">
        <v>0</v>
      </c>
      <c r="O270" t="n">
        <v>0</v>
      </c>
      <c r="P270" t="n">
        <v>0</v>
      </c>
      <c r="Q270" t="n">
        <v>0</v>
      </c>
      <c r="R270" s="2" t="inlineStr"/>
    </row>
    <row r="271" ht="15" customHeight="1">
      <c r="A271" t="inlineStr">
        <is>
          <t>A 46115-2021</t>
        </is>
      </c>
      <c r="B271" s="1" t="n">
        <v>44441</v>
      </c>
      <c r="C271" s="1" t="n">
        <v>45936</v>
      </c>
      <c r="D271" t="inlineStr">
        <is>
          <t>JÄMTLANDS LÄN</t>
        </is>
      </c>
      <c r="E271" t="inlineStr">
        <is>
          <t>BERG</t>
        </is>
      </c>
      <c r="G271" t="n">
        <v>15.1</v>
      </c>
      <c r="H271" t="n">
        <v>0</v>
      </c>
      <c r="I271" t="n">
        <v>0</v>
      </c>
      <c r="J271" t="n">
        <v>0</v>
      </c>
      <c r="K271" t="n">
        <v>0</v>
      </c>
      <c r="L271" t="n">
        <v>0</v>
      </c>
      <c r="M271" t="n">
        <v>0</v>
      </c>
      <c r="N271" t="n">
        <v>0</v>
      </c>
      <c r="O271" t="n">
        <v>0</v>
      </c>
      <c r="P271" t="n">
        <v>0</v>
      </c>
      <c r="Q271" t="n">
        <v>0</v>
      </c>
      <c r="R271" s="2" t="inlineStr"/>
    </row>
    <row r="272" ht="15" customHeight="1">
      <c r="A272" t="inlineStr">
        <is>
          <t>A 19809-2022</t>
        </is>
      </c>
      <c r="B272" s="1" t="n">
        <v>44694</v>
      </c>
      <c r="C272" s="1" t="n">
        <v>45936</v>
      </c>
      <c r="D272" t="inlineStr">
        <is>
          <t>JÄMTLANDS LÄN</t>
        </is>
      </c>
      <c r="E272" t="inlineStr">
        <is>
          <t>BERG</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1499-2025</t>
        </is>
      </c>
      <c r="B273" s="1" t="n">
        <v>45670.41112268518</v>
      </c>
      <c r="C273" s="1" t="n">
        <v>45936</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48069-2023</t>
        </is>
      </c>
      <c r="B274" s="1" t="n">
        <v>45204</v>
      </c>
      <c r="C274" s="1" t="n">
        <v>45936</v>
      </c>
      <c r="D274" t="inlineStr">
        <is>
          <t>JÄMTLANDS LÄN</t>
        </is>
      </c>
      <c r="E274" t="inlineStr">
        <is>
          <t>BERG</t>
        </is>
      </c>
      <c r="F274" t="inlineStr">
        <is>
          <t>SCA</t>
        </is>
      </c>
      <c r="G274" t="n">
        <v>11.2</v>
      </c>
      <c r="H274" t="n">
        <v>0</v>
      </c>
      <c r="I274" t="n">
        <v>0</v>
      </c>
      <c r="J274" t="n">
        <v>0</v>
      </c>
      <c r="K274" t="n">
        <v>0</v>
      </c>
      <c r="L274" t="n">
        <v>0</v>
      </c>
      <c r="M274" t="n">
        <v>0</v>
      </c>
      <c r="N274" t="n">
        <v>0</v>
      </c>
      <c r="O274" t="n">
        <v>0</v>
      </c>
      <c r="P274" t="n">
        <v>0</v>
      </c>
      <c r="Q274" t="n">
        <v>0</v>
      </c>
      <c r="R274" s="2" t="inlineStr"/>
    </row>
    <row r="275" ht="15" customHeight="1">
      <c r="A275" t="inlineStr">
        <is>
          <t>A 9252-2025</t>
        </is>
      </c>
      <c r="B275" s="1" t="n">
        <v>45714.59415509259</v>
      </c>
      <c r="C275" s="1" t="n">
        <v>45936</v>
      </c>
      <c r="D275" t="inlineStr">
        <is>
          <t>JÄMTLANDS LÄN</t>
        </is>
      </c>
      <c r="E275" t="inlineStr">
        <is>
          <t>BERG</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64247-2023</t>
        </is>
      </c>
      <c r="B276" s="1" t="n">
        <v>45279.92739583334</v>
      </c>
      <c r="C276" s="1" t="n">
        <v>45936</v>
      </c>
      <c r="D276" t="inlineStr">
        <is>
          <t>JÄMTLANDS LÄN</t>
        </is>
      </c>
      <c r="E276" t="inlineStr">
        <is>
          <t>BERG</t>
        </is>
      </c>
      <c r="G276" t="n">
        <v>0.9</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45936</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38682-2023</t>
        </is>
      </c>
      <c r="B278" s="1" t="n">
        <v>45162</v>
      </c>
      <c r="C278" s="1" t="n">
        <v>45936</v>
      </c>
      <c r="D278" t="inlineStr">
        <is>
          <t>JÄMTLANDS LÄN</t>
        </is>
      </c>
      <c r="E278" t="inlineStr">
        <is>
          <t>BERG</t>
        </is>
      </c>
      <c r="F278" t="inlineStr">
        <is>
          <t>SCA</t>
        </is>
      </c>
      <c r="G278" t="n">
        <v>21.3</v>
      </c>
      <c r="H278" t="n">
        <v>0</v>
      </c>
      <c r="I278" t="n">
        <v>0</v>
      </c>
      <c r="J278" t="n">
        <v>0</v>
      </c>
      <c r="K278" t="n">
        <v>0</v>
      </c>
      <c r="L278" t="n">
        <v>0</v>
      </c>
      <c r="M278" t="n">
        <v>0</v>
      </c>
      <c r="N278" t="n">
        <v>0</v>
      </c>
      <c r="O278" t="n">
        <v>0</v>
      </c>
      <c r="P278" t="n">
        <v>0</v>
      </c>
      <c r="Q278" t="n">
        <v>0</v>
      </c>
      <c r="R278" s="2" t="inlineStr"/>
    </row>
    <row r="279" ht="15" customHeight="1">
      <c r="A279" t="inlineStr">
        <is>
          <t>A 45346-2023</t>
        </is>
      </c>
      <c r="B279" s="1" t="n">
        <v>45191</v>
      </c>
      <c r="C279" s="1" t="n">
        <v>45936</v>
      </c>
      <c r="D279" t="inlineStr">
        <is>
          <t>JÄMTLANDS LÄN</t>
        </is>
      </c>
      <c r="E279" t="inlineStr">
        <is>
          <t>BERG</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57661-2024</t>
        </is>
      </c>
      <c r="B280" s="1" t="n">
        <v>45630.6140162037</v>
      </c>
      <c r="C280" s="1" t="n">
        <v>45936</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31330-2024</t>
        </is>
      </c>
      <c r="B281" s="1" t="n">
        <v>45504</v>
      </c>
      <c r="C281" s="1" t="n">
        <v>45936</v>
      </c>
      <c r="D281" t="inlineStr">
        <is>
          <t>JÄMTLANDS LÄN</t>
        </is>
      </c>
      <c r="E281" t="inlineStr">
        <is>
          <t>BERG</t>
        </is>
      </c>
      <c r="G281" t="n">
        <v>30.5</v>
      </c>
      <c r="H281" t="n">
        <v>0</v>
      </c>
      <c r="I281" t="n">
        <v>0</v>
      </c>
      <c r="J281" t="n">
        <v>0</v>
      </c>
      <c r="K281" t="n">
        <v>0</v>
      </c>
      <c r="L281" t="n">
        <v>0</v>
      </c>
      <c r="M281" t="n">
        <v>0</v>
      </c>
      <c r="N281" t="n">
        <v>0</v>
      </c>
      <c r="O281" t="n">
        <v>0</v>
      </c>
      <c r="P281" t="n">
        <v>0</v>
      </c>
      <c r="Q281" t="n">
        <v>0</v>
      </c>
      <c r="R281" s="2" t="inlineStr"/>
    </row>
    <row r="282" ht="15" customHeight="1">
      <c r="A282" t="inlineStr">
        <is>
          <t>A 44043-2025</t>
        </is>
      </c>
      <c r="B282" s="1" t="n">
        <v>45915.49266203704</v>
      </c>
      <c r="C282" s="1" t="n">
        <v>45936</v>
      </c>
      <c r="D282" t="inlineStr">
        <is>
          <t>JÄMTLANDS LÄN</t>
        </is>
      </c>
      <c r="E282" t="inlineStr">
        <is>
          <t>BERG</t>
        </is>
      </c>
      <c r="G282" t="n">
        <v>3.4</v>
      </c>
      <c r="H282" t="n">
        <v>0</v>
      </c>
      <c r="I282" t="n">
        <v>0</v>
      </c>
      <c r="J282" t="n">
        <v>0</v>
      </c>
      <c r="K282" t="n">
        <v>0</v>
      </c>
      <c r="L282" t="n">
        <v>0</v>
      </c>
      <c r="M282" t="n">
        <v>0</v>
      </c>
      <c r="N282" t="n">
        <v>0</v>
      </c>
      <c r="O282" t="n">
        <v>0</v>
      </c>
      <c r="P282" t="n">
        <v>0</v>
      </c>
      <c r="Q282" t="n">
        <v>0</v>
      </c>
      <c r="R282" s="2" t="inlineStr"/>
    </row>
    <row r="283" ht="15" customHeight="1">
      <c r="A283" t="inlineStr">
        <is>
          <t>A 44051-2025</t>
        </is>
      </c>
      <c r="B283" s="1" t="n">
        <v>45915.51079861111</v>
      </c>
      <c r="C283" s="1" t="n">
        <v>45936</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45208-2024</t>
        </is>
      </c>
      <c r="B284" s="1" t="n">
        <v>45575.7077662037</v>
      </c>
      <c r="C284" s="1" t="n">
        <v>45936</v>
      </c>
      <c r="D284" t="inlineStr">
        <is>
          <t>JÄMTLANDS LÄN</t>
        </is>
      </c>
      <c r="E284" t="inlineStr">
        <is>
          <t>BERG</t>
        </is>
      </c>
      <c r="G284" t="n">
        <v>1.9</v>
      </c>
      <c r="H284" t="n">
        <v>0</v>
      </c>
      <c r="I284" t="n">
        <v>0</v>
      </c>
      <c r="J284" t="n">
        <v>0</v>
      </c>
      <c r="K284" t="n">
        <v>0</v>
      </c>
      <c r="L284" t="n">
        <v>0</v>
      </c>
      <c r="M284" t="n">
        <v>0</v>
      </c>
      <c r="N284" t="n">
        <v>0</v>
      </c>
      <c r="O284" t="n">
        <v>0</v>
      </c>
      <c r="P284" t="n">
        <v>0</v>
      </c>
      <c r="Q284" t="n">
        <v>0</v>
      </c>
      <c r="R284" s="2" t="inlineStr"/>
    </row>
    <row r="285" ht="15" customHeight="1">
      <c r="A285" t="inlineStr">
        <is>
          <t>A 60404-2023</t>
        </is>
      </c>
      <c r="B285" s="1" t="n">
        <v>45259.46332175926</v>
      </c>
      <c r="C285" s="1" t="n">
        <v>45936</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35866-2024</t>
        </is>
      </c>
      <c r="B286" s="1" t="n">
        <v>45533.3422337963</v>
      </c>
      <c r="C286" s="1" t="n">
        <v>45936</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53894-2023</t>
        </is>
      </c>
      <c r="B287" s="1" t="n">
        <v>45231.53321759259</v>
      </c>
      <c r="C287" s="1" t="n">
        <v>45936</v>
      </c>
      <c r="D287" t="inlineStr">
        <is>
          <t>JÄMTLANDS LÄN</t>
        </is>
      </c>
      <c r="E287" t="inlineStr">
        <is>
          <t>BERG</t>
        </is>
      </c>
      <c r="G287" t="n">
        <v>0.5</v>
      </c>
      <c r="H287" t="n">
        <v>0</v>
      </c>
      <c r="I287" t="n">
        <v>0</v>
      </c>
      <c r="J287" t="n">
        <v>0</v>
      </c>
      <c r="K287" t="n">
        <v>0</v>
      </c>
      <c r="L287" t="n">
        <v>0</v>
      </c>
      <c r="M287" t="n">
        <v>0</v>
      </c>
      <c r="N287" t="n">
        <v>0</v>
      </c>
      <c r="O287" t="n">
        <v>0</v>
      </c>
      <c r="P287" t="n">
        <v>0</v>
      </c>
      <c r="Q287" t="n">
        <v>0</v>
      </c>
      <c r="R287" s="2" t="inlineStr"/>
    </row>
    <row r="288" ht="15" customHeight="1">
      <c r="A288" t="inlineStr">
        <is>
          <t>A 43968-2025</t>
        </is>
      </c>
      <c r="B288" s="1" t="n">
        <v>45915</v>
      </c>
      <c r="C288" s="1" t="n">
        <v>45936</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43982-2025</t>
        </is>
      </c>
      <c r="B289" s="1" t="n">
        <v>45915.42771990741</v>
      </c>
      <c r="C289" s="1" t="n">
        <v>45936</v>
      </c>
      <c r="D289" t="inlineStr">
        <is>
          <t>JÄMTLANDS LÄN</t>
        </is>
      </c>
      <c r="E289" t="inlineStr">
        <is>
          <t>BERG</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14772-2021</t>
        </is>
      </c>
      <c r="B290" s="1" t="n">
        <v>44280.62068287037</v>
      </c>
      <c r="C290" s="1" t="n">
        <v>45936</v>
      </c>
      <c r="D290" t="inlineStr">
        <is>
          <t>JÄMTLANDS LÄN</t>
        </is>
      </c>
      <c r="E290" t="inlineStr">
        <is>
          <t>BERG</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8238-2024</t>
        </is>
      </c>
      <c r="B291" s="1" t="n">
        <v>45351.98450231482</v>
      </c>
      <c r="C291" s="1" t="n">
        <v>45936</v>
      </c>
      <c r="D291" t="inlineStr">
        <is>
          <t>JÄMTLANDS LÄN</t>
        </is>
      </c>
      <c r="E291" t="inlineStr">
        <is>
          <t>BERG</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29581-2024</t>
        </is>
      </c>
      <c r="B292" s="1" t="n">
        <v>45484.5740162037</v>
      </c>
      <c r="C292" s="1" t="n">
        <v>45936</v>
      </c>
      <c r="D292" t="inlineStr">
        <is>
          <t>JÄMTLANDS LÄN</t>
        </is>
      </c>
      <c r="E292" t="inlineStr">
        <is>
          <t>BERG</t>
        </is>
      </c>
      <c r="G292" t="n">
        <v>16.7</v>
      </c>
      <c r="H292" t="n">
        <v>0</v>
      </c>
      <c r="I292" t="n">
        <v>0</v>
      </c>
      <c r="J292" t="n">
        <v>0</v>
      </c>
      <c r="K292" t="n">
        <v>0</v>
      </c>
      <c r="L292" t="n">
        <v>0</v>
      </c>
      <c r="M292" t="n">
        <v>0</v>
      </c>
      <c r="N292" t="n">
        <v>0</v>
      </c>
      <c r="O292" t="n">
        <v>0</v>
      </c>
      <c r="P292" t="n">
        <v>0</v>
      </c>
      <c r="Q292" t="n">
        <v>0</v>
      </c>
      <c r="R292" s="2" t="inlineStr"/>
    </row>
    <row r="293" ht="15" customHeight="1">
      <c r="A293" t="inlineStr">
        <is>
          <t>A 36668-2025</t>
        </is>
      </c>
      <c r="B293" s="1" t="n">
        <v>45873.38351851852</v>
      </c>
      <c r="C293" s="1" t="n">
        <v>45936</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43403-2023</t>
        </is>
      </c>
      <c r="B294" s="1" t="n">
        <v>45183</v>
      </c>
      <c r="C294" s="1" t="n">
        <v>45936</v>
      </c>
      <c r="D294" t="inlineStr">
        <is>
          <t>JÄMTLANDS LÄN</t>
        </is>
      </c>
      <c r="E294" t="inlineStr">
        <is>
          <t>BERG</t>
        </is>
      </c>
      <c r="F294" t="inlineStr">
        <is>
          <t>SCA</t>
        </is>
      </c>
      <c r="G294" t="n">
        <v>0.1</v>
      </c>
      <c r="H294" t="n">
        <v>0</v>
      </c>
      <c r="I294" t="n">
        <v>0</v>
      </c>
      <c r="J294" t="n">
        <v>0</v>
      </c>
      <c r="K294" t="n">
        <v>0</v>
      </c>
      <c r="L294" t="n">
        <v>0</v>
      </c>
      <c r="M294" t="n">
        <v>0</v>
      </c>
      <c r="N294" t="n">
        <v>0</v>
      </c>
      <c r="O294" t="n">
        <v>0</v>
      </c>
      <c r="P294" t="n">
        <v>0</v>
      </c>
      <c r="Q294" t="n">
        <v>0</v>
      </c>
      <c r="R294" s="2" t="inlineStr"/>
    </row>
    <row r="295" ht="15" customHeight="1">
      <c r="A295" t="inlineStr">
        <is>
          <t>A 39186-2024</t>
        </is>
      </c>
      <c r="B295" s="1" t="n">
        <v>45548.66489583333</v>
      </c>
      <c r="C295" s="1" t="n">
        <v>45936</v>
      </c>
      <c r="D295" t="inlineStr">
        <is>
          <t>JÄMTLANDS LÄN</t>
        </is>
      </c>
      <c r="E295" t="inlineStr">
        <is>
          <t>BERG</t>
        </is>
      </c>
      <c r="G295" t="n">
        <v>38.4</v>
      </c>
      <c r="H295" t="n">
        <v>0</v>
      </c>
      <c r="I295" t="n">
        <v>0</v>
      </c>
      <c r="J295" t="n">
        <v>0</v>
      </c>
      <c r="K295" t="n">
        <v>0</v>
      </c>
      <c r="L295" t="n">
        <v>0</v>
      </c>
      <c r="M295" t="n">
        <v>0</v>
      </c>
      <c r="N295" t="n">
        <v>0</v>
      </c>
      <c r="O295" t="n">
        <v>0</v>
      </c>
      <c r="P295" t="n">
        <v>0</v>
      </c>
      <c r="Q295" t="n">
        <v>0</v>
      </c>
      <c r="R295" s="2" t="inlineStr"/>
    </row>
    <row r="296" ht="15" customHeight="1">
      <c r="A296" t="inlineStr">
        <is>
          <t>A 37101-2024</t>
        </is>
      </c>
      <c r="B296" s="1" t="n">
        <v>45539.5029050926</v>
      </c>
      <c r="C296" s="1" t="n">
        <v>45936</v>
      </c>
      <c r="D296" t="inlineStr">
        <is>
          <t>JÄMTLANDS LÄN</t>
        </is>
      </c>
      <c r="E296" t="inlineStr">
        <is>
          <t>BERG</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17899-2024</t>
        </is>
      </c>
      <c r="B297" s="1" t="n">
        <v>45419.49334490741</v>
      </c>
      <c r="C297" s="1" t="n">
        <v>45936</v>
      </c>
      <c r="D297" t="inlineStr">
        <is>
          <t>JÄMTLANDS LÄN</t>
        </is>
      </c>
      <c r="E297" t="inlineStr">
        <is>
          <t>BERG</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17922-2024</t>
        </is>
      </c>
      <c r="B298" s="1" t="n">
        <v>45419.5853587963</v>
      </c>
      <c r="C298" s="1" t="n">
        <v>45936</v>
      </c>
      <c r="D298" t="inlineStr">
        <is>
          <t>JÄMTLANDS LÄN</t>
        </is>
      </c>
      <c r="E298" t="inlineStr">
        <is>
          <t>BERG</t>
        </is>
      </c>
      <c r="F298" t="inlineStr">
        <is>
          <t>Holmen skog AB</t>
        </is>
      </c>
      <c r="G298" t="n">
        <v>6.8</v>
      </c>
      <c r="H298" t="n">
        <v>0</v>
      </c>
      <c r="I298" t="n">
        <v>0</v>
      </c>
      <c r="J298" t="n">
        <v>0</v>
      </c>
      <c r="K298" t="n">
        <v>0</v>
      </c>
      <c r="L298" t="n">
        <v>0</v>
      </c>
      <c r="M298" t="n">
        <v>0</v>
      </c>
      <c r="N298" t="n">
        <v>0</v>
      </c>
      <c r="O298" t="n">
        <v>0</v>
      </c>
      <c r="P298" t="n">
        <v>0</v>
      </c>
      <c r="Q298" t="n">
        <v>0</v>
      </c>
      <c r="R298" s="2" t="inlineStr"/>
    </row>
    <row r="299" ht="15" customHeight="1">
      <c r="A299" t="inlineStr">
        <is>
          <t>A 37067-2023</t>
        </is>
      </c>
      <c r="B299" s="1" t="n">
        <v>45154</v>
      </c>
      <c r="C299" s="1" t="n">
        <v>45936</v>
      </c>
      <c r="D299" t="inlineStr">
        <is>
          <t>JÄMTLANDS LÄN</t>
        </is>
      </c>
      <c r="E299" t="inlineStr">
        <is>
          <t>BERG</t>
        </is>
      </c>
      <c r="G299" t="n">
        <v>7.4</v>
      </c>
      <c r="H299" t="n">
        <v>0</v>
      </c>
      <c r="I299" t="n">
        <v>0</v>
      </c>
      <c r="J299" t="n">
        <v>0</v>
      </c>
      <c r="K299" t="n">
        <v>0</v>
      </c>
      <c r="L299" t="n">
        <v>0</v>
      </c>
      <c r="M299" t="n">
        <v>0</v>
      </c>
      <c r="N299" t="n">
        <v>0</v>
      </c>
      <c r="O299" t="n">
        <v>0</v>
      </c>
      <c r="P299" t="n">
        <v>0</v>
      </c>
      <c r="Q299" t="n">
        <v>0</v>
      </c>
      <c r="R299" s="2" t="inlineStr"/>
    </row>
    <row r="300" ht="15" customHeight="1">
      <c r="A300" t="inlineStr">
        <is>
          <t>A 46902-2024</t>
        </is>
      </c>
      <c r="B300" s="1" t="n">
        <v>45583.69847222222</v>
      </c>
      <c r="C300" s="1" t="n">
        <v>45936</v>
      </c>
      <c r="D300" t="inlineStr">
        <is>
          <t>JÄMTLANDS LÄN</t>
        </is>
      </c>
      <c r="E300" t="inlineStr">
        <is>
          <t>BERG</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14834-2025</t>
        </is>
      </c>
      <c r="B301" s="1" t="n">
        <v>45743.38224537037</v>
      </c>
      <c r="C301" s="1" t="n">
        <v>45936</v>
      </c>
      <c r="D301" t="inlineStr">
        <is>
          <t>JÄMTLANDS LÄN</t>
        </is>
      </c>
      <c r="E301" t="inlineStr">
        <is>
          <t>BERG</t>
        </is>
      </c>
      <c r="G301" t="n">
        <v>3.8</v>
      </c>
      <c r="H301" t="n">
        <v>0</v>
      </c>
      <c r="I301" t="n">
        <v>0</v>
      </c>
      <c r="J301" t="n">
        <v>0</v>
      </c>
      <c r="K301" t="n">
        <v>0</v>
      </c>
      <c r="L301" t="n">
        <v>0</v>
      </c>
      <c r="M301" t="n">
        <v>0</v>
      </c>
      <c r="N301" t="n">
        <v>0</v>
      </c>
      <c r="O301" t="n">
        <v>0</v>
      </c>
      <c r="P301" t="n">
        <v>0</v>
      </c>
      <c r="Q301" t="n">
        <v>0</v>
      </c>
      <c r="R301" s="2" t="inlineStr"/>
    </row>
    <row r="302" ht="15" customHeight="1">
      <c r="A302" t="inlineStr">
        <is>
          <t>A 41264-2025</t>
        </is>
      </c>
      <c r="B302" s="1" t="n">
        <v>45898</v>
      </c>
      <c r="C302" s="1" t="n">
        <v>45936</v>
      </c>
      <c r="D302" t="inlineStr">
        <is>
          <t>JÄMTLANDS LÄN</t>
        </is>
      </c>
      <c r="E302" t="inlineStr">
        <is>
          <t>BERG</t>
        </is>
      </c>
      <c r="G302" t="n">
        <v>17.4</v>
      </c>
      <c r="H302" t="n">
        <v>0</v>
      </c>
      <c r="I302" t="n">
        <v>0</v>
      </c>
      <c r="J302" t="n">
        <v>0</v>
      </c>
      <c r="K302" t="n">
        <v>0</v>
      </c>
      <c r="L302" t="n">
        <v>0</v>
      </c>
      <c r="M302" t="n">
        <v>0</v>
      </c>
      <c r="N302" t="n">
        <v>0</v>
      </c>
      <c r="O302" t="n">
        <v>0</v>
      </c>
      <c r="P302" t="n">
        <v>0</v>
      </c>
      <c r="Q302" t="n">
        <v>0</v>
      </c>
      <c r="R302" s="2" t="inlineStr"/>
    </row>
    <row r="303" ht="15" customHeight="1">
      <c r="A303" t="inlineStr">
        <is>
          <t>A 50706-2023</t>
        </is>
      </c>
      <c r="B303" s="1" t="n">
        <v>45217.55832175926</v>
      </c>
      <c r="C303" s="1" t="n">
        <v>45936</v>
      </c>
      <c r="D303" t="inlineStr">
        <is>
          <t>JÄMTLANDS LÄN</t>
        </is>
      </c>
      <c r="E303" t="inlineStr">
        <is>
          <t>BERG</t>
        </is>
      </c>
      <c r="G303" t="n">
        <v>4.1</v>
      </c>
      <c r="H303" t="n">
        <v>0</v>
      </c>
      <c r="I303" t="n">
        <v>0</v>
      </c>
      <c r="J303" t="n">
        <v>0</v>
      </c>
      <c r="K303" t="n">
        <v>0</v>
      </c>
      <c r="L303" t="n">
        <v>0</v>
      </c>
      <c r="M303" t="n">
        <v>0</v>
      </c>
      <c r="N303" t="n">
        <v>0</v>
      </c>
      <c r="O303" t="n">
        <v>0</v>
      </c>
      <c r="P303" t="n">
        <v>0</v>
      </c>
      <c r="Q303" t="n">
        <v>0</v>
      </c>
      <c r="R303" s="2" t="inlineStr"/>
    </row>
    <row r="304" ht="15" customHeight="1">
      <c r="A304" t="inlineStr">
        <is>
          <t>A 8733-2025</t>
        </is>
      </c>
      <c r="B304" s="1" t="n">
        <v>45712.53197916667</v>
      </c>
      <c r="C304" s="1" t="n">
        <v>45936</v>
      </c>
      <c r="D304" t="inlineStr">
        <is>
          <t>JÄMTLANDS LÄN</t>
        </is>
      </c>
      <c r="E304" t="inlineStr">
        <is>
          <t>BERG</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45936</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34601-2024</t>
        </is>
      </c>
      <c r="B306" s="1" t="n">
        <v>45526.4034375</v>
      </c>
      <c r="C306" s="1" t="n">
        <v>45936</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4476-2025</t>
        </is>
      </c>
      <c r="B307" s="1" t="n">
        <v>45686.62828703703</v>
      </c>
      <c r="C307" s="1" t="n">
        <v>45936</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3625-2024</t>
        </is>
      </c>
      <c r="B308" s="1" t="n">
        <v>45320</v>
      </c>
      <c r="C308" s="1" t="n">
        <v>45936</v>
      </c>
      <c r="D308" t="inlineStr">
        <is>
          <t>JÄMTLANDS LÄN</t>
        </is>
      </c>
      <c r="E308" t="inlineStr">
        <is>
          <t>BERG</t>
        </is>
      </c>
      <c r="F308" t="inlineStr">
        <is>
          <t>SCA</t>
        </is>
      </c>
      <c r="G308" t="n">
        <v>23.7</v>
      </c>
      <c r="H308" t="n">
        <v>0</v>
      </c>
      <c r="I308" t="n">
        <v>0</v>
      </c>
      <c r="J308" t="n">
        <v>0</v>
      </c>
      <c r="K308" t="n">
        <v>0</v>
      </c>
      <c r="L308" t="n">
        <v>0</v>
      </c>
      <c r="M308" t="n">
        <v>0</v>
      </c>
      <c r="N308" t="n">
        <v>0</v>
      </c>
      <c r="O308" t="n">
        <v>0</v>
      </c>
      <c r="P308" t="n">
        <v>0</v>
      </c>
      <c r="Q308" t="n">
        <v>0</v>
      </c>
      <c r="R308" s="2" t="inlineStr"/>
    </row>
    <row r="309" ht="15" customHeight="1">
      <c r="A309" t="inlineStr">
        <is>
          <t>A 18408-2025</t>
        </is>
      </c>
      <c r="B309" s="1" t="n">
        <v>45762.61128472222</v>
      </c>
      <c r="C309" s="1" t="n">
        <v>45936</v>
      </c>
      <c r="D309" t="inlineStr">
        <is>
          <t>JÄMTLANDS LÄN</t>
        </is>
      </c>
      <c r="E309" t="inlineStr">
        <is>
          <t>BERG</t>
        </is>
      </c>
      <c r="G309" t="n">
        <v>5.1</v>
      </c>
      <c r="H309" t="n">
        <v>0</v>
      </c>
      <c r="I309" t="n">
        <v>0</v>
      </c>
      <c r="J309" t="n">
        <v>0</v>
      </c>
      <c r="K309" t="n">
        <v>0</v>
      </c>
      <c r="L309" t="n">
        <v>0</v>
      </c>
      <c r="M309" t="n">
        <v>0</v>
      </c>
      <c r="N309" t="n">
        <v>0</v>
      </c>
      <c r="O309" t="n">
        <v>0</v>
      </c>
      <c r="P309" t="n">
        <v>0</v>
      </c>
      <c r="Q309" t="n">
        <v>0</v>
      </c>
      <c r="R309" s="2" t="inlineStr"/>
    </row>
    <row r="310" ht="15" customHeight="1">
      <c r="A310" t="inlineStr">
        <is>
          <t>A 18217-2023</t>
        </is>
      </c>
      <c r="B310" s="1" t="n">
        <v>45040</v>
      </c>
      <c r="C310" s="1" t="n">
        <v>45936</v>
      </c>
      <c r="D310" t="inlineStr">
        <is>
          <t>JÄMTLANDS LÄN</t>
        </is>
      </c>
      <c r="E310" t="inlineStr">
        <is>
          <t>BERG</t>
        </is>
      </c>
      <c r="G310" t="n">
        <v>4.5</v>
      </c>
      <c r="H310" t="n">
        <v>0</v>
      </c>
      <c r="I310" t="n">
        <v>0</v>
      </c>
      <c r="J310" t="n">
        <v>0</v>
      </c>
      <c r="K310" t="n">
        <v>0</v>
      </c>
      <c r="L310" t="n">
        <v>0</v>
      </c>
      <c r="M310" t="n">
        <v>0</v>
      </c>
      <c r="N310" t="n">
        <v>0</v>
      </c>
      <c r="O310" t="n">
        <v>0</v>
      </c>
      <c r="P310" t="n">
        <v>0</v>
      </c>
      <c r="Q310" t="n">
        <v>0</v>
      </c>
      <c r="R310" s="2" t="inlineStr"/>
    </row>
    <row r="311" ht="15" customHeight="1">
      <c r="A311" t="inlineStr">
        <is>
          <t>A 19258-2025</t>
        </is>
      </c>
      <c r="B311" s="1" t="n">
        <v>45769.49987268518</v>
      </c>
      <c r="C311" s="1" t="n">
        <v>45936</v>
      </c>
      <c r="D311" t="inlineStr">
        <is>
          <t>JÄMTLANDS LÄN</t>
        </is>
      </c>
      <c r="E311" t="inlineStr">
        <is>
          <t>BERG</t>
        </is>
      </c>
      <c r="G311" t="n">
        <v>10.9</v>
      </c>
      <c r="H311" t="n">
        <v>0</v>
      </c>
      <c r="I311" t="n">
        <v>0</v>
      </c>
      <c r="J311" t="n">
        <v>0</v>
      </c>
      <c r="K311" t="n">
        <v>0</v>
      </c>
      <c r="L311" t="n">
        <v>0</v>
      </c>
      <c r="M311" t="n">
        <v>0</v>
      </c>
      <c r="N311" t="n">
        <v>0</v>
      </c>
      <c r="O311" t="n">
        <v>0</v>
      </c>
      <c r="P311" t="n">
        <v>0</v>
      </c>
      <c r="Q311" t="n">
        <v>0</v>
      </c>
      <c r="R311" s="2" t="inlineStr"/>
    </row>
    <row r="312" ht="15" customHeight="1">
      <c r="A312" t="inlineStr">
        <is>
          <t>A 16022-2025</t>
        </is>
      </c>
      <c r="B312" s="1" t="n">
        <v>45749.60973379629</v>
      </c>
      <c r="C312" s="1" t="n">
        <v>45936</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28098-2024</t>
        </is>
      </c>
      <c r="B313" s="1" t="n">
        <v>45476.61347222222</v>
      </c>
      <c r="C313" s="1" t="n">
        <v>45936</v>
      </c>
      <c r="D313" t="inlineStr">
        <is>
          <t>JÄMTLANDS LÄN</t>
        </is>
      </c>
      <c r="E313" t="inlineStr">
        <is>
          <t>BERG</t>
        </is>
      </c>
      <c r="G313" t="n">
        <v>0.4</v>
      </c>
      <c r="H313" t="n">
        <v>0</v>
      </c>
      <c r="I313" t="n">
        <v>0</v>
      </c>
      <c r="J313" t="n">
        <v>0</v>
      </c>
      <c r="K313" t="n">
        <v>0</v>
      </c>
      <c r="L313" t="n">
        <v>0</v>
      </c>
      <c r="M313" t="n">
        <v>0</v>
      </c>
      <c r="N313" t="n">
        <v>0</v>
      </c>
      <c r="O313" t="n">
        <v>0</v>
      </c>
      <c r="P313" t="n">
        <v>0</v>
      </c>
      <c r="Q313" t="n">
        <v>0</v>
      </c>
      <c r="R313" s="2" t="inlineStr"/>
    </row>
    <row r="314" ht="15" customHeight="1">
      <c r="A314" t="inlineStr">
        <is>
          <t>A 37201-2025</t>
        </is>
      </c>
      <c r="B314" s="1" t="n">
        <v>45875.67797453704</v>
      </c>
      <c r="C314" s="1" t="n">
        <v>45936</v>
      </c>
      <c r="D314" t="inlineStr">
        <is>
          <t>JÄMTLANDS LÄN</t>
        </is>
      </c>
      <c r="E314" t="inlineStr">
        <is>
          <t>BERG</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63819-2023</t>
        </is>
      </c>
      <c r="B315" s="1" t="n">
        <v>45278.44128472222</v>
      </c>
      <c r="C315" s="1" t="n">
        <v>45936</v>
      </c>
      <c r="D315" t="inlineStr">
        <is>
          <t>JÄMTLANDS LÄN</t>
        </is>
      </c>
      <c r="E315" t="inlineStr">
        <is>
          <t>BERG</t>
        </is>
      </c>
      <c r="G315" t="n">
        <v>1.8</v>
      </c>
      <c r="H315" t="n">
        <v>0</v>
      </c>
      <c r="I315" t="n">
        <v>0</v>
      </c>
      <c r="J315" t="n">
        <v>0</v>
      </c>
      <c r="K315" t="n">
        <v>0</v>
      </c>
      <c r="L315" t="n">
        <v>0</v>
      </c>
      <c r="M315" t="n">
        <v>0</v>
      </c>
      <c r="N315" t="n">
        <v>0</v>
      </c>
      <c r="O315" t="n">
        <v>0</v>
      </c>
      <c r="P315" t="n">
        <v>0</v>
      </c>
      <c r="Q315" t="n">
        <v>0</v>
      </c>
      <c r="R315" s="2" t="inlineStr"/>
    </row>
    <row r="316" ht="15" customHeight="1">
      <c r="A316" t="inlineStr">
        <is>
          <t>A 64490-2023</t>
        </is>
      </c>
      <c r="B316" s="1" t="n">
        <v>45280</v>
      </c>
      <c r="C316" s="1" t="n">
        <v>45936</v>
      </c>
      <c r="D316" t="inlineStr">
        <is>
          <t>JÄMTLANDS LÄN</t>
        </is>
      </c>
      <c r="E316" t="inlineStr">
        <is>
          <t>BERG</t>
        </is>
      </c>
      <c r="F316" t="inlineStr">
        <is>
          <t>Övriga Aktiebolag</t>
        </is>
      </c>
      <c r="G316" t="n">
        <v>7.7</v>
      </c>
      <c r="H316" t="n">
        <v>0</v>
      </c>
      <c r="I316" t="n">
        <v>0</v>
      </c>
      <c r="J316" t="n">
        <v>0</v>
      </c>
      <c r="K316" t="n">
        <v>0</v>
      </c>
      <c r="L316" t="n">
        <v>0</v>
      </c>
      <c r="M316" t="n">
        <v>0</v>
      </c>
      <c r="N316" t="n">
        <v>0</v>
      </c>
      <c r="O316" t="n">
        <v>0</v>
      </c>
      <c r="P316" t="n">
        <v>0</v>
      </c>
      <c r="Q316" t="n">
        <v>0</v>
      </c>
      <c r="R316" s="2" t="inlineStr"/>
    </row>
    <row r="317" ht="15" customHeight="1">
      <c r="A317" t="inlineStr">
        <is>
          <t>A 37066-2025</t>
        </is>
      </c>
      <c r="B317" s="1" t="n">
        <v>45875.3862962963</v>
      </c>
      <c r="C317" s="1" t="n">
        <v>45936</v>
      </c>
      <c r="D317" t="inlineStr">
        <is>
          <t>JÄMTLANDS LÄN</t>
        </is>
      </c>
      <c r="E317" t="inlineStr">
        <is>
          <t>BERG</t>
        </is>
      </c>
      <c r="F317" t="inlineStr">
        <is>
          <t>SCA</t>
        </is>
      </c>
      <c r="G317" t="n">
        <v>9.6</v>
      </c>
      <c r="H317" t="n">
        <v>0</v>
      </c>
      <c r="I317" t="n">
        <v>0</v>
      </c>
      <c r="J317" t="n">
        <v>0</v>
      </c>
      <c r="K317" t="n">
        <v>0</v>
      </c>
      <c r="L317" t="n">
        <v>0</v>
      </c>
      <c r="M317" t="n">
        <v>0</v>
      </c>
      <c r="N317" t="n">
        <v>0</v>
      </c>
      <c r="O317" t="n">
        <v>0</v>
      </c>
      <c r="P317" t="n">
        <v>0</v>
      </c>
      <c r="Q317" t="n">
        <v>0</v>
      </c>
      <c r="R317" s="2" t="inlineStr"/>
    </row>
    <row r="318" ht="15" customHeight="1">
      <c r="A318" t="inlineStr">
        <is>
          <t>A 14431-2025</t>
        </is>
      </c>
      <c r="B318" s="1" t="n">
        <v>45741</v>
      </c>
      <c r="C318" s="1" t="n">
        <v>45936</v>
      </c>
      <c r="D318" t="inlineStr">
        <is>
          <t>JÄMTLANDS LÄN</t>
        </is>
      </c>
      <c r="E318" t="inlineStr">
        <is>
          <t>BERG</t>
        </is>
      </c>
      <c r="G318" t="n">
        <v>1.7</v>
      </c>
      <c r="H318" t="n">
        <v>0</v>
      </c>
      <c r="I318" t="n">
        <v>0</v>
      </c>
      <c r="J318" t="n">
        <v>0</v>
      </c>
      <c r="K318" t="n">
        <v>0</v>
      </c>
      <c r="L318" t="n">
        <v>0</v>
      </c>
      <c r="M318" t="n">
        <v>0</v>
      </c>
      <c r="N318" t="n">
        <v>0</v>
      </c>
      <c r="O318" t="n">
        <v>0</v>
      </c>
      <c r="P318" t="n">
        <v>0</v>
      </c>
      <c r="Q318" t="n">
        <v>0</v>
      </c>
      <c r="R318" s="2" t="inlineStr"/>
    </row>
    <row r="319" ht="15" customHeight="1">
      <c r="A319" t="inlineStr">
        <is>
          <t>A 44303-2025</t>
        </is>
      </c>
      <c r="B319" s="1" t="n">
        <v>45915</v>
      </c>
      <c r="C319" s="1" t="n">
        <v>45936</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12499-2021</t>
        </is>
      </c>
      <c r="B320" s="1" t="n">
        <v>44267</v>
      </c>
      <c r="C320" s="1" t="n">
        <v>45936</v>
      </c>
      <c r="D320" t="inlineStr">
        <is>
          <t>JÄMTLANDS LÄN</t>
        </is>
      </c>
      <c r="E320" t="inlineStr">
        <is>
          <t>BERG</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44697-2025</t>
        </is>
      </c>
      <c r="B321" s="1" t="n">
        <v>45917.59888888889</v>
      </c>
      <c r="C321" s="1" t="n">
        <v>45936</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36896-2025</t>
        </is>
      </c>
      <c r="B322" s="1" t="n">
        <v>45874.4740625</v>
      </c>
      <c r="C322" s="1" t="n">
        <v>45936</v>
      </c>
      <c r="D322" t="inlineStr">
        <is>
          <t>JÄMTLANDS LÄN</t>
        </is>
      </c>
      <c r="E322" t="inlineStr">
        <is>
          <t>BERG</t>
        </is>
      </c>
      <c r="G322" t="n">
        <v>3.2</v>
      </c>
      <c r="H322" t="n">
        <v>0</v>
      </c>
      <c r="I322" t="n">
        <v>0</v>
      </c>
      <c r="J322" t="n">
        <v>0</v>
      </c>
      <c r="K322" t="n">
        <v>0</v>
      </c>
      <c r="L322" t="n">
        <v>0</v>
      </c>
      <c r="M322" t="n">
        <v>0</v>
      </c>
      <c r="N322" t="n">
        <v>0</v>
      </c>
      <c r="O322" t="n">
        <v>0</v>
      </c>
      <c r="P322" t="n">
        <v>0</v>
      </c>
      <c r="Q322" t="n">
        <v>0</v>
      </c>
      <c r="R322" s="2" t="inlineStr"/>
    </row>
    <row r="323" ht="15" customHeight="1">
      <c r="A323" t="inlineStr">
        <is>
          <t>A 36714-2025</t>
        </is>
      </c>
      <c r="B323" s="1" t="n">
        <v>45873.46881944445</v>
      </c>
      <c r="C323" s="1" t="n">
        <v>45936</v>
      </c>
      <c r="D323" t="inlineStr">
        <is>
          <t>JÄMTLANDS LÄN</t>
        </is>
      </c>
      <c r="E323" t="inlineStr">
        <is>
          <t>BERG</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36718-2025</t>
        </is>
      </c>
      <c r="B324" s="1" t="n">
        <v>45873.47069444445</v>
      </c>
      <c r="C324" s="1" t="n">
        <v>45936</v>
      </c>
      <c r="D324" t="inlineStr">
        <is>
          <t>JÄMTLANDS LÄN</t>
        </is>
      </c>
      <c r="E324" t="inlineStr">
        <is>
          <t>BERG</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37062-2025</t>
        </is>
      </c>
      <c r="B325" s="1" t="n">
        <v>45875.38579861111</v>
      </c>
      <c r="C325" s="1" t="n">
        <v>45936</v>
      </c>
      <c r="D325" t="inlineStr">
        <is>
          <t>JÄMTLANDS LÄN</t>
        </is>
      </c>
      <c r="E325" t="inlineStr">
        <is>
          <t>BERG</t>
        </is>
      </c>
      <c r="F325" t="inlineStr">
        <is>
          <t>SCA</t>
        </is>
      </c>
      <c r="G325" t="n">
        <v>8.5</v>
      </c>
      <c r="H325" t="n">
        <v>0</v>
      </c>
      <c r="I325" t="n">
        <v>0</v>
      </c>
      <c r="J325" t="n">
        <v>0</v>
      </c>
      <c r="K325" t="n">
        <v>0</v>
      </c>
      <c r="L325" t="n">
        <v>0</v>
      </c>
      <c r="M325" t="n">
        <v>0</v>
      </c>
      <c r="N325" t="n">
        <v>0</v>
      </c>
      <c r="O325" t="n">
        <v>0</v>
      </c>
      <c r="P325" t="n">
        <v>0</v>
      </c>
      <c r="Q325" t="n">
        <v>0</v>
      </c>
      <c r="R325" s="2" t="inlineStr"/>
    </row>
    <row r="326" ht="15" customHeight="1">
      <c r="A326" t="inlineStr">
        <is>
          <t>A 36341-2025</t>
        </is>
      </c>
      <c r="B326" s="1" t="n">
        <v>45868</v>
      </c>
      <c r="C326" s="1" t="n">
        <v>45936</v>
      </c>
      <c r="D326" t="inlineStr">
        <is>
          <t>JÄMTLANDS LÄN</t>
        </is>
      </c>
      <c r="E326" t="inlineStr">
        <is>
          <t>BERG</t>
        </is>
      </c>
      <c r="G326" t="n">
        <v>3.1</v>
      </c>
      <c r="H326" t="n">
        <v>0</v>
      </c>
      <c r="I326" t="n">
        <v>0</v>
      </c>
      <c r="J326" t="n">
        <v>0</v>
      </c>
      <c r="K326" t="n">
        <v>0</v>
      </c>
      <c r="L326" t="n">
        <v>0</v>
      </c>
      <c r="M326" t="n">
        <v>0</v>
      </c>
      <c r="N326" t="n">
        <v>0</v>
      </c>
      <c r="O326" t="n">
        <v>0</v>
      </c>
      <c r="P326" t="n">
        <v>0</v>
      </c>
      <c r="Q326" t="n">
        <v>0</v>
      </c>
      <c r="R326" s="2" t="inlineStr"/>
    </row>
    <row r="327" ht="15" customHeight="1">
      <c r="A327" t="inlineStr">
        <is>
          <t>A 44302-2025</t>
        </is>
      </c>
      <c r="B327" s="1" t="n">
        <v>45915</v>
      </c>
      <c r="C327" s="1" t="n">
        <v>45936</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47099-2024</t>
        </is>
      </c>
      <c r="B328" s="1" t="n">
        <v>45586.53743055555</v>
      </c>
      <c r="C328" s="1" t="n">
        <v>45936</v>
      </c>
      <c r="D328" t="inlineStr">
        <is>
          <t>JÄMTLANDS LÄN</t>
        </is>
      </c>
      <c r="E328" t="inlineStr">
        <is>
          <t>BERG</t>
        </is>
      </c>
      <c r="G328" t="n">
        <v>5.9</v>
      </c>
      <c r="H328" t="n">
        <v>0</v>
      </c>
      <c r="I328" t="n">
        <v>0</v>
      </c>
      <c r="J328" t="n">
        <v>0</v>
      </c>
      <c r="K328" t="n">
        <v>0</v>
      </c>
      <c r="L328" t="n">
        <v>0</v>
      </c>
      <c r="M328" t="n">
        <v>0</v>
      </c>
      <c r="N328" t="n">
        <v>0</v>
      </c>
      <c r="O328" t="n">
        <v>0</v>
      </c>
      <c r="P328" t="n">
        <v>0</v>
      </c>
      <c r="Q328" t="n">
        <v>0</v>
      </c>
      <c r="R328" s="2" t="inlineStr"/>
    </row>
    <row r="329" ht="15" customHeight="1">
      <c r="A329" t="inlineStr">
        <is>
          <t>A 44811-2025</t>
        </is>
      </c>
      <c r="B329" s="1" t="n">
        <v>45918.37195601852</v>
      </c>
      <c r="C329" s="1" t="n">
        <v>45936</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37488-2025</t>
        </is>
      </c>
      <c r="B330" s="1" t="n">
        <v>45877.63582175926</v>
      </c>
      <c r="C330" s="1" t="n">
        <v>45936</v>
      </c>
      <c r="D330" t="inlineStr">
        <is>
          <t>JÄMTLANDS LÄN</t>
        </is>
      </c>
      <c r="E330" t="inlineStr">
        <is>
          <t>BERG</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45249-2025</t>
        </is>
      </c>
      <c r="B331" s="1" t="n">
        <v>45919.61225694444</v>
      </c>
      <c r="C331" s="1" t="n">
        <v>45936</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37455-2025</t>
        </is>
      </c>
      <c r="B332" s="1" t="n">
        <v>45877.56710648148</v>
      </c>
      <c r="C332" s="1" t="n">
        <v>45936</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37086-2024</t>
        </is>
      </c>
      <c r="B333" s="1" t="n">
        <v>45539.49776620371</v>
      </c>
      <c r="C333" s="1" t="n">
        <v>45936</v>
      </c>
      <c r="D333" t="inlineStr">
        <is>
          <t>JÄMTLANDS LÄN</t>
        </is>
      </c>
      <c r="E333" t="inlineStr">
        <is>
          <t>BERG</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45150-2025</t>
        </is>
      </c>
      <c r="B334" s="1" t="n">
        <v>45919.47131944444</v>
      </c>
      <c r="C334" s="1" t="n">
        <v>45936</v>
      </c>
      <c r="D334" t="inlineStr">
        <is>
          <t>JÄMTLANDS LÄN</t>
        </is>
      </c>
      <c r="E334" t="inlineStr">
        <is>
          <t>BERG</t>
        </is>
      </c>
      <c r="F334" t="inlineStr">
        <is>
          <t>Övriga Aktiebolag</t>
        </is>
      </c>
      <c r="G334" t="n">
        <v>9.6</v>
      </c>
      <c r="H334" t="n">
        <v>0</v>
      </c>
      <c r="I334" t="n">
        <v>0</v>
      </c>
      <c r="J334" t="n">
        <v>0</v>
      </c>
      <c r="K334" t="n">
        <v>0</v>
      </c>
      <c r="L334" t="n">
        <v>0</v>
      </c>
      <c r="M334" t="n">
        <v>0</v>
      </c>
      <c r="N334" t="n">
        <v>0</v>
      </c>
      <c r="O334" t="n">
        <v>0</v>
      </c>
      <c r="P334" t="n">
        <v>0</v>
      </c>
      <c r="Q334" t="n">
        <v>0</v>
      </c>
      <c r="R334" s="2" t="inlineStr"/>
    </row>
    <row r="335" ht="15" customHeight="1">
      <c r="A335" t="inlineStr">
        <is>
          <t>A 45171-2025</t>
        </is>
      </c>
      <c r="B335" s="1" t="n">
        <v>45919.50256944444</v>
      </c>
      <c r="C335" s="1" t="n">
        <v>45936</v>
      </c>
      <c r="D335" t="inlineStr">
        <is>
          <t>JÄMTLANDS LÄN</t>
        </is>
      </c>
      <c r="E335" t="inlineStr">
        <is>
          <t>BERG</t>
        </is>
      </c>
      <c r="F335" t="inlineStr">
        <is>
          <t>Övriga Aktiebolag</t>
        </is>
      </c>
      <c r="G335" t="n">
        <v>10.7</v>
      </c>
      <c r="H335" t="n">
        <v>0</v>
      </c>
      <c r="I335" t="n">
        <v>0</v>
      </c>
      <c r="J335" t="n">
        <v>0</v>
      </c>
      <c r="K335" t="n">
        <v>0</v>
      </c>
      <c r="L335" t="n">
        <v>0</v>
      </c>
      <c r="M335" t="n">
        <v>0</v>
      </c>
      <c r="N335" t="n">
        <v>0</v>
      </c>
      <c r="O335" t="n">
        <v>0</v>
      </c>
      <c r="P335" t="n">
        <v>0</v>
      </c>
      <c r="Q335" t="n">
        <v>0</v>
      </c>
      <c r="R335" s="2" t="inlineStr"/>
    </row>
    <row r="336" ht="15" customHeight="1">
      <c r="A336" t="inlineStr">
        <is>
          <t>A 45129-2025</t>
        </is>
      </c>
      <c r="B336" s="1" t="n">
        <v>45919.43584490741</v>
      </c>
      <c r="C336" s="1" t="n">
        <v>45936</v>
      </c>
      <c r="D336" t="inlineStr">
        <is>
          <t>JÄMTLANDS LÄN</t>
        </is>
      </c>
      <c r="E336" t="inlineStr">
        <is>
          <t>BERG</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37463-2025</t>
        </is>
      </c>
      <c r="B337" s="1" t="n">
        <v>45877.5738425926</v>
      </c>
      <c r="C337" s="1" t="n">
        <v>45936</v>
      </c>
      <c r="D337" t="inlineStr">
        <is>
          <t>JÄMTLANDS LÄN</t>
        </is>
      </c>
      <c r="E337" t="inlineStr">
        <is>
          <t>BERG</t>
        </is>
      </c>
      <c r="F337" t="inlineStr">
        <is>
          <t>SCA</t>
        </is>
      </c>
      <c r="G337" t="n">
        <v>13.3</v>
      </c>
      <c r="H337" t="n">
        <v>0</v>
      </c>
      <c r="I337" t="n">
        <v>0</v>
      </c>
      <c r="J337" t="n">
        <v>0</v>
      </c>
      <c r="K337" t="n">
        <v>0</v>
      </c>
      <c r="L337" t="n">
        <v>0</v>
      </c>
      <c r="M337" t="n">
        <v>0</v>
      </c>
      <c r="N337" t="n">
        <v>0</v>
      </c>
      <c r="O337" t="n">
        <v>0</v>
      </c>
      <c r="P337" t="n">
        <v>0</v>
      </c>
      <c r="Q337" t="n">
        <v>0</v>
      </c>
      <c r="R337" s="2" t="inlineStr"/>
    </row>
    <row r="338" ht="15" customHeight="1">
      <c r="A338" t="inlineStr">
        <is>
          <t>A 45109-2025</t>
        </is>
      </c>
      <c r="B338" s="1" t="n">
        <v>45919.41850694444</v>
      </c>
      <c r="C338" s="1" t="n">
        <v>45936</v>
      </c>
      <c r="D338" t="inlineStr">
        <is>
          <t>JÄMTLANDS LÄN</t>
        </is>
      </c>
      <c r="E338" t="inlineStr">
        <is>
          <t>BERG</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45936</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29087-2024</t>
        </is>
      </c>
      <c r="B340" s="1" t="n">
        <v>45481.92946759259</v>
      </c>
      <c r="C340" s="1" t="n">
        <v>45936</v>
      </c>
      <c r="D340" t="inlineStr">
        <is>
          <t>JÄMTLANDS LÄN</t>
        </is>
      </c>
      <c r="E340" t="inlineStr">
        <is>
          <t>BERG</t>
        </is>
      </c>
      <c r="G340" t="n">
        <v>10.7</v>
      </c>
      <c r="H340" t="n">
        <v>0</v>
      </c>
      <c r="I340" t="n">
        <v>0</v>
      </c>
      <c r="J340" t="n">
        <v>0</v>
      </c>
      <c r="K340" t="n">
        <v>0</v>
      </c>
      <c r="L340" t="n">
        <v>0</v>
      </c>
      <c r="M340" t="n">
        <v>0</v>
      </c>
      <c r="N340" t="n">
        <v>0</v>
      </c>
      <c r="O340" t="n">
        <v>0</v>
      </c>
      <c r="P340" t="n">
        <v>0</v>
      </c>
      <c r="Q340" t="n">
        <v>0</v>
      </c>
      <c r="R340" s="2" t="inlineStr"/>
    </row>
    <row r="341" ht="15" customHeight="1">
      <c r="A341" t="inlineStr">
        <is>
          <t>A 37431-2025</t>
        </is>
      </c>
      <c r="B341" s="1" t="n">
        <v>45877.51092592593</v>
      </c>
      <c r="C341" s="1" t="n">
        <v>45936</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22275-2022</t>
        </is>
      </c>
      <c r="B342" s="1" t="n">
        <v>44712</v>
      </c>
      <c r="C342" s="1" t="n">
        <v>45936</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3419-2025</t>
        </is>
      </c>
      <c r="B343" s="1" t="n">
        <v>45680.4165625</v>
      </c>
      <c r="C343" s="1" t="n">
        <v>45936</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45254-2025</t>
        </is>
      </c>
      <c r="B344" s="1" t="n">
        <v>45919.61523148148</v>
      </c>
      <c r="C344" s="1" t="n">
        <v>45936</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1495-2025</t>
        </is>
      </c>
      <c r="B345" s="1" t="n">
        <v>45670.40652777778</v>
      </c>
      <c r="C345" s="1" t="n">
        <v>45936</v>
      </c>
      <c r="D345" t="inlineStr">
        <is>
          <t>JÄMTLANDS LÄN</t>
        </is>
      </c>
      <c r="E345" t="inlineStr">
        <is>
          <t>BERG</t>
        </is>
      </c>
      <c r="G345" t="n">
        <v>0.3</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45936</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54799-2021</t>
        </is>
      </c>
      <c r="B347" s="1" t="n">
        <v>44473</v>
      </c>
      <c r="C347" s="1" t="n">
        <v>45936</v>
      </c>
      <c r="D347" t="inlineStr">
        <is>
          <t>JÄMTLANDS LÄN</t>
        </is>
      </c>
      <c r="E347" t="inlineStr">
        <is>
          <t>BERG</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34367-2024</t>
        </is>
      </c>
      <c r="B348" s="1" t="n">
        <v>45525.38040509259</v>
      </c>
      <c r="C348" s="1" t="n">
        <v>45936</v>
      </c>
      <c r="D348" t="inlineStr">
        <is>
          <t>JÄMTLANDS LÄN</t>
        </is>
      </c>
      <c r="E348" t="inlineStr">
        <is>
          <t>BERG</t>
        </is>
      </c>
      <c r="G348" t="n">
        <v>0.4</v>
      </c>
      <c r="H348" t="n">
        <v>0</v>
      </c>
      <c r="I348" t="n">
        <v>0</v>
      </c>
      <c r="J348" t="n">
        <v>0</v>
      </c>
      <c r="K348" t="n">
        <v>0</v>
      </c>
      <c r="L348" t="n">
        <v>0</v>
      </c>
      <c r="M348" t="n">
        <v>0</v>
      </c>
      <c r="N348" t="n">
        <v>0</v>
      </c>
      <c r="O348" t="n">
        <v>0</v>
      </c>
      <c r="P348" t="n">
        <v>0</v>
      </c>
      <c r="Q348" t="n">
        <v>0</v>
      </c>
      <c r="R348" s="2" t="inlineStr"/>
    </row>
    <row r="349" ht="15" customHeight="1">
      <c r="A349" t="inlineStr">
        <is>
          <t>A 34369-2024</t>
        </is>
      </c>
      <c r="B349" s="1" t="n">
        <v>45525.38228009259</v>
      </c>
      <c r="C349" s="1" t="n">
        <v>45936</v>
      </c>
      <c r="D349" t="inlineStr">
        <is>
          <t>JÄMTLANDS LÄN</t>
        </is>
      </c>
      <c r="E349" t="inlineStr">
        <is>
          <t>BERG</t>
        </is>
      </c>
      <c r="G349" t="n">
        <v>0.6</v>
      </c>
      <c r="H349" t="n">
        <v>0</v>
      </c>
      <c r="I349" t="n">
        <v>0</v>
      </c>
      <c r="J349" t="n">
        <v>0</v>
      </c>
      <c r="K349" t="n">
        <v>0</v>
      </c>
      <c r="L349" t="n">
        <v>0</v>
      </c>
      <c r="M349" t="n">
        <v>0</v>
      </c>
      <c r="N349" t="n">
        <v>0</v>
      </c>
      <c r="O349" t="n">
        <v>0</v>
      </c>
      <c r="P349" t="n">
        <v>0</v>
      </c>
      <c r="Q349" t="n">
        <v>0</v>
      </c>
      <c r="R349" s="2" t="inlineStr"/>
    </row>
    <row r="350" ht="15" customHeight="1">
      <c r="A350" t="inlineStr">
        <is>
          <t>A 45390-2025</t>
        </is>
      </c>
      <c r="B350" s="1" t="n">
        <v>45922.40762731482</v>
      </c>
      <c r="C350" s="1" t="n">
        <v>45936</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45568-2025</t>
        </is>
      </c>
      <c r="B351" s="1" t="n">
        <v>45922.65672453704</v>
      </c>
      <c r="C351" s="1" t="n">
        <v>45936</v>
      </c>
      <c r="D351" t="inlineStr">
        <is>
          <t>JÄMTLANDS LÄN</t>
        </is>
      </c>
      <c r="E351" t="inlineStr">
        <is>
          <t>BERG</t>
        </is>
      </c>
      <c r="F351" t="inlineStr">
        <is>
          <t>SCA</t>
        </is>
      </c>
      <c r="G351" t="n">
        <v>7.8</v>
      </c>
      <c r="H351" t="n">
        <v>0</v>
      </c>
      <c r="I351" t="n">
        <v>0</v>
      </c>
      <c r="J351" t="n">
        <v>0</v>
      </c>
      <c r="K351" t="n">
        <v>0</v>
      </c>
      <c r="L351" t="n">
        <v>0</v>
      </c>
      <c r="M351" t="n">
        <v>0</v>
      </c>
      <c r="N351" t="n">
        <v>0</v>
      </c>
      <c r="O351" t="n">
        <v>0</v>
      </c>
      <c r="P351" t="n">
        <v>0</v>
      </c>
      <c r="Q351" t="n">
        <v>0</v>
      </c>
      <c r="R351" s="2" t="inlineStr"/>
    </row>
    <row r="352" ht="15" customHeight="1">
      <c r="A352" t="inlineStr">
        <is>
          <t>A 4561-2024</t>
        </is>
      </c>
      <c r="B352" s="1" t="n">
        <v>45327</v>
      </c>
      <c r="C352" s="1" t="n">
        <v>45936</v>
      </c>
      <c r="D352" t="inlineStr">
        <is>
          <t>JÄMTLANDS LÄN</t>
        </is>
      </c>
      <c r="E352" t="inlineStr">
        <is>
          <t>BERG</t>
        </is>
      </c>
      <c r="G352" t="n">
        <v>7.4</v>
      </c>
      <c r="H352" t="n">
        <v>0</v>
      </c>
      <c r="I352" t="n">
        <v>0</v>
      </c>
      <c r="J352" t="n">
        <v>0</v>
      </c>
      <c r="K352" t="n">
        <v>0</v>
      </c>
      <c r="L352" t="n">
        <v>0</v>
      </c>
      <c r="M352" t="n">
        <v>0</v>
      </c>
      <c r="N352" t="n">
        <v>0</v>
      </c>
      <c r="O352" t="n">
        <v>0</v>
      </c>
      <c r="P352" t="n">
        <v>0</v>
      </c>
      <c r="Q352" t="n">
        <v>0</v>
      </c>
      <c r="R352" s="2" t="inlineStr"/>
    </row>
    <row r="353" ht="15" customHeight="1">
      <c r="A353" t="inlineStr">
        <is>
          <t>A 14190-2023</t>
        </is>
      </c>
      <c r="B353" s="1" t="n">
        <v>45009.56106481481</v>
      </c>
      <c r="C353" s="1" t="n">
        <v>45936</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166-2024</t>
        </is>
      </c>
      <c r="B354" s="1" t="n">
        <v>45294</v>
      </c>
      <c r="C354" s="1" t="n">
        <v>45936</v>
      </c>
      <c r="D354" t="inlineStr">
        <is>
          <t>JÄMTLANDS LÄN</t>
        </is>
      </c>
      <c r="E354" t="inlineStr">
        <is>
          <t>BERG</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31079-2024</t>
        </is>
      </c>
      <c r="B355" s="1" t="n">
        <v>45502.46423611111</v>
      </c>
      <c r="C355" s="1" t="n">
        <v>45936</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5014-2024</t>
        </is>
      </c>
      <c r="B356" s="1" t="n">
        <v>45329</v>
      </c>
      <c r="C356" s="1" t="n">
        <v>45936</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3964-2025</t>
        </is>
      </c>
      <c r="B357" s="1" t="n">
        <v>45684.50761574074</v>
      </c>
      <c r="C357" s="1" t="n">
        <v>45936</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47982-2022</t>
        </is>
      </c>
      <c r="B358" s="1" t="n">
        <v>44853</v>
      </c>
      <c r="C358" s="1" t="n">
        <v>45936</v>
      </c>
      <c r="D358" t="inlineStr">
        <is>
          <t>JÄMTLANDS LÄN</t>
        </is>
      </c>
      <c r="E358" t="inlineStr">
        <is>
          <t>BERG</t>
        </is>
      </c>
      <c r="G358" t="n">
        <v>5.1</v>
      </c>
      <c r="H358" t="n">
        <v>0</v>
      </c>
      <c r="I358" t="n">
        <v>0</v>
      </c>
      <c r="J358" t="n">
        <v>0</v>
      </c>
      <c r="K358" t="n">
        <v>0</v>
      </c>
      <c r="L358" t="n">
        <v>0</v>
      </c>
      <c r="M358" t="n">
        <v>0</v>
      </c>
      <c r="N358" t="n">
        <v>0</v>
      </c>
      <c r="O358" t="n">
        <v>0</v>
      </c>
      <c r="P358" t="n">
        <v>0</v>
      </c>
      <c r="Q358" t="n">
        <v>0</v>
      </c>
      <c r="R358" s="2" t="inlineStr"/>
    </row>
    <row r="359" ht="15" customHeight="1">
      <c r="A359" t="inlineStr">
        <is>
          <t>A 61239-2022</t>
        </is>
      </c>
      <c r="B359" s="1" t="n">
        <v>44909</v>
      </c>
      <c r="C359" s="1" t="n">
        <v>45936</v>
      </c>
      <c r="D359" t="inlineStr">
        <is>
          <t>JÄMTLANDS LÄN</t>
        </is>
      </c>
      <c r="E359" t="inlineStr">
        <is>
          <t>BERG</t>
        </is>
      </c>
      <c r="G359" t="n">
        <v>13.5</v>
      </c>
      <c r="H359" t="n">
        <v>0</v>
      </c>
      <c r="I359" t="n">
        <v>0</v>
      </c>
      <c r="J359" t="n">
        <v>0</v>
      </c>
      <c r="K359" t="n">
        <v>0</v>
      </c>
      <c r="L359" t="n">
        <v>0</v>
      </c>
      <c r="M359" t="n">
        <v>0</v>
      </c>
      <c r="N359" t="n">
        <v>0</v>
      </c>
      <c r="O359" t="n">
        <v>0</v>
      </c>
      <c r="P359" t="n">
        <v>0</v>
      </c>
      <c r="Q359" t="n">
        <v>0</v>
      </c>
      <c r="R359" s="2" t="inlineStr"/>
    </row>
    <row r="360" ht="15" customHeight="1">
      <c r="A360" t="inlineStr">
        <is>
          <t>A 7021-2025</t>
        </is>
      </c>
      <c r="B360" s="1" t="n">
        <v>45701.61520833334</v>
      </c>
      <c r="C360" s="1" t="n">
        <v>45936</v>
      </c>
      <c r="D360" t="inlineStr">
        <is>
          <t>JÄMTLANDS LÄN</t>
        </is>
      </c>
      <c r="E360" t="inlineStr">
        <is>
          <t>BERG</t>
        </is>
      </c>
      <c r="G360" t="n">
        <v>4.2</v>
      </c>
      <c r="H360" t="n">
        <v>0</v>
      </c>
      <c r="I360" t="n">
        <v>0</v>
      </c>
      <c r="J360" t="n">
        <v>0</v>
      </c>
      <c r="K360" t="n">
        <v>0</v>
      </c>
      <c r="L360" t="n">
        <v>0</v>
      </c>
      <c r="M360" t="n">
        <v>0</v>
      </c>
      <c r="N360" t="n">
        <v>0</v>
      </c>
      <c r="O360" t="n">
        <v>0</v>
      </c>
      <c r="P360" t="n">
        <v>0</v>
      </c>
      <c r="Q360" t="n">
        <v>0</v>
      </c>
      <c r="R360" s="2" t="inlineStr"/>
    </row>
    <row r="361" ht="15" customHeight="1">
      <c r="A361" t="inlineStr">
        <is>
          <t>A 64487-2023</t>
        </is>
      </c>
      <c r="B361" s="1" t="n">
        <v>45280.92613425926</v>
      </c>
      <c r="C361" s="1" t="n">
        <v>45936</v>
      </c>
      <c r="D361" t="inlineStr">
        <is>
          <t>JÄMTLANDS LÄN</t>
        </is>
      </c>
      <c r="E361" t="inlineStr">
        <is>
          <t>BERG</t>
        </is>
      </c>
      <c r="F361" t="inlineStr">
        <is>
          <t>Övriga Aktiebolag</t>
        </is>
      </c>
      <c r="G361" t="n">
        <v>7.6</v>
      </c>
      <c r="H361" t="n">
        <v>0</v>
      </c>
      <c r="I361" t="n">
        <v>0</v>
      </c>
      <c r="J361" t="n">
        <v>0</v>
      </c>
      <c r="K361" t="n">
        <v>0</v>
      </c>
      <c r="L361" t="n">
        <v>0</v>
      </c>
      <c r="M361" t="n">
        <v>0</v>
      </c>
      <c r="N361" t="n">
        <v>0</v>
      </c>
      <c r="O361" t="n">
        <v>0</v>
      </c>
      <c r="P361" t="n">
        <v>0</v>
      </c>
      <c r="Q361" t="n">
        <v>0</v>
      </c>
      <c r="R361" s="2" t="inlineStr"/>
    </row>
    <row r="362" ht="15" customHeight="1">
      <c r="A362" t="inlineStr">
        <is>
          <t>A 64489-2023</t>
        </is>
      </c>
      <c r="B362" s="1" t="n">
        <v>45280</v>
      </c>
      <c r="C362" s="1" t="n">
        <v>45936</v>
      </c>
      <c r="D362" t="inlineStr">
        <is>
          <t>JÄMTLANDS LÄN</t>
        </is>
      </c>
      <c r="E362" t="inlineStr">
        <is>
          <t>BERG</t>
        </is>
      </c>
      <c r="F362" t="inlineStr">
        <is>
          <t>Övriga Aktiebolag</t>
        </is>
      </c>
      <c r="G362" t="n">
        <v>14.1</v>
      </c>
      <c r="H362" t="n">
        <v>0</v>
      </c>
      <c r="I362" t="n">
        <v>0</v>
      </c>
      <c r="J362" t="n">
        <v>0</v>
      </c>
      <c r="K362" t="n">
        <v>0</v>
      </c>
      <c r="L362" t="n">
        <v>0</v>
      </c>
      <c r="M362" t="n">
        <v>0</v>
      </c>
      <c r="N362" t="n">
        <v>0</v>
      </c>
      <c r="O362" t="n">
        <v>0</v>
      </c>
      <c r="P362" t="n">
        <v>0</v>
      </c>
      <c r="Q362" t="n">
        <v>0</v>
      </c>
      <c r="R362" s="2" t="inlineStr"/>
    </row>
    <row r="363" ht="15" customHeight="1">
      <c r="A363" t="inlineStr">
        <is>
          <t>A 39510-2023</t>
        </is>
      </c>
      <c r="B363" s="1" t="n">
        <v>45166</v>
      </c>
      <c r="C363" s="1" t="n">
        <v>45936</v>
      </c>
      <c r="D363" t="inlineStr">
        <is>
          <t>JÄMTLANDS LÄN</t>
        </is>
      </c>
      <c r="E363" t="inlineStr">
        <is>
          <t>BERG</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45459-2025</t>
        </is>
      </c>
      <c r="B364" s="1" t="n">
        <v>45922.49230324074</v>
      </c>
      <c r="C364" s="1" t="n">
        <v>45936</v>
      </c>
      <c r="D364" t="inlineStr">
        <is>
          <t>JÄMTLANDS LÄN</t>
        </is>
      </c>
      <c r="E364" t="inlineStr">
        <is>
          <t>BERG</t>
        </is>
      </c>
      <c r="F364" t="inlineStr">
        <is>
          <t>Kyrkan</t>
        </is>
      </c>
      <c r="G364" t="n">
        <v>8</v>
      </c>
      <c r="H364" t="n">
        <v>0</v>
      </c>
      <c r="I364" t="n">
        <v>0</v>
      </c>
      <c r="J364" t="n">
        <v>0</v>
      </c>
      <c r="K364" t="n">
        <v>0</v>
      </c>
      <c r="L364" t="n">
        <v>0</v>
      </c>
      <c r="M364" t="n">
        <v>0</v>
      </c>
      <c r="N364" t="n">
        <v>0</v>
      </c>
      <c r="O364" t="n">
        <v>0</v>
      </c>
      <c r="P364" t="n">
        <v>0</v>
      </c>
      <c r="Q364" t="n">
        <v>0</v>
      </c>
      <c r="R364" s="2" t="inlineStr"/>
    </row>
    <row r="365" ht="15" customHeight="1">
      <c r="A365" t="inlineStr">
        <is>
          <t>A 19429-2025</t>
        </is>
      </c>
      <c r="B365" s="1" t="n">
        <v>45769.8025462963</v>
      </c>
      <c r="C365" s="1" t="n">
        <v>45936</v>
      </c>
      <c r="D365" t="inlineStr">
        <is>
          <t>JÄMTLANDS LÄN</t>
        </is>
      </c>
      <c r="E365" t="inlineStr">
        <is>
          <t>BERG</t>
        </is>
      </c>
      <c r="G365" t="n">
        <v>2</v>
      </c>
      <c r="H365" t="n">
        <v>0</v>
      </c>
      <c r="I365" t="n">
        <v>0</v>
      </c>
      <c r="J365" t="n">
        <v>0</v>
      </c>
      <c r="K365" t="n">
        <v>0</v>
      </c>
      <c r="L365" t="n">
        <v>0</v>
      </c>
      <c r="M365" t="n">
        <v>0</v>
      </c>
      <c r="N365" t="n">
        <v>0</v>
      </c>
      <c r="O365" t="n">
        <v>0</v>
      </c>
      <c r="P365" t="n">
        <v>0</v>
      </c>
      <c r="Q365" t="n">
        <v>0</v>
      </c>
      <c r="R365" s="2" t="inlineStr"/>
    </row>
    <row r="366" ht="15" customHeight="1">
      <c r="A366" t="inlineStr">
        <is>
          <t>A 41636-2024</t>
        </is>
      </c>
      <c r="B366" s="1" t="n">
        <v>45560.61606481481</v>
      </c>
      <c r="C366" s="1" t="n">
        <v>45936</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47176-2023</t>
        </is>
      </c>
      <c r="B367" s="1" t="n">
        <v>45201.94844907407</v>
      </c>
      <c r="C367" s="1" t="n">
        <v>45936</v>
      </c>
      <c r="D367" t="inlineStr">
        <is>
          <t>JÄMTLANDS LÄN</t>
        </is>
      </c>
      <c r="E367" t="inlineStr">
        <is>
          <t>BERG</t>
        </is>
      </c>
      <c r="F367" t="inlineStr">
        <is>
          <t>SCA</t>
        </is>
      </c>
      <c r="G367" t="n">
        <v>32.3</v>
      </c>
      <c r="H367" t="n">
        <v>0</v>
      </c>
      <c r="I367" t="n">
        <v>0</v>
      </c>
      <c r="J367" t="n">
        <v>0</v>
      </c>
      <c r="K367" t="n">
        <v>0</v>
      </c>
      <c r="L367" t="n">
        <v>0</v>
      </c>
      <c r="M367" t="n">
        <v>0</v>
      </c>
      <c r="N367" t="n">
        <v>0</v>
      </c>
      <c r="O367" t="n">
        <v>0</v>
      </c>
      <c r="P367" t="n">
        <v>0</v>
      </c>
      <c r="Q367" t="n">
        <v>0</v>
      </c>
      <c r="R367" s="2" t="inlineStr"/>
    </row>
    <row r="368" ht="15" customHeight="1">
      <c r="A368" t="inlineStr">
        <is>
          <t>A 13672-2024</t>
        </is>
      </c>
      <c r="B368" s="1" t="n">
        <v>45390</v>
      </c>
      <c r="C368" s="1" t="n">
        <v>45936</v>
      </c>
      <c r="D368" t="inlineStr">
        <is>
          <t>JÄMTLANDS LÄN</t>
        </is>
      </c>
      <c r="E368" t="inlineStr">
        <is>
          <t>BERG</t>
        </is>
      </c>
      <c r="G368" t="n">
        <v>0.3</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45936</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61085-2024</t>
        </is>
      </c>
      <c r="B370" s="1" t="n">
        <v>45645.53202546296</v>
      </c>
      <c r="C370" s="1" t="n">
        <v>45936</v>
      </c>
      <c r="D370" t="inlineStr">
        <is>
          <t>JÄMTLANDS LÄN</t>
        </is>
      </c>
      <c r="E370" t="inlineStr">
        <is>
          <t>BERG</t>
        </is>
      </c>
      <c r="F370" t="inlineStr">
        <is>
          <t>SCA</t>
        </is>
      </c>
      <c r="G370" t="n">
        <v>12.2</v>
      </c>
      <c r="H370" t="n">
        <v>0</v>
      </c>
      <c r="I370" t="n">
        <v>0</v>
      </c>
      <c r="J370" t="n">
        <v>0</v>
      </c>
      <c r="K370" t="n">
        <v>0</v>
      </c>
      <c r="L370" t="n">
        <v>0</v>
      </c>
      <c r="M370" t="n">
        <v>0</v>
      </c>
      <c r="N370" t="n">
        <v>0</v>
      </c>
      <c r="O370" t="n">
        <v>0</v>
      </c>
      <c r="P370" t="n">
        <v>0</v>
      </c>
      <c r="Q370" t="n">
        <v>0</v>
      </c>
      <c r="R370" s="2" t="inlineStr"/>
    </row>
    <row r="371" ht="15" customHeight="1">
      <c r="A371" t="inlineStr">
        <is>
          <t>A 41927-2023</t>
        </is>
      </c>
      <c r="B371" s="1" t="n">
        <v>45176</v>
      </c>
      <c r="C371" s="1" t="n">
        <v>45936</v>
      </c>
      <c r="D371" t="inlineStr">
        <is>
          <t>JÄMTLANDS LÄN</t>
        </is>
      </c>
      <c r="E371" t="inlineStr">
        <is>
          <t>BERG</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50612-2023</t>
        </is>
      </c>
      <c r="B372" s="1" t="n">
        <v>45217.444375</v>
      </c>
      <c r="C372" s="1" t="n">
        <v>45936</v>
      </c>
      <c r="D372" t="inlineStr">
        <is>
          <t>JÄMTLANDS LÄN</t>
        </is>
      </c>
      <c r="E372" t="inlineStr">
        <is>
          <t>BERG</t>
        </is>
      </c>
      <c r="G372" t="n">
        <v>1.4</v>
      </c>
      <c r="H372" t="n">
        <v>0</v>
      </c>
      <c r="I372" t="n">
        <v>0</v>
      </c>
      <c r="J372" t="n">
        <v>0</v>
      </c>
      <c r="K372" t="n">
        <v>0</v>
      </c>
      <c r="L372" t="n">
        <v>0</v>
      </c>
      <c r="M372" t="n">
        <v>0</v>
      </c>
      <c r="N372" t="n">
        <v>0</v>
      </c>
      <c r="O372" t="n">
        <v>0</v>
      </c>
      <c r="P372" t="n">
        <v>0</v>
      </c>
      <c r="Q372" t="n">
        <v>0</v>
      </c>
      <c r="R372" s="2" t="inlineStr"/>
    </row>
    <row r="373" ht="15" customHeight="1">
      <c r="A373" t="inlineStr">
        <is>
          <t>A 5187-2025</t>
        </is>
      </c>
      <c r="B373" s="1" t="n">
        <v>45691.64266203704</v>
      </c>
      <c r="C373" s="1" t="n">
        <v>45936</v>
      </c>
      <c r="D373" t="inlineStr">
        <is>
          <t>JÄMTLANDS LÄN</t>
        </is>
      </c>
      <c r="E373" t="inlineStr">
        <is>
          <t>BERG</t>
        </is>
      </c>
      <c r="G373" t="n">
        <v>2.5</v>
      </c>
      <c r="H373" t="n">
        <v>0</v>
      </c>
      <c r="I373" t="n">
        <v>0</v>
      </c>
      <c r="J373" t="n">
        <v>0</v>
      </c>
      <c r="K373" t="n">
        <v>0</v>
      </c>
      <c r="L373" t="n">
        <v>0</v>
      </c>
      <c r="M373" t="n">
        <v>0</v>
      </c>
      <c r="N373" t="n">
        <v>0</v>
      </c>
      <c r="O373" t="n">
        <v>0</v>
      </c>
      <c r="P373" t="n">
        <v>0</v>
      </c>
      <c r="Q373" t="n">
        <v>0</v>
      </c>
      <c r="R373" s="2" t="inlineStr"/>
    </row>
    <row r="374" ht="15" customHeight="1">
      <c r="A374" t="inlineStr">
        <is>
          <t>A 14930-2025</t>
        </is>
      </c>
      <c r="B374" s="1" t="n">
        <v>45743</v>
      </c>
      <c r="C374" s="1" t="n">
        <v>45936</v>
      </c>
      <c r="D374" t="inlineStr">
        <is>
          <t>JÄMTLANDS LÄN</t>
        </is>
      </c>
      <c r="E374" t="inlineStr">
        <is>
          <t>BERG</t>
        </is>
      </c>
      <c r="F374" t="inlineStr">
        <is>
          <t>SCA</t>
        </is>
      </c>
      <c r="G374" t="n">
        <v>27.8</v>
      </c>
      <c r="H374" t="n">
        <v>0</v>
      </c>
      <c r="I374" t="n">
        <v>0</v>
      </c>
      <c r="J374" t="n">
        <v>0</v>
      </c>
      <c r="K374" t="n">
        <v>0</v>
      </c>
      <c r="L374" t="n">
        <v>0</v>
      </c>
      <c r="M374" t="n">
        <v>0</v>
      </c>
      <c r="N374" t="n">
        <v>0</v>
      </c>
      <c r="O374" t="n">
        <v>0</v>
      </c>
      <c r="P374" t="n">
        <v>0</v>
      </c>
      <c r="Q374" t="n">
        <v>0</v>
      </c>
      <c r="R374" s="2" t="inlineStr"/>
    </row>
    <row r="375" ht="15" customHeight="1">
      <c r="A375" t="inlineStr">
        <is>
          <t>A 162-2024</t>
        </is>
      </c>
      <c r="B375" s="1" t="n">
        <v>45294</v>
      </c>
      <c r="C375" s="1" t="n">
        <v>45936</v>
      </c>
      <c r="D375" t="inlineStr">
        <is>
          <t>JÄMTLANDS LÄN</t>
        </is>
      </c>
      <c r="E375" t="inlineStr">
        <is>
          <t>BERG</t>
        </is>
      </c>
      <c r="F375" t="inlineStr">
        <is>
          <t>Kyrkan</t>
        </is>
      </c>
      <c r="G375" t="n">
        <v>2.2</v>
      </c>
      <c r="H375" t="n">
        <v>0</v>
      </c>
      <c r="I375" t="n">
        <v>0</v>
      </c>
      <c r="J375" t="n">
        <v>0</v>
      </c>
      <c r="K375" t="n">
        <v>0</v>
      </c>
      <c r="L375" t="n">
        <v>0</v>
      </c>
      <c r="M375" t="n">
        <v>0</v>
      </c>
      <c r="N375" t="n">
        <v>0</v>
      </c>
      <c r="O375" t="n">
        <v>0</v>
      </c>
      <c r="P375" t="n">
        <v>0</v>
      </c>
      <c r="Q375" t="n">
        <v>0</v>
      </c>
      <c r="R375" s="2" t="inlineStr"/>
    </row>
    <row r="376" ht="15" customHeight="1">
      <c r="A376" t="inlineStr">
        <is>
          <t>A 41634-2024</t>
        </is>
      </c>
      <c r="B376" s="1" t="n">
        <v>45560.61496527777</v>
      </c>
      <c r="C376" s="1" t="n">
        <v>45936</v>
      </c>
      <c r="D376" t="inlineStr">
        <is>
          <t>JÄMTLANDS LÄN</t>
        </is>
      </c>
      <c r="E376" t="inlineStr">
        <is>
          <t>BERG</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46298-2024</t>
        </is>
      </c>
      <c r="B377" s="1" t="n">
        <v>45581.67739583334</v>
      </c>
      <c r="C377" s="1" t="n">
        <v>45936</v>
      </c>
      <c r="D377" t="inlineStr">
        <is>
          <t>JÄMTLANDS LÄN</t>
        </is>
      </c>
      <c r="E377" t="inlineStr">
        <is>
          <t>BERG</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36-2024</t>
        </is>
      </c>
      <c r="B378" s="1" t="n">
        <v>45293</v>
      </c>
      <c r="C378" s="1" t="n">
        <v>45936</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27395-2021</t>
        </is>
      </c>
      <c r="B379" s="1" t="n">
        <v>44350</v>
      </c>
      <c r="C379" s="1" t="n">
        <v>45936</v>
      </c>
      <c r="D379" t="inlineStr">
        <is>
          <t>JÄMTLANDS LÄN</t>
        </is>
      </c>
      <c r="E379" t="inlineStr">
        <is>
          <t>BERG</t>
        </is>
      </c>
      <c r="G379" t="n">
        <v>4.4</v>
      </c>
      <c r="H379" t="n">
        <v>0</v>
      </c>
      <c r="I379" t="n">
        <v>0</v>
      </c>
      <c r="J379" t="n">
        <v>0</v>
      </c>
      <c r="K379" t="n">
        <v>0</v>
      </c>
      <c r="L379" t="n">
        <v>0</v>
      </c>
      <c r="M379" t="n">
        <v>0</v>
      </c>
      <c r="N379" t="n">
        <v>0</v>
      </c>
      <c r="O379" t="n">
        <v>0</v>
      </c>
      <c r="P379" t="n">
        <v>0</v>
      </c>
      <c r="Q379" t="n">
        <v>0</v>
      </c>
      <c r="R379" s="2" t="inlineStr"/>
    </row>
    <row r="380" ht="15" customHeight="1">
      <c r="A380" t="inlineStr">
        <is>
          <t>A 18007-2024</t>
        </is>
      </c>
      <c r="B380" s="1" t="n">
        <v>45419.94912037037</v>
      </c>
      <c r="C380" s="1" t="n">
        <v>45936</v>
      </c>
      <c r="D380" t="inlineStr">
        <is>
          <t>JÄMTLANDS LÄN</t>
        </is>
      </c>
      <c r="E380" t="inlineStr">
        <is>
          <t>BERG</t>
        </is>
      </c>
      <c r="G380" t="n">
        <v>0.7</v>
      </c>
      <c r="H380" t="n">
        <v>0</v>
      </c>
      <c r="I380" t="n">
        <v>0</v>
      </c>
      <c r="J380" t="n">
        <v>0</v>
      </c>
      <c r="K380" t="n">
        <v>0</v>
      </c>
      <c r="L380" t="n">
        <v>0</v>
      </c>
      <c r="M380" t="n">
        <v>0</v>
      </c>
      <c r="N380" t="n">
        <v>0</v>
      </c>
      <c r="O380" t="n">
        <v>0</v>
      </c>
      <c r="P380" t="n">
        <v>0</v>
      </c>
      <c r="Q380" t="n">
        <v>0</v>
      </c>
      <c r="R380" s="2" t="inlineStr"/>
    </row>
    <row r="381" ht="15" customHeight="1">
      <c r="A381" t="inlineStr">
        <is>
          <t>A 45206-2024</t>
        </is>
      </c>
      <c r="B381" s="1" t="n">
        <v>45575.69966435185</v>
      </c>
      <c r="C381" s="1" t="n">
        <v>45936</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45570-2025</t>
        </is>
      </c>
      <c r="B382" s="1" t="n">
        <v>45922.65715277778</v>
      </c>
      <c r="C382" s="1" t="n">
        <v>45936</v>
      </c>
      <c r="D382" t="inlineStr">
        <is>
          <t>JÄMTLANDS LÄN</t>
        </is>
      </c>
      <c r="E382" t="inlineStr">
        <is>
          <t>BERG</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45640-2025</t>
        </is>
      </c>
      <c r="B383" s="1" t="n">
        <v>45922.961875</v>
      </c>
      <c r="C383" s="1" t="n">
        <v>45936</v>
      </c>
      <c r="D383" t="inlineStr">
        <is>
          <t>JÄMTLANDS LÄN</t>
        </is>
      </c>
      <c r="E383" t="inlineStr">
        <is>
          <t>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45657-2025</t>
        </is>
      </c>
      <c r="B384" s="1" t="n">
        <v>45923.34453703704</v>
      </c>
      <c r="C384" s="1" t="n">
        <v>45936</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44572-2025</t>
        </is>
      </c>
      <c r="B385" s="1" t="n">
        <v>45917</v>
      </c>
      <c r="C385" s="1" t="n">
        <v>45936</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23877-2024</t>
        </is>
      </c>
      <c r="B386" s="1" t="n">
        <v>45455.63024305556</v>
      </c>
      <c r="C386" s="1" t="n">
        <v>45936</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23880-2024</t>
        </is>
      </c>
      <c r="B387" s="1" t="n">
        <v>45455.63731481481</v>
      </c>
      <c r="C387" s="1" t="n">
        <v>45936</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62299-2023</t>
        </is>
      </c>
      <c r="B388" s="1" t="n">
        <v>45266</v>
      </c>
      <c r="C388" s="1" t="n">
        <v>45936</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38082-2025</t>
        </is>
      </c>
      <c r="B389" s="1" t="n">
        <v>45882</v>
      </c>
      <c r="C389" s="1" t="n">
        <v>45936</v>
      </c>
      <c r="D389" t="inlineStr">
        <is>
          <t>JÄMTLANDS LÄN</t>
        </is>
      </c>
      <c r="E389" t="inlineStr">
        <is>
          <t>BERG</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3842-2023</t>
        </is>
      </c>
      <c r="B390" s="1" t="n">
        <v>44951</v>
      </c>
      <c r="C390" s="1" t="n">
        <v>45936</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38408-2025</t>
        </is>
      </c>
      <c r="B391" s="1" t="n">
        <v>45883.59412037037</v>
      </c>
      <c r="C391" s="1" t="n">
        <v>45936</v>
      </c>
      <c r="D391" t="inlineStr">
        <is>
          <t>JÄMTLANDS LÄN</t>
        </is>
      </c>
      <c r="E391" t="inlineStr">
        <is>
          <t>BERG</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5219-2022</t>
        </is>
      </c>
      <c r="B392" s="1" t="n">
        <v>44594.48569444445</v>
      </c>
      <c r="C392" s="1" t="n">
        <v>45936</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14672-2025</t>
        </is>
      </c>
      <c r="B393" s="1" t="n">
        <v>45742.55269675926</v>
      </c>
      <c r="C393" s="1" t="n">
        <v>45936</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38388-2025</t>
        </is>
      </c>
      <c r="B394" s="1" t="n">
        <v>45883.57467592593</v>
      </c>
      <c r="C394" s="1" t="n">
        <v>45936</v>
      </c>
      <c r="D394" t="inlineStr">
        <is>
          <t>JÄMTLANDS LÄN</t>
        </is>
      </c>
      <c r="E394" t="inlineStr">
        <is>
          <t>BERG</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38428-2025</t>
        </is>
      </c>
      <c r="B395" s="1" t="n">
        <v>45883.63628472222</v>
      </c>
      <c r="C395" s="1" t="n">
        <v>45936</v>
      </c>
      <c r="D395" t="inlineStr">
        <is>
          <t>JÄMTLANDS LÄN</t>
        </is>
      </c>
      <c r="E395" t="inlineStr">
        <is>
          <t>BERG</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38080-2025</t>
        </is>
      </c>
      <c r="B396" s="1" t="n">
        <v>45882</v>
      </c>
      <c r="C396" s="1" t="n">
        <v>45936</v>
      </c>
      <c r="D396" t="inlineStr">
        <is>
          <t>JÄMTLANDS LÄN</t>
        </is>
      </c>
      <c r="E396" t="inlineStr">
        <is>
          <t>BERG</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13149-2025</t>
        </is>
      </c>
      <c r="B397" s="1" t="n">
        <v>45735.34424768519</v>
      </c>
      <c r="C397" s="1" t="n">
        <v>45936</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15013-2025</t>
        </is>
      </c>
      <c r="B398" s="1" t="n">
        <v>45743.62734953704</v>
      </c>
      <c r="C398" s="1" t="n">
        <v>45936</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59526-2024</t>
        </is>
      </c>
      <c r="B399" s="1" t="n">
        <v>45638.58019675926</v>
      </c>
      <c r="C399" s="1" t="n">
        <v>45936</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40824-2023</t>
        </is>
      </c>
      <c r="B400" s="1" t="n">
        <v>45171</v>
      </c>
      <c r="C400" s="1" t="n">
        <v>45936</v>
      </c>
      <c r="D400" t="inlineStr">
        <is>
          <t>JÄMTLANDS LÄN</t>
        </is>
      </c>
      <c r="E400" t="inlineStr">
        <is>
          <t>BERG</t>
        </is>
      </c>
      <c r="G400" t="n">
        <v>0.5</v>
      </c>
      <c r="H400" t="n">
        <v>0</v>
      </c>
      <c r="I400" t="n">
        <v>0</v>
      </c>
      <c r="J400" t="n">
        <v>0</v>
      </c>
      <c r="K400" t="n">
        <v>0</v>
      </c>
      <c r="L400" t="n">
        <v>0</v>
      </c>
      <c r="M400" t="n">
        <v>0</v>
      </c>
      <c r="N400" t="n">
        <v>0</v>
      </c>
      <c r="O400" t="n">
        <v>0</v>
      </c>
      <c r="P400" t="n">
        <v>0</v>
      </c>
      <c r="Q400" t="n">
        <v>0</v>
      </c>
      <c r="R400" s="2" t="inlineStr"/>
    </row>
    <row r="401" ht="15" customHeight="1">
      <c r="A401" t="inlineStr">
        <is>
          <t>A 29511-2021</t>
        </is>
      </c>
      <c r="B401" s="1" t="n">
        <v>44361</v>
      </c>
      <c r="C401" s="1" t="n">
        <v>45936</v>
      </c>
      <c r="D401" t="inlineStr">
        <is>
          <t>JÄMTLANDS LÄN</t>
        </is>
      </c>
      <c r="E401" t="inlineStr">
        <is>
          <t>BERG</t>
        </is>
      </c>
      <c r="G401" t="n">
        <v>5.6</v>
      </c>
      <c r="H401" t="n">
        <v>0</v>
      </c>
      <c r="I401" t="n">
        <v>0</v>
      </c>
      <c r="J401" t="n">
        <v>0</v>
      </c>
      <c r="K401" t="n">
        <v>0</v>
      </c>
      <c r="L401" t="n">
        <v>0</v>
      </c>
      <c r="M401" t="n">
        <v>0</v>
      </c>
      <c r="N401" t="n">
        <v>0</v>
      </c>
      <c r="O401" t="n">
        <v>0</v>
      </c>
      <c r="P401" t="n">
        <v>0</v>
      </c>
      <c r="Q401" t="n">
        <v>0</v>
      </c>
      <c r="R401" s="2" t="inlineStr"/>
    </row>
    <row r="402" ht="15" customHeight="1">
      <c r="A402" t="inlineStr">
        <is>
          <t>A 35986-2023</t>
        </is>
      </c>
      <c r="B402" s="1" t="n">
        <v>45148</v>
      </c>
      <c r="C402" s="1" t="n">
        <v>45936</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171-2022</t>
        </is>
      </c>
      <c r="B403" s="1" t="n">
        <v>44564</v>
      </c>
      <c r="C403" s="1" t="n">
        <v>45936</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2002-2022</t>
        </is>
      </c>
      <c r="B404" s="1" t="n">
        <v>44575</v>
      </c>
      <c r="C404" s="1" t="n">
        <v>45936</v>
      </c>
      <c r="D404" t="inlineStr">
        <is>
          <t>JÄMTLANDS LÄN</t>
        </is>
      </c>
      <c r="E404" t="inlineStr">
        <is>
          <t>BERG</t>
        </is>
      </c>
      <c r="G404" t="n">
        <v>11.3</v>
      </c>
      <c r="H404" t="n">
        <v>0</v>
      </c>
      <c r="I404" t="n">
        <v>0</v>
      </c>
      <c r="J404" t="n">
        <v>0</v>
      </c>
      <c r="K404" t="n">
        <v>0</v>
      </c>
      <c r="L404" t="n">
        <v>0</v>
      </c>
      <c r="M404" t="n">
        <v>0</v>
      </c>
      <c r="N404" t="n">
        <v>0</v>
      </c>
      <c r="O404" t="n">
        <v>0</v>
      </c>
      <c r="P404" t="n">
        <v>0</v>
      </c>
      <c r="Q404" t="n">
        <v>0</v>
      </c>
      <c r="R404" s="2" t="inlineStr"/>
    </row>
    <row r="405" ht="15" customHeight="1">
      <c r="A405" t="inlineStr">
        <is>
          <t>A 45912-2025</t>
        </is>
      </c>
      <c r="B405" s="1" t="n">
        <v>45923</v>
      </c>
      <c r="C405" s="1" t="n">
        <v>45936</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53883-2023</t>
        </is>
      </c>
      <c r="B406" s="1" t="n">
        <v>45231.5221875</v>
      </c>
      <c r="C406" s="1" t="n">
        <v>45936</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5644-2025</t>
        </is>
      </c>
      <c r="B407" s="1" t="n">
        <v>45693.6833449074</v>
      </c>
      <c r="C407" s="1" t="n">
        <v>45936</v>
      </c>
      <c r="D407" t="inlineStr">
        <is>
          <t>JÄMTLANDS LÄN</t>
        </is>
      </c>
      <c r="E407" t="inlineStr">
        <is>
          <t>BERG</t>
        </is>
      </c>
      <c r="G407" t="n">
        <v>2.1</v>
      </c>
      <c r="H407" t="n">
        <v>0</v>
      </c>
      <c r="I407" t="n">
        <v>0</v>
      </c>
      <c r="J407" t="n">
        <v>0</v>
      </c>
      <c r="K407" t="n">
        <v>0</v>
      </c>
      <c r="L407" t="n">
        <v>0</v>
      </c>
      <c r="M407" t="n">
        <v>0</v>
      </c>
      <c r="N407" t="n">
        <v>0</v>
      </c>
      <c r="O407" t="n">
        <v>0</v>
      </c>
      <c r="P407" t="n">
        <v>0</v>
      </c>
      <c r="Q407" t="n">
        <v>0</v>
      </c>
      <c r="R407" s="2" t="inlineStr"/>
    </row>
    <row r="408" ht="15" customHeight="1">
      <c r="A408" t="inlineStr">
        <is>
          <t>A 29424-2024</t>
        </is>
      </c>
      <c r="B408" s="1" t="n">
        <v>45483.71451388889</v>
      </c>
      <c r="C408" s="1" t="n">
        <v>45936</v>
      </c>
      <c r="D408" t="inlineStr">
        <is>
          <t>JÄMTLANDS LÄN</t>
        </is>
      </c>
      <c r="E408" t="inlineStr">
        <is>
          <t>BERG</t>
        </is>
      </c>
      <c r="G408" t="n">
        <v>4</v>
      </c>
      <c r="H408" t="n">
        <v>0</v>
      </c>
      <c r="I408" t="n">
        <v>0</v>
      </c>
      <c r="J408" t="n">
        <v>0</v>
      </c>
      <c r="K408" t="n">
        <v>0</v>
      </c>
      <c r="L408" t="n">
        <v>0</v>
      </c>
      <c r="M408" t="n">
        <v>0</v>
      </c>
      <c r="N408" t="n">
        <v>0</v>
      </c>
      <c r="O408" t="n">
        <v>0</v>
      </c>
      <c r="P408" t="n">
        <v>0</v>
      </c>
      <c r="Q408" t="n">
        <v>0</v>
      </c>
      <c r="R408" s="2" t="inlineStr"/>
    </row>
    <row r="409" ht="15" customHeight="1">
      <c r="A409" t="inlineStr">
        <is>
          <t>A 60249-2022</t>
        </is>
      </c>
      <c r="B409" s="1" t="n">
        <v>44903</v>
      </c>
      <c r="C409" s="1" t="n">
        <v>45936</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47137-2025</t>
        </is>
      </c>
      <c r="B410" s="1" t="n">
        <v>45929.69876157407</v>
      </c>
      <c r="C410" s="1" t="n">
        <v>45936</v>
      </c>
      <c r="D410" t="inlineStr">
        <is>
          <t>JÄMTLANDS LÄN</t>
        </is>
      </c>
      <c r="E410" t="inlineStr">
        <is>
          <t>BERG</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47168-2025</t>
        </is>
      </c>
      <c r="B411" s="1" t="n">
        <v>45929.86864583333</v>
      </c>
      <c r="C411" s="1" t="n">
        <v>45936</v>
      </c>
      <c r="D411" t="inlineStr">
        <is>
          <t>JÄMTLANDS LÄN</t>
        </is>
      </c>
      <c r="E411" t="inlineStr">
        <is>
          <t>BERG</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41875-2024</t>
        </is>
      </c>
      <c r="B412" s="1" t="n">
        <v>45561.47431712963</v>
      </c>
      <c r="C412" s="1" t="n">
        <v>45936</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4246-2025</t>
        </is>
      </c>
      <c r="B413" s="1" t="n">
        <v>45685.59083333334</v>
      </c>
      <c r="C413" s="1" t="n">
        <v>45936</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8065-2024</t>
        </is>
      </c>
      <c r="B414" s="1" t="n">
        <v>45351.40697916667</v>
      </c>
      <c r="C414" s="1" t="n">
        <v>45936</v>
      </c>
      <c r="D414" t="inlineStr">
        <is>
          <t>JÄMTLANDS LÄN</t>
        </is>
      </c>
      <c r="E414" t="inlineStr">
        <is>
          <t>BERG</t>
        </is>
      </c>
      <c r="G414" t="n">
        <v>6.9</v>
      </c>
      <c r="H414" t="n">
        <v>0</v>
      </c>
      <c r="I414" t="n">
        <v>0</v>
      </c>
      <c r="J414" t="n">
        <v>0</v>
      </c>
      <c r="K414" t="n">
        <v>0</v>
      </c>
      <c r="L414" t="n">
        <v>0</v>
      </c>
      <c r="M414" t="n">
        <v>0</v>
      </c>
      <c r="N414" t="n">
        <v>0</v>
      </c>
      <c r="O414" t="n">
        <v>0</v>
      </c>
      <c r="P414" t="n">
        <v>0</v>
      </c>
      <c r="Q414" t="n">
        <v>0</v>
      </c>
      <c r="R414" s="2" t="inlineStr"/>
    </row>
    <row r="415" ht="15" customHeight="1">
      <c r="A415" t="inlineStr">
        <is>
          <t>A 692-2021</t>
        </is>
      </c>
      <c r="B415" s="1" t="n">
        <v>44203</v>
      </c>
      <c r="C415" s="1" t="n">
        <v>45936</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39809-2025</t>
        </is>
      </c>
      <c r="B416" s="1" t="n">
        <v>45891</v>
      </c>
      <c r="C416" s="1" t="n">
        <v>45936</v>
      </c>
      <c r="D416" t="inlineStr">
        <is>
          <t>JÄMTLANDS LÄN</t>
        </is>
      </c>
      <c r="E416" t="inlineStr">
        <is>
          <t>BERG</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8251-2023</t>
        </is>
      </c>
      <c r="B417" s="1" t="n">
        <v>44974</v>
      </c>
      <c r="C417" s="1" t="n">
        <v>45936</v>
      </c>
      <c r="D417" t="inlineStr">
        <is>
          <t>JÄMTLANDS LÄN</t>
        </is>
      </c>
      <c r="E417" t="inlineStr">
        <is>
          <t>BERG</t>
        </is>
      </c>
      <c r="G417" t="n">
        <v>1.7</v>
      </c>
      <c r="H417" t="n">
        <v>0</v>
      </c>
      <c r="I417" t="n">
        <v>0</v>
      </c>
      <c r="J417" t="n">
        <v>0</v>
      </c>
      <c r="K417" t="n">
        <v>0</v>
      </c>
      <c r="L417" t="n">
        <v>0</v>
      </c>
      <c r="M417" t="n">
        <v>0</v>
      </c>
      <c r="N417" t="n">
        <v>0</v>
      </c>
      <c r="O417" t="n">
        <v>0</v>
      </c>
      <c r="P417" t="n">
        <v>0</v>
      </c>
      <c r="Q417" t="n">
        <v>0</v>
      </c>
      <c r="R417" s="2" t="inlineStr"/>
    </row>
    <row r="418" ht="15" customHeight="1">
      <c r="A418" t="inlineStr">
        <is>
          <t>A 16553-2025</t>
        </is>
      </c>
      <c r="B418" s="1" t="n">
        <v>45751.69967592593</v>
      </c>
      <c r="C418" s="1" t="n">
        <v>45936</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45081-2022</t>
        </is>
      </c>
      <c r="B419" s="1" t="n">
        <v>44841</v>
      </c>
      <c r="C419" s="1" t="n">
        <v>45936</v>
      </c>
      <c r="D419" t="inlineStr">
        <is>
          <t>JÄMTLANDS LÄN</t>
        </is>
      </c>
      <c r="E419" t="inlineStr">
        <is>
          <t>BERG</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41098-2023</t>
        </is>
      </c>
      <c r="B420" s="1" t="n">
        <v>45170</v>
      </c>
      <c r="C420" s="1" t="n">
        <v>45936</v>
      </c>
      <c r="D420" t="inlineStr">
        <is>
          <t>JÄMTLANDS LÄN</t>
        </is>
      </c>
      <c r="E420" t="inlineStr">
        <is>
          <t>BERG</t>
        </is>
      </c>
      <c r="G420" t="n">
        <v>3.1</v>
      </c>
      <c r="H420" t="n">
        <v>0</v>
      </c>
      <c r="I420" t="n">
        <v>0</v>
      </c>
      <c r="J420" t="n">
        <v>0</v>
      </c>
      <c r="K420" t="n">
        <v>0</v>
      </c>
      <c r="L420" t="n">
        <v>0</v>
      </c>
      <c r="M420" t="n">
        <v>0</v>
      </c>
      <c r="N420" t="n">
        <v>0</v>
      </c>
      <c r="O420" t="n">
        <v>0</v>
      </c>
      <c r="P420" t="n">
        <v>0</v>
      </c>
      <c r="Q420" t="n">
        <v>0</v>
      </c>
      <c r="R420" s="2" t="inlineStr"/>
    </row>
    <row r="421" ht="15" customHeight="1">
      <c r="A421" t="inlineStr">
        <is>
          <t>A 433-2023</t>
        </is>
      </c>
      <c r="B421" s="1" t="n">
        <v>44923</v>
      </c>
      <c r="C421" s="1" t="n">
        <v>45936</v>
      </c>
      <c r="D421" t="inlineStr">
        <is>
          <t>JÄMTLANDS LÄN</t>
        </is>
      </c>
      <c r="E421" t="inlineStr">
        <is>
          <t>BERG</t>
        </is>
      </c>
      <c r="G421" t="n">
        <v>1.5</v>
      </c>
      <c r="H421" t="n">
        <v>0</v>
      </c>
      <c r="I421" t="n">
        <v>0</v>
      </c>
      <c r="J421" t="n">
        <v>0</v>
      </c>
      <c r="K421" t="n">
        <v>0</v>
      </c>
      <c r="L421" t="n">
        <v>0</v>
      </c>
      <c r="M421" t="n">
        <v>0</v>
      </c>
      <c r="N421" t="n">
        <v>0</v>
      </c>
      <c r="O421" t="n">
        <v>0</v>
      </c>
      <c r="P421" t="n">
        <v>0</v>
      </c>
      <c r="Q421" t="n">
        <v>0</v>
      </c>
      <c r="R421" s="2" t="inlineStr"/>
    </row>
    <row r="422" ht="15" customHeight="1">
      <c r="A422" t="inlineStr">
        <is>
          <t>A 32147-2024</t>
        </is>
      </c>
      <c r="B422" s="1" t="n">
        <v>45511.55600694445</v>
      </c>
      <c r="C422" s="1" t="n">
        <v>45936</v>
      </c>
      <c r="D422" t="inlineStr">
        <is>
          <t>JÄMTLANDS LÄN</t>
        </is>
      </c>
      <c r="E422" t="inlineStr">
        <is>
          <t>BERG</t>
        </is>
      </c>
      <c r="G422" t="n">
        <v>2.3</v>
      </c>
      <c r="H422" t="n">
        <v>0</v>
      </c>
      <c r="I422" t="n">
        <v>0</v>
      </c>
      <c r="J422" t="n">
        <v>0</v>
      </c>
      <c r="K422" t="n">
        <v>0</v>
      </c>
      <c r="L422" t="n">
        <v>0</v>
      </c>
      <c r="M422" t="n">
        <v>0</v>
      </c>
      <c r="N422" t="n">
        <v>0</v>
      </c>
      <c r="O422" t="n">
        <v>0</v>
      </c>
      <c r="P422" t="n">
        <v>0</v>
      </c>
      <c r="Q422" t="n">
        <v>0</v>
      </c>
      <c r="R422" s="2" t="inlineStr"/>
    </row>
    <row r="423" ht="15" customHeight="1">
      <c r="A423" t="inlineStr">
        <is>
          <t>A 46872-2023</t>
        </is>
      </c>
      <c r="B423" s="1" t="n">
        <v>45200</v>
      </c>
      <c r="C423" s="1" t="n">
        <v>45936</v>
      </c>
      <c r="D423" t="inlineStr">
        <is>
          <t>JÄMTLANDS LÄN</t>
        </is>
      </c>
      <c r="E423" t="inlineStr">
        <is>
          <t>BERG</t>
        </is>
      </c>
      <c r="F423" t="inlineStr">
        <is>
          <t>Naturvårdsverket</t>
        </is>
      </c>
      <c r="G423" t="n">
        <v>1.2</v>
      </c>
      <c r="H423" t="n">
        <v>0</v>
      </c>
      <c r="I423" t="n">
        <v>0</v>
      </c>
      <c r="J423" t="n">
        <v>0</v>
      </c>
      <c r="K423" t="n">
        <v>0</v>
      </c>
      <c r="L423" t="n">
        <v>0</v>
      </c>
      <c r="M423" t="n">
        <v>0</v>
      </c>
      <c r="N423" t="n">
        <v>0</v>
      </c>
      <c r="O423" t="n">
        <v>0</v>
      </c>
      <c r="P423" t="n">
        <v>0</v>
      </c>
      <c r="Q423" t="n">
        <v>0</v>
      </c>
      <c r="R423" s="2" t="inlineStr"/>
      <c r="U423">
        <f>HYPERLINK("https://klasma.github.io/Logging_2326/knärot/A 46872-2023 karta knärot.png", "A 46872-2023")</f>
        <v/>
      </c>
      <c r="V423">
        <f>HYPERLINK("https://klasma.github.io/Logging_2326/klagomål/A 46872-2023 FSC-klagomål.docx", "A 46872-2023")</f>
        <v/>
      </c>
      <c r="W423">
        <f>HYPERLINK("https://klasma.github.io/Logging_2326/klagomålsmail/A 46872-2023 FSC-klagomål mail.docx", "A 46872-2023")</f>
        <v/>
      </c>
      <c r="X423">
        <f>HYPERLINK("https://klasma.github.io/Logging_2326/tillsyn/A 46872-2023 tillsynsbegäran.docx", "A 46872-2023")</f>
        <v/>
      </c>
      <c r="Y423">
        <f>HYPERLINK("https://klasma.github.io/Logging_2326/tillsynsmail/A 46872-2023 tillsynsbegäran mail.docx", "A 46872-2023")</f>
        <v/>
      </c>
    </row>
    <row r="424" ht="15" customHeight="1">
      <c r="A424" t="inlineStr">
        <is>
          <t>A 49413-2024</t>
        </is>
      </c>
      <c r="B424" s="1" t="n">
        <v>45595.69810185185</v>
      </c>
      <c r="C424" s="1" t="n">
        <v>45936</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45936</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8388-2022</t>
        </is>
      </c>
      <c r="B426" s="1" t="n">
        <v>44610</v>
      </c>
      <c r="C426" s="1" t="n">
        <v>45936</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18872-2023</t>
        </is>
      </c>
      <c r="B427" s="1" t="n">
        <v>45042</v>
      </c>
      <c r="C427" s="1" t="n">
        <v>45936</v>
      </c>
      <c r="D427" t="inlineStr">
        <is>
          <t>JÄMTLANDS LÄN</t>
        </is>
      </c>
      <c r="E427" t="inlineStr">
        <is>
          <t>BERG</t>
        </is>
      </c>
      <c r="G427" t="n">
        <v>13.2</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45936</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4522-2024</t>
        </is>
      </c>
      <c r="B429" s="1" t="n">
        <v>45327</v>
      </c>
      <c r="C429" s="1" t="n">
        <v>45936</v>
      </c>
      <c r="D429" t="inlineStr">
        <is>
          <t>JÄMTLANDS LÄN</t>
        </is>
      </c>
      <c r="E429" t="inlineStr">
        <is>
          <t>BERG</t>
        </is>
      </c>
      <c r="G429" t="n">
        <v>0.6</v>
      </c>
      <c r="H429" t="n">
        <v>0</v>
      </c>
      <c r="I429" t="n">
        <v>0</v>
      </c>
      <c r="J429" t="n">
        <v>0</v>
      </c>
      <c r="K429" t="n">
        <v>0</v>
      </c>
      <c r="L429" t="n">
        <v>0</v>
      </c>
      <c r="M429" t="n">
        <v>0</v>
      </c>
      <c r="N429" t="n">
        <v>0</v>
      </c>
      <c r="O429" t="n">
        <v>0</v>
      </c>
      <c r="P429" t="n">
        <v>0</v>
      </c>
      <c r="Q429" t="n">
        <v>0</v>
      </c>
      <c r="R429" s="2" t="inlineStr"/>
    </row>
    <row r="430" ht="15" customHeight="1">
      <c r="A430" t="inlineStr">
        <is>
          <t>A 35911-2024</t>
        </is>
      </c>
      <c r="B430" s="1" t="n">
        <v>45533.41498842592</v>
      </c>
      <c r="C430" s="1" t="n">
        <v>45936</v>
      </c>
      <c r="D430" t="inlineStr">
        <is>
          <t>JÄMTLANDS LÄN</t>
        </is>
      </c>
      <c r="E430" t="inlineStr">
        <is>
          <t>BERG</t>
        </is>
      </c>
      <c r="G430" t="n">
        <v>4.1</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45936</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45936</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61837-2023</t>
        </is>
      </c>
      <c r="B433" s="1" t="n">
        <v>45264</v>
      </c>
      <c r="C433" s="1" t="n">
        <v>45936</v>
      </c>
      <c r="D433" t="inlineStr">
        <is>
          <t>JÄMTLANDS LÄN</t>
        </is>
      </c>
      <c r="E433" t="inlineStr">
        <is>
          <t>BERG</t>
        </is>
      </c>
      <c r="G433" t="n">
        <v>0.6</v>
      </c>
      <c r="H433" t="n">
        <v>0</v>
      </c>
      <c r="I433" t="n">
        <v>0</v>
      </c>
      <c r="J433" t="n">
        <v>0</v>
      </c>
      <c r="K433" t="n">
        <v>0</v>
      </c>
      <c r="L433" t="n">
        <v>0</v>
      </c>
      <c r="M433" t="n">
        <v>0</v>
      </c>
      <c r="N433" t="n">
        <v>0</v>
      </c>
      <c r="O433" t="n">
        <v>0</v>
      </c>
      <c r="P433" t="n">
        <v>0</v>
      </c>
      <c r="Q433" t="n">
        <v>0</v>
      </c>
      <c r="R433" s="2" t="inlineStr"/>
    </row>
    <row r="434" ht="15" customHeight="1">
      <c r="A434" t="inlineStr">
        <is>
          <t>A 62104-2023</t>
        </is>
      </c>
      <c r="B434" s="1" t="n">
        <v>45266.95052083334</v>
      </c>
      <c r="C434" s="1" t="n">
        <v>45936</v>
      </c>
      <c r="D434" t="inlineStr">
        <is>
          <t>JÄMTLANDS LÄN</t>
        </is>
      </c>
      <c r="E434" t="inlineStr">
        <is>
          <t>BERG</t>
        </is>
      </c>
      <c r="G434" t="n">
        <v>1.5</v>
      </c>
      <c r="H434" t="n">
        <v>0</v>
      </c>
      <c r="I434" t="n">
        <v>0</v>
      </c>
      <c r="J434" t="n">
        <v>0</v>
      </c>
      <c r="K434" t="n">
        <v>0</v>
      </c>
      <c r="L434" t="n">
        <v>0</v>
      </c>
      <c r="M434" t="n">
        <v>0</v>
      </c>
      <c r="N434" t="n">
        <v>0</v>
      </c>
      <c r="O434" t="n">
        <v>0</v>
      </c>
      <c r="P434" t="n">
        <v>0</v>
      </c>
      <c r="Q434" t="n">
        <v>0</v>
      </c>
      <c r="R434" s="2" t="inlineStr"/>
    </row>
    <row r="435" ht="15" customHeight="1">
      <c r="A435" t="inlineStr">
        <is>
          <t>A 62105-2023</t>
        </is>
      </c>
      <c r="B435" s="1" t="n">
        <v>45266.95074074074</v>
      </c>
      <c r="C435" s="1" t="n">
        <v>45936</v>
      </c>
      <c r="D435" t="inlineStr">
        <is>
          <t>JÄMTLANDS LÄN</t>
        </is>
      </c>
      <c r="E435" t="inlineStr">
        <is>
          <t>BERG</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60028-2022</t>
        </is>
      </c>
      <c r="B436" s="1" t="n">
        <v>44902</v>
      </c>
      <c r="C436" s="1" t="n">
        <v>45936</v>
      </c>
      <c r="D436" t="inlineStr">
        <is>
          <t>JÄMTLANDS LÄN</t>
        </is>
      </c>
      <c r="E436" t="inlineStr">
        <is>
          <t>BERG</t>
        </is>
      </c>
      <c r="G436" t="n">
        <v>20</v>
      </c>
      <c r="H436" t="n">
        <v>0</v>
      </c>
      <c r="I436" t="n">
        <v>0</v>
      </c>
      <c r="J436" t="n">
        <v>0</v>
      </c>
      <c r="K436" t="n">
        <v>0</v>
      </c>
      <c r="L436" t="n">
        <v>0</v>
      </c>
      <c r="M436" t="n">
        <v>0</v>
      </c>
      <c r="N436" t="n">
        <v>0</v>
      </c>
      <c r="O436" t="n">
        <v>0</v>
      </c>
      <c r="P436" t="n">
        <v>0</v>
      </c>
      <c r="Q436" t="n">
        <v>0</v>
      </c>
      <c r="R436" s="2" t="inlineStr"/>
    </row>
    <row r="437" ht="15" customHeight="1">
      <c r="A437" t="inlineStr">
        <is>
          <t>A 47626-2023</t>
        </is>
      </c>
      <c r="B437" s="1" t="n">
        <v>45203</v>
      </c>
      <c r="C437" s="1" t="n">
        <v>45936</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11599-2025</t>
        </is>
      </c>
      <c r="B438" s="1" t="n">
        <v>45727.4261574074</v>
      </c>
      <c r="C438" s="1" t="n">
        <v>45936</v>
      </c>
      <c r="D438" t="inlineStr">
        <is>
          <t>JÄMTLANDS LÄN</t>
        </is>
      </c>
      <c r="E438" t="inlineStr">
        <is>
          <t>BERG</t>
        </is>
      </c>
      <c r="G438" t="n">
        <v>1.4</v>
      </c>
      <c r="H438" t="n">
        <v>0</v>
      </c>
      <c r="I438" t="n">
        <v>0</v>
      </c>
      <c r="J438" t="n">
        <v>0</v>
      </c>
      <c r="K438" t="n">
        <v>0</v>
      </c>
      <c r="L438" t="n">
        <v>0</v>
      </c>
      <c r="M438" t="n">
        <v>0</v>
      </c>
      <c r="N438" t="n">
        <v>0</v>
      </c>
      <c r="O438" t="n">
        <v>0</v>
      </c>
      <c r="P438" t="n">
        <v>0</v>
      </c>
      <c r="Q438" t="n">
        <v>0</v>
      </c>
      <c r="R438" s="2" t="inlineStr"/>
    </row>
    <row r="439" ht="15" customHeight="1">
      <c r="A439" t="inlineStr">
        <is>
          <t>A 60331-2023</t>
        </is>
      </c>
      <c r="B439" s="1" t="n">
        <v>45258</v>
      </c>
      <c r="C439" s="1" t="n">
        <v>45936</v>
      </c>
      <c r="D439" t="inlineStr">
        <is>
          <t>JÄMTLANDS LÄN</t>
        </is>
      </c>
      <c r="E439" t="inlineStr">
        <is>
          <t>BERG</t>
        </is>
      </c>
      <c r="G439" t="n">
        <v>2.6</v>
      </c>
      <c r="H439" t="n">
        <v>0</v>
      </c>
      <c r="I439" t="n">
        <v>0</v>
      </c>
      <c r="J439" t="n">
        <v>0</v>
      </c>
      <c r="K439" t="n">
        <v>0</v>
      </c>
      <c r="L439" t="n">
        <v>0</v>
      </c>
      <c r="M439" t="n">
        <v>0</v>
      </c>
      <c r="N439" t="n">
        <v>0</v>
      </c>
      <c r="O439" t="n">
        <v>0</v>
      </c>
      <c r="P439" t="n">
        <v>0</v>
      </c>
      <c r="Q439" t="n">
        <v>0</v>
      </c>
      <c r="R439" s="2" t="inlineStr"/>
    </row>
    <row r="440" ht="15" customHeight="1">
      <c r="A440" t="inlineStr">
        <is>
          <t>A 47083-2024</t>
        </is>
      </c>
      <c r="B440" s="1" t="n">
        <v>45586.50625</v>
      </c>
      <c r="C440" s="1" t="n">
        <v>45936</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32465-2024</t>
        </is>
      </c>
      <c r="B441" s="1" t="n">
        <v>45512.96096064815</v>
      </c>
      <c r="C441" s="1" t="n">
        <v>45936</v>
      </c>
      <c r="D441" t="inlineStr">
        <is>
          <t>JÄMTLANDS LÄN</t>
        </is>
      </c>
      <c r="E441" t="inlineStr">
        <is>
          <t>BERG</t>
        </is>
      </c>
      <c r="G441" t="n">
        <v>6.7</v>
      </c>
      <c r="H441" t="n">
        <v>0</v>
      </c>
      <c r="I441" t="n">
        <v>0</v>
      </c>
      <c r="J441" t="n">
        <v>0</v>
      </c>
      <c r="K441" t="n">
        <v>0</v>
      </c>
      <c r="L441" t="n">
        <v>0</v>
      </c>
      <c r="M441" t="n">
        <v>0</v>
      </c>
      <c r="N441" t="n">
        <v>0</v>
      </c>
      <c r="O441" t="n">
        <v>0</v>
      </c>
      <c r="P441" t="n">
        <v>0</v>
      </c>
      <c r="Q441" t="n">
        <v>0</v>
      </c>
      <c r="R441" s="2" t="inlineStr"/>
    </row>
    <row r="442" ht="15" customHeight="1">
      <c r="A442" t="inlineStr">
        <is>
          <t>A 47145-2025</t>
        </is>
      </c>
      <c r="B442" s="1" t="n">
        <v>45929.71310185185</v>
      </c>
      <c r="C442" s="1" t="n">
        <v>45936</v>
      </c>
      <c r="D442" t="inlineStr">
        <is>
          <t>JÄMTLANDS LÄN</t>
        </is>
      </c>
      <c r="E442" t="inlineStr">
        <is>
          <t>BERG</t>
        </is>
      </c>
      <c r="G442" t="n">
        <v>3.5</v>
      </c>
      <c r="H442" t="n">
        <v>0</v>
      </c>
      <c r="I442" t="n">
        <v>0</v>
      </c>
      <c r="J442" t="n">
        <v>0</v>
      </c>
      <c r="K442" t="n">
        <v>0</v>
      </c>
      <c r="L442" t="n">
        <v>0</v>
      </c>
      <c r="M442" t="n">
        <v>0</v>
      </c>
      <c r="N442" t="n">
        <v>0</v>
      </c>
      <c r="O442" t="n">
        <v>0</v>
      </c>
      <c r="P442" t="n">
        <v>0</v>
      </c>
      <c r="Q442" t="n">
        <v>0</v>
      </c>
      <c r="R442" s="2" t="inlineStr"/>
    </row>
    <row r="443" ht="15" customHeight="1">
      <c r="A443" t="inlineStr">
        <is>
          <t>A 47135-2025</t>
        </is>
      </c>
      <c r="B443" s="1" t="n">
        <v>45929.69799768519</v>
      </c>
      <c r="C443" s="1" t="n">
        <v>45936</v>
      </c>
      <c r="D443" t="inlineStr">
        <is>
          <t>JÄMTLANDS LÄN</t>
        </is>
      </c>
      <c r="E443" t="inlineStr">
        <is>
          <t>BERG</t>
        </is>
      </c>
      <c r="G443" t="n">
        <v>0.6</v>
      </c>
      <c r="H443" t="n">
        <v>0</v>
      </c>
      <c r="I443" t="n">
        <v>0</v>
      </c>
      <c r="J443" t="n">
        <v>0</v>
      </c>
      <c r="K443" t="n">
        <v>0</v>
      </c>
      <c r="L443" t="n">
        <v>0</v>
      </c>
      <c r="M443" t="n">
        <v>0</v>
      </c>
      <c r="N443" t="n">
        <v>0</v>
      </c>
      <c r="O443" t="n">
        <v>0</v>
      </c>
      <c r="P443" t="n">
        <v>0</v>
      </c>
      <c r="Q443" t="n">
        <v>0</v>
      </c>
      <c r="R443" s="2" t="inlineStr"/>
    </row>
    <row r="444" ht="15" customHeight="1">
      <c r="A444" t="inlineStr">
        <is>
          <t>A 32654-2025</t>
        </is>
      </c>
      <c r="B444" s="1" t="n">
        <v>45838.6778587963</v>
      </c>
      <c r="C444" s="1" t="n">
        <v>45936</v>
      </c>
      <c r="D444" t="inlineStr">
        <is>
          <t>JÄMTLANDS LÄN</t>
        </is>
      </c>
      <c r="E444" t="inlineStr">
        <is>
          <t>BERG</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51548-2023</t>
        </is>
      </c>
      <c r="B445" s="1" t="n">
        <v>45215</v>
      </c>
      <c r="C445" s="1" t="n">
        <v>45936</v>
      </c>
      <c r="D445" t="inlineStr">
        <is>
          <t>JÄMTLANDS LÄN</t>
        </is>
      </c>
      <c r="E445" t="inlineStr">
        <is>
          <t>BERG</t>
        </is>
      </c>
      <c r="G445" t="n">
        <v>4.8</v>
      </c>
      <c r="H445" t="n">
        <v>0</v>
      </c>
      <c r="I445" t="n">
        <v>0</v>
      </c>
      <c r="J445" t="n">
        <v>0</v>
      </c>
      <c r="K445" t="n">
        <v>0</v>
      </c>
      <c r="L445" t="n">
        <v>0</v>
      </c>
      <c r="M445" t="n">
        <v>0</v>
      </c>
      <c r="N445" t="n">
        <v>0</v>
      </c>
      <c r="O445" t="n">
        <v>0</v>
      </c>
      <c r="P445" t="n">
        <v>0</v>
      </c>
      <c r="Q445" t="n">
        <v>0</v>
      </c>
      <c r="R445" s="2" t="inlineStr"/>
    </row>
    <row r="446" ht="15" customHeight="1">
      <c r="A446" t="inlineStr">
        <is>
          <t>A 58157-2021</t>
        </is>
      </c>
      <c r="B446" s="1" t="n">
        <v>44487.60703703704</v>
      </c>
      <c r="C446" s="1" t="n">
        <v>45936</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26944-2022</t>
        </is>
      </c>
      <c r="B447" s="1" t="n">
        <v>44740</v>
      </c>
      <c r="C447" s="1" t="n">
        <v>45936</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62555-2023</t>
        </is>
      </c>
      <c r="B448" s="1" t="n">
        <v>45268.9262962963</v>
      </c>
      <c r="C448" s="1" t="n">
        <v>45936</v>
      </c>
      <c r="D448" t="inlineStr">
        <is>
          <t>JÄMTLANDS LÄN</t>
        </is>
      </c>
      <c r="E448" t="inlineStr">
        <is>
          <t>BERG</t>
        </is>
      </c>
      <c r="G448" t="n">
        <v>5</v>
      </c>
      <c r="H448" t="n">
        <v>0</v>
      </c>
      <c r="I448" t="n">
        <v>0</v>
      </c>
      <c r="J448" t="n">
        <v>0</v>
      </c>
      <c r="K448" t="n">
        <v>0</v>
      </c>
      <c r="L448" t="n">
        <v>0</v>
      </c>
      <c r="M448" t="n">
        <v>0</v>
      </c>
      <c r="N448" t="n">
        <v>0</v>
      </c>
      <c r="O448" t="n">
        <v>0</v>
      </c>
      <c r="P448" t="n">
        <v>0</v>
      </c>
      <c r="Q448" t="n">
        <v>0</v>
      </c>
      <c r="R448" s="2" t="inlineStr"/>
    </row>
    <row r="449" ht="15" customHeight="1">
      <c r="A449" t="inlineStr">
        <is>
          <t>A 47407-2024</t>
        </is>
      </c>
      <c r="B449" s="1" t="n">
        <v>45587.47828703704</v>
      </c>
      <c r="C449" s="1" t="n">
        <v>45936</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60068-2022</t>
        </is>
      </c>
      <c r="B450" s="1" t="n">
        <v>44902</v>
      </c>
      <c r="C450" s="1" t="n">
        <v>45936</v>
      </c>
      <c r="D450" t="inlineStr">
        <is>
          <t>JÄMTLANDS LÄN</t>
        </is>
      </c>
      <c r="E450" t="inlineStr">
        <is>
          <t>BERG</t>
        </is>
      </c>
      <c r="G450" t="n">
        <v>5.2</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45936</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13524-2024</t>
        </is>
      </c>
      <c r="B452" s="1" t="n">
        <v>45387.78174768519</v>
      </c>
      <c r="C452" s="1" t="n">
        <v>45936</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45936</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7040-2024</t>
        </is>
      </c>
      <c r="B454" s="1" t="n">
        <v>45343</v>
      </c>
      <c r="C454" s="1" t="n">
        <v>45936</v>
      </c>
      <c r="D454" t="inlineStr">
        <is>
          <t>JÄMTLANDS LÄN</t>
        </is>
      </c>
      <c r="E454" t="inlineStr">
        <is>
          <t>BERG</t>
        </is>
      </c>
      <c r="G454" t="n">
        <v>15.9</v>
      </c>
      <c r="H454" t="n">
        <v>0</v>
      </c>
      <c r="I454" t="n">
        <v>0</v>
      </c>
      <c r="J454" t="n">
        <v>0</v>
      </c>
      <c r="K454" t="n">
        <v>0</v>
      </c>
      <c r="L454" t="n">
        <v>0</v>
      </c>
      <c r="M454" t="n">
        <v>0</v>
      </c>
      <c r="N454" t="n">
        <v>0</v>
      </c>
      <c r="O454" t="n">
        <v>0</v>
      </c>
      <c r="P454" t="n">
        <v>0</v>
      </c>
      <c r="Q454" t="n">
        <v>0</v>
      </c>
      <c r="R454" s="2" t="inlineStr"/>
    </row>
    <row r="455" ht="15" customHeight="1">
      <c r="A455" t="inlineStr">
        <is>
          <t>A 61652-2024</t>
        </is>
      </c>
      <c r="B455" s="1" t="n">
        <v>45646.72293981481</v>
      </c>
      <c r="C455" s="1" t="n">
        <v>45936</v>
      </c>
      <c r="D455" t="inlineStr">
        <is>
          <t>JÄMTLANDS LÄN</t>
        </is>
      </c>
      <c r="E455" t="inlineStr">
        <is>
          <t>BERG</t>
        </is>
      </c>
      <c r="G455" t="n">
        <v>6.4</v>
      </c>
      <c r="H455" t="n">
        <v>0</v>
      </c>
      <c r="I455" t="n">
        <v>0</v>
      </c>
      <c r="J455" t="n">
        <v>0</v>
      </c>
      <c r="K455" t="n">
        <v>0</v>
      </c>
      <c r="L455" t="n">
        <v>0</v>
      </c>
      <c r="M455" t="n">
        <v>0</v>
      </c>
      <c r="N455" t="n">
        <v>0</v>
      </c>
      <c r="O455" t="n">
        <v>0</v>
      </c>
      <c r="P455" t="n">
        <v>0</v>
      </c>
      <c r="Q455" t="n">
        <v>0</v>
      </c>
      <c r="R455" s="2" t="inlineStr"/>
    </row>
    <row r="456" ht="15" customHeight="1">
      <c r="A456" t="inlineStr">
        <is>
          <t>A 46854-2025</t>
        </is>
      </c>
      <c r="B456" s="1" t="n">
        <v>45928.87376157408</v>
      </c>
      <c r="C456" s="1" t="n">
        <v>45936</v>
      </c>
      <c r="D456" t="inlineStr">
        <is>
          <t>JÄMTLANDS LÄN</t>
        </is>
      </c>
      <c r="E456" t="inlineStr">
        <is>
          <t>BERG</t>
        </is>
      </c>
      <c r="F456" t="inlineStr">
        <is>
          <t>Kyrkan</t>
        </is>
      </c>
      <c r="G456" t="n">
        <v>4.8</v>
      </c>
      <c r="H456" t="n">
        <v>0</v>
      </c>
      <c r="I456" t="n">
        <v>0</v>
      </c>
      <c r="J456" t="n">
        <v>0</v>
      </c>
      <c r="K456" t="n">
        <v>0</v>
      </c>
      <c r="L456" t="n">
        <v>0</v>
      </c>
      <c r="M456" t="n">
        <v>0</v>
      </c>
      <c r="N456" t="n">
        <v>0</v>
      </c>
      <c r="O456" t="n">
        <v>0</v>
      </c>
      <c r="P456" t="n">
        <v>0</v>
      </c>
      <c r="Q456" t="n">
        <v>0</v>
      </c>
      <c r="R456" s="2" t="inlineStr"/>
    </row>
    <row r="457" ht="15" customHeight="1">
      <c r="A457" t="inlineStr">
        <is>
          <t>A 48663-2023</t>
        </is>
      </c>
      <c r="B457" s="1" t="n">
        <v>45202</v>
      </c>
      <c r="C457" s="1" t="n">
        <v>45936</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31641-2022</t>
        </is>
      </c>
      <c r="B458" s="1" t="n">
        <v>44775.94119212963</v>
      </c>
      <c r="C458" s="1" t="n">
        <v>45936</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15785-2021</t>
        </is>
      </c>
      <c r="B459" s="1" t="n">
        <v>44286.58679398148</v>
      </c>
      <c r="C459" s="1" t="n">
        <v>45936</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37248-2023</t>
        </is>
      </c>
      <c r="B460" s="1" t="n">
        <v>45155.954375</v>
      </c>
      <c r="C460" s="1" t="n">
        <v>45936</v>
      </c>
      <c r="D460" t="inlineStr">
        <is>
          <t>JÄMTLANDS LÄN</t>
        </is>
      </c>
      <c r="E460" t="inlineStr">
        <is>
          <t>BERG</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16247-2024</t>
        </is>
      </c>
      <c r="B461" s="1" t="n">
        <v>45407.05797453703</v>
      </c>
      <c r="C461" s="1" t="n">
        <v>45936</v>
      </c>
      <c r="D461" t="inlineStr">
        <is>
          <t>JÄMTLANDS LÄN</t>
        </is>
      </c>
      <c r="E461" t="inlineStr">
        <is>
          <t>BERG</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53958-2020</t>
        </is>
      </c>
      <c r="B462" s="1" t="n">
        <v>44123</v>
      </c>
      <c r="C462" s="1" t="n">
        <v>45936</v>
      </c>
      <c r="D462" t="inlineStr">
        <is>
          <t>JÄMTLANDS LÄN</t>
        </is>
      </c>
      <c r="E462" t="inlineStr">
        <is>
          <t>BERG</t>
        </is>
      </c>
      <c r="G462" t="n">
        <v>27.9</v>
      </c>
      <c r="H462" t="n">
        <v>0</v>
      </c>
      <c r="I462" t="n">
        <v>0</v>
      </c>
      <c r="J462" t="n">
        <v>0</v>
      </c>
      <c r="K462" t="n">
        <v>0</v>
      </c>
      <c r="L462" t="n">
        <v>0</v>
      </c>
      <c r="M462" t="n">
        <v>0</v>
      </c>
      <c r="N462" t="n">
        <v>0</v>
      </c>
      <c r="O462" t="n">
        <v>0</v>
      </c>
      <c r="P462" t="n">
        <v>0</v>
      </c>
      <c r="Q462" t="n">
        <v>0</v>
      </c>
      <c r="R462" s="2" t="inlineStr"/>
    </row>
    <row r="463" ht="15" customHeight="1">
      <c r="A463" t="inlineStr">
        <is>
          <t>A 46268-2023</t>
        </is>
      </c>
      <c r="B463" s="1" t="n">
        <v>45196</v>
      </c>
      <c r="C463" s="1" t="n">
        <v>45936</v>
      </c>
      <c r="D463" t="inlineStr">
        <is>
          <t>JÄMTLANDS LÄN</t>
        </is>
      </c>
      <c r="E463" t="inlineStr">
        <is>
          <t>BERG</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8069-2024</t>
        </is>
      </c>
      <c r="B464" s="1" t="n">
        <v>45351.41600694445</v>
      </c>
      <c r="C464" s="1" t="n">
        <v>45936</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61788-2023</t>
        </is>
      </c>
      <c r="B465" s="1" t="n">
        <v>45265.9577199074</v>
      </c>
      <c r="C465" s="1" t="n">
        <v>45936</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39785-2024</t>
        </is>
      </c>
      <c r="B466" s="1" t="n">
        <v>45553.29927083333</v>
      </c>
      <c r="C466" s="1" t="n">
        <v>45936</v>
      </c>
      <c r="D466" t="inlineStr">
        <is>
          <t>JÄMTLANDS LÄN</t>
        </is>
      </c>
      <c r="E466" t="inlineStr">
        <is>
          <t>BERG</t>
        </is>
      </c>
      <c r="G466" t="n">
        <v>16.1</v>
      </c>
      <c r="H466" t="n">
        <v>0</v>
      </c>
      <c r="I466" t="n">
        <v>0</v>
      </c>
      <c r="J466" t="n">
        <v>0</v>
      </c>
      <c r="K466" t="n">
        <v>0</v>
      </c>
      <c r="L466" t="n">
        <v>0</v>
      </c>
      <c r="M466" t="n">
        <v>0</v>
      </c>
      <c r="N466" t="n">
        <v>0</v>
      </c>
      <c r="O466" t="n">
        <v>0</v>
      </c>
      <c r="P466" t="n">
        <v>0</v>
      </c>
      <c r="Q466" t="n">
        <v>0</v>
      </c>
      <c r="R466" s="2" t="inlineStr"/>
    </row>
    <row r="467" ht="15" customHeight="1">
      <c r="A467" t="inlineStr">
        <is>
          <t>A 51201-2023</t>
        </is>
      </c>
      <c r="B467" s="1" t="n">
        <v>45219.42320601852</v>
      </c>
      <c r="C467" s="1" t="n">
        <v>45936</v>
      </c>
      <c r="D467" t="inlineStr">
        <is>
          <t>JÄMTLANDS LÄN</t>
        </is>
      </c>
      <c r="E467" t="inlineStr">
        <is>
          <t>BERG</t>
        </is>
      </c>
      <c r="G467" t="n">
        <v>1.2</v>
      </c>
      <c r="H467" t="n">
        <v>0</v>
      </c>
      <c r="I467" t="n">
        <v>0</v>
      </c>
      <c r="J467" t="n">
        <v>0</v>
      </c>
      <c r="K467" t="n">
        <v>0</v>
      </c>
      <c r="L467" t="n">
        <v>0</v>
      </c>
      <c r="M467" t="n">
        <v>0</v>
      </c>
      <c r="N467" t="n">
        <v>0</v>
      </c>
      <c r="O467" t="n">
        <v>0</v>
      </c>
      <c r="P467" t="n">
        <v>0</v>
      </c>
      <c r="Q467" t="n">
        <v>0</v>
      </c>
      <c r="R467" s="2" t="inlineStr"/>
    </row>
    <row r="468" ht="15" customHeight="1">
      <c r="A468" t="inlineStr">
        <is>
          <t>A 14226-2021</t>
        </is>
      </c>
      <c r="B468" s="1" t="n">
        <v>44277</v>
      </c>
      <c r="C468" s="1" t="n">
        <v>45936</v>
      </c>
      <c r="D468" t="inlineStr">
        <is>
          <t>JÄMTLANDS LÄN</t>
        </is>
      </c>
      <c r="E468" t="inlineStr">
        <is>
          <t>BERG</t>
        </is>
      </c>
      <c r="G468" t="n">
        <v>23.7</v>
      </c>
      <c r="H468" t="n">
        <v>0</v>
      </c>
      <c r="I468" t="n">
        <v>0</v>
      </c>
      <c r="J468" t="n">
        <v>0</v>
      </c>
      <c r="K468" t="n">
        <v>0</v>
      </c>
      <c r="L468" t="n">
        <v>0</v>
      </c>
      <c r="M468" t="n">
        <v>0</v>
      </c>
      <c r="N468" t="n">
        <v>0</v>
      </c>
      <c r="O468" t="n">
        <v>0</v>
      </c>
      <c r="P468" t="n">
        <v>0</v>
      </c>
      <c r="Q468" t="n">
        <v>0</v>
      </c>
      <c r="R468" s="2" t="inlineStr"/>
    </row>
    <row r="469" ht="15" customHeight="1">
      <c r="A469" t="inlineStr">
        <is>
          <t>A 38962-2024</t>
        </is>
      </c>
      <c r="B469" s="1" t="n">
        <v>45548.36175925926</v>
      </c>
      <c r="C469" s="1" t="n">
        <v>45936</v>
      </c>
      <c r="D469" t="inlineStr">
        <is>
          <t>JÄMTLANDS LÄN</t>
        </is>
      </c>
      <c r="E469" t="inlineStr">
        <is>
          <t>BERG</t>
        </is>
      </c>
      <c r="G469" t="n">
        <v>2.2</v>
      </c>
      <c r="H469" t="n">
        <v>0</v>
      </c>
      <c r="I469" t="n">
        <v>0</v>
      </c>
      <c r="J469" t="n">
        <v>0</v>
      </c>
      <c r="K469" t="n">
        <v>0</v>
      </c>
      <c r="L469" t="n">
        <v>0</v>
      </c>
      <c r="M469" t="n">
        <v>0</v>
      </c>
      <c r="N469" t="n">
        <v>0</v>
      </c>
      <c r="O469" t="n">
        <v>0</v>
      </c>
      <c r="P469" t="n">
        <v>0</v>
      </c>
      <c r="Q469" t="n">
        <v>0</v>
      </c>
      <c r="R469" s="2" t="inlineStr"/>
    </row>
    <row r="470" ht="15" customHeight="1">
      <c r="A470" t="inlineStr">
        <is>
          <t>A 38-2024</t>
        </is>
      </c>
      <c r="B470" s="1" t="n">
        <v>45293</v>
      </c>
      <c r="C470" s="1" t="n">
        <v>45936</v>
      </c>
      <c r="D470" t="inlineStr">
        <is>
          <t>JÄMTLANDS LÄN</t>
        </is>
      </c>
      <c r="E470" t="inlineStr">
        <is>
          <t>BERG</t>
        </is>
      </c>
      <c r="G470" t="n">
        <v>1.9</v>
      </c>
      <c r="H470" t="n">
        <v>0</v>
      </c>
      <c r="I470" t="n">
        <v>0</v>
      </c>
      <c r="J470" t="n">
        <v>0</v>
      </c>
      <c r="K470" t="n">
        <v>0</v>
      </c>
      <c r="L470" t="n">
        <v>0</v>
      </c>
      <c r="M470" t="n">
        <v>0</v>
      </c>
      <c r="N470" t="n">
        <v>0</v>
      </c>
      <c r="O470" t="n">
        <v>0</v>
      </c>
      <c r="P470" t="n">
        <v>0</v>
      </c>
      <c r="Q470" t="n">
        <v>0</v>
      </c>
      <c r="R470" s="2" t="inlineStr"/>
    </row>
    <row r="471" ht="15" customHeight="1">
      <c r="A471" t="inlineStr">
        <is>
          <t>A 32879-2024</t>
        </is>
      </c>
      <c r="B471" s="1" t="n">
        <v>45516.68450231481</v>
      </c>
      <c r="C471" s="1" t="n">
        <v>45936</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56226-2024</t>
        </is>
      </c>
      <c r="B472" s="1" t="n">
        <v>45624.61572916667</v>
      </c>
      <c r="C472" s="1" t="n">
        <v>45936</v>
      </c>
      <c r="D472" t="inlineStr">
        <is>
          <t>JÄMTLANDS LÄN</t>
        </is>
      </c>
      <c r="E472" t="inlineStr">
        <is>
          <t>BERG</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43762-2023</t>
        </is>
      </c>
      <c r="B473" s="1" t="n">
        <v>45182</v>
      </c>
      <c r="C473" s="1" t="n">
        <v>45936</v>
      </c>
      <c r="D473" t="inlineStr">
        <is>
          <t>JÄMTLANDS LÄN</t>
        </is>
      </c>
      <c r="E473" t="inlineStr">
        <is>
          <t>BERG</t>
        </is>
      </c>
      <c r="G473" t="n">
        <v>6.4</v>
      </c>
      <c r="H473" t="n">
        <v>0</v>
      </c>
      <c r="I473" t="n">
        <v>0</v>
      </c>
      <c r="J473" t="n">
        <v>0</v>
      </c>
      <c r="K473" t="n">
        <v>0</v>
      </c>
      <c r="L473" t="n">
        <v>0</v>
      </c>
      <c r="M473" t="n">
        <v>0</v>
      </c>
      <c r="N473" t="n">
        <v>0</v>
      </c>
      <c r="O473" t="n">
        <v>0</v>
      </c>
      <c r="P473" t="n">
        <v>0</v>
      </c>
      <c r="Q473" t="n">
        <v>0</v>
      </c>
      <c r="R473" s="2" t="inlineStr"/>
    </row>
    <row r="474" ht="15" customHeight="1">
      <c r="A474" t="inlineStr">
        <is>
          <t>A 22020-2024</t>
        </is>
      </c>
      <c r="B474" s="1" t="n">
        <v>45443.5894675926</v>
      </c>
      <c r="C474" s="1" t="n">
        <v>45936</v>
      </c>
      <c r="D474" t="inlineStr">
        <is>
          <t>JÄMTLANDS LÄN</t>
        </is>
      </c>
      <c r="E474" t="inlineStr">
        <is>
          <t>BERG</t>
        </is>
      </c>
      <c r="G474" t="n">
        <v>4.9</v>
      </c>
      <c r="H474" t="n">
        <v>0</v>
      </c>
      <c r="I474" t="n">
        <v>0</v>
      </c>
      <c r="J474" t="n">
        <v>0</v>
      </c>
      <c r="K474" t="n">
        <v>0</v>
      </c>
      <c r="L474" t="n">
        <v>0</v>
      </c>
      <c r="M474" t="n">
        <v>0</v>
      </c>
      <c r="N474" t="n">
        <v>0</v>
      </c>
      <c r="O474" t="n">
        <v>0</v>
      </c>
      <c r="P474" t="n">
        <v>0</v>
      </c>
      <c r="Q474" t="n">
        <v>0</v>
      </c>
      <c r="R474" s="2" t="inlineStr"/>
    </row>
    <row r="475" ht="15" customHeight="1">
      <c r="A475" t="inlineStr">
        <is>
          <t>A 17748-2024</t>
        </is>
      </c>
      <c r="B475" s="1" t="n">
        <v>45418</v>
      </c>
      <c r="C475" s="1" t="n">
        <v>45936</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41868-2024</t>
        </is>
      </c>
      <c r="B476" s="1" t="n">
        <v>45561.46900462963</v>
      </c>
      <c r="C476" s="1" t="n">
        <v>45936</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18833-2024</t>
        </is>
      </c>
      <c r="B477" s="1" t="n">
        <v>45426.65157407407</v>
      </c>
      <c r="C477" s="1" t="n">
        <v>45936</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51039-2024</t>
        </is>
      </c>
      <c r="B478" s="1" t="n">
        <v>45603.43164351852</v>
      </c>
      <c r="C478" s="1" t="n">
        <v>45936</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53877-2020</t>
        </is>
      </c>
      <c r="B479" s="1" t="n">
        <v>44123</v>
      </c>
      <c r="C479" s="1" t="n">
        <v>45936</v>
      </c>
      <c r="D479" t="inlineStr">
        <is>
          <t>JÄMTLANDS LÄN</t>
        </is>
      </c>
      <c r="E479" t="inlineStr">
        <is>
          <t>BERG</t>
        </is>
      </c>
      <c r="G479" t="n">
        <v>32.8</v>
      </c>
      <c r="H479" t="n">
        <v>0</v>
      </c>
      <c r="I479" t="n">
        <v>0</v>
      </c>
      <c r="J479" t="n">
        <v>0</v>
      </c>
      <c r="K479" t="n">
        <v>0</v>
      </c>
      <c r="L479" t="n">
        <v>0</v>
      </c>
      <c r="M479" t="n">
        <v>0</v>
      </c>
      <c r="N479" t="n">
        <v>0</v>
      </c>
      <c r="O479" t="n">
        <v>0</v>
      </c>
      <c r="P479" t="n">
        <v>0</v>
      </c>
      <c r="Q479" t="n">
        <v>0</v>
      </c>
      <c r="R479" s="2" t="inlineStr"/>
    </row>
    <row r="480" ht="15" customHeight="1">
      <c r="A480" t="inlineStr">
        <is>
          <t>A 60076-2024</t>
        </is>
      </c>
      <c r="B480" s="1" t="n">
        <v>45642.53166666667</v>
      </c>
      <c r="C480" s="1" t="n">
        <v>45936</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18261-2022</t>
        </is>
      </c>
      <c r="B481" s="1" t="n">
        <v>44685.45633101852</v>
      </c>
      <c r="C481" s="1" t="n">
        <v>45936</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62340-2020</t>
        </is>
      </c>
      <c r="B482" s="1" t="n">
        <v>44158</v>
      </c>
      <c r="C482" s="1" t="n">
        <v>45936</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58176-2024</t>
        </is>
      </c>
      <c r="B483" s="1" t="n">
        <v>45632.46771990741</v>
      </c>
      <c r="C483" s="1" t="n">
        <v>45936</v>
      </c>
      <c r="D483" t="inlineStr">
        <is>
          <t>JÄMTLANDS LÄN</t>
        </is>
      </c>
      <c r="E483" t="inlineStr">
        <is>
          <t>BERG</t>
        </is>
      </c>
      <c r="G483" t="n">
        <v>14.4</v>
      </c>
      <c r="H483" t="n">
        <v>0</v>
      </c>
      <c r="I483" t="n">
        <v>0</v>
      </c>
      <c r="J483" t="n">
        <v>0</v>
      </c>
      <c r="K483" t="n">
        <v>0</v>
      </c>
      <c r="L483" t="n">
        <v>0</v>
      </c>
      <c r="M483" t="n">
        <v>0</v>
      </c>
      <c r="N483" t="n">
        <v>0</v>
      </c>
      <c r="O483" t="n">
        <v>0</v>
      </c>
      <c r="P483" t="n">
        <v>0</v>
      </c>
      <c r="Q483" t="n">
        <v>0</v>
      </c>
      <c r="R483" s="2" t="inlineStr"/>
    </row>
    <row r="484" ht="15" customHeight="1">
      <c r="A484" t="inlineStr">
        <is>
          <t>A 32711-2024</t>
        </is>
      </c>
      <c r="B484" s="1" t="n">
        <v>45516</v>
      </c>
      <c r="C484" s="1" t="n">
        <v>45936</v>
      </c>
      <c r="D484" t="inlineStr">
        <is>
          <t>JÄMTLANDS LÄN</t>
        </is>
      </c>
      <c r="E484" t="inlineStr">
        <is>
          <t>BERG</t>
        </is>
      </c>
      <c r="G484" t="n">
        <v>0</v>
      </c>
      <c r="H484" t="n">
        <v>0</v>
      </c>
      <c r="I484" t="n">
        <v>0</v>
      </c>
      <c r="J484" t="n">
        <v>0</v>
      </c>
      <c r="K484" t="n">
        <v>0</v>
      </c>
      <c r="L484" t="n">
        <v>0</v>
      </c>
      <c r="M484" t="n">
        <v>0</v>
      </c>
      <c r="N484" t="n">
        <v>0</v>
      </c>
      <c r="O484" t="n">
        <v>0</v>
      </c>
      <c r="P484" t="n">
        <v>0</v>
      </c>
      <c r="Q484" t="n">
        <v>0</v>
      </c>
      <c r="R484" s="2" t="inlineStr"/>
    </row>
    <row r="485" ht="15" customHeight="1">
      <c r="A485" t="inlineStr">
        <is>
          <t>A 15992-2025</t>
        </is>
      </c>
      <c r="B485" s="1" t="n">
        <v>45749.58319444444</v>
      </c>
      <c r="C485" s="1" t="n">
        <v>45936</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2472-2025</t>
        </is>
      </c>
      <c r="B486" s="1" t="n">
        <v>45674.47341435185</v>
      </c>
      <c r="C486" s="1" t="n">
        <v>45936</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53085-2024</t>
        </is>
      </c>
      <c r="B487" s="1" t="n">
        <v>45611.51072916666</v>
      </c>
      <c r="C487" s="1" t="n">
        <v>45936</v>
      </c>
      <c r="D487" t="inlineStr">
        <is>
          <t>JÄMTLANDS LÄN</t>
        </is>
      </c>
      <c r="E487" t="inlineStr">
        <is>
          <t>BERG</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44997-2021</t>
        </is>
      </c>
      <c r="B488" s="1" t="n">
        <v>44438</v>
      </c>
      <c r="C488" s="1" t="n">
        <v>45936</v>
      </c>
      <c r="D488" t="inlineStr">
        <is>
          <t>JÄMTLANDS LÄN</t>
        </is>
      </c>
      <c r="E488" t="inlineStr">
        <is>
          <t>BERG</t>
        </is>
      </c>
      <c r="G488" t="n">
        <v>3.8</v>
      </c>
      <c r="H488" t="n">
        <v>0</v>
      </c>
      <c r="I488" t="n">
        <v>0</v>
      </c>
      <c r="J488" t="n">
        <v>0</v>
      </c>
      <c r="K488" t="n">
        <v>0</v>
      </c>
      <c r="L488" t="n">
        <v>0</v>
      </c>
      <c r="M488" t="n">
        <v>0</v>
      </c>
      <c r="N488" t="n">
        <v>0</v>
      </c>
      <c r="O488" t="n">
        <v>0</v>
      </c>
      <c r="P488" t="n">
        <v>0</v>
      </c>
      <c r="Q488" t="n">
        <v>0</v>
      </c>
      <c r="R488" s="2" t="inlineStr"/>
    </row>
    <row r="489" ht="15" customHeight="1">
      <c r="A489" t="inlineStr">
        <is>
          <t>A 8239-2024</t>
        </is>
      </c>
      <c r="B489" s="1" t="n">
        <v>45351</v>
      </c>
      <c r="C489" s="1" t="n">
        <v>45936</v>
      </c>
      <c r="D489" t="inlineStr">
        <is>
          <t>JÄMTLANDS LÄN</t>
        </is>
      </c>
      <c r="E489" t="inlineStr">
        <is>
          <t>BERG</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46991-2024</t>
        </is>
      </c>
      <c r="B490" s="1" t="n">
        <v>45586.365625</v>
      </c>
      <c r="C490" s="1" t="n">
        <v>45936</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6982-2025</t>
        </is>
      </c>
      <c r="B491" s="1" t="n">
        <v>45701.55769675926</v>
      </c>
      <c r="C491" s="1" t="n">
        <v>45936</v>
      </c>
      <c r="D491" t="inlineStr">
        <is>
          <t>JÄMTLANDS LÄN</t>
        </is>
      </c>
      <c r="E491" t="inlineStr">
        <is>
          <t>BERG</t>
        </is>
      </c>
      <c r="G491" t="n">
        <v>6.8</v>
      </c>
      <c r="H491" t="n">
        <v>0</v>
      </c>
      <c r="I491" t="n">
        <v>0</v>
      </c>
      <c r="J491" t="n">
        <v>0</v>
      </c>
      <c r="K491" t="n">
        <v>0</v>
      </c>
      <c r="L491" t="n">
        <v>0</v>
      </c>
      <c r="M491" t="n">
        <v>0</v>
      </c>
      <c r="N491" t="n">
        <v>0</v>
      </c>
      <c r="O491" t="n">
        <v>0</v>
      </c>
      <c r="P491" t="n">
        <v>0</v>
      </c>
      <c r="Q491" t="n">
        <v>0</v>
      </c>
      <c r="R491" s="2" t="inlineStr"/>
    </row>
    <row r="492" ht="15" customHeight="1">
      <c r="A492" t="inlineStr">
        <is>
          <t>A 46853-2025</t>
        </is>
      </c>
      <c r="B492" s="1" t="n">
        <v>45928.86563657408</v>
      </c>
      <c r="C492" s="1" t="n">
        <v>45936</v>
      </c>
      <c r="D492" t="inlineStr">
        <is>
          <t>JÄMTLANDS LÄN</t>
        </is>
      </c>
      <c r="E492" t="inlineStr">
        <is>
          <t>BERG</t>
        </is>
      </c>
      <c r="F492" t="inlineStr">
        <is>
          <t>Kyrkan</t>
        </is>
      </c>
      <c r="G492" t="n">
        <v>7.9</v>
      </c>
      <c r="H492" t="n">
        <v>0</v>
      </c>
      <c r="I492" t="n">
        <v>0</v>
      </c>
      <c r="J492" t="n">
        <v>0</v>
      </c>
      <c r="K492" t="n">
        <v>0</v>
      </c>
      <c r="L492" t="n">
        <v>0</v>
      </c>
      <c r="M492" t="n">
        <v>0</v>
      </c>
      <c r="N492" t="n">
        <v>0</v>
      </c>
      <c r="O492" t="n">
        <v>0</v>
      </c>
      <c r="P492" t="n">
        <v>0</v>
      </c>
      <c r="Q492" t="n">
        <v>0</v>
      </c>
      <c r="R492" s="2" t="inlineStr"/>
    </row>
    <row r="493" ht="15" customHeight="1">
      <c r="A493" t="inlineStr">
        <is>
          <t>A 53950-2020</t>
        </is>
      </c>
      <c r="B493" s="1" t="n">
        <v>44123</v>
      </c>
      <c r="C493" s="1" t="n">
        <v>45936</v>
      </c>
      <c r="D493" t="inlineStr">
        <is>
          <t>JÄMTLANDS LÄN</t>
        </is>
      </c>
      <c r="E493" t="inlineStr">
        <is>
          <t>BERG</t>
        </is>
      </c>
      <c r="G493" t="n">
        <v>11.8</v>
      </c>
      <c r="H493" t="n">
        <v>0</v>
      </c>
      <c r="I493" t="n">
        <v>0</v>
      </c>
      <c r="J493" t="n">
        <v>0</v>
      </c>
      <c r="K493" t="n">
        <v>0</v>
      </c>
      <c r="L493" t="n">
        <v>0</v>
      </c>
      <c r="M493" t="n">
        <v>0</v>
      </c>
      <c r="N493" t="n">
        <v>0</v>
      </c>
      <c r="O493" t="n">
        <v>0</v>
      </c>
      <c r="P493" t="n">
        <v>0</v>
      </c>
      <c r="Q493" t="n">
        <v>0</v>
      </c>
      <c r="R493" s="2" t="inlineStr"/>
    </row>
    <row r="494" ht="15" customHeight="1">
      <c r="A494" t="inlineStr">
        <is>
          <t>A 46811-2025</t>
        </is>
      </c>
      <c r="B494" s="1" t="n">
        <v>45926.69831018519</v>
      </c>
      <c r="C494" s="1" t="n">
        <v>45936</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13473-2025</t>
        </is>
      </c>
      <c r="B495" s="1" t="n">
        <v>45736.40671296296</v>
      </c>
      <c r="C495" s="1" t="n">
        <v>45936</v>
      </c>
      <c r="D495" t="inlineStr">
        <is>
          <t>JÄMTLANDS LÄN</t>
        </is>
      </c>
      <c r="E495" t="inlineStr">
        <is>
          <t>BERG</t>
        </is>
      </c>
      <c r="F495" t="inlineStr">
        <is>
          <t>SCA</t>
        </is>
      </c>
      <c r="G495" t="n">
        <v>13.7</v>
      </c>
      <c r="H495" t="n">
        <v>0</v>
      </c>
      <c r="I495" t="n">
        <v>0</v>
      </c>
      <c r="J495" t="n">
        <v>0</v>
      </c>
      <c r="K495" t="n">
        <v>0</v>
      </c>
      <c r="L495" t="n">
        <v>0</v>
      </c>
      <c r="M495" t="n">
        <v>0</v>
      </c>
      <c r="N495" t="n">
        <v>0</v>
      </c>
      <c r="O495" t="n">
        <v>0</v>
      </c>
      <c r="P495" t="n">
        <v>0</v>
      </c>
      <c r="Q495" t="n">
        <v>0</v>
      </c>
      <c r="R495" s="2" t="inlineStr"/>
    </row>
    <row r="496" ht="15" customHeight="1">
      <c r="A496" t="inlineStr">
        <is>
          <t>A 65207-2023</t>
        </is>
      </c>
      <c r="B496" s="1" t="n">
        <v>45289</v>
      </c>
      <c r="C496" s="1" t="n">
        <v>45936</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32064-2023</t>
        </is>
      </c>
      <c r="B497" s="1" t="n">
        <v>45119.57108796296</v>
      </c>
      <c r="C497" s="1" t="n">
        <v>45936</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59498-2024</t>
        </is>
      </c>
      <c r="B498" s="1" t="n">
        <v>45638.54635416667</v>
      </c>
      <c r="C498" s="1" t="n">
        <v>45936</v>
      </c>
      <c r="D498" t="inlineStr">
        <is>
          <t>JÄMTLANDS LÄN</t>
        </is>
      </c>
      <c r="E498" t="inlineStr">
        <is>
          <t>BERG</t>
        </is>
      </c>
      <c r="G498" t="n">
        <v>2.4</v>
      </c>
      <c r="H498" t="n">
        <v>0</v>
      </c>
      <c r="I498" t="n">
        <v>0</v>
      </c>
      <c r="J498" t="n">
        <v>0</v>
      </c>
      <c r="K498" t="n">
        <v>0</v>
      </c>
      <c r="L498" t="n">
        <v>0</v>
      </c>
      <c r="M498" t="n">
        <v>0</v>
      </c>
      <c r="N498" t="n">
        <v>0</v>
      </c>
      <c r="O498" t="n">
        <v>0</v>
      </c>
      <c r="P498" t="n">
        <v>0</v>
      </c>
      <c r="Q498" t="n">
        <v>0</v>
      </c>
      <c r="R498" s="2" t="inlineStr"/>
    </row>
    <row r="499" ht="15" customHeight="1">
      <c r="A499" t="inlineStr">
        <is>
          <t>A 44313-2023</t>
        </is>
      </c>
      <c r="B499" s="1" t="n">
        <v>45188.6505787037</v>
      </c>
      <c r="C499" s="1" t="n">
        <v>45936</v>
      </c>
      <c r="D499" t="inlineStr">
        <is>
          <t>JÄMTLANDS LÄN</t>
        </is>
      </c>
      <c r="E499" t="inlineStr">
        <is>
          <t>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46908-2025</t>
        </is>
      </c>
      <c r="B500" s="1" t="n">
        <v>45929.40664351852</v>
      </c>
      <c r="C500" s="1" t="n">
        <v>45936</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47119-2024</t>
        </is>
      </c>
      <c r="B501" s="1" t="n">
        <v>45586.56431712963</v>
      </c>
      <c r="C501" s="1" t="n">
        <v>45936</v>
      </c>
      <c r="D501" t="inlineStr">
        <is>
          <t>JÄMTLANDS LÄN</t>
        </is>
      </c>
      <c r="E501" t="inlineStr">
        <is>
          <t>BERG</t>
        </is>
      </c>
      <c r="G501" t="n">
        <v>5</v>
      </c>
      <c r="H501" t="n">
        <v>0</v>
      </c>
      <c r="I501" t="n">
        <v>0</v>
      </c>
      <c r="J501" t="n">
        <v>0</v>
      </c>
      <c r="K501" t="n">
        <v>0</v>
      </c>
      <c r="L501" t="n">
        <v>0</v>
      </c>
      <c r="M501" t="n">
        <v>0</v>
      </c>
      <c r="N501" t="n">
        <v>0</v>
      </c>
      <c r="O501" t="n">
        <v>0</v>
      </c>
      <c r="P501" t="n">
        <v>0</v>
      </c>
      <c r="Q501" t="n">
        <v>0</v>
      </c>
      <c r="R501" s="2" t="inlineStr"/>
    </row>
    <row r="502" ht="15" customHeight="1">
      <c r="A502" t="inlineStr">
        <is>
          <t>A 1646-2021</t>
        </is>
      </c>
      <c r="B502" s="1" t="n">
        <v>44209</v>
      </c>
      <c r="C502" s="1" t="n">
        <v>45936</v>
      </c>
      <c r="D502" t="inlineStr">
        <is>
          <t>JÄMTLANDS LÄN</t>
        </is>
      </c>
      <c r="E502" t="inlineStr">
        <is>
          <t>BERG</t>
        </is>
      </c>
      <c r="G502" t="n">
        <v>0.1</v>
      </c>
      <c r="H502" t="n">
        <v>0</v>
      </c>
      <c r="I502" t="n">
        <v>0</v>
      </c>
      <c r="J502" t="n">
        <v>0</v>
      </c>
      <c r="K502" t="n">
        <v>0</v>
      </c>
      <c r="L502" t="n">
        <v>0</v>
      </c>
      <c r="M502" t="n">
        <v>0</v>
      </c>
      <c r="N502" t="n">
        <v>0</v>
      </c>
      <c r="O502" t="n">
        <v>0</v>
      </c>
      <c r="P502" t="n">
        <v>0</v>
      </c>
      <c r="Q502" t="n">
        <v>0</v>
      </c>
      <c r="R502" s="2" t="inlineStr"/>
    </row>
    <row r="503" ht="15" customHeight="1">
      <c r="A503" t="inlineStr">
        <is>
          <t>A 47141-2025</t>
        </is>
      </c>
      <c r="B503" s="1" t="n">
        <v>45929.70355324074</v>
      </c>
      <c r="C503" s="1" t="n">
        <v>45936</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50169-2023</t>
        </is>
      </c>
      <c r="B504" s="1" t="n">
        <v>45208</v>
      </c>
      <c r="C504" s="1" t="n">
        <v>45936</v>
      </c>
      <c r="D504" t="inlineStr">
        <is>
          <t>JÄMTLANDS LÄN</t>
        </is>
      </c>
      <c r="E504" t="inlineStr">
        <is>
          <t>BERG</t>
        </is>
      </c>
      <c r="G504" t="n">
        <v>3.9</v>
      </c>
      <c r="H504" t="n">
        <v>0</v>
      </c>
      <c r="I504" t="n">
        <v>0</v>
      </c>
      <c r="J504" t="n">
        <v>0</v>
      </c>
      <c r="K504" t="n">
        <v>0</v>
      </c>
      <c r="L504" t="n">
        <v>0</v>
      </c>
      <c r="M504" t="n">
        <v>0</v>
      </c>
      <c r="N504" t="n">
        <v>0</v>
      </c>
      <c r="O504" t="n">
        <v>0</v>
      </c>
      <c r="P504" t="n">
        <v>0</v>
      </c>
      <c r="Q504" t="n">
        <v>0</v>
      </c>
      <c r="R504" s="2" t="inlineStr"/>
    </row>
    <row r="505" ht="15" customHeight="1">
      <c r="A505" t="inlineStr">
        <is>
          <t>A 50172-2023</t>
        </is>
      </c>
      <c r="B505" s="1" t="n">
        <v>45208</v>
      </c>
      <c r="C505" s="1" t="n">
        <v>45936</v>
      </c>
      <c r="D505" t="inlineStr">
        <is>
          <t>JÄMTLANDS LÄN</t>
        </is>
      </c>
      <c r="E505" t="inlineStr">
        <is>
          <t>BERG</t>
        </is>
      </c>
      <c r="G505" t="n">
        <v>0.9</v>
      </c>
      <c r="H505" t="n">
        <v>0</v>
      </c>
      <c r="I505" t="n">
        <v>0</v>
      </c>
      <c r="J505" t="n">
        <v>0</v>
      </c>
      <c r="K505" t="n">
        <v>0</v>
      </c>
      <c r="L505" t="n">
        <v>0</v>
      </c>
      <c r="M505" t="n">
        <v>0</v>
      </c>
      <c r="N505" t="n">
        <v>0</v>
      </c>
      <c r="O505" t="n">
        <v>0</v>
      </c>
      <c r="P505" t="n">
        <v>0</v>
      </c>
      <c r="Q505" t="n">
        <v>0</v>
      </c>
      <c r="R505" s="2" t="inlineStr"/>
    </row>
    <row r="506" ht="15" customHeight="1">
      <c r="A506" t="inlineStr">
        <is>
          <t>A 34819-2023</t>
        </is>
      </c>
      <c r="B506" s="1" t="n">
        <v>45140</v>
      </c>
      <c r="C506" s="1" t="n">
        <v>45936</v>
      </c>
      <c r="D506" t="inlineStr">
        <is>
          <t>JÄMTLANDS LÄN</t>
        </is>
      </c>
      <c r="E506" t="inlineStr">
        <is>
          <t>BERG</t>
        </is>
      </c>
      <c r="G506" t="n">
        <v>0.8</v>
      </c>
      <c r="H506" t="n">
        <v>0</v>
      </c>
      <c r="I506" t="n">
        <v>0</v>
      </c>
      <c r="J506" t="n">
        <v>0</v>
      </c>
      <c r="K506" t="n">
        <v>0</v>
      </c>
      <c r="L506" t="n">
        <v>0</v>
      </c>
      <c r="M506" t="n">
        <v>0</v>
      </c>
      <c r="N506" t="n">
        <v>0</v>
      </c>
      <c r="O506" t="n">
        <v>0</v>
      </c>
      <c r="P506" t="n">
        <v>0</v>
      </c>
      <c r="Q506" t="n">
        <v>0</v>
      </c>
      <c r="R506" s="2" t="inlineStr"/>
    </row>
    <row r="507" ht="15" customHeight="1">
      <c r="A507" t="inlineStr">
        <is>
          <t>A 2474-2025</t>
        </is>
      </c>
      <c r="B507" s="1" t="n">
        <v>45674.47496527778</v>
      </c>
      <c r="C507" s="1" t="n">
        <v>45936</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41886-2024</t>
        </is>
      </c>
      <c r="B508" s="1" t="n">
        <v>45561.48825231481</v>
      </c>
      <c r="C508" s="1" t="n">
        <v>45936</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50780-2021</t>
        </is>
      </c>
      <c r="B509" s="1" t="n">
        <v>44459</v>
      </c>
      <c r="C509" s="1" t="n">
        <v>45936</v>
      </c>
      <c r="D509" t="inlineStr">
        <is>
          <t>JÄMTLANDS LÄN</t>
        </is>
      </c>
      <c r="E509" t="inlineStr">
        <is>
          <t>BERG</t>
        </is>
      </c>
      <c r="G509" t="n">
        <v>3.5</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45936</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49277-2024</t>
        </is>
      </c>
      <c r="B511" s="1" t="n">
        <v>45595.50820601852</v>
      </c>
      <c r="C511" s="1" t="n">
        <v>45936</v>
      </c>
      <c r="D511" t="inlineStr">
        <is>
          <t>JÄMTLANDS LÄN</t>
        </is>
      </c>
      <c r="E511" t="inlineStr">
        <is>
          <t>BERG</t>
        </is>
      </c>
      <c r="G511" t="n">
        <v>1.3</v>
      </c>
      <c r="H511" t="n">
        <v>0</v>
      </c>
      <c r="I511" t="n">
        <v>0</v>
      </c>
      <c r="J511" t="n">
        <v>0</v>
      </c>
      <c r="K511" t="n">
        <v>0</v>
      </c>
      <c r="L511" t="n">
        <v>0</v>
      </c>
      <c r="M511" t="n">
        <v>0</v>
      </c>
      <c r="N511" t="n">
        <v>0</v>
      </c>
      <c r="O511" t="n">
        <v>0</v>
      </c>
      <c r="P511" t="n">
        <v>0</v>
      </c>
      <c r="Q511" t="n">
        <v>0</v>
      </c>
      <c r="R511" s="2" t="inlineStr"/>
    </row>
    <row r="512" ht="15" customHeight="1">
      <c r="A512" t="inlineStr">
        <is>
          <t>A 34225-2024</t>
        </is>
      </c>
      <c r="B512" s="1" t="n">
        <v>45524.55398148148</v>
      </c>
      <c r="C512" s="1" t="n">
        <v>45936</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19538-2023</t>
        </is>
      </c>
      <c r="B513" s="1" t="n">
        <v>45050</v>
      </c>
      <c r="C513" s="1" t="n">
        <v>45936</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9077-2023</t>
        </is>
      </c>
      <c r="B514" s="1" t="n">
        <v>44979</v>
      </c>
      <c r="C514" s="1" t="n">
        <v>45936</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43279-2024</t>
        </is>
      </c>
      <c r="B515" s="1" t="n">
        <v>45568.3975462963</v>
      </c>
      <c r="C515" s="1" t="n">
        <v>45936</v>
      </c>
      <c r="D515" t="inlineStr">
        <is>
          <t>JÄMTLANDS LÄN</t>
        </is>
      </c>
      <c r="E515" t="inlineStr">
        <is>
          <t>BERG</t>
        </is>
      </c>
      <c r="G515" t="n">
        <v>7.6</v>
      </c>
      <c r="H515" t="n">
        <v>0</v>
      </c>
      <c r="I515" t="n">
        <v>0</v>
      </c>
      <c r="J515" t="n">
        <v>0</v>
      </c>
      <c r="K515" t="n">
        <v>0</v>
      </c>
      <c r="L515" t="n">
        <v>0</v>
      </c>
      <c r="M515" t="n">
        <v>0</v>
      </c>
      <c r="N515" t="n">
        <v>0</v>
      </c>
      <c r="O515" t="n">
        <v>0</v>
      </c>
      <c r="P515" t="n">
        <v>0</v>
      </c>
      <c r="Q515" t="n">
        <v>0</v>
      </c>
      <c r="R515" s="2" t="inlineStr"/>
    </row>
    <row r="516" ht="15" customHeight="1">
      <c r="A516" t="inlineStr">
        <is>
          <t>A 18752-2024</t>
        </is>
      </c>
      <c r="B516" s="1" t="n">
        <v>45426.54224537037</v>
      </c>
      <c r="C516" s="1" t="n">
        <v>45936</v>
      </c>
      <c r="D516" t="inlineStr">
        <is>
          <t>JÄMTLANDS LÄN</t>
        </is>
      </c>
      <c r="E516" t="inlineStr">
        <is>
          <t>BERG</t>
        </is>
      </c>
      <c r="G516" t="n">
        <v>0.7</v>
      </c>
      <c r="H516" t="n">
        <v>0</v>
      </c>
      <c r="I516" t="n">
        <v>0</v>
      </c>
      <c r="J516" t="n">
        <v>0</v>
      </c>
      <c r="K516" t="n">
        <v>0</v>
      </c>
      <c r="L516" t="n">
        <v>0</v>
      </c>
      <c r="M516" t="n">
        <v>0</v>
      </c>
      <c r="N516" t="n">
        <v>0</v>
      </c>
      <c r="O516" t="n">
        <v>0</v>
      </c>
      <c r="P516" t="n">
        <v>0</v>
      </c>
      <c r="Q516" t="n">
        <v>0</v>
      </c>
      <c r="R516" s="2" t="inlineStr"/>
    </row>
    <row r="517" ht="15" customHeight="1">
      <c r="A517" t="inlineStr">
        <is>
          <t>A 37093-2024</t>
        </is>
      </c>
      <c r="B517" s="1" t="n">
        <v>45539.50018518518</v>
      </c>
      <c r="C517" s="1" t="n">
        <v>45936</v>
      </c>
      <c r="D517" t="inlineStr">
        <is>
          <t>JÄMTLANDS LÄN</t>
        </is>
      </c>
      <c r="E517" t="inlineStr">
        <is>
          <t>BERG</t>
        </is>
      </c>
      <c r="F517" t="inlineStr">
        <is>
          <t>Övriga Aktiebolag</t>
        </is>
      </c>
      <c r="G517" t="n">
        <v>15.4</v>
      </c>
      <c r="H517" t="n">
        <v>0</v>
      </c>
      <c r="I517" t="n">
        <v>0</v>
      </c>
      <c r="J517" t="n">
        <v>0</v>
      </c>
      <c r="K517" t="n">
        <v>0</v>
      </c>
      <c r="L517" t="n">
        <v>0</v>
      </c>
      <c r="M517" t="n">
        <v>0</v>
      </c>
      <c r="N517" t="n">
        <v>0</v>
      </c>
      <c r="O517" t="n">
        <v>0</v>
      </c>
      <c r="P517" t="n">
        <v>0</v>
      </c>
      <c r="Q517" t="n">
        <v>0</v>
      </c>
      <c r="R517" s="2" t="inlineStr"/>
    </row>
    <row r="518" ht="15" customHeight="1">
      <c r="A518" t="inlineStr">
        <is>
          <t>A 64486-2023</t>
        </is>
      </c>
      <c r="B518" s="1" t="n">
        <v>45280</v>
      </c>
      <c r="C518" s="1" t="n">
        <v>45936</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64488-2023</t>
        </is>
      </c>
      <c r="B519" s="1" t="n">
        <v>45280.92618055556</v>
      </c>
      <c r="C519" s="1" t="n">
        <v>45936</v>
      </c>
      <c r="D519" t="inlineStr">
        <is>
          <t>JÄMTLANDS LÄN</t>
        </is>
      </c>
      <c r="E519" t="inlineStr">
        <is>
          <t>BERG</t>
        </is>
      </c>
      <c r="F519" t="inlineStr">
        <is>
          <t>Övriga Aktiebolag</t>
        </is>
      </c>
      <c r="G519" t="n">
        <v>7.1</v>
      </c>
      <c r="H519" t="n">
        <v>0</v>
      </c>
      <c r="I519" t="n">
        <v>0</v>
      </c>
      <c r="J519" t="n">
        <v>0</v>
      </c>
      <c r="K519" t="n">
        <v>0</v>
      </c>
      <c r="L519" t="n">
        <v>0</v>
      </c>
      <c r="M519" t="n">
        <v>0</v>
      </c>
      <c r="N519" t="n">
        <v>0</v>
      </c>
      <c r="O519" t="n">
        <v>0</v>
      </c>
      <c r="P519" t="n">
        <v>0</v>
      </c>
      <c r="Q519" t="n">
        <v>0</v>
      </c>
      <c r="R519" s="2" t="inlineStr"/>
    </row>
    <row r="520" ht="15" customHeight="1">
      <c r="A520" t="inlineStr">
        <is>
          <t>A 58817-2024</t>
        </is>
      </c>
      <c r="B520" s="1" t="n">
        <v>45636.35909722222</v>
      </c>
      <c r="C520" s="1" t="n">
        <v>45936</v>
      </c>
      <c r="D520" t="inlineStr">
        <is>
          <t>JÄMTLANDS LÄN</t>
        </is>
      </c>
      <c r="E520" t="inlineStr">
        <is>
          <t>BERG</t>
        </is>
      </c>
      <c r="G520" t="n">
        <v>1.5</v>
      </c>
      <c r="H520" t="n">
        <v>0</v>
      </c>
      <c r="I520" t="n">
        <v>0</v>
      </c>
      <c r="J520" t="n">
        <v>0</v>
      </c>
      <c r="K520" t="n">
        <v>0</v>
      </c>
      <c r="L520" t="n">
        <v>0</v>
      </c>
      <c r="M520" t="n">
        <v>0</v>
      </c>
      <c r="N520" t="n">
        <v>0</v>
      </c>
      <c r="O520" t="n">
        <v>0</v>
      </c>
      <c r="P520" t="n">
        <v>0</v>
      </c>
      <c r="Q520" t="n">
        <v>0</v>
      </c>
      <c r="R520" s="2" t="inlineStr"/>
    </row>
    <row r="521" ht="15" customHeight="1">
      <c r="A521" t="inlineStr">
        <is>
          <t>A 53886-2020</t>
        </is>
      </c>
      <c r="B521" s="1" t="n">
        <v>44123</v>
      </c>
      <c r="C521" s="1" t="n">
        <v>45936</v>
      </c>
      <c r="D521" t="inlineStr">
        <is>
          <t>JÄMTLANDS LÄN</t>
        </is>
      </c>
      <c r="E521" t="inlineStr">
        <is>
          <t>BERG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45936</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19181-2025</t>
        </is>
      </c>
      <c r="B523" s="1" t="n">
        <v>45769.40174768519</v>
      </c>
      <c r="C523" s="1" t="n">
        <v>45936</v>
      </c>
      <c r="D523" t="inlineStr">
        <is>
          <t>JÄMTLANDS LÄN</t>
        </is>
      </c>
      <c r="E523" t="inlineStr">
        <is>
          <t>BERG</t>
        </is>
      </c>
      <c r="G523" t="n">
        <v>4.4</v>
      </c>
      <c r="H523" t="n">
        <v>0</v>
      </c>
      <c r="I523" t="n">
        <v>0</v>
      </c>
      <c r="J523" t="n">
        <v>0</v>
      </c>
      <c r="K523" t="n">
        <v>0</v>
      </c>
      <c r="L523" t="n">
        <v>0</v>
      </c>
      <c r="M523" t="n">
        <v>0</v>
      </c>
      <c r="N523" t="n">
        <v>0</v>
      </c>
      <c r="O523" t="n">
        <v>0</v>
      </c>
      <c r="P523" t="n">
        <v>0</v>
      </c>
      <c r="Q523" t="n">
        <v>0</v>
      </c>
      <c r="R523" s="2" t="inlineStr"/>
    </row>
    <row r="524" ht="15" customHeight="1">
      <c r="A524" t="inlineStr">
        <is>
          <t>A 19891-2025</t>
        </is>
      </c>
      <c r="B524" s="1" t="n">
        <v>45771.5743287037</v>
      </c>
      <c r="C524" s="1" t="n">
        <v>45936</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30917-2024</t>
        </is>
      </c>
      <c r="B525" s="1" t="n">
        <v>45498.66611111111</v>
      </c>
      <c r="C525" s="1" t="n">
        <v>45936</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14341-2025</t>
        </is>
      </c>
      <c r="B526" s="1" t="n">
        <v>45741.26008101852</v>
      </c>
      <c r="C526" s="1" t="n">
        <v>45936</v>
      </c>
      <c r="D526" t="inlineStr">
        <is>
          <t>JÄMTLANDS LÄN</t>
        </is>
      </c>
      <c r="E526" t="inlineStr">
        <is>
          <t>BERG</t>
        </is>
      </c>
      <c r="G526" t="n">
        <v>3.8</v>
      </c>
      <c r="H526" t="n">
        <v>0</v>
      </c>
      <c r="I526" t="n">
        <v>0</v>
      </c>
      <c r="J526" t="n">
        <v>0</v>
      </c>
      <c r="K526" t="n">
        <v>0</v>
      </c>
      <c r="L526" t="n">
        <v>0</v>
      </c>
      <c r="M526" t="n">
        <v>0</v>
      </c>
      <c r="N526" t="n">
        <v>0</v>
      </c>
      <c r="O526" t="n">
        <v>0</v>
      </c>
      <c r="P526" t="n">
        <v>0</v>
      </c>
      <c r="Q526" t="n">
        <v>0</v>
      </c>
      <c r="R526" s="2" t="inlineStr"/>
    </row>
    <row r="527" ht="15" customHeight="1">
      <c r="A527" t="inlineStr">
        <is>
          <t>A 10861-2024</t>
        </is>
      </c>
      <c r="B527" s="1" t="n">
        <v>45370.01967592593</v>
      </c>
      <c r="C527" s="1" t="n">
        <v>45936</v>
      </c>
      <c r="D527" t="inlineStr">
        <is>
          <t>JÄMTLANDS LÄN</t>
        </is>
      </c>
      <c r="E527" t="inlineStr">
        <is>
          <t>BERG</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47430-2025</t>
        </is>
      </c>
      <c r="B528" s="1" t="n">
        <v>45930.63619212963</v>
      </c>
      <c r="C528" s="1" t="n">
        <v>45936</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47193-2025</t>
        </is>
      </c>
      <c r="B529" s="1" t="n">
        <v>45930.34469907408</v>
      </c>
      <c r="C529" s="1" t="n">
        <v>45936</v>
      </c>
      <c r="D529" t="inlineStr">
        <is>
          <t>JÄMTLANDS LÄN</t>
        </is>
      </c>
      <c r="E529" t="inlineStr">
        <is>
          <t>BERG</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47197-2025</t>
        </is>
      </c>
      <c r="B530" s="1" t="n">
        <v>45930.34533564815</v>
      </c>
      <c r="C530" s="1" t="n">
        <v>45936</v>
      </c>
      <c r="D530" t="inlineStr">
        <is>
          <t>JÄMTLANDS LÄN</t>
        </is>
      </c>
      <c r="E530" t="inlineStr">
        <is>
          <t>BERG</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59634-2022</t>
        </is>
      </c>
      <c r="B531" s="1" t="n">
        <v>44907.9645949074</v>
      </c>
      <c r="C531" s="1" t="n">
        <v>45936</v>
      </c>
      <c r="D531" t="inlineStr">
        <is>
          <t>JÄMTLANDS LÄN</t>
        </is>
      </c>
      <c r="E531" t="inlineStr">
        <is>
          <t>BERG</t>
        </is>
      </c>
      <c r="G531" t="n">
        <v>1.2</v>
      </c>
      <c r="H531" t="n">
        <v>0</v>
      </c>
      <c r="I531" t="n">
        <v>0</v>
      </c>
      <c r="J531" t="n">
        <v>0</v>
      </c>
      <c r="K531" t="n">
        <v>0</v>
      </c>
      <c r="L531" t="n">
        <v>0</v>
      </c>
      <c r="M531" t="n">
        <v>0</v>
      </c>
      <c r="N531" t="n">
        <v>0</v>
      </c>
      <c r="O531" t="n">
        <v>0</v>
      </c>
      <c r="P531" t="n">
        <v>0</v>
      </c>
      <c r="Q531" t="n">
        <v>0</v>
      </c>
      <c r="R531" s="2" t="inlineStr"/>
    </row>
    <row r="532" ht="15" customHeight="1">
      <c r="A532" t="inlineStr">
        <is>
          <t>A 46816-2023</t>
        </is>
      </c>
      <c r="B532" s="1" t="n">
        <v>45198</v>
      </c>
      <c r="C532" s="1" t="n">
        <v>45936</v>
      </c>
      <c r="D532" t="inlineStr">
        <is>
          <t>JÄMTLANDS LÄN</t>
        </is>
      </c>
      <c r="E532" t="inlineStr">
        <is>
          <t>BERG</t>
        </is>
      </c>
      <c r="F532" t="inlineStr">
        <is>
          <t>SCA</t>
        </is>
      </c>
      <c r="G532" t="n">
        <v>66.2</v>
      </c>
      <c r="H532" t="n">
        <v>0</v>
      </c>
      <c r="I532" t="n">
        <v>0</v>
      </c>
      <c r="J532" t="n">
        <v>0</v>
      </c>
      <c r="K532" t="n">
        <v>0</v>
      </c>
      <c r="L532" t="n">
        <v>0</v>
      </c>
      <c r="M532" t="n">
        <v>0</v>
      </c>
      <c r="N532" t="n">
        <v>0</v>
      </c>
      <c r="O532" t="n">
        <v>0</v>
      </c>
      <c r="P532" t="n">
        <v>0</v>
      </c>
      <c r="Q532" t="n">
        <v>0</v>
      </c>
      <c r="R532" s="2" t="inlineStr"/>
    </row>
    <row r="533" ht="15" customHeight="1">
      <c r="A533" t="inlineStr">
        <is>
          <t>A 13108-2025</t>
        </is>
      </c>
      <c r="B533" s="1" t="n">
        <v>45734</v>
      </c>
      <c r="C533" s="1" t="n">
        <v>45936</v>
      </c>
      <c r="D533" t="inlineStr">
        <is>
          <t>JÄMTLANDS LÄN</t>
        </is>
      </c>
      <c r="E533" t="inlineStr">
        <is>
          <t>BERG</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45936</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49555-2023</t>
        </is>
      </c>
      <c r="B535" s="1" t="n">
        <v>45205</v>
      </c>
      <c r="C535" s="1" t="n">
        <v>45936</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5215-2024</t>
        </is>
      </c>
      <c r="B536" s="1" t="n">
        <v>45330</v>
      </c>
      <c r="C536" s="1" t="n">
        <v>45936</v>
      </c>
      <c r="D536" t="inlineStr">
        <is>
          <t>JÄMTLANDS LÄN</t>
        </is>
      </c>
      <c r="E536" t="inlineStr">
        <is>
          <t>BERG</t>
        </is>
      </c>
      <c r="G536" t="n">
        <v>0.8</v>
      </c>
      <c r="H536" t="n">
        <v>0</v>
      </c>
      <c r="I536" t="n">
        <v>0</v>
      </c>
      <c r="J536" t="n">
        <v>0</v>
      </c>
      <c r="K536" t="n">
        <v>0</v>
      </c>
      <c r="L536" t="n">
        <v>0</v>
      </c>
      <c r="M536" t="n">
        <v>0</v>
      </c>
      <c r="N536" t="n">
        <v>0</v>
      </c>
      <c r="O536" t="n">
        <v>0</v>
      </c>
      <c r="P536" t="n">
        <v>0</v>
      </c>
      <c r="Q536" t="n">
        <v>0</v>
      </c>
      <c r="R536" s="2" t="inlineStr"/>
    </row>
    <row r="537" ht="15" customHeight="1">
      <c r="A537" t="inlineStr">
        <is>
          <t>A 32178-2024</t>
        </is>
      </c>
      <c r="B537" s="1" t="n">
        <v>45511</v>
      </c>
      <c r="C537" s="1" t="n">
        <v>45936</v>
      </c>
      <c r="D537" t="inlineStr">
        <is>
          <t>JÄMTLANDS LÄN</t>
        </is>
      </c>
      <c r="E537" t="inlineStr">
        <is>
          <t>BERG</t>
        </is>
      </c>
      <c r="G537" t="n">
        <v>11.4</v>
      </c>
      <c r="H537" t="n">
        <v>0</v>
      </c>
      <c r="I537" t="n">
        <v>0</v>
      </c>
      <c r="J537" t="n">
        <v>0</v>
      </c>
      <c r="K537" t="n">
        <v>0</v>
      </c>
      <c r="L537" t="n">
        <v>0</v>
      </c>
      <c r="M537" t="n">
        <v>0</v>
      </c>
      <c r="N537" t="n">
        <v>0</v>
      </c>
      <c r="O537" t="n">
        <v>0</v>
      </c>
      <c r="P537" t="n">
        <v>0</v>
      </c>
      <c r="Q537" t="n">
        <v>0</v>
      </c>
      <c r="R537" s="2" t="inlineStr"/>
    </row>
    <row r="538" ht="15" customHeight="1">
      <c r="A538" t="inlineStr">
        <is>
          <t>A 21679-2023</t>
        </is>
      </c>
      <c r="B538" s="1" t="n">
        <v>45063.94199074074</v>
      </c>
      <c r="C538" s="1" t="n">
        <v>45936</v>
      </c>
      <c r="D538" t="inlineStr">
        <is>
          <t>JÄMTLANDS LÄN</t>
        </is>
      </c>
      <c r="E538" t="inlineStr">
        <is>
          <t>BERG</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16002-2025</t>
        </is>
      </c>
      <c r="B539" s="1" t="n">
        <v>45749.59398148148</v>
      </c>
      <c r="C539" s="1" t="n">
        <v>45936</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39418-2025</t>
        </is>
      </c>
      <c r="B540" s="1" t="n">
        <v>45889</v>
      </c>
      <c r="C540" s="1" t="n">
        <v>45936</v>
      </c>
      <c r="D540" t="inlineStr">
        <is>
          <t>JÄMTLANDS LÄN</t>
        </is>
      </c>
      <c r="E540" t="inlineStr">
        <is>
          <t>BERG</t>
        </is>
      </c>
      <c r="G540" t="n">
        <v>19.8</v>
      </c>
      <c r="H540" t="n">
        <v>0</v>
      </c>
      <c r="I540" t="n">
        <v>0</v>
      </c>
      <c r="J540" t="n">
        <v>0</v>
      </c>
      <c r="K540" t="n">
        <v>0</v>
      </c>
      <c r="L540" t="n">
        <v>0</v>
      </c>
      <c r="M540" t="n">
        <v>0</v>
      </c>
      <c r="N540" t="n">
        <v>0</v>
      </c>
      <c r="O540" t="n">
        <v>0</v>
      </c>
      <c r="P540" t="n">
        <v>0</v>
      </c>
      <c r="Q540" t="n">
        <v>0</v>
      </c>
      <c r="R540" s="2" t="inlineStr"/>
    </row>
    <row r="541" ht="15" customHeight="1">
      <c r="A541" t="inlineStr">
        <is>
          <t>A 47434-2025</t>
        </is>
      </c>
      <c r="B541" s="1" t="n">
        <v>45930.63659722222</v>
      </c>
      <c r="C541" s="1" t="n">
        <v>45936</v>
      </c>
      <c r="D541" t="inlineStr">
        <is>
          <t>JÄMTLANDS LÄN</t>
        </is>
      </c>
      <c r="E541" t="inlineStr">
        <is>
          <t>BERG</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47533-2025</t>
        </is>
      </c>
      <c r="B542" s="1" t="n">
        <v>45931.34659722223</v>
      </c>
      <c r="C542" s="1" t="n">
        <v>45936</v>
      </c>
      <c r="D542" t="inlineStr">
        <is>
          <t>JÄMTLANDS LÄN</t>
        </is>
      </c>
      <c r="E542" t="inlineStr">
        <is>
          <t>BERG</t>
        </is>
      </c>
      <c r="G542" t="n">
        <v>3.1</v>
      </c>
      <c r="H542" t="n">
        <v>0</v>
      </c>
      <c r="I542" t="n">
        <v>0</v>
      </c>
      <c r="J542" t="n">
        <v>0</v>
      </c>
      <c r="K542" t="n">
        <v>0</v>
      </c>
      <c r="L542" t="n">
        <v>0</v>
      </c>
      <c r="M542" t="n">
        <v>0</v>
      </c>
      <c r="N542" t="n">
        <v>0</v>
      </c>
      <c r="O542" t="n">
        <v>0</v>
      </c>
      <c r="P542" t="n">
        <v>0</v>
      </c>
      <c r="Q542" t="n">
        <v>0</v>
      </c>
      <c r="R542" s="2" t="inlineStr"/>
    </row>
    <row r="543" ht="15" customHeight="1">
      <c r="A543" t="inlineStr">
        <is>
          <t>A 39004-2025</t>
        </is>
      </c>
      <c r="B543" s="1" t="n">
        <v>45888.34472222222</v>
      </c>
      <c r="C543" s="1" t="n">
        <v>45936</v>
      </c>
      <c r="D543" t="inlineStr">
        <is>
          <t>JÄMTLANDS LÄN</t>
        </is>
      </c>
      <c r="E543" t="inlineStr">
        <is>
          <t>BERG</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59521-2024</t>
        </is>
      </c>
      <c r="B544" s="1" t="n">
        <v>45638.57283564815</v>
      </c>
      <c r="C544" s="1" t="n">
        <v>45936</v>
      </c>
      <c r="D544" t="inlineStr">
        <is>
          <t>JÄMTLANDS LÄN</t>
        </is>
      </c>
      <c r="E544" t="inlineStr">
        <is>
          <t>BERG</t>
        </is>
      </c>
      <c r="G544" t="n">
        <v>2.1</v>
      </c>
      <c r="H544" t="n">
        <v>0</v>
      </c>
      <c r="I544" t="n">
        <v>0</v>
      </c>
      <c r="J544" t="n">
        <v>0</v>
      </c>
      <c r="K544" t="n">
        <v>0</v>
      </c>
      <c r="L544" t="n">
        <v>0</v>
      </c>
      <c r="M544" t="n">
        <v>0</v>
      </c>
      <c r="N544" t="n">
        <v>0</v>
      </c>
      <c r="O544" t="n">
        <v>0</v>
      </c>
      <c r="P544" t="n">
        <v>0</v>
      </c>
      <c r="Q544" t="n">
        <v>0</v>
      </c>
      <c r="R544" s="2" t="inlineStr"/>
    </row>
    <row r="545" ht="15" customHeight="1">
      <c r="A545" t="inlineStr">
        <is>
          <t>A 19513-2025</t>
        </is>
      </c>
      <c r="B545" s="1" t="n">
        <v>45770.42762731481</v>
      </c>
      <c r="C545" s="1" t="n">
        <v>45936</v>
      </c>
      <c r="D545" t="inlineStr">
        <is>
          <t>JÄMTLANDS LÄN</t>
        </is>
      </c>
      <c r="E545" t="inlineStr">
        <is>
          <t>BERG</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22947-2022</t>
        </is>
      </c>
      <c r="B546" s="1" t="n">
        <v>44715.92443287037</v>
      </c>
      <c r="C546" s="1" t="n">
        <v>45936</v>
      </c>
      <c r="D546" t="inlineStr">
        <is>
          <t>JÄMTLANDS LÄN</t>
        </is>
      </c>
      <c r="E546" t="inlineStr">
        <is>
          <t>BERG</t>
        </is>
      </c>
      <c r="G546" t="n">
        <v>1</v>
      </c>
      <c r="H546" t="n">
        <v>0</v>
      </c>
      <c r="I546" t="n">
        <v>0</v>
      </c>
      <c r="J546" t="n">
        <v>0</v>
      </c>
      <c r="K546" t="n">
        <v>0</v>
      </c>
      <c r="L546" t="n">
        <v>0</v>
      </c>
      <c r="M546" t="n">
        <v>0</v>
      </c>
      <c r="N546" t="n">
        <v>0</v>
      </c>
      <c r="O546" t="n">
        <v>0</v>
      </c>
      <c r="P546" t="n">
        <v>0</v>
      </c>
      <c r="Q546" t="n">
        <v>0</v>
      </c>
      <c r="R546" s="2" t="inlineStr"/>
    </row>
    <row r="547" ht="15" customHeight="1">
      <c r="A547" t="inlineStr">
        <is>
          <t>A 18032-2024</t>
        </is>
      </c>
      <c r="B547" s="1" t="n">
        <v>45420.34979166667</v>
      </c>
      <c r="C547" s="1" t="n">
        <v>45936</v>
      </c>
      <c r="D547" t="inlineStr">
        <is>
          <t>JÄMTLANDS LÄN</t>
        </is>
      </c>
      <c r="E547" t="inlineStr">
        <is>
          <t>BERG</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20268-2024</t>
        </is>
      </c>
      <c r="B548" s="1" t="n">
        <v>45434.94887731481</v>
      </c>
      <c r="C548" s="1" t="n">
        <v>45936</v>
      </c>
      <c r="D548" t="inlineStr">
        <is>
          <t>JÄMTLANDS LÄN</t>
        </is>
      </c>
      <c r="E548" t="inlineStr">
        <is>
          <t>BERG</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34845-2023</t>
        </is>
      </c>
      <c r="B549" s="1" t="n">
        <v>45141.95964120371</v>
      </c>
      <c r="C549" s="1" t="n">
        <v>45936</v>
      </c>
      <c r="D549" t="inlineStr">
        <is>
          <t>JÄMTLANDS LÄN</t>
        </is>
      </c>
      <c r="E549" t="inlineStr">
        <is>
          <t>BERG</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12342-2023</t>
        </is>
      </c>
      <c r="B550" s="1" t="n">
        <v>44998</v>
      </c>
      <c r="C550" s="1" t="n">
        <v>45936</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41069-2022</t>
        </is>
      </c>
      <c r="B551" s="1" t="n">
        <v>44825.60015046296</v>
      </c>
      <c r="C551" s="1" t="n">
        <v>45936</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33386-2025</t>
        </is>
      </c>
      <c r="B552" s="1" t="n">
        <v>45841.40587962963</v>
      </c>
      <c r="C552" s="1" t="n">
        <v>45936</v>
      </c>
      <c r="D552" t="inlineStr">
        <is>
          <t>JÄMTLANDS LÄN</t>
        </is>
      </c>
      <c r="E552" t="inlineStr">
        <is>
          <t>BERG</t>
        </is>
      </c>
      <c r="G552" t="n">
        <v>37.7</v>
      </c>
      <c r="H552" t="n">
        <v>0</v>
      </c>
      <c r="I552" t="n">
        <v>0</v>
      </c>
      <c r="J552" t="n">
        <v>0</v>
      </c>
      <c r="K552" t="n">
        <v>0</v>
      </c>
      <c r="L552" t="n">
        <v>0</v>
      </c>
      <c r="M552" t="n">
        <v>0</v>
      </c>
      <c r="N552" t="n">
        <v>0</v>
      </c>
      <c r="O552" t="n">
        <v>0</v>
      </c>
      <c r="P552" t="n">
        <v>0</v>
      </c>
      <c r="Q552" t="n">
        <v>0</v>
      </c>
      <c r="R552" s="2" t="inlineStr"/>
    </row>
    <row r="553" ht="15" customHeight="1">
      <c r="A553" t="inlineStr">
        <is>
          <t>A 39601-2025</t>
        </is>
      </c>
      <c r="B553" s="1" t="n">
        <v>45890.55284722222</v>
      </c>
      <c r="C553" s="1" t="n">
        <v>45936</v>
      </c>
      <c r="D553" t="inlineStr">
        <is>
          <t>JÄMTLANDS LÄN</t>
        </is>
      </c>
      <c r="E553" t="inlineStr">
        <is>
          <t>BERG</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9478-2024</t>
        </is>
      </c>
      <c r="B554" s="1" t="n">
        <v>45359.5732175926</v>
      </c>
      <c r="C554" s="1" t="n">
        <v>45936</v>
      </c>
      <c r="D554" t="inlineStr">
        <is>
          <t>JÄMTLANDS LÄN</t>
        </is>
      </c>
      <c r="E554" t="inlineStr">
        <is>
          <t>BERG</t>
        </is>
      </c>
      <c r="G554" t="n">
        <v>6.2</v>
      </c>
      <c r="H554" t="n">
        <v>0</v>
      </c>
      <c r="I554" t="n">
        <v>0</v>
      </c>
      <c r="J554" t="n">
        <v>0</v>
      </c>
      <c r="K554" t="n">
        <v>0</v>
      </c>
      <c r="L554" t="n">
        <v>0</v>
      </c>
      <c r="M554" t="n">
        <v>0</v>
      </c>
      <c r="N554" t="n">
        <v>0</v>
      </c>
      <c r="O554" t="n">
        <v>0</v>
      </c>
      <c r="P554" t="n">
        <v>0</v>
      </c>
      <c r="Q554" t="n">
        <v>0</v>
      </c>
      <c r="R554" s="2" t="inlineStr"/>
    </row>
    <row r="555" ht="15" customHeight="1">
      <c r="A555" t="inlineStr">
        <is>
          <t>A 21156-2025</t>
        </is>
      </c>
      <c r="B555" s="1" t="n">
        <v>45779.37599537037</v>
      </c>
      <c r="C555" s="1" t="n">
        <v>45936</v>
      </c>
      <c r="D555" t="inlineStr">
        <is>
          <t>JÄMTLANDS LÄN</t>
        </is>
      </c>
      <c r="E555" t="inlineStr">
        <is>
          <t>BERG</t>
        </is>
      </c>
      <c r="F555" t="inlineStr">
        <is>
          <t>Holmen skog AB</t>
        </is>
      </c>
      <c r="G555" t="n">
        <v>5.2</v>
      </c>
      <c r="H555" t="n">
        <v>0</v>
      </c>
      <c r="I555" t="n">
        <v>0</v>
      </c>
      <c r="J555" t="n">
        <v>0</v>
      </c>
      <c r="K555" t="n">
        <v>0</v>
      </c>
      <c r="L555" t="n">
        <v>0</v>
      </c>
      <c r="M555" t="n">
        <v>0</v>
      </c>
      <c r="N555" t="n">
        <v>0</v>
      </c>
      <c r="O555" t="n">
        <v>0</v>
      </c>
      <c r="P555" t="n">
        <v>0</v>
      </c>
      <c r="Q555" t="n">
        <v>0</v>
      </c>
      <c r="R555" s="2" t="inlineStr"/>
    </row>
    <row r="556" ht="15" customHeight="1">
      <c r="A556" t="inlineStr">
        <is>
          <t>A 31155-2024</t>
        </is>
      </c>
      <c r="B556" s="1" t="n">
        <v>45503</v>
      </c>
      <c r="C556" s="1" t="n">
        <v>45936</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54863-2023</t>
        </is>
      </c>
      <c r="B557" s="1" t="n">
        <v>45236</v>
      </c>
      <c r="C557" s="1" t="n">
        <v>45936</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4527-2025</t>
        </is>
      </c>
      <c r="B558" s="1" t="n">
        <v>45686</v>
      </c>
      <c r="C558" s="1" t="n">
        <v>45936</v>
      </c>
      <c r="D558" t="inlineStr">
        <is>
          <t>JÄMTLANDS LÄN</t>
        </is>
      </c>
      <c r="E558" t="inlineStr">
        <is>
          <t>BERG</t>
        </is>
      </c>
      <c r="G558" t="n">
        <v>17.8</v>
      </c>
      <c r="H558" t="n">
        <v>0</v>
      </c>
      <c r="I558" t="n">
        <v>0</v>
      </c>
      <c r="J558" t="n">
        <v>0</v>
      </c>
      <c r="K558" t="n">
        <v>0</v>
      </c>
      <c r="L558" t="n">
        <v>0</v>
      </c>
      <c r="M558" t="n">
        <v>0</v>
      </c>
      <c r="N558" t="n">
        <v>0</v>
      </c>
      <c r="O558" t="n">
        <v>0</v>
      </c>
      <c r="P558" t="n">
        <v>0</v>
      </c>
      <c r="Q558" t="n">
        <v>0</v>
      </c>
      <c r="R558" s="2" t="inlineStr"/>
    </row>
    <row r="559" ht="15" customHeight="1">
      <c r="A559" t="inlineStr">
        <is>
          <t>A 46167-2022</t>
        </is>
      </c>
      <c r="B559" s="1" t="n">
        <v>44845</v>
      </c>
      <c r="C559" s="1" t="n">
        <v>45936</v>
      </c>
      <c r="D559" t="inlineStr">
        <is>
          <t>JÄMTLANDS LÄN</t>
        </is>
      </c>
      <c r="E559" t="inlineStr">
        <is>
          <t>BERG</t>
        </is>
      </c>
      <c r="G559" t="n">
        <v>35.2</v>
      </c>
      <c r="H559" t="n">
        <v>0</v>
      </c>
      <c r="I559" t="n">
        <v>0</v>
      </c>
      <c r="J559" t="n">
        <v>0</v>
      </c>
      <c r="K559" t="n">
        <v>0</v>
      </c>
      <c r="L559" t="n">
        <v>0</v>
      </c>
      <c r="M559" t="n">
        <v>0</v>
      </c>
      <c r="N559" t="n">
        <v>0</v>
      </c>
      <c r="O559" t="n">
        <v>0</v>
      </c>
      <c r="P559" t="n">
        <v>0</v>
      </c>
      <c r="Q559" t="n">
        <v>0</v>
      </c>
      <c r="R559" s="2" t="inlineStr"/>
    </row>
    <row r="560" ht="15" customHeight="1">
      <c r="A560" t="inlineStr">
        <is>
          <t>A 21472-2025</t>
        </is>
      </c>
      <c r="B560" s="1" t="n">
        <v>45782.59024305556</v>
      </c>
      <c r="C560" s="1" t="n">
        <v>45936</v>
      </c>
      <c r="D560" t="inlineStr">
        <is>
          <t>JÄMTLANDS LÄN</t>
        </is>
      </c>
      <c r="E560" t="inlineStr">
        <is>
          <t>BERG</t>
        </is>
      </c>
      <c r="G560" t="n">
        <v>21.9</v>
      </c>
      <c r="H560" t="n">
        <v>0</v>
      </c>
      <c r="I560" t="n">
        <v>0</v>
      </c>
      <c r="J560" t="n">
        <v>0</v>
      </c>
      <c r="K560" t="n">
        <v>0</v>
      </c>
      <c r="L560" t="n">
        <v>0</v>
      </c>
      <c r="M560" t="n">
        <v>0</v>
      </c>
      <c r="N560" t="n">
        <v>0</v>
      </c>
      <c r="O560" t="n">
        <v>0</v>
      </c>
      <c r="P560" t="n">
        <v>0</v>
      </c>
      <c r="Q560" t="n">
        <v>0</v>
      </c>
      <c r="R560" s="2" t="inlineStr"/>
    </row>
    <row r="561" ht="15" customHeight="1">
      <c r="A561" t="inlineStr">
        <is>
          <t>A 21292-2025</t>
        </is>
      </c>
      <c r="B561" s="1" t="n">
        <v>45780.39354166666</v>
      </c>
      <c r="C561" s="1" t="n">
        <v>45936</v>
      </c>
      <c r="D561" t="inlineStr">
        <is>
          <t>JÄMTLANDS LÄN</t>
        </is>
      </c>
      <c r="E561" t="inlineStr">
        <is>
          <t>BERG</t>
        </is>
      </c>
      <c r="G561" t="n">
        <v>1.6</v>
      </c>
      <c r="H561" t="n">
        <v>0</v>
      </c>
      <c r="I561" t="n">
        <v>0</v>
      </c>
      <c r="J561" t="n">
        <v>0</v>
      </c>
      <c r="K561" t="n">
        <v>0</v>
      </c>
      <c r="L561" t="n">
        <v>0</v>
      </c>
      <c r="M561" t="n">
        <v>0</v>
      </c>
      <c r="N561" t="n">
        <v>0</v>
      </c>
      <c r="O561" t="n">
        <v>0</v>
      </c>
      <c r="P561" t="n">
        <v>0</v>
      </c>
      <c r="Q561" t="n">
        <v>0</v>
      </c>
      <c r="R561" s="2" t="inlineStr"/>
    </row>
    <row r="562" ht="15" customHeight="1">
      <c r="A562" t="inlineStr">
        <is>
          <t>A 51172-2024</t>
        </is>
      </c>
      <c r="B562" s="1" t="n">
        <v>45603.59056712963</v>
      </c>
      <c r="C562" s="1" t="n">
        <v>45936</v>
      </c>
      <c r="D562" t="inlineStr">
        <is>
          <t>JÄMTLANDS LÄN</t>
        </is>
      </c>
      <c r="E562" t="inlineStr">
        <is>
          <t>BERG</t>
        </is>
      </c>
      <c r="G562" t="n">
        <v>12.2</v>
      </c>
      <c r="H562" t="n">
        <v>0</v>
      </c>
      <c r="I562" t="n">
        <v>0</v>
      </c>
      <c r="J562" t="n">
        <v>0</v>
      </c>
      <c r="K562" t="n">
        <v>0</v>
      </c>
      <c r="L562" t="n">
        <v>0</v>
      </c>
      <c r="M562" t="n">
        <v>0</v>
      </c>
      <c r="N562" t="n">
        <v>0</v>
      </c>
      <c r="O562" t="n">
        <v>0</v>
      </c>
      <c r="P562" t="n">
        <v>0</v>
      </c>
      <c r="Q562" t="n">
        <v>0</v>
      </c>
      <c r="R562" s="2" t="inlineStr"/>
    </row>
    <row r="563" ht="15" customHeight="1">
      <c r="A563" t="inlineStr">
        <is>
          <t>A 65210-2023</t>
        </is>
      </c>
      <c r="B563" s="1" t="n">
        <v>45289</v>
      </c>
      <c r="C563" s="1" t="n">
        <v>45936</v>
      </c>
      <c r="D563" t="inlineStr">
        <is>
          <t>JÄMTLANDS LÄN</t>
        </is>
      </c>
      <c r="E563" t="inlineStr">
        <is>
          <t>BERG</t>
        </is>
      </c>
      <c r="G563" t="n">
        <v>0.4</v>
      </c>
      <c r="H563" t="n">
        <v>0</v>
      </c>
      <c r="I563" t="n">
        <v>0</v>
      </c>
      <c r="J563" t="n">
        <v>0</v>
      </c>
      <c r="K563" t="n">
        <v>0</v>
      </c>
      <c r="L563" t="n">
        <v>0</v>
      </c>
      <c r="M563" t="n">
        <v>0</v>
      </c>
      <c r="N563" t="n">
        <v>0</v>
      </c>
      <c r="O563" t="n">
        <v>0</v>
      </c>
      <c r="P563" t="n">
        <v>0</v>
      </c>
      <c r="Q563" t="n">
        <v>0</v>
      </c>
      <c r="R563" s="2" t="inlineStr"/>
    </row>
    <row r="564" ht="15" customHeight="1">
      <c r="A564" t="inlineStr">
        <is>
          <t>A 39698-2025</t>
        </is>
      </c>
      <c r="B564" s="1" t="n">
        <v>45890.69837962963</v>
      </c>
      <c r="C564" s="1" t="n">
        <v>45936</v>
      </c>
      <c r="D564" t="inlineStr">
        <is>
          <t>JÄMTLANDS LÄN</t>
        </is>
      </c>
      <c r="E564" t="inlineStr">
        <is>
          <t>BERG</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32020-2023</t>
        </is>
      </c>
      <c r="B565" s="1" t="n">
        <v>45119.49261574074</v>
      </c>
      <c r="C565" s="1" t="n">
        <v>45936</v>
      </c>
      <c r="D565" t="inlineStr">
        <is>
          <t>JÄMTLANDS LÄN</t>
        </is>
      </c>
      <c r="E565" t="inlineStr">
        <is>
          <t>BERG</t>
        </is>
      </c>
      <c r="G565" t="n">
        <v>10.3</v>
      </c>
      <c r="H565" t="n">
        <v>0</v>
      </c>
      <c r="I565" t="n">
        <v>0</v>
      </c>
      <c r="J565" t="n">
        <v>0</v>
      </c>
      <c r="K565" t="n">
        <v>0</v>
      </c>
      <c r="L565" t="n">
        <v>0</v>
      </c>
      <c r="M565" t="n">
        <v>0</v>
      </c>
      <c r="N565" t="n">
        <v>0</v>
      </c>
      <c r="O565" t="n">
        <v>0</v>
      </c>
      <c r="P565" t="n">
        <v>0</v>
      </c>
      <c r="Q565" t="n">
        <v>0</v>
      </c>
      <c r="R565" s="2" t="inlineStr"/>
    </row>
    <row r="566" ht="15" customHeight="1">
      <c r="A566" t="inlineStr">
        <is>
          <t>A 48168-2025</t>
        </is>
      </c>
      <c r="B566" s="1" t="n">
        <v>45933.43004629629</v>
      </c>
      <c r="C566" s="1" t="n">
        <v>45936</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48190-2025</t>
        </is>
      </c>
      <c r="B567" s="1" t="n">
        <v>45933.46930555555</v>
      </c>
      <c r="C567" s="1" t="n">
        <v>45936</v>
      </c>
      <c r="D567" t="inlineStr">
        <is>
          <t>JÄMTLANDS LÄN</t>
        </is>
      </c>
      <c r="E567" t="inlineStr">
        <is>
          <t>BERG</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48056-2025</t>
        </is>
      </c>
      <c r="B568" s="1" t="n">
        <v>45932.67946759259</v>
      </c>
      <c r="C568" s="1" t="n">
        <v>45936</v>
      </c>
      <c r="D568" t="inlineStr">
        <is>
          <t>JÄMTLANDS LÄN</t>
        </is>
      </c>
      <c r="E568" t="inlineStr">
        <is>
          <t>BERG</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39269-2024</t>
        </is>
      </c>
      <c r="B569" s="1" t="n">
        <v>45551.34488425926</v>
      </c>
      <c r="C569" s="1" t="n">
        <v>45936</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12392-2025</t>
        </is>
      </c>
      <c r="B570" s="1" t="n">
        <v>45730.40104166666</v>
      </c>
      <c r="C570" s="1" t="n">
        <v>45936</v>
      </c>
      <c r="D570" t="inlineStr">
        <is>
          <t>JÄMTLANDS LÄN</t>
        </is>
      </c>
      <c r="E570" t="inlineStr">
        <is>
          <t>BERG</t>
        </is>
      </c>
      <c r="G570" t="n">
        <v>5.1</v>
      </c>
      <c r="H570" t="n">
        <v>0</v>
      </c>
      <c r="I570" t="n">
        <v>0</v>
      </c>
      <c r="J570" t="n">
        <v>0</v>
      </c>
      <c r="K570" t="n">
        <v>0</v>
      </c>
      <c r="L570" t="n">
        <v>0</v>
      </c>
      <c r="M570" t="n">
        <v>0</v>
      </c>
      <c r="N570" t="n">
        <v>0</v>
      </c>
      <c r="O570" t="n">
        <v>0</v>
      </c>
      <c r="P570" t="n">
        <v>0</v>
      </c>
      <c r="Q570" t="n">
        <v>0</v>
      </c>
      <c r="R570" s="2" t="inlineStr"/>
    </row>
    <row r="571" ht="15" customHeight="1">
      <c r="A571" t="inlineStr">
        <is>
          <t>A 13805-2024</t>
        </is>
      </c>
      <c r="B571" s="1" t="n">
        <v>45390</v>
      </c>
      <c r="C571" s="1" t="n">
        <v>45936</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48209-2025</t>
        </is>
      </c>
      <c r="B572" s="1" t="n">
        <v>45933.4900462963</v>
      </c>
      <c r="C572" s="1" t="n">
        <v>45936</v>
      </c>
      <c r="D572" t="inlineStr">
        <is>
          <t>JÄMTLANDS LÄN</t>
        </is>
      </c>
      <c r="E572" t="inlineStr">
        <is>
          <t>BERG</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22180-2025</t>
        </is>
      </c>
      <c r="B573" s="1" t="n">
        <v>45785</v>
      </c>
      <c r="C573" s="1" t="n">
        <v>45936</v>
      </c>
      <c r="D573" t="inlineStr">
        <is>
          <t>JÄMTLANDS LÄN</t>
        </is>
      </c>
      <c r="E573" t="inlineStr">
        <is>
          <t>BERG</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60847-2023</t>
        </is>
      </c>
      <c r="B574" s="1" t="n">
        <v>45260</v>
      </c>
      <c r="C574" s="1" t="n">
        <v>45936</v>
      </c>
      <c r="D574" t="inlineStr">
        <is>
          <t>JÄMTLANDS LÄN</t>
        </is>
      </c>
      <c r="E574" t="inlineStr">
        <is>
          <t>BERG</t>
        </is>
      </c>
      <c r="G574" t="n">
        <v>2.5</v>
      </c>
      <c r="H574" t="n">
        <v>0</v>
      </c>
      <c r="I574" t="n">
        <v>0</v>
      </c>
      <c r="J574" t="n">
        <v>0</v>
      </c>
      <c r="K574" t="n">
        <v>0</v>
      </c>
      <c r="L574" t="n">
        <v>0</v>
      </c>
      <c r="M574" t="n">
        <v>0</v>
      </c>
      <c r="N574" t="n">
        <v>0</v>
      </c>
      <c r="O574" t="n">
        <v>0</v>
      </c>
      <c r="P574" t="n">
        <v>0</v>
      </c>
      <c r="Q574" t="n">
        <v>0</v>
      </c>
      <c r="R574" s="2" t="inlineStr"/>
    </row>
    <row r="575" ht="15" customHeight="1">
      <c r="A575" t="inlineStr">
        <is>
          <t>A 37589-2021</t>
        </is>
      </c>
      <c r="B575" s="1" t="n">
        <v>44399</v>
      </c>
      <c r="C575" s="1" t="n">
        <v>45936</v>
      </c>
      <c r="D575" t="inlineStr">
        <is>
          <t>JÄMTLANDS LÄN</t>
        </is>
      </c>
      <c r="E575" t="inlineStr">
        <is>
          <t>BERG</t>
        </is>
      </c>
      <c r="G575" t="n">
        <v>8.6</v>
      </c>
      <c r="H575" t="n">
        <v>0</v>
      </c>
      <c r="I575" t="n">
        <v>0</v>
      </c>
      <c r="J575" t="n">
        <v>0</v>
      </c>
      <c r="K575" t="n">
        <v>0</v>
      </c>
      <c r="L575" t="n">
        <v>0</v>
      </c>
      <c r="M575" t="n">
        <v>0</v>
      </c>
      <c r="N575" t="n">
        <v>0</v>
      </c>
      <c r="O575" t="n">
        <v>0</v>
      </c>
      <c r="P575" t="n">
        <v>0</v>
      </c>
      <c r="Q575" t="n">
        <v>0</v>
      </c>
      <c r="R575" s="2" t="inlineStr"/>
    </row>
    <row r="576" ht="15" customHeight="1">
      <c r="A576" t="inlineStr">
        <is>
          <t>A 64251-2023</t>
        </is>
      </c>
      <c r="B576" s="1" t="n">
        <v>45279.92756944444</v>
      </c>
      <c r="C576" s="1" t="n">
        <v>45936</v>
      </c>
      <c r="D576" t="inlineStr">
        <is>
          <t>JÄMTLANDS LÄN</t>
        </is>
      </c>
      <c r="E576" t="inlineStr">
        <is>
          <t>BERG</t>
        </is>
      </c>
      <c r="G576" t="n">
        <v>0.4</v>
      </c>
      <c r="H576" t="n">
        <v>0</v>
      </c>
      <c r="I576" t="n">
        <v>0</v>
      </c>
      <c r="J576" t="n">
        <v>0</v>
      </c>
      <c r="K576" t="n">
        <v>0</v>
      </c>
      <c r="L576" t="n">
        <v>0</v>
      </c>
      <c r="M576" t="n">
        <v>0</v>
      </c>
      <c r="N576" t="n">
        <v>0</v>
      </c>
      <c r="O576" t="n">
        <v>0</v>
      </c>
      <c r="P576" t="n">
        <v>0</v>
      </c>
      <c r="Q576" t="n">
        <v>0</v>
      </c>
      <c r="R576" s="2" t="inlineStr"/>
    </row>
    <row r="577" ht="15" customHeight="1">
      <c r="A577" t="inlineStr">
        <is>
          <t>A 48250-2025</t>
        </is>
      </c>
      <c r="B577" s="1" t="n">
        <v>45933.55259259259</v>
      </c>
      <c r="C577" s="1" t="n">
        <v>45936</v>
      </c>
      <c r="D577" t="inlineStr">
        <is>
          <t>JÄMTLANDS LÄN</t>
        </is>
      </c>
      <c r="E577" t="inlineStr">
        <is>
          <t>BERG</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39544-2025</t>
        </is>
      </c>
      <c r="B578" s="1" t="n">
        <v>45890.45547453704</v>
      </c>
      <c r="C578" s="1" t="n">
        <v>45936</v>
      </c>
      <c r="D578" t="inlineStr">
        <is>
          <t>JÄMTLANDS LÄN</t>
        </is>
      </c>
      <c r="E578" t="inlineStr">
        <is>
          <t>BERG</t>
        </is>
      </c>
      <c r="G578" t="n">
        <v>7.5</v>
      </c>
      <c r="H578" t="n">
        <v>0</v>
      </c>
      <c r="I578" t="n">
        <v>0</v>
      </c>
      <c r="J578" t="n">
        <v>0</v>
      </c>
      <c r="K578" t="n">
        <v>0</v>
      </c>
      <c r="L578" t="n">
        <v>0</v>
      </c>
      <c r="M578" t="n">
        <v>0</v>
      </c>
      <c r="N578" t="n">
        <v>0</v>
      </c>
      <c r="O578" t="n">
        <v>0</v>
      </c>
      <c r="P578" t="n">
        <v>0</v>
      </c>
      <c r="Q578" t="n">
        <v>0</v>
      </c>
      <c r="R578" s="2" t="inlineStr"/>
    </row>
    <row r="579" ht="15" customHeight="1">
      <c r="A579" t="inlineStr">
        <is>
          <t>A 16491-2023</t>
        </is>
      </c>
      <c r="B579" s="1" t="n">
        <v>45027</v>
      </c>
      <c r="C579" s="1" t="n">
        <v>45936</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21851-2025</t>
        </is>
      </c>
      <c r="B580" s="1" t="n">
        <v>45784.34417824074</v>
      </c>
      <c r="C580" s="1" t="n">
        <v>45936</v>
      </c>
      <c r="D580" t="inlineStr">
        <is>
          <t>JÄMTLANDS LÄN</t>
        </is>
      </c>
      <c r="E580" t="inlineStr">
        <is>
          <t>BERG</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33481-2023</t>
        </is>
      </c>
      <c r="B581" s="1" t="n">
        <v>45131</v>
      </c>
      <c r="C581" s="1" t="n">
        <v>45936</v>
      </c>
      <c r="D581" t="inlineStr">
        <is>
          <t>JÄMTLANDS LÄN</t>
        </is>
      </c>
      <c r="E581" t="inlineStr">
        <is>
          <t>BERG</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57669-2024</t>
        </is>
      </c>
      <c r="B582" s="1" t="n">
        <v>45630.62520833333</v>
      </c>
      <c r="C582" s="1" t="n">
        <v>45936</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39539-2025</t>
        </is>
      </c>
      <c r="B583" s="1" t="n">
        <v>45890.4525</v>
      </c>
      <c r="C583" s="1" t="n">
        <v>45936</v>
      </c>
      <c r="D583" t="inlineStr">
        <is>
          <t>JÄMTLANDS LÄN</t>
        </is>
      </c>
      <c r="E583" t="inlineStr">
        <is>
          <t>BERG</t>
        </is>
      </c>
      <c r="G583" t="n">
        <v>7.7</v>
      </c>
      <c r="H583" t="n">
        <v>0</v>
      </c>
      <c r="I583" t="n">
        <v>0</v>
      </c>
      <c r="J583" t="n">
        <v>0</v>
      </c>
      <c r="K583" t="n">
        <v>0</v>
      </c>
      <c r="L583" t="n">
        <v>0</v>
      </c>
      <c r="M583" t="n">
        <v>0</v>
      </c>
      <c r="N583" t="n">
        <v>0</v>
      </c>
      <c r="O583" t="n">
        <v>0</v>
      </c>
      <c r="P583" t="n">
        <v>0</v>
      </c>
      <c r="Q583" t="n">
        <v>0</v>
      </c>
      <c r="R583" s="2" t="inlineStr"/>
    </row>
    <row r="584" ht="15" customHeight="1">
      <c r="A584" t="inlineStr">
        <is>
          <t>A 47821-2025</t>
        </is>
      </c>
      <c r="B584" s="1" t="n">
        <v>45932.34421296296</v>
      </c>
      <c r="C584" s="1" t="n">
        <v>45936</v>
      </c>
      <c r="D584" t="inlineStr">
        <is>
          <t>JÄMTLANDS LÄN</t>
        </is>
      </c>
      <c r="E584" t="inlineStr">
        <is>
          <t>BERG</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18775-2024</t>
        </is>
      </c>
      <c r="B585" s="1" t="n">
        <v>45426</v>
      </c>
      <c r="C585" s="1" t="n">
        <v>45936</v>
      </c>
      <c r="D585" t="inlineStr">
        <is>
          <t>JÄMTLANDS LÄN</t>
        </is>
      </c>
      <c r="E585" t="inlineStr">
        <is>
          <t>BERG</t>
        </is>
      </c>
      <c r="G585" t="n">
        <v>13.9</v>
      </c>
      <c r="H585" t="n">
        <v>0</v>
      </c>
      <c r="I585" t="n">
        <v>0</v>
      </c>
      <c r="J585" t="n">
        <v>0</v>
      </c>
      <c r="K585" t="n">
        <v>0</v>
      </c>
      <c r="L585" t="n">
        <v>0</v>
      </c>
      <c r="M585" t="n">
        <v>0</v>
      </c>
      <c r="N585" t="n">
        <v>0</v>
      </c>
      <c r="O585" t="n">
        <v>0</v>
      </c>
      <c r="P585" t="n">
        <v>0</v>
      </c>
      <c r="Q585" t="n">
        <v>0</v>
      </c>
      <c r="R585" s="2" t="inlineStr"/>
    </row>
    <row r="586" ht="15" customHeight="1">
      <c r="A586" t="inlineStr">
        <is>
          <t>A 35921-2024</t>
        </is>
      </c>
      <c r="B586" s="1" t="n">
        <v>45533.42659722222</v>
      </c>
      <c r="C586" s="1" t="n">
        <v>45936</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64752-2023</t>
        </is>
      </c>
      <c r="B587" s="1" t="n">
        <v>45281.92891203704</v>
      </c>
      <c r="C587" s="1" t="n">
        <v>45936</v>
      </c>
      <c r="D587" t="inlineStr">
        <is>
          <t>JÄMTLANDS LÄN</t>
        </is>
      </c>
      <c r="E587" t="inlineStr">
        <is>
          <t>BERG</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46366-2024</t>
        </is>
      </c>
      <c r="B588" s="1" t="n">
        <v>45582.36490740741</v>
      </c>
      <c r="C588" s="1" t="n">
        <v>45936</v>
      </c>
      <c r="D588" t="inlineStr">
        <is>
          <t>JÄMTLANDS LÄN</t>
        </is>
      </c>
      <c r="E588" t="inlineStr">
        <is>
          <t>BERG</t>
        </is>
      </c>
      <c r="G588" t="n">
        <v>5</v>
      </c>
      <c r="H588" t="n">
        <v>0</v>
      </c>
      <c r="I588" t="n">
        <v>0</v>
      </c>
      <c r="J588" t="n">
        <v>0</v>
      </c>
      <c r="K588" t="n">
        <v>0</v>
      </c>
      <c r="L588" t="n">
        <v>0</v>
      </c>
      <c r="M588" t="n">
        <v>0</v>
      </c>
      <c r="N588" t="n">
        <v>0</v>
      </c>
      <c r="O588" t="n">
        <v>0</v>
      </c>
      <c r="P588" t="n">
        <v>0</v>
      </c>
      <c r="Q588" t="n">
        <v>0</v>
      </c>
      <c r="R588" s="2" t="inlineStr"/>
    </row>
    <row r="589" ht="15" customHeight="1">
      <c r="A589" t="inlineStr">
        <is>
          <t>A 14728-2025</t>
        </is>
      </c>
      <c r="B589" s="1" t="n">
        <v>45742.63574074074</v>
      </c>
      <c r="C589" s="1" t="n">
        <v>45936</v>
      </c>
      <c r="D589" t="inlineStr">
        <is>
          <t>JÄMTLANDS LÄN</t>
        </is>
      </c>
      <c r="E589" t="inlineStr">
        <is>
          <t>BERG</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31129-2024</t>
        </is>
      </c>
      <c r="B590" s="1" t="n">
        <v>45502</v>
      </c>
      <c r="C590" s="1" t="n">
        <v>45936</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22724-2025</t>
        </is>
      </c>
      <c r="B591" s="1" t="n">
        <v>45789.57361111111</v>
      </c>
      <c r="C591" s="1" t="n">
        <v>45936</v>
      </c>
      <c r="D591" t="inlineStr">
        <is>
          <t>JÄMTLANDS LÄN</t>
        </is>
      </c>
      <c r="E591" t="inlineStr">
        <is>
          <t>BERG</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3961-2025</t>
        </is>
      </c>
      <c r="B592" s="1" t="n">
        <v>45684.50217592593</v>
      </c>
      <c r="C592" s="1" t="n">
        <v>45936</v>
      </c>
      <c r="D592" t="inlineStr">
        <is>
          <t>JÄMTLANDS LÄN</t>
        </is>
      </c>
      <c r="E592" t="inlineStr">
        <is>
          <t>BERG</t>
        </is>
      </c>
      <c r="G592" t="n">
        <v>14.9</v>
      </c>
      <c r="H592" t="n">
        <v>0</v>
      </c>
      <c r="I592" t="n">
        <v>0</v>
      </c>
      <c r="J592" t="n">
        <v>0</v>
      </c>
      <c r="K592" t="n">
        <v>0</v>
      </c>
      <c r="L592" t="n">
        <v>0</v>
      </c>
      <c r="M592" t="n">
        <v>0</v>
      </c>
      <c r="N592" t="n">
        <v>0</v>
      </c>
      <c r="O592" t="n">
        <v>0</v>
      </c>
      <c r="P592" t="n">
        <v>0</v>
      </c>
      <c r="Q592" t="n">
        <v>0</v>
      </c>
      <c r="R592" s="2" t="inlineStr"/>
    </row>
    <row r="593" ht="15" customHeight="1">
      <c r="A593" t="inlineStr">
        <is>
          <t>A 35636-2023</t>
        </is>
      </c>
      <c r="B593" s="1" t="n">
        <v>45147</v>
      </c>
      <c r="C593" s="1" t="n">
        <v>45936</v>
      </c>
      <c r="D593" t="inlineStr">
        <is>
          <t>JÄMTLANDS LÄN</t>
        </is>
      </c>
      <c r="E593" t="inlineStr">
        <is>
          <t>BERG</t>
        </is>
      </c>
      <c r="G593" t="n">
        <v>1.8</v>
      </c>
      <c r="H593" t="n">
        <v>0</v>
      </c>
      <c r="I593" t="n">
        <v>0</v>
      </c>
      <c r="J593" t="n">
        <v>0</v>
      </c>
      <c r="K593" t="n">
        <v>0</v>
      </c>
      <c r="L593" t="n">
        <v>0</v>
      </c>
      <c r="M593" t="n">
        <v>0</v>
      </c>
      <c r="N593" t="n">
        <v>0</v>
      </c>
      <c r="O593" t="n">
        <v>0</v>
      </c>
      <c r="P593" t="n">
        <v>0</v>
      </c>
      <c r="Q593" t="n">
        <v>0</v>
      </c>
      <c r="R593" s="2" t="inlineStr"/>
    </row>
    <row r="594" ht="15" customHeight="1">
      <c r="A594" t="inlineStr">
        <is>
          <t>A 45347-2023</t>
        </is>
      </c>
      <c r="B594" s="1" t="n">
        <v>45191</v>
      </c>
      <c r="C594" s="1" t="n">
        <v>45936</v>
      </c>
      <c r="D594" t="inlineStr">
        <is>
          <t>JÄMTLANDS LÄN</t>
        </is>
      </c>
      <c r="E594" t="inlineStr">
        <is>
          <t>BERG</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22672-2025</t>
        </is>
      </c>
      <c r="B595" s="1" t="n">
        <v>45789.4903587963</v>
      </c>
      <c r="C595" s="1" t="n">
        <v>45936</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22653-2025</t>
        </is>
      </c>
      <c r="B596" s="1" t="n">
        <v>45789.46931712963</v>
      </c>
      <c r="C596" s="1" t="n">
        <v>45936</v>
      </c>
      <c r="D596" t="inlineStr">
        <is>
          <t>JÄMTLANDS LÄN</t>
        </is>
      </c>
      <c r="E596" t="inlineStr">
        <is>
          <t>BERG</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22478-2025</t>
        </is>
      </c>
      <c r="B597" s="1" t="n">
        <v>45786.6349537037</v>
      </c>
      <c r="C597" s="1" t="n">
        <v>45936</v>
      </c>
      <c r="D597" t="inlineStr">
        <is>
          <t>JÄMTLANDS LÄN</t>
        </is>
      </c>
      <c r="E597" t="inlineStr">
        <is>
          <t>BERG</t>
        </is>
      </c>
      <c r="G597" t="n">
        <v>2.5</v>
      </c>
      <c r="H597" t="n">
        <v>0</v>
      </c>
      <c r="I597" t="n">
        <v>0</v>
      </c>
      <c r="J597" t="n">
        <v>0</v>
      </c>
      <c r="K597" t="n">
        <v>0</v>
      </c>
      <c r="L597" t="n">
        <v>0</v>
      </c>
      <c r="M597" t="n">
        <v>0</v>
      </c>
      <c r="N597" t="n">
        <v>0</v>
      </c>
      <c r="O597" t="n">
        <v>0</v>
      </c>
      <c r="P597" t="n">
        <v>0</v>
      </c>
      <c r="Q597" t="n">
        <v>0</v>
      </c>
      <c r="R597" s="2" t="inlineStr"/>
    </row>
    <row r="598" ht="15" customHeight="1">
      <c r="A598" t="inlineStr">
        <is>
          <t>A 34650-2024</t>
        </is>
      </c>
      <c r="B598" s="1" t="n">
        <v>45526.48329861111</v>
      </c>
      <c r="C598" s="1" t="n">
        <v>45936</v>
      </c>
      <c r="D598" t="inlineStr">
        <is>
          <t>JÄMTLANDS LÄN</t>
        </is>
      </c>
      <c r="E598" t="inlineStr">
        <is>
          <t>BERG</t>
        </is>
      </c>
      <c r="G598" t="n">
        <v>4.9</v>
      </c>
      <c r="H598" t="n">
        <v>0</v>
      </c>
      <c r="I598" t="n">
        <v>0</v>
      </c>
      <c r="J598" t="n">
        <v>0</v>
      </c>
      <c r="K598" t="n">
        <v>0</v>
      </c>
      <c r="L598" t="n">
        <v>0</v>
      </c>
      <c r="M598" t="n">
        <v>0</v>
      </c>
      <c r="N598" t="n">
        <v>0</v>
      </c>
      <c r="O598" t="n">
        <v>0</v>
      </c>
      <c r="P598" t="n">
        <v>0</v>
      </c>
      <c r="Q598" t="n">
        <v>0</v>
      </c>
      <c r="R598" s="2" t="inlineStr"/>
    </row>
    <row r="599" ht="15" customHeight="1">
      <c r="A599" t="inlineStr">
        <is>
          <t>A 22991-2025</t>
        </is>
      </c>
      <c r="B599" s="1" t="n">
        <v>45790.57836805555</v>
      </c>
      <c r="C599" s="1" t="n">
        <v>45936</v>
      </c>
      <c r="D599" t="inlineStr">
        <is>
          <t>JÄMTLANDS LÄN</t>
        </is>
      </c>
      <c r="E599" t="inlineStr">
        <is>
          <t>BERG</t>
        </is>
      </c>
      <c r="G599" t="n">
        <v>1.2</v>
      </c>
      <c r="H599" t="n">
        <v>0</v>
      </c>
      <c r="I599" t="n">
        <v>0</v>
      </c>
      <c r="J599" t="n">
        <v>0</v>
      </c>
      <c r="K599" t="n">
        <v>0</v>
      </c>
      <c r="L599" t="n">
        <v>0</v>
      </c>
      <c r="M599" t="n">
        <v>0</v>
      </c>
      <c r="N599" t="n">
        <v>0</v>
      </c>
      <c r="O599" t="n">
        <v>0</v>
      </c>
      <c r="P599" t="n">
        <v>0</v>
      </c>
      <c r="Q599" t="n">
        <v>0</v>
      </c>
      <c r="R599" s="2" t="inlineStr"/>
    </row>
    <row r="600" ht="15" customHeight="1">
      <c r="A600" t="inlineStr">
        <is>
          <t>A 23026-2025</t>
        </is>
      </c>
      <c r="B600" s="1" t="n">
        <v>45790.65690972222</v>
      </c>
      <c r="C600" s="1" t="n">
        <v>45936</v>
      </c>
      <c r="D600" t="inlineStr">
        <is>
          <t>JÄMTLANDS LÄN</t>
        </is>
      </c>
      <c r="E600" t="inlineStr">
        <is>
          <t>BERG</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22995-2025</t>
        </is>
      </c>
      <c r="B601" s="1" t="n">
        <v>45790.58265046297</v>
      </c>
      <c r="C601" s="1" t="n">
        <v>45936</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23766-2025</t>
        </is>
      </c>
      <c r="B602" s="1" t="n">
        <v>45793.46954861111</v>
      </c>
      <c r="C602" s="1" t="n">
        <v>45936</v>
      </c>
      <c r="D602" t="inlineStr">
        <is>
          <t>JÄMTLANDS LÄN</t>
        </is>
      </c>
      <c r="E602" t="inlineStr">
        <is>
          <t>BERG</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23913-2025</t>
        </is>
      </c>
      <c r="B603" s="1" t="n">
        <v>45795.34442129629</v>
      </c>
      <c r="C603" s="1" t="n">
        <v>45936</v>
      </c>
      <c r="D603" t="inlineStr">
        <is>
          <t>JÄMTLANDS LÄN</t>
        </is>
      </c>
      <c r="E603" t="inlineStr">
        <is>
          <t>BERG</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23919-2025</t>
        </is>
      </c>
      <c r="B604" s="1" t="n">
        <v>45795.34497685185</v>
      </c>
      <c r="C604" s="1" t="n">
        <v>45936</v>
      </c>
      <c r="D604" t="inlineStr">
        <is>
          <t>JÄMTLANDS LÄN</t>
        </is>
      </c>
      <c r="E604" t="inlineStr">
        <is>
          <t>BERG</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49225-2024</t>
        </is>
      </c>
      <c r="B605" s="1" t="n">
        <v>45595.4177662037</v>
      </c>
      <c r="C605" s="1" t="n">
        <v>45936</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24324-2025</t>
        </is>
      </c>
      <c r="B606" s="1" t="n">
        <v>45797.56049768518</v>
      </c>
      <c r="C606" s="1" t="n">
        <v>45936</v>
      </c>
      <c r="D606" t="inlineStr">
        <is>
          <t>JÄMTLANDS LÄN</t>
        </is>
      </c>
      <c r="E606" t="inlineStr">
        <is>
          <t>BERG</t>
        </is>
      </c>
      <c r="G606" t="n">
        <v>1.6</v>
      </c>
      <c r="H606" t="n">
        <v>0</v>
      </c>
      <c r="I606" t="n">
        <v>0</v>
      </c>
      <c r="J606" t="n">
        <v>0</v>
      </c>
      <c r="K606" t="n">
        <v>0</v>
      </c>
      <c r="L606" t="n">
        <v>0</v>
      </c>
      <c r="M606" t="n">
        <v>0</v>
      </c>
      <c r="N606" t="n">
        <v>0</v>
      </c>
      <c r="O606" t="n">
        <v>0</v>
      </c>
      <c r="P606" t="n">
        <v>0</v>
      </c>
      <c r="Q606" t="n">
        <v>0</v>
      </c>
      <c r="R606" s="2" t="inlineStr"/>
    </row>
    <row r="607" ht="15" customHeight="1">
      <c r="A607" t="inlineStr">
        <is>
          <t>A 23900-2025</t>
        </is>
      </c>
      <c r="B607" s="1" t="n">
        <v>45794.34425925926</v>
      </c>
      <c r="C607" s="1" t="n">
        <v>45936</v>
      </c>
      <c r="D607" t="inlineStr">
        <is>
          <t>JÄMTLANDS LÄN</t>
        </is>
      </c>
      <c r="E607" t="inlineStr">
        <is>
          <t>BERG</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23915-2025</t>
        </is>
      </c>
      <c r="B608" s="1" t="n">
        <v>45795.3446412037</v>
      </c>
      <c r="C608" s="1" t="n">
        <v>45936</v>
      </c>
      <c r="D608" t="inlineStr">
        <is>
          <t>JÄMTLANDS LÄN</t>
        </is>
      </c>
      <c r="E608" t="inlineStr">
        <is>
          <t>BERG</t>
        </is>
      </c>
      <c r="F608" t="inlineStr">
        <is>
          <t>SCA</t>
        </is>
      </c>
      <c r="G608" t="n">
        <v>16.7</v>
      </c>
      <c r="H608" t="n">
        <v>0</v>
      </c>
      <c r="I608" t="n">
        <v>0</v>
      </c>
      <c r="J608" t="n">
        <v>0</v>
      </c>
      <c r="K608" t="n">
        <v>0</v>
      </c>
      <c r="L608" t="n">
        <v>0</v>
      </c>
      <c r="M608" t="n">
        <v>0</v>
      </c>
      <c r="N608" t="n">
        <v>0</v>
      </c>
      <c r="O608" t="n">
        <v>0</v>
      </c>
      <c r="P608" t="n">
        <v>0</v>
      </c>
      <c r="Q608" t="n">
        <v>0</v>
      </c>
      <c r="R608" s="2" t="inlineStr"/>
    </row>
    <row r="609" ht="15" customHeight="1">
      <c r="A609" t="inlineStr">
        <is>
          <t>A 23916-2025</t>
        </is>
      </c>
      <c r="B609" s="1" t="n">
        <v>45795.34472222222</v>
      </c>
      <c r="C609" s="1" t="n">
        <v>45936</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15624-2023</t>
        </is>
      </c>
      <c r="B610" s="1" t="n">
        <v>45020.94496527778</v>
      </c>
      <c r="C610" s="1" t="n">
        <v>45936</v>
      </c>
      <c r="D610" t="inlineStr">
        <is>
          <t>JÄMTLANDS LÄN</t>
        </is>
      </c>
      <c r="E610" t="inlineStr">
        <is>
          <t>BERG</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20882-2023</t>
        </is>
      </c>
      <c r="B611" s="1" t="n">
        <v>45058</v>
      </c>
      <c r="C611" s="1" t="n">
        <v>45936</v>
      </c>
      <c r="D611" t="inlineStr">
        <is>
          <t>JÄMTLANDS LÄN</t>
        </is>
      </c>
      <c r="E611" t="inlineStr">
        <is>
          <t>BERG</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24360-2025</t>
        </is>
      </c>
      <c r="B612" s="1" t="n">
        <v>45797.59502314815</v>
      </c>
      <c r="C612" s="1" t="n">
        <v>45936</v>
      </c>
      <c r="D612" t="inlineStr">
        <is>
          <t>JÄMTLANDS LÄN</t>
        </is>
      </c>
      <c r="E612" t="inlineStr">
        <is>
          <t>BERG</t>
        </is>
      </c>
      <c r="F612" t="inlineStr">
        <is>
          <t>SCA</t>
        </is>
      </c>
      <c r="G612" t="n">
        <v>10.5</v>
      </c>
      <c r="H612" t="n">
        <v>0</v>
      </c>
      <c r="I612" t="n">
        <v>0</v>
      </c>
      <c r="J612" t="n">
        <v>0</v>
      </c>
      <c r="K612" t="n">
        <v>0</v>
      </c>
      <c r="L612" t="n">
        <v>0</v>
      </c>
      <c r="M612" t="n">
        <v>0</v>
      </c>
      <c r="N612" t="n">
        <v>0</v>
      </c>
      <c r="O612" t="n">
        <v>0</v>
      </c>
      <c r="P612" t="n">
        <v>0</v>
      </c>
      <c r="Q612" t="n">
        <v>0</v>
      </c>
      <c r="R612" s="2" t="inlineStr"/>
    </row>
    <row r="613" ht="15" customHeight="1">
      <c r="A613" t="inlineStr">
        <is>
          <t>A 24060-2025</t>
        </is>
      </c>
      <c r="B613" s="1" t="n">
        <v>45796.5216087963</v>
      </c>
      <c r="C613" s="1" t="n">
        <v>45936</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24390-2025</t>
        </is>
      </c>
      <c r="B614" s="1" t="n">
        <v>45797.63576388889</v>
      </c>
      <c r="C614" s="1" t="n">
        <v>45936</v>
      </c>
      <c r="D614" t="inlineStr">
        <is>
          <t>JÄMTLANDS LÄN</t>
        </is>
      </c>
      <c r="E614" t="inlineStr">
        <is>
          <t>BERG</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23901-2025</t>
        </is>
      </c>
      <c r="B615" s="1" t="n">
        <v>45794.34436342592</v>
      </c>
      <c r="C615" s="1" t="n">
        <v>45936</v>
      </c>
      <c r="D615" t="inlineStr">
        <is>
          <t>JÄMTLANDS LÄN</t>
        </is>
      </c>
      <c r="E615" t="inlineStr">
        <is>
          <t>BERG</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23920-2025</t>
        </is>
      </c>
      <c r="B616" s="1" t="n">
        <v>45795.34505787037</v>
      </c>
      <c r="C616" s="1" t="n">
        <v>45936</v>
      </c>
      <c r="D616" t="inlineStr">
        <is>
          <t>JÄMTLANDS LÄN</t>
        </is>
      </c>
      <c r="E616" t="inlineStr">
        <is>
          <t>BERG</t>
        </is>
      </c>
      <c r="F616" t="inlineStr">
        <is>
          <t>SCA</t>
        </is>
      </c>
      <c r="G616" t="n">
        <v>8.5</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45936</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24644-2025</t>
        </is>
      </c>
      <c r="B618" s="1" t="n">
        <v>45798.63278935185</v>
      </c>
      <c r="C618" s="1" t="n">
        <v>45936</v>
      </c>
      <c r="D618" t="inlineStr">
        <is>
          <t>JÄMTLANDS LÄN</t>
        </is>
      </c>
      <c r="E618" t="inlineStr">
        <is>
          <t>BERG</t>
        </is>
      </c>
      <c r="G618" t="n">
        <v>24.4</v>
      </c>
      <c r="H618" t="n">
        <v>0</v>
      </c>
      <c r="I618" t="n">
        <v>0</v>
      </c>
      <c r="J618" t="n">
        <v>0</v>
      </c>
      <c r="K618" t="n">
        <v>0</v>
      </c>
      <c r="L618" t="n">
        <v>0</v>
      </c>
      <c r="M618" t="n">
        <v>0</v>
      </c>
      <c r="N618" t="n">
        <v>0</v>
      </c>
      <c r="O618" t="n">
        <v>0</v>
      </c>
      <c r="P618" t="n">
        <v>0</v>
      </c>
      <c r="Q618" t="n">
        <v>0</v>
      </c>
      <c r="R618" s="2" t="inlineStr"/>
    </row>
    <row r="619" ht="15" customHeight="1">
      <c r="A619" t="inlineStr">
        <is>
          <t>A 12774-2023</t>
        </is>
      </c>
      <c r="B619" s="1" t="n">
        <v>45001</v>
      </c>
      <c r="C619" s="1" t="n">
        <v>45936</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24954-2025</t>
        </is>
      </c>
      <c r="B620" s="1" t="n">
        <v>45799.57385416667</v>
      </c>
      <c r="C620" s="1" t="n">
        <v>45936</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60587-2022</t>
        </is>
      </c>
      <c r="B621" s="1" t="n">
        <v>44911.58445601852</v>
      </c>
      <c r="C621" s="1" t="n">
        <v>45936</v>
      </c>
      <c r="D621" t="inlineStr">
        <is>
          <t>JÄMTLANDS LÄN</t>
        </is>
      </c>
      <c r="E621" t="inlineStr">
        <is>
          <t>BERG</t>
        </is>
      </c>
      <c r="G621" t="n">
        <v>4.8</v>
      </c>
      <c r="H621" t="n">
        <v>0</v>
      </c>
      <c r="I621" t="n">
        <v>0</v>
      </c>
      <c r="J621" t="n">
        <v>0</v>
      </c>
      <c r="K621" t="n">
        <v>0</v>
      </c>
      <c r="L621" t="n">
        <v>0</v>
      </c>
      <c r="M621" t="n">
        <v>0</v>
      </c>
      <c r="N621" t="n">
        <v>0</v>
      </c>
      <c r="O621" t="n">
        <v>0</v>
      </c>
      <c r="P621" t="n">
        <v>0</v>
      </c>
      <c r="Q621" t="n">
        <v>0</v>
      </c>
      <c r="R621" s="2" t="inlineStr"/>
    </row>
    <row r="622" ht="15" customHeight="1">
      <c r="A622" t="inlineStr">
        <is>
          <t>A 6645-2025</t>
        </is>
      </c>
      <c r="B622" s="1" t="n">
        <v>45700.39645833334</v>
      </c>
      <c r="C622" s="1" t="n">
        <v>45936</v>
      </c>
      <c r="D622" t="inlineStr">
        <is>
          <t>JÄMTLANDS LÄN</t>
        </is>
      </c>
      <c r="E622" t="inlineStr">
        <is>
          <t>BERG</t>
        </is>
      </c>
      <c r="G622" t="n">
        <v>2.6</v>
      </c>
      <c r="H622" t="n">
        <v>0</v>
      </c>
      <c r="I622" t="n">
        <v>0</v>
      </c>
      <c r="J622" t="n">
        <v>0</v>
      </c>
      <c r="K622" t="n">
        <v>0</v>
      </c>
      <c r="L622" t="n">
        <v>0</v>
      </c>
      <c r="M622" t="n">
        <v>0</v>
      </c>
      <c r="N622" t="n">
        <v>0</v>
      </c>
      <c r="O622" t="n">
        <v>0</v>
      </c>
      <c r="P622" t="n">
        <v>0</v>
      </c>
      <c r="Q622" t="n">
        <v>0</v>
      </c>
      <c r="R622" s="2" t="inlineStr"/>
    </row>
    <row r="623" ht="15" customHeight="1">
      <c r="A623" t="inlineStr">
        <is>
          <t>A 12254-2025</t>
        </is>
      </c>
      <c r="B623" s="1" t="n">
        <v>45729</v>
      </c>
      <c r="C623" s="1" t="n">
        <v>45936</v>
      </c>
      <c r="D623" t="inlineStr">
        <is>
          <t>JÄMTLANDS LÄN</t>
        </is>
      </c>
      <c r="E623" t="inlineStr">
        <is>
          <t>BERG</t>
        </is>
      </c>
      <c r="G623" t="n">
        <v>26.3</v>
      </c>
      <c r="H623" t="n">
        <v>0</v>
      </c>
      <c r="I623" t="n">
        <v>0</v>
      </c>
      <c r="J623" t="n">
        <v>0</v>
      </c>
      <c r="K623" t="n">
        <v>0</v>
      </c>
      <c r="L623" t="n">
        <v>0</v>
      </c>
      <c r="M623" t="n">
        <v>0</v>
      </c>
      <c r="N623" t="n">
        <v>0</v>
      </c>
      <c r="O623" t="n">
        <v>0</v>
      </c>
      <c r="P623" t="n">
        <v>0</v>
      </c>
      <c r="Q623" t="n">
        <v>0</v>
      </c>
      <c r="R623" s="2" t="inlineStr"/>
    </row>
    <row r="624" ht="15" customHeight="1">
      <c r="A624" t="inlineStr">
        <is>
          <t>A 24786-2025</t>
        </is>
      </c>
      <c r="B624" s="1" t="n">
        <v>45799.42777777778</v>
      </c>
      <c r="C624" s="1" t="n">
        <v>45936</v>
      </c>
      <c r="D624" t="inlineStr">
        <is>
          <t>JÄMTLANDS LÄN</t>
        </is>
      </c>
      <c r="E624" t="inlineStr">
        <is>
          <t>BERG</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24869-2025</t>
        </is>
      </c>
      <c r="B625" s="1" t="n">
        <v>45799.48994212963</v>
      </c>
      <c r="C625" s="1" t="n">
        <v>45936</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24442-2025</t>
        </is>
      </c>
      <c r="B626" s="1" t="n">
        <v>45797.96236111111</v>
      </c>
      <c r="C626" s="1" t="n">
        <v>45936</v>
      </c>
      <c r="D626" t="inlineStr">
        <is>
          <t>JÄMTLANDS LÄN</t>
        </is>
      </c>
      <c r="E626" t="inlineStr">
        <is>
          <t>BERG</t>
        </is>
      </c>
      <c r="G626" t="n">
        <v>9</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45936</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23560-2024</t>
        </is>
      </c>
      <c r="B628" s="1" t="n">
        <v>45453.95467592592</v>
      </c>
      <c r="C628" s="1" t="n">
        <v>45936</v>
      </c>
      <c r="D628" t="inlineStr">
        <is>
          <t>JÄMTLANDS LÄN</t>
        </is>
      </c>
      <c r="E628" t="inlineStr">
        <is>
          <t>BERG</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25452-2025</t>
        </is>
      </c>
      <c r="B629" s="1" t="n">
        <v>45802.34440972222</v>
      </c>
      <c r="C629" s="1" t="n">
        <v>45936</v>
      </c>
      <c r="D629" t="inlineStr">
        <is>
          <t>JÄMTLANDS LÄN</t>
        </is>
      </c>
      <c r="E629" t="inlineStr">
        <is>
          <t>BERG</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60409-2023</t>
        </is>
      </c>
      <c r="B630" s="1" t="n">
        <v>45259.47972222222</v>
      </c>
      <c r="C630" s="1" t="n">
        <v>45936</v>
      </c>
      <c r="D630" t="inlineStr">
        <is>
          <t>JÄMTLANDS LÄN</t>
        </is>
      </c>
      <c r="E630" t="inlineStr">
        <is>
          <t>BERG</t>
        </is>
      </c>
      <c r="G630" t="n">
        <v>5.8</v>
      </c>
      <c r="H630" t="n">
        <v>0</v>
      </c>
      <c r="I630" t="n">
        <v>0</v>
      </c>
      <c r="J630" t="n">
        <v>0</v>
      </c>
      <c r="K630" t="n">
        <v>0</v>
      </c>
      <c r="L630" t="n">
        <v>0</v>
      </c>
      <c r="M630" t="n">
        <v>0</v>
      </c>
      <c r="N630" t="n">
        <v>0</v>
      </c>
      <c r="O630" t="n">
        <v>0</v>
      </c>
      <c r="P630" t="n">
        <v>0</v>
      </c>
      <c r="Q630" t="n">
        <v>0</v>
      </c>
      <c r="R630" s="2" t="inlineStr"/>
    </row>
    <row r="631" ht="15" customHeight="1">
      <c r="A631" t="inlineStr">
        <is>
          <t>A 1982-2022</t>
        </is>
      </c>
      <c r="B631" s="1" t="n">
        <v>44575</v>
      </c>
      <c r="C631" s="1" t="n">
        <v>45936</v>
      </c>
      <c r="D631" t="inlineStr">
        <is>
          <t>JÄMTLANDS LÄN</t>
        </is>
      </c>
      <c r="E631" t="inlineStr">
        <is>
          <t>BERG</t>
        </is>
      </c>
      <c r="G631" t="n">
        <v>1.6</v>
      </c>
      <c r="H631" t="n">
        <v>0</v>
      </c>
      <c r="I631" t="n">
        <v>0</v>
      </c>
      <c r="J631" t="n">
        <v>0</v>
      </c>
      <c r="K631" t="n">
        <v>0</v>
      </c>
      <c r="L631" t="n">
        <v>0</v>
      </c>
      <c r="M631" t="n">
        <v>0</v>
      </c>
      <c r="N631" t="n">
        <v>0</v>
      </c>
      <c r="O631" t="n">
        <v>0</v>
      </c>
      <c r="P631" t="n">
        <v>0</v>
      </c>
      <c r="Q631" t="n">
        <v>0</v>
      </c>
      <c r="R631" s="2" t="inlineStr"/>
    </row>
    <row r="632" ht="15" customHeight="1">
      <c r="A632" t="inlineStr">
        <is>
          <t>A 1989-2022</t>
        </is>
      </c>
      <c r="B632" s="1" t="n">
        <v>44575.55935185185</v>
      </c>
      <c r="C632" s="1" t="n">
        <v>45936</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3173-2025</t>
        </is>
      </c>
      <c r="B633" s="1" t="n">
        <v>45679.38309027778</v>
      </c>
      <c r="C633" s="1" t="n">
        <v>45936</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29378-2024</t>
        </is>
      </c>
      <c r="B634" s="1" t="n">
        <v>45483.59328703704</v>
      </c>
      <c r="C634" s="1" t="n">
        <v>45936</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62153-2022</t>
        </is>
      </c>
      <c r="B635" s="1" t="n">
        <v>44914</v>
      </c>
      <c r="C635" s="1" t="n">
        <v>45936</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15156-2024</t>
        </is>
      </c>
      <c r="B636" s="1" t="n">
        <v>45399.94496527778</v>
      </c>
      <c r="C636" s="1" t="n">
        <v>45936</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21508-2024</t>
        </is>
      </c>
      <c r="B637" s="1" t="n">
        <v>45441.56905092593</v>
      </c>
      <c r="C637" s="1" t="n">
        <v>45936</v>
      </c>
      <c r="D637" t="inlineStr">
        <is>
          <t>JÄMTLANDS LÄN</t>
        </is>
      </c>
      <c r="E637" t="inlineStr">
        <is>
          <t>BERG</t>
        </is>
      </c>
      <c r="G637" t="n">
        <v>3.2</v>
      </c>
      <c r="H637" t="n">
        <v>0</v>
      </c>
      <c r="I637" t="n">
        <v>0</v>
      </c>
      <c r="J637" t="n">
        <v>0</v>
      </c>
      <c r="K637" t="n">
        <v>0</v>
      </c>
      <c r="L637" t="n">
        <v>0</v>
      </c>
      <c r="M637" t="n">
        <v>0</v>
      </c>
      <c r="N637" t="n">
        <v>0</v>
      </c>
      <c r="O637" t="n">
        <v>0</v>
      </c>
      <c r="P637" t="n">
        <v>0</v>
      </c>
      <c r="Q637" t="n">
        <v>0</v>
      </c>
      <c r="R637" s="2" t="inlineStr"/>
    </row>
    <row r="638" ht="15" customHeight="1">
      <c r="A638" t="inlineStr">
        <is>
          <t>A 46858-2023</t>
        </is>
      </c>
      <c r="B638" s="1" t="n">
        <v>45199.97042824074</v>
      </c>
      <c r="C638" s="1" t="n">
        <v>45936</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25454-2025</t>
        </is>
      </c>
      <c r="B639" s="1" t="n">
        <v>45802.34460648148</v>
      </c>
      <c r="C639" s="1" t="n">
        <v>45936</v>
      </c>
      <c r="D639" t="inlineStr">
        <is>
          <t>JÄMTLANDS LÄN</t>
        </is>
      </c>
      <c r="E639" t="inlineStr">
        <is>
          <t>BERG</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25453-2025</t>
        </is>
      </c>
      <c r="B640" s="1" t="n">
        <v>45802.34451388889</v>
      </c>
      <c r="C640" s="1" t="n">
        <v>45936</v>
      </c>
      <c r="D640" t="inlineStr">
        <is>
          <t>JÄMTLANDS LÄN</t>
        </is>
      </c>
      <c r="E640" t="inlineStr">
        <is>
          <t>BERG</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25441-2025</t>
        </is>
      </c>
      <c r="B641" s="1" t="n">
        <v>45801.34476851852</v>
      </c>
      <c r="C641" s="1" t="n">
        <v>45936</v>
      </c>
      <c r="D641" t="inlineStr">
        <is>
          <t>JÄMTLANDS LÄN</t>
        </is>
      </c>
      <c r="E641" t="inlineStr">
        <is>
          <t>BERG</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36192-2024</t>
        </is>
      </c>
      <c r="B642" s="1" t="n">
        <v>45534.42809027778</v>
      </c>
      <c r="C642" s="1" t="n">
        <v>45936</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14594-2025</t>
        </is>
      </c>
      <c r="B643" s="1" t="n">
        <v>45742.34414351852</v>
      </c>
      <c r="C643" s="1" t="n">
        <v>45936</v>
      </c>
      <c r="D643" t="inlineStr">
        <is>
          <t>JÄMTLANDS LÄN</t>
        </is>
      </c>
      <c r="E643" t="inlineStr">
        <is>
          <t>BERG</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14596-2025</t>
        </is>
      </c>
      <c r="B644" s="1" t="n">
        <v>45742.34449074074</v>
      </c>
      <c r="C644" s="1" t="n">
        <v>45936</v>
      </c>
      <c r="D644" t="inlineStr">
        <is>
          <t>JÄMTLANDS LÄN</t>
        </is>
      </c>
      <c r="E644" t="inlineStr">
        <is>
          <t>BERG</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26013-2025</t>
        </is>
      </c>
      <c r="B645" s="1" t="n">
        <v>45804.67760416667</v>
      </c>
      <c r="C645" s="1" t="n">
        <v>45936</v>
      </c>
      <c r="D645" t="inlineStr">
        <is>
          <t>JÄMTLANDS LÄN</t>
        </is>
      </c>
      <c r="E645" t="inlineStr">
        <is>
          <t>BERG</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25976-2025</t>
        </is>
      </c>
      <c r="B646" s="1" t="n">
        <v>45804.63596064815</v>
      </c>
      <c r="C646" s="1" t="n">
        <v>45936</v>
      </c>
      <c r="D646" t="inlineStr">
        <is>
          <t>JÄMTLANDS LÄN</t>
        </is>
      </c>
      <c r="E646" t="inlineStr">
        <is>
          <t>BERG</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25979-2025</t>
        </is>
      </c>
      <c r="B647" s="1" t="n">
        <v>45804.63642361111</v>
      </c>
      <c r="C647" s="1" t="n">
        <v>45936</v>
      </c>
      <c r="D647" t="inlineStr">
        <is>
          <t>JÄMTLANDS LÄN</t>
        </is>
      </c>
      <c r="E647" t="inlineStr">
        <is>
          <t>BERG</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3798-2022</t>
        </is>
      </c>
      <c r="B648" s="1" t="n">
        <v>44586</v>
      </c>
      <c r="C648" s="1" t="n">
        <v>45936</v>
      </c>
      <c r="D648" t="inlineStr">
        <is>
          <t>JÄMTLANDS LÄN</t>
        </is>
      </c>
      <c r="E648" t="inlineStr">
        <is>
          <t>BERG</t>
        </is>
      </c>
      <c r="G648" t="n">
        <v>0.1</v>
      </c>
      <c r="H648" t="n">
        <v>0</v>
      </c>
      <c r="I648" t="n">
        <v>0</v>
      </c>
      <c r="J648" t="n">
        <v>0</v>
      </c>
      <c r="K648" t="n">
        <v>0</v>
      </c>
      <c r="L648" t="n">
        <v>0</v>
      </c>
      <c r="M648" t="n">
        <v>0</v>
      </c>
      <c r="N648" t="n">
        <v>0</v>
      </c>
      <c r="O648" t="n">
        <v>0</v>
      </c>
      <c r="P648" t="n">
        <v>0</v>
      </c>
      <c r="Q648" t="n">
        <v>0</v>
      </c>
      <c r="R648" s="2" t="inlineStr"/>
    </row>
    <row r="649" ht="15" customHeight="1">
      <c r="A649" t="inlineStr">
        <is>
          <t>A 26053-2025</t>
        </is>
      </c>
      <c r="B649" s="1" t="n">
        <v>45804.75445601852</v>
      </c>
      <c r="C649" s="1" t="n">
        <v>45936</v>
      </c>
      <c r="D649" t="inlineStr">
        <is>
          <t>JÄMTLANDS LÄN</t>
        </is>
      </c>
      <c r="E649" t="inlineStr">
        <is>
          <t>BERG</t>
        </is>
      </c>
      <c r="G649" t="n">
        <v>6</v>
      </c>
      <c r="H649" t="n">
        <v>0</v>
      </c>
      <c r="I649" t="n">
        <v>0</v>
      </c>
      <c r="J649" t="n">
        <v>0</v>
      </c>
      <c r="K649" t="n">
        <v>0</v>
      </c>
      <c r="L649" t="n">
        <v>0</v>
      </c>
      <c r="M649" t="n">
        <v>0</v>
      </c>
      <c r="N649" t="n">
        <v>0</v>
      </c>
      <c r="O649" t="n">
        <v>0</v>
      </c>
      <c r="P649" t="n">
        <v>0</v>
      </c>
      <c r="Q649" t="n">
        <v>0</v>
      </c>
      <c r="R649" s="2" t="inlineStr"/>
    </row>
    <row r="650" ht="15" customHeight="1">
      <c r="A650" t="inlineStr">
        <is>
          <t>A 11274-2025</t>
        </is>
      </c>
      <c r="B650" s="1" t="n">
        <v>45726.40868055556</v>
      </c>
      <c r="C650" s="1" t="n">
        <v>45936</v>
      </c>
      <c r="D650" t="inlineStr">
        <is>
          <t>JÄMTLANDS LÄN</t>
        </is>
      </c>
      <c r="E650" t="inlineStr">
        <is>
          <t>BERG</t>
        </is>
      </c>
      <c r="G650" t="n">
        <v>3</v>
      </c>
      <c r="H650" t="n">
        <v>0</v>
      </c>
      <c r="I650" t="n">
        <v>0</v>
      </c>
      <c r="J650" t="n">
        <v>0</v>
      </c>
      <c r="K650" t="n">
        <v>0</v>
      </c>
      <c r="L650" t="n">
        <v>0</v>
      </c>
      <c r="M650" t="n">
        <v>0</v>
      </c>
      <c r="N650" t="n">
        <v>0</v>
      </c>
      <c r="O650" t="n">
        <v>0</v>
      </c>
      <c r="P650" t="n">
        <v>0</v>
      </c>
      <c r="Q650" t="n">
        <v>0</v>
      </c>
      <c r="R650" s="2" t="inlineStr"/>
    </row>
    <row r="651" ht="15" customHeight="1">
      <c r="A651" t="inlineStr">
        <is>
          <t>A 149-2024</t>
        </is>
      </c>
      <c r="B651" s="1" t="n">
        <v>45294</v>
      </c>
      <c r="C651" s="1" t="n">
        <v>45936</v>
      </c>
      <c r="D651" t="inlineStr">
        <is>
          <t>JÄMTLANDS LÄN</t>
        </is>
      </c>
      <c r="E651" t="inlineStr">
        <is>
          <t>BERG</t>
        </is>
      </c>
      <c r="F651" t="inlineStr">
        <is>
          <t>Kyrkan</t>
        </is>
      </c>
      <c r="G651" t="n">
        <v>3.7</v>
      </c>
      <c r="H651" t="n">
        <v>0</v>
      </c>
      <c r="I651" t="n">
        <v>0</v>
      </c>
      <c r="J651" t="n">
        <v>0</v>
      </c>
      <c r="K651" t="n">
        <v>0</v>
      </c>
      <c r="L651" t="n">
        <v>0</v>
      </c>
      <c r="M651" t="n">
        <v>0</v>
      </c>
      <c r="N651" t="n">
        <v>0</v>
      </c>
      <c r="O651" t="n">
        <v>0</v>
      </c>
      <c r="P651" t="n">
        <v>0</v>
      </c>
      <c r="Q651" t="n">
        <v>0</v>
      </c>
      <c r="R651" s="2" t="inlineStr"/>
    </row>
    <row r="652" ht="15" customHeight="1">
      <c r="A652" t="inlineStr">
        <is>
          <t>A 36708-2023</t>
        </is>
      </c>
      <c r="B652" s="1" t="n">
        <v>45153.65226851852</v>
      </c>
      <c r="C652" s="1" t="n">
        <v>45936</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17266-2025</t>
        </is>
      </c>
      <c r="B653" s="1" t="n">
        <v>45756</v>
      </c>
      <c r="C653" s="1" t="n">
        <v>45936</v>
      </c>
      <c r="D653" t="inlineStr">
        <is>
          <t>JÄMTLANDS LÄN</t>
        </is>
      </c>
      <c r="E653" t="inlineStr">
        <is>
          <t>BERG</t>
        </is>
      </c>
      <c r="G653" t="n">
        <v>20.1</v>
      </c>
      <c r="H653" t="n">
        <v>0</v>
      </c>
      <c r="I653" t="n">
        <v>0</v>
      </c>
      <c r="J653" t="n">
        <v>0</v>
      </c>
      <c r="K653" t="n">
        <v>0</v>
      </c>
      <c r="L653" t="n">
        <v>0</v>
      </c>
      <c r="M653" t="n">
        <v>0</v>
      </c>
      <c r="N653" t="n">
        <v>0</v>
      </c>
      <c r="O653" t="n">
        <v>0</v>
      </c>
      <c r="P653" t="n">
        <v>0</v>
      </c>
      <c r="Q653" t="n">
        <v>0</v>
      </c>
      <c r="R653" s="2" t="inlineStr"/>
    </row>
    <row r="654" ht="15" customHeight="1">
      <c r="A654" t="inlineStr">
        <is>
          <t>A 33750-2023</t>
        </is>
      </c>
      <c r="B654" s="1" t="n">
        <v>45120</v>
      </c>
      <c r="C654" s="1" t="n">
        <v>45936</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45936</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25885-2025</t>
        </is>
      </c>
      <c r="B656" s="1" t="n">
        <v>45804.51075231482</v>
      </c>
      <c r="C656" s="1" t="n">
        <v>45936</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25887-2025</t>
        </is>
      </c>
      <c r="B657" s="1" t="n">
        <v>45804.51104166666</v>
      </c>
      <c r="C657" s="1" t="n">
        <v>45936</v>
      </c>
      <c r="D657" t="inlineStr">
        <is>
          <t>JÄMTLANDS LÄN</t>
        </is>
      </c>
      <c r="E657" t="inlineStr">
        <is>
          <t>BERG</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25960-2025</t>
        </is>
      </c>
      <c r="B658" s="1" t="n">
        <v>45804.60972222222</v>
      </c>
      <c r="C658" s="1" t="n">
        <v>45936</v>
      </c>
      <c r="D658" t="inlineStr">
        <is>
          <t>JÄMTLANDS LÄN</t>
        </is>
      </c>
      <c r="E658" t="inlineStr">
        <is>
          <t>BERG</t>
        </is>
      </c>
      <c r="G658" t="n">
        <v>7.3</v>
      </c>
      <c r="H658" t="n">
        <v>0</v>
      </c>
      <c r="I658" t="n">
        <v>0</v>
      </c>
      <c r="J658" t="n">
        <v>0</v>
      </c>
      <c r="K658" t="n">
        <v>0</v>
      </c>
      <c r="L658" t="n">
        <v>0</v>
      </c>
      <c r="M658" t="n">
        <v>0</v>
      </c>
      <c r="N658" t="n">
        <v>0</v>
      </c>
      <c r="O658" t="n">
        <v>0</v>
      </c>
      <c r="P658" t="n">
        <v>0</v>
      </c>
      <c r="Q658" t="n">
        <v>0</v>
      </c>
      <c r="R658" s="2" t="inlineStr"/>
    </row>
    <row r="659" ht="15" customHeight="1">
      <c r="A659" t="inlineStr">
        <is>
          <t>A 64709-2021</t>
        </is>
      </c>
      <c r="B659" s="1" t="n">
        <v>44512</v>
      </c>
      <c r="C659" s="1" t="n">
        <v>45936</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25938-2025</t>
        </is>
      </c>
      <c r="B660" s="1" t="n">
        <v>45804.59414351852</v>
      </c>
      <c r="C660" s="1" t="n">
        <v>45936</v>
      </c>
      <c r="D660" t="inlineStr">
        <is>
          <t>JÄMTLANDS LÄN</t>
        </is>
      </c>
      <c r="E660" t="inlineStr">
        <is>
          <t>BERG</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25886-2025</t>
        </is>
      </c>
      <c r="B661" s="1" t="n">
        <v>45804.51092592593</v>
      </c>
      <c r="C661" s="1" t="n">
        <v>45936</v>
      </c>
      <c r="D661" t="inlineStr">
        <is>
          <t>JÄMTLANDS LÄN</t>
        </is>
      </c>
      <c r="E661" t="inlineStr">
        <is>
          <t>BERG</t>
        </is>
      </c>
      <c r="F661" t="inlineStr">
        <is>
          <t>SCA</t>
        </is>
      </c>
      <c r="G661" t="n">
        <v>18.3</v>
      </c>
      <c r="H661" t="n">
        <v>0</v>
      </c>
      <c r="I661" t="n">
        <v>0</v>
      </c>
      <c r="J661" t="n">
        <v>0</v>
      </c>
      <c r="K661" t="n">
        <v>0</v>
      </c>
      <c r="L661" t="n">
        <v>0</v>
      </c>
      <c r="M661" t="n">
        <v>0</v>
      </c>
      <c r="N661" t="n">
        <v>0</v>
      </c>
      <c r="O661" t="n">
        <v>0</v>
      </c>
      <c r="P661" t="n">
        <v>0</v>
      </c>
      <c r="Q661" t="n">
        <v>0</v>
      </c>
      <c r="R661" s="2" t="inlineStr"/>
    </row>
    <row r="662" ht="15" customHeight="1">
      <c r="A662" t="inlineStr">
        <is>
          <t>A 26186-2025</t>
        </is>
      </c>
      <c r="B662" s="1" t="n">
        <v>45805.47840277778</v>
      </c>
      <c r="C662" s="1" t="n">
        <v>45936</v>
      </c>
      <c r="D662" t="inlineStr">
        <is>
          <t>JÄMTLANDS LÄN</t>
        </is>
      </c>
      <c r="E662" t="inlineStr">
        <is>
          <t>BERG</t>
        </is>
      </c>
      <c r="G662" t="n">
        <v>5.3</v>
      </c>
      <c r="H662" t="n">
        <v>0</v>
      </c>
      <c r="I662" t="n">
        <v>0</v>
      </c>
      <c r="J662" t="n">
        <v>0</v>
      </c>
      <c r="K662" t="n">
        <v>0</v>
      </c>
      <c r="L662" t="n">
        <v>0</v>
      </c>
      <c r="M662" t="n">
        <v>0</v>
      </c>
      <c r="N662" t="n">
        <v>0</v>
      </c>
      <c r="O662" t="n">
        <v>0</v>
      </c>
      <c r="P662" t="n">
        <v>0</v>
      </c>
      <c r="Q662" t="n">
        <v>0</v>
      </c>
      <c r="R662" s="2" t="inlineStr"/>
    </row>
    <row r="663" ht="15" customHeight="1">
      <c r="A663" t="inlineStr">
        <is>
          <t>A 26275-2025</t>
        </is>
      </c>
      <c r="B663" s="1" t="n">
        <v>45805.60230324074</v>
      </c>
      <c r="C663" s="1" t="n">
        <v>45936</v>
      </c>
      <c r="D663" t="inlineStr">
        <is>
          <t>JÄMTLANDS LÄN</t>
        </is>
      </c>
      <c r="E663" t="inlineStr">
        <is>
          <t>BERG</t>
        </is>
      </c>
      <c r="G663" t="n">
        <v>10.2</v>
      </c>
      <c r="H663" t="n">
        <v>0</v>
      </c>
      <c r="I663" t="n">
        <v>0</v>
      </c>
      <c r="J663" t="n">
        <v>0</v>
      </c>
      <c r="K663" t="n">
        <v>0</v>
      </c>
      <c r="L663" t="n">
        <v>0</v>
      </c>
      <c r="M663" t="n">
        <v>0</v>
      </c>
      <c r="N663" t="n">
        <v>0</v>
      </c>
      <c r="O663" t="n">
        <v>0</v>
      </c>
      <c r="P663" t="n">
        <v>0</v>
      </c>
      <c r="Q663" t="n">
        <v>0</v>
      </c>
      <c r="R663" s="2" t="inlineStr"/>
    </row>
    <row r="664" ht="15" customHeight="1">
      <c r="A664" t="inlineStr">
        <is>
          <t>A 25980-2025</t>
        </is>
      </c>
      <c r="B664" s="1" t="n">
        <v>45804.63658564815</v>
      </c>
      <c r="C664" s="1" t="n">
        <v>45936</v>
      </c>
      <c r="D664" t="inlineStr">
        <is>
          <t>JÄMTLANDS LÄN</t>
        </is>
      </c>
      <c r="E664" t="inlineStr">
        <is>
          <t>BERG</t>
        </is>
      </c>
      <c r="F664" t="inlineStr">
        <is>
          <t>SCA</t>
        </is>
      </c>
      <c r="G664" t="n">
        <v>8.9</v>
      </c>
      <c r="H664" t="n">
        <v>0</v>
      </c>
      <c r="I664" t="n">
        <v>0</v>
      </c>
      <c r="J664" t="n">
        <v>0</v>
      </c>
      <c r="K664" t="n">
        <v>0</v>
      </c>
      <c r="L664" t="n">
        <v>0</v>
      </c>
      <c r="M664" t="n">
        <v>0</v>
      </c>
      <c r="N664" t="n">
        <v>0</v>
      </c>
      <c r="O664" t="n">
        <v>0</v>
      </c>
      <c r="P664" t="n">
        <v>0</v>
      </c>
      <c r="Q664" t="n">
        <v>0</v>
      </c>
      <c r="R664" s="2" t="inlineStr"/>
    </row>
    <row r="665" ht="15" customHeight="1">
      <c r="A665" t="inlineStr">
        <is>
          <t>A 8722-2024</t>
        </is>
      </c>
      <c r="B665" s="1" t="n">
        <v>45355</v>
      </c>
      <c r="C665" s="1" t="n">
        <v>45936</v>
      </c>
      <c r="D665" t="inlineStr">
        <is>
          <t>JÄMTLANDS LÄN</t>
        </is>
      </c>
      <c r="E665" t="inlineStr">
        <is>
          <t>BERG</t>
        </is>
      </c>
      <c r="G665" t="n">
        <v>2.4</v>
      </c>
      <c r="H665" t="n">
        <v>0</v>
      </c>
      <c r="I665" t="n">
        <v>0</v>
      </c>
      <c r="J665" t="n">
        <v>0</v>
      </c>
      <c r="K665" t="n">
        <v>0</v>
      </c>
      <c r="L665" t="n">
        <v>0</v>
      </c>
      <c r="M665" t="n">
        <v>0</v>
      </c>
      <c r="N665" t="n">
        <v>0</v>
      </c>
      <c r="O665" t="n">
        <v>0</v>
      </c>
      <c r="P665" t="n">
        <v>0</v>
      </c>
      <c r="Q665" t="n">
        <v>0</v>
      </c>
      <c r="R665" s="2" t="inlineStr"/>
    </row>
    <row r="666" ht="15" customHeight="1">
      <c r="A666" t="inlineStr">
        <is>
          <t>A 8726-2024</t>
        </is>
      </c>
      <c r="B666" s="1" t="n">
        <v>45355</v>
      </c>
      <c r="C666" s="1" t="n">
        <v>45936</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8733-2024</t>
        </is>
      </c>
      <c r="B667" s="1" t="n">
        <v>45355</v>
      </c>
      <c r="C667" s="1" t="n">
        <v>45936</v>
      </c>
      <c r="D667" t="inlineStr">
        <is>
          <t>JÄMTLANDS LÄN</t>
        </is>
      </c>
      <c r="E667" t="inlineStr">
        <is>
          <t>BERG</t>
        </is>
      </c>
      <c r="G667" t="n">
        <v>1.9</v>
      </c>
      <c r="H667" t="n">
        <v>0</v>
      </c>
      <c r="I667" t="n">
        <v>0</v>
      </c>
      <c r="J667" t="n">
        <v>0</v>
      </c>
      <c r="K667" t="n">
        <v>0</v>
      </c>
      <c r="L667" t="n">
        <v>0</v>
      </c>
      <c r="M667" t="n">
        <v>0</v>
      </c>
      <c r="N667" t="n">
        <v>0</v>
      </c>
      <c r="O667" t="n">
        <v>0</v>
      </c>
      <c r="P667" t="n">
        <v>0</v>
      </c>
      <c r="Q667" t="n">
        <v>0</v>
      </c>
      <c r="R667" s="2" t="inlineStr"/>
    </row>
    <row r="668" ht="15" customHeight="1">
      <c r="A668" t="inlineStr">
        <is>
          <t>A 26378-2025</t>
        </is>
      </c>
      <c r="B668" s="1" t="n">
        <v>45806.48989583334</v>
      </c>
      <c r="C668" s="1" t="n">
        <v>45936</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26374-2025</t>
        </is>
      </c>
      <c r="B669" s="1" t="n">
        <v>45806.42745370371</v>
      </c>
      <c r="C669" s="1" t="n">
        <v>45936</v>
      </c>
      <c r="D669" t="inlineStr">
        <is>
          <t>JÄMTLANDS LÄN</t>
        </is>
      </c>
      <c r="E669" t="inlineStr">
        <is>
          <t>BERG</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45936</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26743-2025</t>
        </is>
      </c>
      <c r="B671" s="1" t="n">
        <v>45810.53163194445</v>
      </c>
      <c r="C671" s="1" t="n">
        <v>45936</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27044-2025</t>
        </is>
      </c>
      <c r="B672" s="1" t="n">
        <v>45811.61496527777</v>
      </c>
      <c r="C672" s="1" t="n">
        <v>45936</v>
      </c>
      <c r="D672" t="inlineStr">
        <is>
          <t>JÄMTLANDS LÄN</t>
        </is>
      </c>
      <c r="E672" t="inlineStr">
        <is>
          <t>BERG</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27063-2025</t>
        </is>
      </c>
      <c r="B673" s="1" t="n">
        <v>45811.63626157407</v>
      </c>
      <c r="C673" s="1" t="n">
        <v>45936</v>
      </c>
      <c r="D673" t="inlineStr">
        <is>
          <t>JÄMTLANDS LÄN</t>
        </is>
      </c>
      <c r="E673" t="inlineStr">
        <is>
          <t>BERG</t>
        </is>
      </c>
      <c r="F673" t="inlineStr">
        <is>
          <t>SCA</t>
        </is>
      </c>
      <c r="G673" t="n">
        <v>18.9</v>
      </c>
      <c r="H673" t="n">
        <v>0</v>
      </c>
      <c r="I673" t="n">
        <v>0</v>
      </c>
      <c r="J673" t="n">
        <v>0</v>
      </c>
      <c r="K673" t="n">
        <v>0</v>
      </c>
      <c r="L673" t="n">
        <v>0</v>
      </c>
      <c r="M673" t="n">
        <v>0</v>
      </c>
      <c r="N673" t="n">
        <v>0</v>
      </c>
      <c r="O673" t="n">
        <v>0</v>
      </c>
      <c r="P673" t="n">
        <v>0</v>
      </c>
      <c r="Q673" t="n">
        <v>0</v>
      </c>
      <c r="R673" s="2" t="inlineStr"/>
    </row>
    <row r="674" ht="15" customHeight="1">
      <c r="A674" t="inlineStr">
        <is>
          <t>A 30992-2024</t>
        </is>
      </c>
      <c r="B674" s="1" t="n">
        <v>45499</v>
      </c>
      <c r="C674" s="1" t="n">
        <v>45936</v>
      </c>
      <c r="D674" t="inlineStr">
        <is>
          <t>JÄMTLANDS LÄN</t>
        </is>
      </c>
      <c r="E674" t="inlineStr">
        <is>
          <t>BERG</t>
        </is>
      </c>
      <c r="F674" t="inlineStr">
        <is>
          <t>Sveaskog</t>
        </is>
      </c>
      <c r="G674" t="n">
        <v>5.1</v>
      </c>
      <c r="H674" t="n">
        <v>0</v>
      </c>
      <c r="I674" t="n">
        <v>0</v>
      </c>
      <c r="J674" t="n">
        <v>0</v>
      </c>
      <c r="K674" t="n">
        <v>0</v>
      </c>
      <c r="L674" t="n">
        <v>0</v>
      </c>
      <c r="M674" t="n">
        <v>0</v>
      </c>
      <c r="N674" t="n">
        <v>0</v>
      </c>
      <c r="O674" t="n">
        <v>0</v>
      </c>
      <c r="P674" t="n">
        <v>0</v>
      </c>
      <c r="Q674" t="n">
        <v>0</v>
      </c>
      <c r="R674" s="2" t="inlineStr"/>
    </row>
    <row r="675" ht="15" customHeight="1">
      <c r="A675" t="inlineStr">
        <is>
          <t>A 27317-2025</t>
        </is>
      </c>
      <c r="B675" s="1" t="n">
        <v>45812.59011574074</v>
      </c>
      <c r="C675" s="1" t="n">
        <v>45936</v>
      </c>
      <c r="D675" t="inlineStr">
        <is>
          <t>JÄMTLANDS LÄN</t>
        </is>
      </c>
      <c r="E675" t="inlineStr">
        <is>
          <t>BERG</t>
        </is>
      </c>
      <c r="G675" t="n">
        <v>6.2</v>
      </c>
      <c r="H675" t="n">
        <v>0</v>
      </c>
      <c r="I675" t="n">
        <v>0</v>
      </c>
      <c r="J675" t="n">
        <v>0</v>
      </c>
      <c r="K675" t="n">
        <v>0</v>
      </c>
      <c r="L675" t="n">
        <v>0</v>
      </c>
      <c r="M675" t="n">
        <v>0</v>
      </c>
      <c r="N675" t="n">
        <v>0</v>
      </c>
      <c r="O675" t="n">
        <v>0</v>
      </c>
      <c r="P675" t="n">
        <v>0</v>
      </c>
      <c r="Q675" t="n">
        <v>0</v>
      </c>
      <c r="R675" s="2" t="inlineStr"/>
    </row>
    <row r="676" ht="15" customHeight="1">
      <c r="A676" t="inlineStr">
        <is>
          <t>A 27459-2025</t>
        </is>
      </c>
      <c r="B676" s="1" t="n">
        <v>45813.34561342592</v>
      </c>
      <c r="C676" s="1" t="n">
        <v>45936</v>
      </c>
      <c r="D676" t="inlineStr">
        <is>
          <t>JÄMTLANDS LÄN</t>
        </is>
      </c>
      <c r="E676" t="inlineStr">
        <is>
          <t>BERG</t>
        </is>
      </c>
      <c r="F676" t="inlineStr">
        <is>
          <t>SCA</t>
        </is>
      </c>
      <c r="G676" t="n">
        <v>19.2</v>
      </c>
      <c r="H676" t="n">
        <v>0</v>
      </c>
      <c r="I676" t="n">
        <v>0</v>
      </c>
      <c r="J676" t="n">
        <v>0</v>
      </c>
      <c r="K676" t="n">
        <v>0</v>
      </c>
      <c r="L676" t="n">
        <v>0</v>
      </c>
      <c r="M676" t="n">
        <v>0</v>
      </c>
      <c r="N676" t="n">
        <v>0</v>
      </c>
      <c r="O676" t="n">
        <v>0</v>
      </c>
      <c r="P676" t="n">
        <v>0</v>
      </c>
      <c r="Q676" t="n">
        <v>0</v>
      </c>
      <c r="R676" s="2" t="inlineStr"/>
    </row>
    <row r="677" ht="15" customHeight="1">
      <c r="A677" t="inlineStr">
        <is>
          <t>A 27575-2025</t>
        </is>
      </c>
      <c r="B677" s="1" t="n">
        <v>45813.49083333334</v>
      </c>
      <c r="C677" s="1" t="n">
        <v>45936</v>
      </c>
      <c r="D677" t="inlineStr">
        <is>
          <t>JÄMTLANDS LÄN</t>
        </is>
      </c>
      <c r="E677" t="inlineStr">
        <is>
          <t>BERG</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1657-2021</t>
        </is>
      </c>
      <c r="B678" s="1" t="n">
        <v>44209</v>
      </c>
      <c r="C678" s="1" t="n">
        <v>45936</v>
      </c>
      <c r="D678" t="inlineStr">
        <is>
          <t>JÄMTLANDS LÄN</t>
        </is>
      </c>
      <c r="E678" t="inlineStr">
        <is>
          <t>BERG</t>
        </is>
      </c>
      <c r="G678" t="n">
        <v>0.1</v>
      </c>
      <c r="H678" t="n">
        <v>0</v>
      </c>
      <c r="I678" t="n">
        <v>0</v>
      </c>
      <c r="J678" t="n">
        <v>0</v>
      </c>
      <c r="K678" t="n">
        <v>0</v>
      </c>
      <c r="L678" t="n">
        <v>0</v>
      </c>
      <c r="M678" t="n">
        <v>0</v>
      </c>
      <c r="N678" t="n">
        <v>0</v>
      </c>
      <c r="O678" t="n">
        <v>0</v>
      </c>
      <c r="P678" t="n">
        <v>0</v>
      </c>
      <c r="Q678" t="n">
        <v>0</v>
      </c>
      <c r="R678" s="2" t="inlineStr"/>
    </row>
    <row r="679" ht="15" customHeight="1">
      <c r="A679" t="inlineStr">
        <is>
          <t>A 49048-2024</t>
        </is>
      </c>
      <c r="B679" s="1" t="n">
        <v>45594.57427083333</v>
      </c>
      <c r="C679" s="1" t="n">
        <v>45936</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27603-2025</t>
        </is>
      </c>
      <c r="B680" s="1" t="n">
        <v>45813.53174768519</v>
      </c>
      <c r="C680" s="1" t="n">
        <v>45936</v>
      </c>
      <c r="D680" t="inlineStr">
        <is>
          <t>JÄMTLANDS LÄN</t>
        </is>
      </c>
      <c r="E680" t="inlineStr">
        <is>
          <t>BERG</t>
        </is>
      </c>
      <c r="F680" t="inlineStr">
        <is>
          <t>SCA</t>
        </is>
      </c>
      <c r="G680" t="n">
        <v>11.3</v>
      </c>
      <c r="H680" t="n">
        <v>0</v>
      </c>
      <c r="I680" t="n">
        <v>0</v>
      </c>
      <c r="J680" t="n">
        <v>0</v>
      </c>
      <c r="K680" t="n">
        <v>0</v>
      </c>
      <c r="L680" t="n">
        <v>0</v>
      </c>
      <c r="M680" t="n">
        <v>0</v>
      </c>
      <c r="N680" t="n">
        <v>0</v>
      </c>
      <c r="O680" t="n">
        <v>0</v>
      </c>
      <c r="P680" t="n">
        <v>0</v>
      </c>
      <c r="Q680" t="n">
        <v>0</v>
      </c>
      <c r="R680" s="2" t="inlineStr"/>
    </row>
    <row r="681" ht="15" customHeight="1">
      <c r="A681" t="inlineStr">
        <is>
          <t>A 27569-2025</t>
        </is>
      </c>
      <c r="B681" s="1" t="n">
        <v>45813.49018518518</v>
      </c>
      <c r="C681" s="1" t="n">
        <v>45936</v>
      </c>
      <c r="D681" t="inlineStr">
        <is>
          <t>JÄMTLANDS LÄN</t>
        </is>
      </c>
      <c r="E681" t="inlineStr">
        <is>
          <t>BERG</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27312-2025</t>
        </is>
      </c>
      <c r="B682" s="1" t="n">
        <v>45812.58002314815</v>
      </c>
      <c r="C682" s="1" t="n">
        <v>45936</v>
      </c>
      <c r="D682" t="inlineStr">
        <is>
          <t>JÄMTLANDS LÄN</t>
        </is>
      </c>
      <c r="E682" t="inlineStr">
        <is>
          <t>BERG</t>
        </is>
      </c>
      <c r="G682" t="n">
        <v>6</v>
      </c>
      <c r="H682" t="n">
        <v>0</v>
      </c>
      <c r="I682" t="n">
        <v>0</v>
      </c>
      <c r="J682" t="n">
        <v>0</v>
      </c>
      <c r="K682" t="n">
        <v>0</v>
      </c>
      <c r="L682" t="n">
        <v>0</v>
      </c>
      <c r="M682" t="n">
        <v>0</v>
      </c>
      <c r="N682" t="n">
        <v>0</v>
      </c>
      <c r="O682" t="n">
        <v>0</v>
      </c>
      <c r="P682" t="n">
        <v>0</v>
      </c>
      <c r="Q682" t="n">
        <v>0</v>
      </c>
      <c r="R682" s="2" t="inlineStr"/>
    </row>
    <row r="683" ht="15" customHeight="1">
      <c r="A683" t="inlineStr">
        <is>
          <t>A 54071-2023</t>
        </is>
      </c>
      <c r="B683" s="1" t="n">
        <v>45231</v>
      </c>
      <c r="C683" s="1" t="n">
        <v>45936</v>
      </c>
      <c r="D683" t="inlineStr">
        <is>
          <t>JÄMTLANDS LÄN</t>
        </is>
      </c>
      <c r="E683" t="inlineStr">
        <is>
          <t>BERG</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27737-2025</t>
        </is>
      </c>
      <c r="B684" s="1" t="n">
        <v>45815.34414351852</v>
      </c>
      <c r="C684" s="1" t="n">
        <v>45936</v>
      </c>
      <c r="D684" t="inlineStr">
        <is>
          <t>JÄMTLANDS LÄN</t>
        </is>
      </c>
      <c r="E684" t="inlineStr">
        <is>
          <t>BERG</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28079-2025</t>
        </is>
      </c>
      <c r="B685" s="1" t="n">
        <v>45817.69681712963</v>
      </c>
      <c r="C685" s="1" t="n">
        <v>45936</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28077-2025</t>
        </is>
      </c>
      <c r="B686" s="1" t="n">
        <v>45817.68596064814</v>
      </c>
      <c r="C686" s="1" t="n">
        <v>45936</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27716-2025</t>
        </is>
      </c>
      <c r="B687" s="1" t="n">
        <v>45813.961875</v>
      </c>
      <c r="C687" s="1" t="n">
        <v>45936</v>
      </c>
      <c r="D687" t="inlineStr">
        <is>
          <t>JÄMTLANDS LÄN</t>
        </is>
      </c>
      <c r="E687" t="inlineStr">
        <is>
          <t>BERG</t>
        </is>
      </c>
      <c r="G687" t="n">
        <v>6.7</v>
      </c>
      <c r="H687" t="n">
        <v>0</v>
      </c>
      <c r="I687" t="n">
        <v>0</v>
      </c>
      <c r="J687" t="n">
        <v>0</v>
      </c>
      <c r="K687" t="n">
        <v>0</v>
      </c>
      <c r="L687" t="n">
        <v>0</v>
      </c>
      <c r="M687" t="n">
        <v>0</v>
      </c>
      <c r="N687" t="n">
        <v>0</v>
      </c>
      <c r="O687" t="n">
        <v>0</v>
      </c>
      <c r="P687" t="n">
        <v>0</v>
      </c>
      <c r="Q687" t="n">
        <v>0</v>
      </c>
      <c r="R687" s="2" t="inlineStr"/>
    </row>
    <row r="688" ht="15" customHeight="1">
      <c r="A688" t="inlineStr">
        <is>
          <t>A 27750-2025</t>
        </is>
      </c>
      <c r="B688" s="1" t="n">
        <v>45815.68543981481</v>
      </c>
      <c r="C688" s="1" t="n">
        <v>45936</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28232-2025</t>
        </is>
      </c>
      <c r="B689" s="1" t="n">
        <v>45818.48989583334</v>
      </c>
      <c r="C689" s="1" t="n">
        <v>45936</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28257-2025</t>
        </is>
      </c>
      <c r="B690" s="1" t="n">
        <v>45818.55263888889</v>
      </c>
      <c r="C690" s="1" t="n">
        <v>45936</v>
      </c>
      <c r="D690" t="inlineStr">
        <is>
          <t>JÄMTLANDS LÄN</t>
        </is>
      </c>
      <c r="E690" t="inlineStr">
        <is>
          <t>BERG</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28657-2025</t>
        </is>
      </c>
      <c r="B691" s="1" t="n">
        <v>45819.65709490741</v>
      </c>
      <c r="C691" s="1" t="n">
        <v>45936</v>
      </c>
      <c r="D691" t="inlineStr">
        <is>
          <t>JÄMTLANDS LÄN</t>
        </is>
      </c>
      <c r="E691" t="inlineStr">
        <is>
          <t>BERG</t>
        </is>
      </c>
      <c r="G691" t="n">
        <v>2.4</v>
      </c>
      <c r="H691" t="n">
        <v>0</v>
      </c>
      <c r="I691" t="n">
        <v>0</v>
      </c>
      <c r="J691" t="n">
        <v>0</v>
      </c>
      <c r="K691" t="n">
        <v>0</v>
      </c>
      <c r="L691" t="n">
        <v>0</v>
      </c>
      <c r="M691" t="n">
        <v>0</v>
      </c>
      <c r="N691" t="n">
        <v>0</v>
      </c>
      <c r="O691" t="n">
        <v>0</v>
      </c>
      <c r="P691" t="n">
        <v>0</v>
      </c>
      <c r="Q691" t="n">
        <v>0</v>
      </c>
      <c r="R691" s="2" t="inlineStr"/>
    </row>
    <row r="692" ht="15" customHeight="1">
      <c r="A692" t="inlineStr">
        <is>
          <t>A 461-2023</t>
        </is>
      </c>
      <c r="B692" s="1" t="n">
        <v>44929</v>
      </c>
      <c r="C692" s="1" t="n">
        <v>45936</v>
      </c>
      <c r="D692" t="inlineStr">
        <is>
          <t>JÄMTLANDS LÄN</t>
        </is>
      </c>
      <c r="E692" t="inlineStr">
        <is>
          <t>BERG</t>
        </is>
      </c>
      <c r="G692" t="n">
        <v>5.8</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45936</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28401-2025</t>
        </is>
      </c>
      <c r="B694" s="1" t="n">
        <v>45819.34469907408</v>
      </c>
      <c r="C694" s="1" t="n">
        <v>45936</v>
      </c>
      <c r="D694" t="inlineStr">
        <is>
          <t>JÄMTLANDS LÄN</t>
        </is>
      </c>
      <c r="E694" t="inlineStr">
        <is>
          <t>BERG</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28453-2025</t>
        </is>
      </c>
      <c r="B695" s="1" t="n">
        <v>45819.40668981482</v>
      </c>
      <c r="C695" s="1" t="n">
        <v>45936</v>
      </c>
      <c r="D695" t="inlineStr">
        <is>
          <t>JÄMTLANDS LÄN</t>
        </is>
      </c>
      <c r="E695" t="inlineStr">
        <is>
          <t>BERG</t>
        </is>
      </c>
      <c r="G695" t="n">
        <v>4.1</v>
      </c>
      <c r="H695" t="n">
        <v>0</v>
      </c>
      <c r="I695" t="n">
        <v>0</v>
      </c>
      <c r="J695" t="n">
        <v>0</v>
      </c>
      <c r="K695" t="n">
        <v>0</v>
      </c>
      <c r="L695" t="n">
        <v>0</v>
      </c>
      <c r="M695" t="n">
        <v>0</v>
      </c>
      <c r="N695" t="n">
        <v>0</v>
      </c>
      <c r="O695" t="n">
        <v>0</v>
      </c>
      <c r="P695" t="n">
        <v>0</v>
      </c>
      <c r="Q695" t="n">
        <v>0</v>
      </c>
      <c r="R695" s="2" t="inlineStr"/>
    </row>
    <row r="696" ht="15" customHeight="1">
      <c r="A696" t="inlineStr">
        <is>
          <t>A 28157-2025</t>
        </is>
      </c>
      <c r="B696" s="1" t="n">
        <v>45818.36512731481</v>
      </c>
      <c r="C696" s="1" t="n">
        <v>45936</v>
      </c>
      <c r="D696" t="inlineStr">
        <is>
          <t>JÄMTLANDS LÄN</t>
        </is>
      </c>
      <c r="E696" t="inlineStr">
        <is>
          <t>BERG</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525-2023</t>
        </is>
      </c>
      <c r="B697" s="1" t="n">
        <v>44924</v>
      </c>
      <c r="C697" s="1" t="n">
        <v>45936</v>
      </c>
      <c r="D697" t="inlineStr">
        <is>
          <t>JÄMTLANDS LÄN</t>
        </is>
      </c>
      <c r="E697" t="inlineStr">
        <is>
          <t>BERG</t>
        </is>
      </c>
      <c r="G697" t="n">
        <v>4</v>
      </c>
      <c r="H697" t="n">
        <v>0</v>
      </c>
      <c r="I697" t="n">
        <v>0</v>
      </c>
      <c r="J697" t="n">
        <v>0</v>
      </c>
      <c r="K697" t="n">
        <v>0</v>
      </c>
      <c r="L697" t="n">
        <v>0</v>
      </c>
      <c r="M697" t="n">
        <v>0</v>
      </c>
      <c r="N697" t="n">
        <v>0</v>
      </c>
      <c r="O697" t="n">
        <v>0</v>
      </c>
      <c r="P697" t="n">
        <v>0</v>
      </c>
      <c r="Q697" t="n">
        <v>0</v>
      </c>
      <c r="R697" s="2" t="inlineStr"/>
    </row>
    <row r="698" ht="15" customHeight="1">
      <c r="A698" t="inlineStr">
        <is>
          <t>A 28538-2025</t>
        </is>
      </c>
      <c r="B698" s="1" t="n">
        <v>45819.51086805556</v>
      </c>
      <c r="C698" s="1" t="n">
        <v>45936</v>
      </c>
      <c r="D698" t="inlineStr">
        <is>
          <t>JÄMTLANDS LÄN</t>
        </is>
      </c>
      <c r="E698" t="inlineStr">
        <is>
          <t>BERG</t>
        </is>
      </c>
      <c r="G698" t="n">
        <v>4.9</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45936</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26918-2024</t>
        </is>
      </c>
      <c r="B700" s="1" t="n">
        <v>45470</v>
      </c>
      <c r="C700" s="1" t="n">
        <v>45936</v>
      </c>
      <c r="D700" t="inlineStr">
        <is>
          <t>JÄMTLANDS LÄN</t>
        </is>
      </c>
      <c r="E700" t="inlineStr">
        <is>
          <t>BERG</t>
        </is>
      </c>
      <c r="G700" t="n">
        <v>0.4</v>
      </c>
      <c r="H700" t="n">
        <v>0</v>
      </c>
      <c r="I700" t="n">
        <v>0</v>
      </c>
      <c r="J700" t="n">
        <v>0</v>
      </c>
      <c r="K700" t="n">
        <v>0</v>
      </c>
      <c r="L700" t="n">
        <v>0</v>
      </c>
      <c r="M700" t="n">
        <v>0</v>
      </c>
      <c r="N700" t="n">
        <v>0</v>
      </c>
      <c r="O700" t="n">
        <v>0</v>
      </c>
      <c r="P700" t="n">
        <v>0</v>
      </c>
      <c r="Q700" t="n">
        <v>0</v>
      </c>
      <c r="R700" s="2" t="inlineStr"/>
    </row>
    <row r="701" ht="15" customHeight="1">
      <c r="A701" t="inlineStr">
        <is>
          <t>A 27579-2024</t>
        </is>
      </c>
      <c r="B701" s="1" t="n">
        <v>45474.65244212963</v>
      </c>
      <c r="C701" s="1" t="n">
        <v>45936</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29199-2025</t>
        </is>
      </c>
      <c r="B702" s="1" t="n">
        <v>45823.34459490741</v>
      </c>
      <c r="C702" s="1" t="n">
        <v>45936</v>
      </c>
      <c r="D702" t="inlineStr">
        <is>
          <t>JÄMTLANDS LÄN</t>
        </is>
      </c>
      <c r="E702" t="inlineStr">
        <is>
          <t>BERG</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29197-2025</t>
        </is>
      </c>
      <c r="B703" s="1" t="n">
        <v>45823.34438657408</v>
      </c>
      <c r="C703" s="1" t="n">
        <v>45936</v>
      </c>
      <c r="D703" t="inlineStr">
        <is>
          <t>JÄMTLANDS LÄN</t>
        </is>
      </c>
      <c r="E703" t="inlineStr">
        <is>
          <t>BERG</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54992-2023</t>
        </is>
      </c>
      <c r="B704" s="1" t="n">
        <v>45236.96789351852</v>
      </c>
      <c r="C704" s="1" t="n">
        <v>45936</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54994-2023</t>
        </is>
      </c>
      <c r="B705" s="1" t="n">
        <v>45236</v>
      </c>
      <c r="C705" s="1" t="n">
        <v>45936</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45936</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29538-2025</t>
        </is>
      </c>
      <c r="B707" s="1" t="n">
        <v>45825.34517361111</v>
      </c>
      <c r="C707" s="1" t="n">
        <v>45936</v>
      </c>
      <c r="D707" t="inlineStr">
        <is>
          <t>JÄMTLANDS LÄN</t>
        </is>
      </c>
      <c r="E707" t="inlineStr">
        <is>
          <t>BERG</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29533-2025</t>
        </is>
      </c>
      <c r="B708" s="1" t="n">
        <v>45825.34466435185</v>
      </c>
      <c r="C708" s="1" t="n">
        <v>45936</v>
      </c>
      <c r="D708" t="inlineStr">
        <is>
          <t>JÄMTLANDS LÄN</t>
        </is>
      </c>
      <c r="E708" t="inlineStr">
        <is>
          <t>BERG</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57226-2022</t>
        </is>
      </c>
      <c r="B709" s="1" t="n">
        <v>44895.66629629629</v>
      </c>
      <c r="C709" s="1" t="n">
        <v>45936</v>
      </c>
      <c r="D709" t="inlineStr">
        <is>
          <t>JÄMTLANDS LÄN</t>
        </is>
      </c>
      <c r="E709" t="inlineStr">
        <is>
          <t>BERG</t>
        </is>
      </c>
      <c r="G709" t="n">
        <v>4.6</v>
      </c>
      <c r="H709" t="n">
        <v>0</v>
      </c>
      <c r="I709" t="n">
        <v>0</v>
      </c>
      <c r="J709" t="n">
        <v>0</v>
      </c>
      <c r="K709" t="n">
        <v>0</v>
      </c>
      <c r="L709" t="n">
        <v>0</v>
      </c>
      <c r="M709" t="n">
        <v>0</v>
      </c>
      <c r="N709" t="n">
        <v>0</v>
      </c>
      <c r="O709" t="n">
        <v>0</v>
      </c>
      <c r="P709" t="n">
        <v>0</v>
      </c>
      <c r="Q709" t="n">
        <v>0</v>
      </c>
      <c r="R709" s="2" t="inlineStr"/>
    </row>
    <row r="710" ht="15" customHeight="1">
      <c r="A710" t="inlineStr">
        <is>
          <t>A 5911-2024</t>
        </is>
      </c>
      <c r="B710" s="1" t="n">
        <v>45335</v>
      </c>
      <c r="C710" s="1" t="n">
        <v>45936</v>
      </c>
      <c r="D710" t="inlineStr">
        <is>
          <t>JÄMTLANDS LÄN</t>
        </is>
      </c>
      <c r="E710" t="inlineStr">
        <is>
          <t>BERG</t>
        </is>
      </c>
      <c r="F710" t="inlineStr">
        <is>
          <t>SCA</t>
        </is>
      </c>
      <c r="G710" t="n">
        <v>28.6</v>
      </c>
      <c r="H710" t="n">
        <v>0</v>
      </c>
      <c r="I710" t="n">
        <v>0</v>
      </c>
      <c r="J710" t="n">
        <v>0</v>
      </c>
      <c r="K710" t="n">
        <v>0</v>
      </c>
      <c r="L710" t="n">
        <v>0</v>
      </c>
      <c r="M710" t="n">
        <v>0</v>
      </c>
      <c r="N710" t="n">
        <v>0</v>
      </c>
      <c r="O710" t="n">
        <v>0</v>
      </c>
      <c r="P710" t="n">
        <v>0</v>
      </c>
      <c r="Q710" t="n">
        <v>0</v>
      </c>
      <c r="R710" s="2" t="inlineStr"/>
    </row>
    <row r="711" ht="15" customHeight="1">
      <c r="A711" t="inlineStr">
        <is>
          <t>A 25306-2023</t>
        </is>
      </c>
      <c r="B711" s="1" t="n">
        <v>45086</v>
      </c>
      <c r="C711" s="1" t="n">
        <v>45936</v>
      </c>
      <c r="D711" t="inlineStr">
        <is>
          <t>JÄMTLANDS LÄN</t>
        </is>
      </c>
      <c r="E711" t="inlineStr">
        <is>
          <t>BERG</t>
        </is>
      </c>
      <c r="G711" t="n">
        <v>23.3</v>
      </c>
      <c r="H711" t="n">
        <v>0</v>
      </c>
      <c r="I711" t="n">
        <v>0</v>
      </c>
      <c r="J711" t="n">
        <v>0</v>
      </c>
      <c r="K711" t="n">
        <v>0</v>
      </c>
      <c r="L711" t="n">
        <v>0</v>
      </c>
      <c r="M711" t="n">
        <v>0</v>
      </c>
      <c r="N711" t="n">
        <v>0</v>
      </c>
      <c r="O711" t="n">
        <v>0</v>
      </c>
      <c r="P711" t="n">
        <v>0</v>
      </c>
      <c r="Q711" t="n">
        <v>0</v>
      </c>
      <c r="R711" s="2" t="inlineStr"/>
    </row>
    <row r="712" ht="15" customHeight="1">
      <c r="A712" t="inlineStr">
        <is>
          <t>A 29279-2025</t>
        </is>
      </c>
      <c r="B712" s="1" t="n">
        <v>45824.42381944445</v>
      </c>
      <c r="C712" s="1" t="n">
        <v>45936</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29198-2025</t>
        </is>
      </c>
      <c r="B713" s="1" t="n">
        <v>45823.34451388889</v>
      </c>
      <c r="C713" s="1" t="n">
        <v>45936</v>
      </c>
      <c r="D713" t="inlineStr">
        <is>
          <t>JÄMTLANDS LÄN</t>
        </is>
      </c>
      <c r="E713" t="inlineStr">
        <is>
          <t>BERG</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29836-2025</t>
        </is>
      </c>
      <c r="B714" s="1" t="n">
        <v>45825.9468287037</v>
      </c>
      <c r="C714" s="1" t="n">
        <v>45936</v>
      </c>
      <c r="D714" t="inlineStr">
        <is>
          <t>JÄMTLANDS LÄN</t>
        </is>
      </c>
      <c r="E714" t="inlineStr">
        <is>
          <t>BERG</t>
        </is>
      </c>
      <c r="G714" t="n">
        <v>12.7</v>
      </c>
      <c r="H714" t="n">
        <v>0</v>
      </c>
      <c r="I714" t="n">
        <v>0</v>
      </c>
      <c r="J714" t="n">
        <v>0</v>
      </c>
      <c r="K714" t="n">
        <v>0</v>
      </c>
      <c r="L714" t="n">
        <v>0</v>
      </c>
      <c r="M714" t="n">
        <v>0</v>
      </c>
      <c r="N714" t="n">
        <v>0</v>
      </c>
      <c r="O714" t="n">
        <v>0</v>
      </c>
      <c r="P714" t="n">
        <v>0</v>
      </c>
      <c r="Q714" t="n">
        <v>0</v>
      </c>
      <c r="R714" s="2" t="inlineStr"/>
    </row>
    <row r="715" ht="15" customHeight="1">
      <c r="A715" t="inlineStr">
        <is>
          <t>A 30017-2025</t>
        </is>
      </c>
      <c r="B715" s="1" t="n">
        <v>45826.55306712963</v>
      </c>
      <c r="C715" s="1" t="n">
        <v>45936</v>
      </c>
      <c r="D715" t="inlineStr">
        <is>
          <t>JÄMTLANDS LÄN</t>
        </is>
      </c>
      <c r="E715" t="inlineStr">
        <is>
          <t>BERG</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13373-2024</t>
        </is>
      </c>
      <c r="B716" s="1" t="n">
        <v>45387.37010416666</v>
      </c>
      <c r="C716" s="1" t="n">
        <v>45936</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52774-2023</t>
        </is>
      </c>
      <c r="B717" s="1" t="n">
        <v>45219</v>
      </c>
      <c r="C717" s="1" t="n">
        <v>45936</v>
      </c>
      <c r="D717" t="inlineStr">
        <is>
          <t>JÄMTLANDS LÄN</t>
        </is>
      </c>
      <c r="E717" t="inlineStr">
        <is>
          <t>BERG</t>
        </is>
      </c>
      <c r="G717" t="n">
        <v>1.1</v>
      </c>
      <c r="H717" t="n">
        <v>0</v>
      </c>
      <c r="I717" t="n">
        <v>0</v>
      </c>
      <c r="J717" t="n">
        <v>0</v>
      </c>
      <c r="K717" t="n">
        <v>0</v>
      </c>
      <c r="L717" t="n">
        <v>0</v>
      </c>
      <c r="M717" t="n">
        <v>0</v>
      </c>
      <c r="N717" t="n">
        <v>0</v>
      </c>
      <c r="O717" t="n">
        <v>0</v>
      </c>
      <c r="P717" t="n">
        <v>0</v>
      </c>
      <c r="Q717" t="n">
        <v>0</v>
      </c>
      <c r="R717" s="2" t="inlineStr"/>
    </row>
    <row r="718" ht="15" customHeight="1">
      <c r="A718" t="inlineStr">
        <is>
          <t>A 30314-2025</t>
        </is>
      </c>
      <c r="B718" s="1" t="n">
        <v>45827.49047453704</v>
      </c>
      <c r="C718" s="1" t="n">
        <v>45936</v>
      </c>
      <c r="D718" t="inlineStr">
        <is>
          <t>JÄMTLANDS LÄN</t>
        </is>
      </c>
      <c r="E718" t="inlineStr">
        <is>
          <t>BERG</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29902-2025</t>
        </is>
      </c>
      <c r="B719" s="1" t="n">
        <v>45826</v>
      </c>
      <c r="C719" s="1" t="n">
        <v>45936</v>
      </c>
      <c r="D719" t="inlineStr">
        <is>
          <t>JÄMTLANDS LÄN</t>
        </is>
      </c>
      <c r="E719" t="inlineStr">
        <is>
          <t>BERG</t>
        </is>
      </c>
      <c r="G719" t="n">
        <v>9.1</v>
      </c>
      <c r="H719" t="n">
        <v>0</v>
      </c>
      <c r="I719" t="n">
        <v>0</v>
      </c>
      <c r="J719" t="n">
        <v>0</v>
      </c>
      <c r="K719" t="n">
        <v>0</v>
      </c>
      <c r="L719" t="n">
        <v>0</v>
      </c>
      <c r="M719" t="n">
        <v>0</v>
      </c>
      <c r="N719" t="n">
        <v>0</v>
      </c>
      <c r="O719" t="n">
        <v>0</v>
      </c>
      <c r="P719" t="n">
        <v>0</v>
      </c>
      <c r="Q719" t="n">
        <v>0</v>
      </c>
      <c r="R719" s="2" t="inlineStr"/>
    </row>
    <row r="720" ht="15" customHeight="1">
      <c r="A720" t="inlineStr">
        <is>
          <t>A 29908-2025</t>
        </is>
      </c>
      <c r="B720" s="1" t="n">
        <v>45826</v>
      </c>
      <c r="C720" s="1" t="n">
        <v>45936</v>
      </c>
      <c r="D720" t="inlineStr">
        <is>
          <t>JÄMTLANDS LÄN</t>
        </is>
      </c>
      <c r="E720" t="inlineStr">
        <is>
          <t>BERG</t>
        </is>
      </c>
      <c r="G720" t="n">
        <v>2.2</v>
      </c>
      <c r="H720" t="n">
        <v>0</v>
      </c>
      <c r="I720" t="n">
        <v>0</v>
      </c>
      <c r="J720" t="n">
        <v>0</v>
      </c>
      <c r="K720" t="n">
        <v>0</v>
      </c>
      <c r="L720" t="n">
        <v>0</v>
      </c>
      <c r="M720" t="n">
        <v>0</v>
      </c>
      <c r="N720" t="n">
        <v>0</v>
      </c>
      <c r="O720" t="n">
        <v>0</v>
      </c>
      <c r="P720" t="n">
        <v>0</v>
      </c>
      <c r="Q720" t="n">
        <v>0</v>
      </c>
      <c r="R720" s="2" t="inlineStr"/>
    </row>
    <row r="721" ht="15" customHeight="1">
      <c r="A721" t="inlineStr">
        <is>
          <t>A 592-2021</t>
        </is>
      </c>
      <c r="B721" s="1" t="n">
        <v>44201</v>
      </c>
      <c r="C721" s="1" t="n">
        <v>45936</v>
      </c>
      <c r="D721" t="inlineStr">
        <is>
          <t>JÄMTLANDS LÄN</t>
        </is>
      </c>
      <c r="E721" t="inlineStr">
        <is>
          <t>BERG</t>
        </is>
      </c>
      <c r="G721" t="n">
        <v>1</v>
      </c>
      <c r="H721" t="n">
        <v>0</v>
      </c>
      <c r="I721" t="n">
        <v>0</v>
      </c>
      <c r="J721" t="n">
        <v>0</v>
      </c>
      <c r="K721" t="n">
        <v>0</v>
      </c>
      <c r="L721" t="n">
        <v>0</v>
      </c>
      <c r="M721" t="n">
        <v>0</v>
      </c>
      <c r="N721" t="n">
        <v>0</v>
      </c>
      <c r="O721" t="n">
        <v>0</v>
      </c>
      <c r="P721" t="n">
        <v>0</v>
      </c>
      <c r="Q721" t="n">
        <v>0</v>
      </c>
      <c r="R721" s="2" t="inlineStr"/>
    </row>
    <row r="722" ht="15" customHeight="1">
      <c r="A722" t="inlineStr">
        <is>
          <t>A 31015-2025</t>
        </is>
      </c>
      <c r="B722" s="1" t="n">
        <v>45832.51086805556</v>
      </c>
      <c r="C722" s="1" t="n">
        <v>45936</v>
      </c>
      <c r="D722" t="inlineStr">
        <is>
          <t>JÄMTLANDS LÄN</t>
        </is>
      </c>
      <c r="E722" t="inlineStr">
        <is>
          <t>BERG</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31017-2025</t>
        </is>
      </c>
      <c r="B723" s="1" t="n">
        <v>45832.51111111111</v>
      </c>
      <c r="C723" s="1" t="n">
        <v>45936</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24011-2023</t>
        </is>
      </c>
      <c r="B724" s="1" t="n">
        <v>45078</v>
      </c>
      <c r="C724" s="1" t="n">
        <v>45936</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31070-2025</t>
        </is>
      </c>
      <c r="B725" s="1" t="n">
        <v>45832.57887731482</v>
      </c>
      <c r="C725" s="1" t="n">
        <v>45936</v>
      </c>
      <c r="D725" t="inlineStr">
        <is>
          <t>JÄMTLANDS LÄN</t>
        </is>
      </c>
      <c r="E725" t="inlineStr">
        <is>
          <t>BERG</t>
        </is>
      </c>
      <c r="G725" t="n">
        <v>3.7</v>
      </c>
      <c r="H725" t="n">
        <v>0</v>
      </c>
      <c r="I725" t="n">
        <v>0</v>
      </c>
      <c r="J725" t="n">
        <v>0</v>
      </c>
      <c r="K725" t="n">
        <v>0</v>
      </c>
      <c r="L725" t="n">
        <v>0</v>
      </c>
      <c r="M725" t="n">
        <v>0</v>
      </c>
      <c r="N725" t="n">
        <v>0</v>
      </c>
      <c r="O725" t="n">
        <v>0</v>
      </c>
      <c r="P725" t="n">
        <v>0</v>
      </c>
      <c r="Q725" t="n">
        <v>0</v>
      </c>
      <c r="R725" s="2" t="inlineStr"/>
    </row>
    <row r="726" ht="15" customHeight="1">
      <c r="A726" t="inlineStr">
        <is>
          <t>A 11704-2023</t>
        </is>
      </c>
      <c r="B726" s="1" t="n">
        <v>44994.54274305556</v>
      </c>
      <c r="C726" s="1" t="n">
        <v>45936</v>
      </c>
      <c r="D726" t="inlineStr">
        <is>
          <t>JÄMTLANDS LÄN</t>
        </is>
      </c>
      <c r="E726" t="inlineStr">
        <is>
          <t>BERG</t>
        </is>
      </c>
      <c r="G726" t="n">
        <v>1</v>
      </c>
      <c r="H726" t="n">
        <v>0</v>
      </c>
      <c r="I726" t="n">
        <v>0</v>
      </c>
      <c r="J726" t="n">
        <v>0</v>
      </c>
      <c r="K726" t="n">
        <v>0</v>
      </c>
      <c r="L726" t="n">
        <v>0</v>
      </c>
      <c r="M726" t="n">
        <v>0</v>
      </c>
      <c r="N726" t="n">
        <v>0</v>
      </c>
      <c r="O726" t="n">
        <v>0</v>
      </c>
      <c r="P726" t="n">
        <v>0</v>
      </c>
      <c r="Q726" t="n">
        <v>0</v>
      </c>
      <c r="R726" s="2" t="inlineStr"/>
    </row>
    <row r="727" ht="15" customHeight="1">
      <c r="A727" t="inlineStr">
        <is>
          <t>A 31090-2025</t>
        </is>
      </c>
      <c r="B727" s="1" t="n">
        <v>45832.59436342592</v>
      </c>
      <c r="C727" s="1" t="n">
        <v>45936</v>
      </c>
      <c r="D727" t="inlineStr">
        <is>
          <t>JÄMTLANDS LÄN</t>
        </is>
      </c>
      <c r="E727" t="inlineStr">
        <is>
          <t>BERG</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31024-2025</t>
        </is>
      </c>
      <c r="B728" s="1" t="n">
        <v>45832.52571759259</v>
      </c>
      <c r="C728" s="1" t="n">
        <v>45936</v>
      </c>
      <c r="D728" t="inlineStr">
        <is>
          <t>JÄMTLANDS LÄN</t>
        </is>
      </c>
      <c r="E728" t="inlineStr">
        <is>
          <t>BERG</t>
        </is>
      </c>
      <c r="G728" t="n">
        <v>3.6</v>
      </c>
      <c r="H728" t="n">
        <v>0</v>
      </c>
      <c r="I728" t="n">
        <v>0</v>
      </c>
      <c r="J728" t="n">
        <v>0</v>
      </c>
      <c r="K728" t="n">
        <v>0</v>
      </c>
      <c r="L728" t="n">
        <v>0</v>
      </c>
      <c r="M728" t="n">
        <v>0</v>
      </c>
      <c r="N728" t="n">
        <v>0</v>
      </c>
      <c r="O728" t="n">
        <v>0</v>
      </c>
      <c r="P728" t="n">
        <v>0</v>
      </c>
      <c r="Q728" t="n">
        <v>0</v>
      </c>
      <c r="R728" s="2" t="inlineStr"/>
    </row>
    <row r="729" ht="15" customHeight="1">
      <c r="A729" t="inlineStr">
        <is>
          <t>A 31682-2022</t>
        </is>
      </c>
      <c r="B729" s="1" t="n">
        <v>44776</v>
      </c>
      <c r="C729" s="1" t="n">
        <v>45936</v>
      </c>
      <c r="D729" t="inlineStr">
        <is>
          <t>JÄMTLANDS LÄN</t>
        </is>
      </c>
      <c r="E729" t="inlineStr">
        <is>
          <t>BERG</t>
        </is>
      </c>
      <c r="G729" t="n">
        <v>8</v>
      </c>
      <c r="H729" t="n">
        <v>0</v>
      </c>
      <c r="I729" t="n">
        <v>0</v>
      </c>
      <c r="J729" t="n">
        <v>0</v>
      </c>
      <c r="K729" t="n">
        <v>0</v>
      </c>
      <c r="L729" t="n">
        <v>0</v>
      </c>
      <c r="M729" t="n">
        <v>0</v>
      </c>
      <c r="N729" t="n">
        <v>0</v>
      </c>
      <c r="O729" t="n">
        <v>0</v>
      </c>
      <c r="P729" t="n">
        <v>0</v>
      </c>
      <c r="Q729" t="n">
        <v>0</v>
      </c>
      <c r="R729" s="2" t="inlineStr"/>
    </row>
    <row r="730" ht="15" customHeight="1">
      <c r="A730" t="inlineStr">
        <is>
          <t>A 31136-2025</t>
        </is>
      </c>
      <c r="B730" s="1" t="n">
        <v>45832.63599537037</v>
      </c>
      <c r="C730" s="1" t="n">
        <v>45936</v>
      </c>
      <c r="D730" t="inlineStr">
        <is>
          <t>JÄMTLANDS LÄN</t>
        </is>
      </c>
      <c r="E730" t="inlineStr">
        <is>
          <t>BERG</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59459-2024</t>
        </is>
      </c>
      <c r="B731" s="1" t="n">
        <v>45638</v>
      </c>
      <c r="C731" s="1" t="n">
        <v>45936</v>
      </c>
      <c r="D731" t="inlineStr">
        <is>
          <t>JÄMTLANDS LÄN</t>
        </is>
      </c>
      <c r="E731" t="inlineStr">
        <is>
          <t>BERG</t>
        </is>
      </c>
      <c r="G731" t="n">
        <v>1.1</v>
      </c>
      <c r="H731" t="n">
        <v>0</v>
      </c>
      <c r="I731" t="n">
        <v>0</v>
      </c>
      <c r="J731" t="n">
        <v>0</v>
      </c>
      <c r="K731" t="n">
        <v>0</v>
      </c>
      <c r="L731" t="n">
        <v>0</v>
      </c>
      <c r="M731" t="n">
        <v>0</v>
      </c>
      <c r="N731" t="n">
        <v>0</v>
      </c>
      <c r="O731" t="n">
        <v>0</v>
      </c>
      <c r="P731" t="n">
        <v>0</v>
      </c>
      <c r="Q731" t="n">
        <v>0</v>
      </c>
      <c r="R731" s="2" t="inlineStr"/>
    </row>
    <row r="732" ht="15" customHeight="1">
      <c r="A732" t="inlineStr">
        <is>
          <t>A 14153-2023</t>
        </is>
      </c>
      <c r="B732" s="1" t="n">
        <v>45008</v>
      </c>
      <c r="C732" s="1" t="n">
        <v>45936</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20899-2023</t>
        </is>
      </c>
      <c r="B733" s="1" t="n">
        <v>45060</v>
      </c>
      <c r="C733" s="1" t="n">
        <v>45936</v>
      </c>
      <c r="D733" t="inlineStr">
        <is>
          <t>JÄMTLANDS LÄN</t>
        </is>
      </c>
      <c r="E733" t="inlineStr">
        <is>
          <t>BERG</t>
        </is>
      </c>
      <c r="G733" t="n">
        <v>1.9</v>
      </c>
      <c r="H733" t="n">
        <v>0</v>
      </c>
      <c r="I733" t="n">
        <v>0</v>
      </c>
      <c r="J733" t="n">
        <v>0</v>
      </c>
      <c r="K733" t="n">
        <v>0</v>
      </c>
      <c r="L733" t="n">
        <v>0</v>
      </c>
      <c r="M733" t="n">
        <v>0</v>
      </c>
      <c r="N733" t="n">
        <v>0</v>
      </c>
      <c r="O733" t="n">
        <v>0</v>
      </c>
      <c r="P733" t="n">
        <v>0</v>
      </c>
      <c r="Q733" t="n">
        <v>0</v>
      </c>
      <c r="R733" s="2" t="inlineStr"/>
    </row>
    <row r="734" ht="15" customHeight="1">
      <c r="A734" t="inlineStr">
        <is>
          <t>A 32160-2025</t>
        </is>
      </c>
      <c r="B734" s="1" t="n">
        <v>45835.54142361111</v>
      </c>
      <c r="C734" s="1" t="n">
        <v>45936</v>
      </c>
      <c r="D734" t="inlineStr">
        <is>
          <t>JÄMTLANDS LÄN</t>
        </is>
      </c>
      <c r="E734" t="inlineStr">
        <is>
          <t>BERG</t>
        </is>
      </c>
      <c r="G734" t="n">
        <v>10.3</v>
      </c>
      <c r="H734" t="n">
        <v>0</v>
      </c>
      <c r="I734" t="n">
        <v>0</v>
      </c>
      <c r="J734" t="n">
        <v>0</v>
      </c>
      <c r="K734" t="n">
        <v>0</v>
      </c>
      <c r="L734" t="n">
        <v>0</v>
      </c>
      <c r="M734" t="n">
        <v>0</v>
      </c>
      <c r="N734" t="n">
        <v>0</v>
      </c>
      <c r="O734" t="n">
        <v>0</v>
      </c>
      <c r="P734" t="n">
        <v>0</v>
      </c>
      <c r="Q734" t="n">
        <v>0</v>
      </c>
      <c r="R734" s="2" t="inlineStr"/>
    </row>
    <row r="735" ht="15" customHeight="1">
      <c r="A735" t="inlineStr">
        <is>
          <t>A 41106-2023</t>
        </is>
      </c>
      <c r="B735" s="1" t="n">
        <v>45170</v>
      </c>
      <c r="C735" s="1" t="n">
        <v>45936</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31820-2025</t>
        </is>
      </c>
      <c r="B736" s="1" t="n">
        <v>45834.57930555556</v>
      </c>
      <c r="C736" s="1" t="n">
        <v>45936</v>
      </c>
      <c r="D736" t="inlineStr">
        <is>
          <t>JÄMTLANDS LÄN</t>
        </is>
      </c>
      <c r="E736" t="inlineStr">
        <is>
          <t>BERG</t>
        </is>
      </c>
      <c r="G736" t="n">
        <v>13.9</v>
      </c>
      <c r="H736" t="n">
        <v>0</v>
      </c>
      <c r="I736" t="n">
        <v>0</v>
      </c>
      <c r="J736" t="n">
        <v>0</v>
      </c>
      <c r="K736" t="n">
        <v>0</v>
      </c>
      <c r="L736" t="n">
        <v>0</v>
      </c>
      <c r="M736" t="n">
        <v>0</v>
      </c>
      <c r="N736" t="n">
        <v>0</v>
      </c>
      <c r="O736" t="n">
        <v>0</v>
      </c>
      <c r="P736" t="n">
        <v>0</v>
      </c>
      <c r="Q736" t="n">
        <v>0</v>
      </c>
      <c r="R736" s="2" t="inlineStr"/>
    </row>
    <row r="737" ht="15" customHeight="1">
      <c r="A737" t="inlineStr">
        <is>
          <t>A 7744-2024</t>
        </is>
      </c>
      <c r="B737" s="1" t="n">
        <v>45349</v>
      </c>
      <c r="C737" s="1" t="n">
        <v>45936</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511-2025</t>
        </is>
      </c>
      <c r="B738" s="1" t="n">
        <v>45664.47284722222</v>
      </c>
      <c r="C738" s="1" t="n">
        <v>45936</v>
      </c>
      <c r="D738" t="inlineStr">
        <is>
          <t>JÄMTLANDS LÄN</t>
        </is>
      </c>
      <c r="E738" t="inlineStr">
        <is>
          <t>BERG</t>
        </is>
      </c>
      <c r="G738" t="n">
        <v>4.5</v>
      </c>
      <c r="H738" t="n">
        <v>0</v>
      </c>
      <c r="I738" t="n">
        <v>0</v>
      </c>
      <c r="J738" t="n">
        <v>0</v>
      </c>
      <c r="K738" t="n">
        <v>0</v>
      </c>
      <c r="L738" t="n">
        <v>0</v>
      </c>
      <c r="M738" t="n">
        <v>0</v>
      </c>
      <c r="N738" t="n">
        <v>0</v>
      </c>
      <c r="O738" t="n">
        <v>0</v>
      </c>
      <c r="P738" t="n">
        <v>0</v>
      </c>
      <c r="Q738" t="n">
        <v>0</v>
      </c>
      <c r="R738" s="2" t="inlineStr"/>
    </row>
    <row r="739" ht="15" customHeight="1">
      <c r="A739" t="inlineStr">
        <is>
          <t>A 40415-2023</t>
        </is>
      </c>
      <c r="B739" s="1" t="n">
        <v>45169.93925925926</v>
      </c>
      <c r="C739" s="1" t="n">
        <v>45936</v>
      </c>
      <c r="D739" t="inlineStr">
        <is>
          <t>JÄMTLANDS LÄN</t>
        </is>
      </c>
      <c r="E739" t="inlineStr">
        <is>
          <t>BERG</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12611-2025</t>
        </is>
      </c>
      <c r="B740" s="1" t="n">
        <v>45733.33921296296</v>
      </c>
      <c r="C740" s="1" t="n">
        <v>45936</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45936</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28403-2025</t>
        </is>
      </c>
      <c r="B742" s="1" t="n">
        <v>45819</v>
      </c>
      <c r="C742" s="1" t="n">
        <v>45936</v>
      </c>
      <c r="D742" t="inlineStr">
        <is>
          <t>JÄMTLANDS LÄN</t>
        </is>
      </c>
      <c r="E742" t="inlineStr">
        <is>
          <t>BERG</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32919-2025</t>
        </is>
      </c>
      <c r="B743" s="1" t="n">
        <v>45839.64721064815</v>
      </c>
      <c r="C743" s="1" t="n">
        <v>45936</v>
      </c>
      <c r="D743" t="inlineStr">
        <is>
          <t>JÄMTLANDS LÄN</t>
        </is>
      </c>
      <c r="E743" t="inlineStr">
        <is>
          <t>BERG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2247-2025</t>
        </is>
      </c>
      <c r="B744" s="1" t="n">
        <v>45673.49039351852</v>
      </c>
      <c r="C744" s="1" t="n">
        <v>45936</v>
      </c>
      <c r="D744" t="inlineStr">
        <is>
          <t>JÄMTLANDS LÄN</t>
        </is>
      </c>
      <c r="E744" t="inlineStr">
        <is>
          <t>BERG</t>
        </is>
      </c>
      <c r="F744" t="inlineStr">
        <is>
          <t>SCA</t>
        </is>
      </c>
      <c r="G744" t="n">
        <v>13.3</v>
      </c>
      <c r="H744" t="n">
        <v>0</v>
      </c>
      <c r="I744" t="n">
        <v>0</v>
      </c>
      <c r="J744" t="n">
        <v>0</v>
      </c>
      <c r="K744" t="n">
        <v>0</v>
      </c>
      <c r="L744" t="n">
        <v>0</v>
      </c>
      <c r="M744" t="n">
        <v>0</v>
      </c>
      <c r="N744" t="n">
        <v>0</v>
      </c>
      <c r="O744" t="n">
        <v>0</v>
      </c>
      <c r="P744" t="n">
        <v>0</v>
      </c>
      <c r="Q744" t="n">
        <v>0</v>
      </c>
      <c r="R744" s="2" t="inlineStr"/>
    </row>
    <row r="745" ht="15" customHeight="1">
      <c r="A745" t="inlineStr">
        <is>
          <t>A 33054-2025</t>
        </is>
      </c>
      <c r="B745" s="1" t="n">
        <v>45840.42746527777</v>
      </c>
      <c r="C745" s="1" t="n">
        <v>45936</v>
      </c>
      <c r="D745" t="inlineStr">
        <is>
          <t>JÄMTLANDS LÄN</t>
        </is>
      </c>
      <c r="E745" t="inlineStr">
        <is>
          <t>BERG</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1983-2022</t>
        </is>
      </c>
      <c r="B746" s="1" t="n">
        <v>44575</v>
      </c>
      <c r="C746" s="1" t="n">
        <v>45936</v>
      </c>
      <c r="D746" t="inlineStr">
        <is>
          <t>JÄMTLANDS LÄN</t>
        </is>
      </c>
      <c r="E746" t="inlineStr">
        <is>
          <t>BERG</t>
        </is>
      </c>
      <c r="G746" t="n">
        <v>1.8</v>
      </c>
      <c r="H746" t="n">
        <v>0</v>
      </c>
      <c r="I746" t="n">
        <v>0</v>
      </c>
      <c r="J746" t="n">
        <v>0</v>
      </c>
      <c r="K746" t="n">
        <v>0</v>
      </c>
      <c r="L746" t="n">
        <v>0</v>
      </c>
      <c r="M746" t="n">
        <v>0</v>
      </c>
      <c r="N746" t="n">
        <v>0</v>
      </c>
      <c r="O746" t="n">
        <v>0</v>
      </c>
      <c r="P746" t="n">
        <v>0</v>
      </c>
      <c r="Q746" t="n">
        <v>0</v>
      </c>
      <c r="R746" s="2" t="inlineStr"/>
    </row>
    <row r="747" ht="15" customHeight="1">
      <c r="A747" t="inlineStr">
        <is>
          <t>A 13936-2024</t>
        </is>
      </c>
      <c r="B747" s="1" t="n">
        <v>45391.9533912037</v>
      </c>
      <c r="C747" s="1" t="n">
        <v>45936</v>
      </c>
      <c r="D747" t="inlineStr">
        <is>
          <t>JÄMTLANDS LÄN</t>
        </is>
      </c>
      <c r="E747" t="inlineStr">
        <is>
          <t>BERG</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33750-2025</t>
        </is>
      </c>
      <c r="B748" s="1" t="n">
        <v>45842.36243055556</v>
      </c>
      <c r="C748" s="1" t="n">
        <v>45936</v>
      </c>
      <c r="D748" t="inlineStr">
        <is>
          <t>JÄMTLANDS LÄN</t>
        </is>
      </c>
      <c r="E748" t="inlineStr">
        <is>
          <t>BERG</t>
        </is>
      </c>
      <c r="G748" t="n">
        <v>0.9</v>
      </c>
      <c r="H748" t="n">
        <v>0</v>
      </c>
      <c r="I748" t="n">
        <v>0</v>
      </c>
      <c r="J748" t="n">
        <v>0</v>
      </c>
      <c r="K748" t="n">
        <v>0</v>
      </c>
      <c r="L748" t="n">
        <v>0</v>
      </c>
      <c r="M748" t="n">
        <v>0</v>
      </c>
      <c r="N748" t="n">
        <v>0</v>
      </c>
      <c r="O748" t="n">
        <v>0</v>
      </c>
      <c r="P748" t="n">
        <v>0</v>
      </c>
      <c r="Q748" t="n">
        <v>0</v>
      </c>
      <c r="R748" s="2" t="inlineStr"/>
    </row>
    <row r="749" ht="15" customHeight="1">
      <c r="A749" t="inlineStr">
        <is>
          <t>A 37098-2024</t>
        </is>
      </c>
      <c r="B749" s="1" t="n">
        <v>45539.50243055556</v>
      </c>
      <c r="C749" s="1" t="n">
        <v>45936</v>
      </c>
      <c r="D749" t="inlineStr">
        <is>
          <t>JÄMTLANDS LÄN</t>
        </is>
      </c>
      <c r="E749" t="inlineStr">
        <is>
          <t>BERG</t>
        </is>
      </c>
      <c r="F749" t="inlineStr">
        <is>
          <t>Övriga Aktiebolag</t>
        </is>
      </c>
      <c r="G749" t="n">
        <v>4.5</v>
      </c>
      <c r="H749" t="n">
        <v>0</v>
      </c>
      <c r="I749" t="n">
        <v>0</v>
      </c>
      <c r="J749" t="n">
        <v>0</v>
      </c>
      <c r="K749" t="n">
        <v>0</v>
      </c>
      <c r="L749" t="n">
        <v>0</v>
      </c>
      <c r="M749" t="n">
        <v>0</v>
      </c>
      <c r="N749" t="n">
        <v>0</v>
      </c>
      <c r="O749" t="n">
        <v>0</v>
      </c>
      <c r="P749" t="n">
        <v>0</v>
      </c>
      <c r="Q749" t="n">
        <v>0</v>
      </c>
      <c r="R749" s="2" t="inlineStr"/>
    </row>
    <row r="750" ht="15" customHeight="1">
      <c r="A750" t="inlineStr">
        <is>
          <t>A 44088-2021</t>
        </is>
      </c>
      <c r="B750" s="1" t="n">
        <v>44434</v>
      </c>
      <c r="C750" s="1" t="n">
        <v>45936</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33748-2025</t>
        </is>
      </c>
      <c r="B751" s="1" t="n">
        <v>45842.35685185185</v>
      </c>
      <c r="C751" s="1" t="n">
        <v>45936</v>
      </c>
      <c r="D751" t="inlineStr">
        <is>
          <t>JÄMTLANDS LÄN</t>
        </is>
      </c>
      <c r="E751" t="inlineStr">
        <is>
          <t>BERG</t>
        </is>
      </c>
      <c r="G751" t="n">
        <v>2.1</v>
      </c>
      <c r="H751" t="n">
        <v>0</v>
      </c>
      <c r="I751" t="n">
        <v>0</v>
      </c>
      <c r="J751" t="n">
        <v>0</v>
      </c>
      <c r="K751" t="n">
        <v>0</v>
      </c>
      <c r="L751" t="n">
        <v>0</v>
      </c>
      <c r="M751" t="n">
        <v>0</v>
      </c>
      <c r="N751" t="n">
        <v>0</v>
      </c>
      <c r="O751" t="n">
        <v>0</v>
      </c>
      <c r="P751" t="n">
        <v>0</v>
      </c>
      <c r="Q751" t="n">
        <v>0</v>
      </c>
      <c r="R751" s="2" t="inlineStr"/>
    </row>
    <row r="752" ht="15" customHeight="1">
      <c r="A752" t="inlineStr">
        <is>
          <t>A 34030-2025</t>
        </is>
      </c>
      <c r="B752" s="1" t="n">
        <v>45845.3633912037</v>
      </c>
      <c r="C752" s="1" t="n">
        <v>45936</v>
      </c>
      <c r="D752" t="inlineStr">
        <is>
          <t>JÄMTLANDS LÄN</t>
        </is>
      </c>
      <c r="E752" t="inlineStr">
        <is>
          <t>BERG</t>
        </is>
      </c>
      <c r="G752" t="n">
        <v>13.5</v>
      </c>
      <c r="H752" t="n">
        <v>0</v>
      </c>
      <c r="I752" t="n">
        <v>0</v>
      </c>
      <c r="J752" t="n">
        <v>0</v>
      </c>
      <c r="K752" t="n">
        <v>0</v>
      </c>
      <c r="L752" t="n">
        <v>0</v>
      </c>
      <c r="M752" t="n">
        <v>0</v>
      </c>
      <c r="N752" t="n">
        <v>0</v>
      </c>
      <c r="O752" t="n">
        <v>0</v>
      </c>
      <c r="P752" t="n">
        <v>0</v>
      </c>
      <c r="Q752" t="n">
        <v>0</v>
      </c>
      <c r="R752" s="2" t="inlineStr"/>
    </row>
    <row r="753" ht="15" customHeight="1">
      <c r="A753" t="inlineStr">
        <is>
          <t>A 26959-2022</t>
        </is>
      </c>
      <c r="B753" s="1" t="n">
        <v>44740.66048611111</v>
      </c>
      <c r="C753" s="1" t="n">
        <v>45936</v>
      </c>
      <c r="D753" t="inlineStr">
        <is>
          <t>JÄMTLANDS LÄN</t>
        </is>
      </c>
      <c r="E753" t="inlineStr">
        <is>
          <t>BERG</t>
        </is>
      </c>
      <c r="G753" t="n">
        <v>2.8</v>
      </c>
      <c r="H753" t="n">
        <v>0</v>
      </c>
      <c r="I753" t="n">
        <v>0</v>
      </c>
      <c r="J753" t="n">
        <v>0</v>
      </c>
      <c r="K753" t="n">
        <v>0</v>
      </c>
      <c r="L753" t="n">
        <v>0</v>
      </c>
      <c r="M753" t="n">
        <v>0</v>
      </c>
      <c r="N753" t="n">
        <v>0</v>
      </c>
      <c r="O753" t="n">
        <v>0</v>
      </c>
      <c r="P753" t="n">
        <v>0</v>
      </c>
      <c r="Q753" t="n">
        <v>0</v>
      </c>
      <c r="R753" s="2" t="inlineStr"/>
    </row>
    <row r="754" ht="15" customHeight="1">
      <c r="A754" t="inlineStr">
        <is>
          <t>A 2855-2025</t>
        </is>
      </c>
      <c r="B754" s="1" t="n">
        <v>45678</v>
      </c>
      <c r="C754" s="1" t="n">
        <v>45936</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57905-2024</t>
        </is>
      </c>
      <c r="B755" s="1" t="n">
        <v>45631.48989583334</v>
      </c>
      <c r="C755" s="1" t="n">
        <v>45936</v>
      </c>
      <c r="D755" t="inlineStr">
        <is>
          <t>JÄMTLANDS LÄN</t>
        </is>
      </c>
      <c r="E755" t="inlineStr">
        <is>
          <t>BERG</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33753-2025</t>
        </is>
      </c>
      <c r="B756" s="1" t="n">
        <v>45842.37199074074</v>
      </c>
      <c r="C756" s="1" t="n">
        <v>45936</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34036-2025</t>
        </is>
      </c>
      <c r="B757" s="1" t="n">
        <v>45845.36954861111</v>
      </c>
      <c r="C757" s="1" t="n">
        <v>45936</v>
      </c>
      <c r="D757" t="inlineStr">
        <is>
          <t>JÄMTLANDS LÄN</t>
        </is>
      </c>
      <c r="E757" t="inlineStr">
        <is>
          <t>BERG</t>
        </is>
      </c>
      <c r="G757" t="n">
        <v>4.8</v>
      </c>
      <c r="H757" t="n">
        <v>0</v>
      </c>
      <c r="I757" t="n">
        <v>0</v>
      </c>
      <c r="J757" t="n">
        <v>0</v>
      </c>
      <c r="K757" t="n">
        <v>0</v>
      </c>
      <c r="L757" t="n">
        <v>0</v>
      </c>
      <c r="M757" t="n">
        <v>0</v>
      </c>
      <c r="N757" t="n">
        <v>0</v>
      </c>
      <c r="O757" t="n">
        <v>0</v>
      </c>
      <c r="P757" t="n">
        <v>0</v>
      </c>
      <c r="Q757" t="n">
        <v>0</v>
      </c>
      <c r="R757" s="2" t="inlineStr"/>
    </row>
    <row r="758" ht="15" customHeight="1">
      <c r="A758" t="inlineStr">
        <is>
          <t>A 41782-2024</t>
        </is>
      </c>
      <c r="B758" s="1" t="n">
        <v>45561</v>
      </c>
      <c r="C758" s="1" t="n">
        <v>45936</v>
      </c>
      <c r="D758" t="inlineStr">
        <is>
          <t>JÄMTLANDS LÄN</t>
        </is>
      </c>
      <c r="E758" t="inlineStr">
        <is>
          <t>BERG</t>
        </is>
      </c>
      <c r="F758" t="inlineStr">
        <is>
          <t>SCA</t>
        </is>
      </c>
      <c r="G758" t="n">
        <v>0.1</v>
      </c>
      <c r="H758" t="n">
        <v>0</v>
      </c>
      <c r="I758" t="n">
        <v>0</v>
      </c>
      <c r="J758" t="n">
        <v>0</v>
      </c>
      <c r="K758" t="n">
        <v>0</v>
      </c>
      <c r="L758" t="n">
        <v>0</v>
      </c>
      <c r="M758" t="n">
        <v>0</v>
      </c>
      <c r="N758" t="n">
        <v>0</v>
      </c>
      <c r="O758" t="n">
        <v>0</v>
      </c>
      <c r="P758" t="n">
        <v>0</v>
      </c>
      <c r="Q758" t="n">
        <v>0</v>
      </c>
      <c r="R758" s="2" t="inlineStr"/>
    </row>
    <row r="759" ht="15" customHeight="1">
      <c r="A759" t="inlineStr">
        <is>
          <t>A 10465-2023</t>
        </is>
      </c>
      <c r="B759" s="1" t="n">
        <v>44987.60319444445</v>
      </c>
      <c r="C759" s="1" t="n">
        <v>45936</v>
      </c>
      <c r="D759" t="inlineStr">
        <is>
          <t>JÄMTLANDS LÄN</t>
        </is>
      </c>
      <c r="E759" t="inlineStr">
        <is>
          <t>BERG</t>
        </is>
      </c>
      <c r="G759" t="n">
        <v>3.4</v>
      </c>
      <c r="H759" t="n">
        <v>0</v>
      </c>
      <c r="I759" t="n">
        <v>0</v>
      </c>
      <c r="J759" t="n">
        <v>0</v>
      </c>
      <c r="K759" t="n">
        <v>0</v>
      </c>
      <c r="L759" t="n">
        <v>0</v>
      </c>
      <c r="M759" t="n">
        <v>0</v>
      </c>
      <c r="N759" t="n">
        <v>0</v>
      </c>
      <c r="O759" t="n">
        <v>0</v>
      </c>
      <c r="P759" t="n">
        <v>0</v>
      </c>
      <c r="Q759" t="n">
        <v>0</v>
      </c>
      <c r="R759" s="2" t="inlineStr"/>
    </row>
    <row r="760" ht="15" customHeight="1">
      <c r="A760" t="inlineStr">
        <is>
          <t>A 34892-2025</t>
        </is>
      </c>
      <c r="B760" s="1" t="n">
        <v>45849.49047453704</v>
      </c>
      <c r="C760" s="1" t="n">
        <v>45936</v>
      </c>
      <c r="D760" t="inlineStr">
        <is>
          <t>JÄMTLANDS LÄN</t>
        </is>
      </c>
      <c r="E760" t="inlineStr">
        <is>
          <t>BERG</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18551-2025</t>
        </is>
      </c>
      <c r="B761" s="1" t="n">
        <v>45763.43650462963</v>
      </c>
      <c r="C761" s="1" t="n">
        <v>45936</v>
      </c>
      <c r="D761" t="inlineStr">
        <is>
          <t>JÄMTLANDS LÄN</t>
        </is>
      </c>
      <c r="E761" t="inlineStr">
        <is>
          <t>BERG</t>
        </is>
      </c>
      <c r="G761" t="n">
        <v>3.5</v>
      </c>
      <c r="H761" t="n">
        <v>0</v>
      </c>
      <c r="I761" t="n">
        <v>0</v>
      </c>
      <c r="J761" t="n">
        <v>0</v>
      </c>
      <c r="K761" t="n">
        <v>0</v>
      </c>
      <c r="L761" t="n">
        <v>0</v>
      </c>
      <c r="M761" t="n">
        <v>0</v>
      </c>
      <c r="N761" t="n">
        <v>0</v>
      </c>
      <c r="O761" t="n">
        <v>0</v>
      </c>
      <c r="P761" t="n">
        <v>0</v>
      </c>
      <c r="Q761" t="n">
        <v>0</v>
      </c>
      <c r="R761" s="2" t="inlineStr"/>
    </row>
    <row r="762" ht="15" customHeight="1">
      <c r="A762" t="inlineStr">
        <is>
          <t>A 31131-2024</t>
        </is>
      </c>
      <c r="B762" s="1" t="n">
        <v>45502</v>
      </c>
      <c r="C762" s="1" t="n">
        <v>45936</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31154-2024</t>
        </is>
      </c>
      <c r="B763" s="1" t="n">
        <v>45503.32976851852</v>
      </c>
      <c r="C763" s="1" t="n">
        <v>45936</v>
      </c>
      <c r="D763" t="inlineStr">
        <is>
          <t>JÄMTLANDS LÄN</t>
        </is>
      </c>
      <c r="E763" t="inlineStr">
        <is>
          <t>BERG</t>
        </is>
      </c>
      <c r="G763" t="n">
        <v>2.3</v>
      </c>
      <c r="H763" t="n">
        <v>0</v>
      </c>
      <c r="I763" t="n">
        <v>0</v>
      </c>
      <c r="J763" t="n">
        <v>0</v>
      </c>
      <c r="K763" t="n">
        <v>0</v>
      </c>
      <c r="L763" t="n">
        <v>0</v>
      </c>
      <c r="M763" t="n">
        <v>0</v>
      </c>
      <c r="N763" t="n">
        <v>0</v>
      </c>
      <c r="O763" t="n">
        <v>0</v>
      </c>
      <c r="P763" t="n">
        <v>0</v>
      </c>
      <c r="Q763" t="n">
        <v>0</v>
      </c>
      <c r="R763" s="2" t="inlineStr"/>
    </row>
    <row r="764" ht="15" customHeight="1">
      <c r="A764" t="inlineStr">
        <is>
          <t>A 17929-2024</t>
        </is>
      </c>
      <c r="B764" s="1" t="n">
        <v>45419.60266203704</v>
      </c>
      <c r="C764" s="1" t="n">
        <v>45936</v>
      </c>
      <c r="D764" t="inlineStr">
        <is>
          <t>JÄMTLANDS LÄN</t>
        </is>
      </c>
      <c r="E764" t="inlineStr">
        <is>
          <t>BERG</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35183-2025</t>
        </is>
      </c>
      <c r="B765" s="1" t="n">
        <v>45853.29931712963</v>
      </c>
      <c r="C765" s="1" t="n">
        <v>45936</v>
      </c>
      <c r="D765" t="inlineStr">
        <is>
          <t>JÄMTLANDS LÄN</t>
        </is>
      </c>
      <c r="E765" t="inlineStr">
        <is>
          <t>BERG</t>
        </is>
      </c>
      <c r="G765" t="n">
        <v>2.8</v>
      </c>
      <c r="H765" t="n">
        <v>0</v>
      </c>
      <c r="I765" t="n">
        <v>0</v>
      </c>
      <c r="J765" t="n">
        <v>0</v>
      </c>
      <c r="K765" t="n">
        <v>0</v>
      </c>
      <c r="L765" t="n">
        <v>0</v>
      </c>
      <c r="M765" t="n">
        <v>0</v>
      </c>
      <c r="N765" t="n">
        <v>0</v>
      </c>
      <c r="O765" t="n">
        <v>0</v>
      </c>
      <c r="P765" t="n">
        <v>0</v>
      </c>
      <c r="Q765" t="n">
        <v>0</v>
      </c>
      <c r="R765" s="2" t="inlineStr"/>
    </row>
    <row r="766" ht="15" customHeight="1">
      <c r="A766" t="inlineStr">
        <is>
          <t>A 35213-2025</t>
        </is>
      </c>
      <c r="B766" s="1" t="n">
        <v>45853.46494212963</v>
      </c>
      <c r="C766" s="1" t="n">
        <v>45936</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7447-2022</t>
        </is>
      </c>
      <c r="B767" s="1" t="n">
        <v>44606</v>
      </c>
      <c r="C767" s="1" t="n">
        <v>45936</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35184-2025</t>
        </is>
      </c>
      <c r="B768" s="1" t="n">
        <v>45853.30270833334</v>
      </c>
      <c r="C768" s="1" t="n">
        <v>45936</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41105-2023</t>
        </is>
      </c>
      <c r="B769" s="1" t="n">
        <v>45170</v>
      </c>
      <c r="C769" s="1" t="n">
        <v>45936</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61980-2024</t>
        </is>
      </c>
      <c r="B770" s="1" t="n">
        <v>45653.66269675926</v>
      </c>
      <c r="C770" s="1" t="n">
        <v>45936</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18112-2024</t>
        </is>
      </c>
      <c r="B771" s="1" t="n">
        <v>45420.49851851852</v>
      </c>
      <c r="C771" s="1" t="n">
        <v>45936</v>
      </c>
      <c r="D771" t="inlineStr">
        <is>
          <t>JÄMTLANDS LÄN</t>
        </is>
      </c>
      <c r="E771" t="inlineStr">
        <is>
          <t>BERG</t>
        </is>
      </c>
      <c r="F771" t="inlineStr">
        <is>
          <t>Holmen skog AB</t>
        </is>
      </c>
      <c r="G771" t="n">
        <v>16.6</v>
      </c>
      <c r="H771" t="n">
        <v>0</v>
      </c>
      <c r="I771" t="n">
        <v>0</v>
      </c>
      <c r="J771" t="n">
        <v>0</v>
      </c>
      <c r="K771" t="n">
        <v>0</v>
      </c>
      <c r="L771" t="n">
        <v>0</v>
      </c>
      <c r="M771" t="n">
        <v>0</v>
      </c>
      <c r="N771" t="n">
        <v>0</v>
      </c>
      <c r="O771" t="n">
        <v>0</v>
      </c>
      <c r="P771" t="n">
        <v>0</v>
      </c>
      <c r="Q771" t="n">
        <v>0</v>
      </c>
      <c r="R771" s="2" t="inlineStr"/>
    </row>
    <row r="772" ht="15" customHeight="1">
      <c r="A772" t="inlineStr">
        <is>
          <t>A 40060-2025</t>
        </is>
      </c>
      <c r="B772" s="1" t="n">
        <v>45894.42746527777</v>
      </c>
      <c r="C772" s="1" t="n">
        <v>45936</v>
      </c>
      <c r="D772" t="inlineStr">
        <is>
          <t>JÄMTLANDS LÄN</t>
        </is>
      </c>
      <c r="E772" t="inlineStr">
        <is>
          <t>BERG</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40410-2025</t>
        </is>
      </c>
      <c r="B773" s="1" t="n">
        <v>45895.57349537037</v>
      </c>
      <c r="C773" s="1" t="n">
        <v>45936</v>
      </c>
      <c r="D773" t="inlineStr">
        <is>
          <t>JÄMTLANDS LÄN</t>
        </is>
      </c>
      <c r="E773" t="inlineStr">
        <is>
          <t>BERG</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13436-2024</t>
        </is>
      </c>
      <c r="B774" s="1" t="n">
        <v>45387.4865625</v>
      </c>
      <c r="C774" s="1" t="n">
        <v>45936</v>
      </c>
      <c r="D774" t="inlineStr">
        <is>
          <t>JÄMTLANDS LÄN</t>
        </is>
      </c>
      <c r="E774" t="inlineStr">
        <is>
          <t>BERG</t>
        </is>
      </c>
      <c r="G774" t="n">
        <v>28.9</v>
      </c>
      <c r="H774" t="n">
        <v>0</v>
      </c>
      <c r="I774" t="n">
        <v>0</v>
      </c>
      <c r="J774" t="n">
        <v>0</v>
      </c>
      <c r="K774" t="n">
        <v>0</v>
      </c>
      <c r="L774" t="n">
        <v>0</v>
      </c>
      <c r="M774" t="n">
        <v>0</v>
      </c>
      <c r="N774" t="n">
        <v>0</v>
      </c>
      <c r="O774" t="n">
        <v>0</v>
      </c>
      <c r="P774" t="n">
        <v>0</v>
      </c>
      <c r="Q774" t="n">
        <v>0</v>
      </c>
      <c r="R774" s="2" t="inlineStr"/>
    </row>
    <row r="775" ht="15" customHeight="1">
      <c r="A775" t="inlineStr">
        <is>
          <t>A 35363-2025</t>
        </is>
      </c>
      <c r="B775" s="1" t="n">
        <v>45854.67538194444</v>
      </c>
      <c r="C775" s="1" t="n">
        <v>45936</v>
      </c>
      <c r="D775" t="inlineStr">
        <is>
          <t>JÄMTLANDS LÄN</t>
        </is>
      </c>
      <c r="E775" t="inlineStr">
        <is>
          <t>BERG</t>
        </is>
      </c>
      <c r="G775" t="n">
        <v>9.5</v>
      </c>
      <c r="H775" t="n">
        <v>0</v>
      </c>
      <c r="I775" t="n">
        <v>0</v>
      </c>
      <c r="J775" t="n">
        <v>0</v>
      </c>
      <c r="K775" t="n">
        <v>0</v>
      </c>
      <c r="L775" t="n">
        <v>0</v>
      </c>
      <c r="M775" t="n">
        <v>0</v>
      </c>
      <c r="N775" t="n">
        <v>0</v>
      </c>
      <c r="O775" t="n">
        <v>0</v>
      </c>
      <c r="P775" t="n">
        <v>0</v>
      </c>
      <c r="Q775" t="n">
        <v>0</v>
      </c>
      <c r="R775" s="2" t="inlineStr"/>
    </row>
    <row r="776" ht="15" customHeight="1">
      <c r="A776" t="inlineStr">
        <is>
          <t>A 40918-2025</t>
        </is>
      </c>
      <c r="B776" s="1" t="n">
        <v>45897.6292824074</v>
      </c>
      <c r="C776" s="1" t="n">
        <v>45936</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40617-2025</t>
        </is>
      </c>
      <c r="B777" s="1" t="n">
        <v>45896.58326388889</v>
      </c>
      <c r="C777" s="1" t="n">
        <v>45936</v>
      </c>
      <c r="D777" t="inlineStr">
        <is>
          <t>JÄMTLANDS LÄN</t>
        </is>
      </c>
      <c r="E777" t="inlineStr">
        <is>
          <t>BERG</t>
        </is>
      </c>
      <c r="G777" t="n">
        <v>3.5</v>
      </c>
      <c r="H777" t="n">
        <v>0</v>
      </c>
      <c r="I777" t="n">
        <v>0</v>
      </c>
      <c r="J777" t="n">
        <v>0</v>
      </c>
      <c r="K777" t="n">
        <v>0</v>
      </c>
      <c r="L777" t="n">
        <v>0</v>
      </c>
      <c r="M777" t="n">
        <v>0</v>
      </c>
      <c r="N777" t="n">
        <v>0</v>
      </c>
      <c r="O777" t="n">
        <v>0</v>
      </c>
      <c r="P777" t="n">
        <v>0</v>
      </c>
      <c r="Q777" t="n">
        <v>0</v>
      </c>
      <c r="R777" s="2" t="inlineStr"/>
    </row>
    <row r="778" ht="15" customHeight="1">
      <c r="A778" t="inlineStr">
        <is>
          <t>A 40708-2025</t>
        </is>
      </c>
      <c r="B778" s="1" t="n">
        <v>45897</v>
      </c>
      <c r="C778" s="1" t="n">
        <v>45936</v>
      </c>
      <c r="D778" t="inlineStr">
        <is>
          <t>JÄMTLANDS LÄN</t>
        </is>
      </c>
      <c r="E778" t="inlineStr">
        <is>
          <t>BERG</t>
        </is>
      </c>
      <c r="G778" t="n">
        <v>6.6</v>
      </c>
      <c r="H778" t="n">
        <v>0</v>
      </c>
      <c r="I778" t="n">
        <v>0</v>
      </c>
      <c r="J778" t="n">
        <v>0</v>
      </c>
      <c r="K778" t="n">
        <v>0</v>
      </c>
      <c r="L778" t="n">
        <v>0</v>
      </c>
      <c r="M778" t="n">
        <v>0</v>
      </c>
      <c r="N778" t="n">
        <v>0</v>
      </c>
      <c r="O778" t="n">
        <v>0</v>
      </c>
      <c r="P778" t="n">
        <v>0</v>
      </c>
      <c r="Q778" t="n">
        <v>0</v>
      </c>
      <c r="R778" s="2" t="inlineStr"/>
    </row>
    <row r="779" ht="15" customHeight="1">
      <c r="A779" t="inlineStr">
        <is>
          <t>A 40737-2025</t>
        </is>
      </c>
      <c r="B779" s="1" t="n">
        <v>45897.36572916667</v>
      </c>
      <c r="C779" s="1" t="n">
        <v>45936</v>
      </c>
      <c r="D779" t="inlineStr">
        <is>
          <t>JÄMTLANDS LÄN</t>
        </is>
      </c>
      <c r="E779" t="inlineStr">
        <is>
          <t>BERG</t>
        </is>
      </c>
      <c r="G779" t="n">
        <v>2.8</v>
      </c>
      <c r="H779" t="n">
        <v>0</v>
      </c>
      <c r="I779" t="n">
        <v>0</v>
      </c>
      <c r="J779" t="n">
        <v>0</v>
      </c>
      <c r="K779" t="n">
        <v>0</v>
      </c>
      <c r="L779" t="n">
        <v>0</v>
      </c>
      <c r="M779" t="n">
        <v>0</v>
      </c>
      <c r="N779" t="n">
        <v>0</v>
      </c>
      <c r="O779" t="n">
        <v>0</v>
      </c>
      <c r="P779" t="n">
        <v>0</v>
      </c>
      <c r="Q779" t="n">
        <v>0</v>
      </c>
      <c r="R779" s="2" t="inlineStr"/>
    </row>
    <row r="780" ht="15" customHeight="1">
      <c r="A780" t="inlineStr">
        <is>
          <t>A 40873-2025</t>
        </is>
      </c>
      <c r="B780" s="1" t="n">
        <v>45897.5744675926</v>
      </c>
      <c r="C780" s="1" t="n">
        <v>45936</v>
      </c>
      <c r="D780" t="inlineStr">
        <is>
          <t>JÄMTLANDS LÄN</t>
        </is>
      </c>
      <c r="E780" t="inlineStr">
        <is>
          <t>BERG</t>
        </is>
      </c>
      <c r="G780" t="n">
        <v>0.6</v>
      </c>
      <c r="H780" t="n">
        <v>0</v>
      </c>
      <c r="I780" t="n">
        <v>0</v>
      </c>
      <c r="J780" t="n">
        <v>0</v>
      </c>
      <c r="K780" t="n">
        <v>0</v>
      </c>
      <c r="L780" t="n">
        <v>0</v>
      </c>
      <c r="M780" t="n">
        <v>0</v>
      </c>
      <c r="N780" t="n">
        <v>0</v>
      </c>
      <c r="O780" t="n">
        <v>0</v>
      </c>
      <c r="P780" t="n">
        <v>0</v>
      </c>
      <c r="Q780" t="n">
        <v>0</v>
      </c>
      <c r="R780" s="2" t="inlineStr"/>
    </row>
    <row r="781" ht="15" customHeight="1">
      <c r="A781" t="inlineStr">
        <is>
          <t>A 35360-2025</t>
        </is>
      </c>
      <c r="B781" s="1" t="n">
        <v>45854.66877314815</v>
      </c>
      <c r="C781" s="1" t="n">
        <v>45936</v>
      </c>
      <c r="D781" t="inlineStr">
        <is>
          <t>JÄMTLANDS LÄN</t>
        </is>
      </c>
      <c r="E781" t="inlineStr">
        <is>
          <t>BERG</t>
        </is>
      </c>
      <c r="G781" t="n">
        <v>3.7</v>
      </c>
      <c r="H781" t="n">
        <v>0</v>
      </c>
      <c r="I781" t="n">
        <v>0</v>
      </c>
      <c r="J781" t="n">
        <v>0</v>
      </c>
      <c r="K781" t="n">
        <v>0</v>
      </c>
      <c r="L781" t="n">
        <v>0</v>
      </c>
      <c r="M781" t="n">
        <v>0</v>
      </c>
      <c r="N781" t="n">
        <v>0</v>
      </c>
      <c r="O781" t="n">
        <v>0</v>
      </c>
      <c r="P781" t="n">
        <v>0</v>
      </c>
      <c r="Q781" t="n">
        <v>0</v>
      </c>
      <c r="R781" s="2" t="inlineStr"/>
    </row>
    <row r="782" ht="15" customHeight="1">
      <c r="A782" t="inlineStr">
        <is>
          <t>A 35576-2025</t>
        </is>
      </c>
      <c r="B782" s="1" t="n">
        <v>45856.63608796296</v>
      </c>
      <c r="C782" s="1" t="n">
        <v>45936</v>
      </c>
      <c r="D782" t="inlineStr">
        <is>
          <t>JÄMTLANDS LÄN</t>
        </is>
      </c>
      <c r="E782" t="inlineStr">
        <is>
          <t>BERG</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18153-2024</t>
        </is>
      </c>
      <c r="B783" s="1" t="n">
        <v>45420</v>
      </c>
      <c r="C783" s="1" t="n">
        <v>45936</v>
      </c>
      <c r="D783" t="inlineStr">
        <is>
          <t>JÄMTLANDS LÄN</t>
        </is>
      </c>
      <c r="E783" t="inlineStr">
        <is>
          <t>BERG</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35538-2025</t>
        </is>
      </c>
      <c r="B784" s="1" t="n">
        <v>45856.4552662037</v>
      </c>
      <c r="C784" s="1" t="n">
        <v>45936</v>
      </c>
      <c r="D784" t="inlineStr">
        <is>
          <t>JÄMTLANDS LÄN</t>
        </is>
      </c>
      <c r="E784" t="inlineStr">
        <is>
          <t>BERG</t>
        </is>
      </c>
      <c r="F784" t="inlineStr">
        <is>
          <t>Sveaskog</t>
        </is>
      </c>
      <c r="G784" t="n">
        <v>9.6</v>
      </c>
      <c r="H784" t="n">
        <v>0</v>
      </c>
      <c r="I784" t="n">
        <v>0</v>
      </c>
      <c r="J784" t="n">
        <v>0</v>
      </c>
      <c r="K784" t="n">
        <v>0</v>
      </c>
      <c r="L784" t="n">
        <v>0</v>
      </c>
      <c r="M784" t="n">
        <v>0</v>
      </c>
      <c r="N784" t="n">
        <v>0</v>
      </c>
      <c r="O784" t="n">
        <v>0</v>
      </c>
      <c r="P784" t="n">
        <v>0</v>
      </c>
      <c r="Q784" t="n">
        <v>0</v>
      </c>
      <c r="R784" s="2" t="inlineStr"/>
    </row>
    <row r="785" ht="15" customHeight="1">
      <c r="A785" t="inlineStr">
        <is>
          <t>A 41265-2025</t>
        </is>
      </c>
      <c r="B785" s="1" t="n">
        <v>45898.6153587963</v>
      </c>
      <c r="C785" s="1" t="n">
        <v>45936</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41295-2025</t>
        </is>
      </c>
      <c r="B786" s="1" t="n">
        <v>45898.65660879629</v>
      </c>
      <c r="C786" s="1" t="n">
        <v>45936</v>
      </c>
      <c r="D786" t="inlineStr">
        <is>
          <t>JÄMTLANDS LÄN</t>
        </is>
      </c>
      <c r="E786" t="inlineStr">
        <is>
          <t>BERG</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41247-2025</t>
        </is>
      </c>
      <c r="B787" s="1" t="n">
        <v>45898.60109953704</v>
      </c>
      <c r="C787" s="1" t="n">
        <v>45936</v>
      </c>
      <c r="D787" t="inlineStr">
        <is>
          <t>JÄMTLANDS LÄN</t>
        </is>
      </c>
      <c r="E787" t="inlineStr">
        <is>
          <t>BERG</t>
        </is>
      </c>
      <c r="G787" t="n">
        <v>17.5</v>
      </c>
      <c r="H787" t="n">
        <v>0</v>
      </c>
      <c r="I787" t="n">
        <v>0</v>
      </c>
      <c r="J787" t="n">
        <v>0</v>
      </c>
      <c r="K787" t="n">
        <v>0</v>
      </c>
      <c r="L787" t="n">
        <v>0</v>
      </c>
      <c r="M787" t="n">
        <v>0</v>
      </c>
      <c r="N787" t="n">
        <v>0</v>
      </c>
      <c r="O787" t="n">
        <v>0</v>
      </c>
      <c r="P787" t="n">
        <v>0</v>
      </c>
      <c r="Q787" t="n">
        <v>0</v>
      </c>
      <c r="R787" s="2" t="inlineStr"/>
    </row>
    <row r="788" ht="15" customHeight="1">
      <c r="A788" t="inlineStr">
        <is>
          <t>A 41263-2025</t>
        </is>
      </c>
      <c r="B788" s="1" t="n">
        <v>45898.61517361111</v>
      </c>
      <c r="C788" s="1" t="n">
        <v>45936</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35684-2025</t>
        </is>
      </c>
      <c r="B789" s="1" t="n">
        <v>45859.88079861111</v>
      </c>
      <c r="C789" s="1" t="n">
        <v>45936</v>
      </c>
      <c r="D789" t="inlineStr">
        <is>
          <t>JÄMTLANDS LÄN</t>
        </is>
      </c>
      <c r="E789" t="inlineStr">
        <is>
          <t>BERG</t>
        </is>
      </c>
      <c r="G789" t="n">
        <v>6.1</v>
      </c>
      <c r="H789" t="n">
        <v>0</v>
      </c>
      <c r="I789" t="n">
        <v>0</v>
      </c>
      <c r="J789" t="n">
        <v>0</v>
      </c>
      <c r="K789" t="n">
        <v>0</v>
      </c>
      <c r="L789" t="n">
        <v>0</v>
      </c>
      <c r="M789" t="n">
        <v>0</v>
      </c>
      <c r="N789" t="n">
        <v>0</v>
      </c>
      <c r="O789" t="n">
        <v>0</v>
      </c>
      <c r="P789" t="n">
        <v>0</v>
      </c>
      <c r="Q789" t="n">
        <v>0</v>
      </c>
      <c r="R789" s="2" t="inlineStr"/>
    </row>
    <row r="790" ht="15" customHeight="1">
      <c r="A790" t="inlineStr">
        <is>
          <t>A 35691-2025</t>
        </is>
      </c>
      <c r="B790" s="1" t="n">
        <v>45860.344375</v>
      </c>
      <c r="C790" s="1" t="n">
        <v>45936</v>
      </c>
      <c r="D790" t="inlineStr">
        <is>
          <t>JÄMTLANDS LÄN</t>
        </is>
      </c>
      <c r="E790" t="inlineStr">
        <is>
          <t>BERG</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42003-2025</t>
        </is>
      </c>
      <c r="B791" s="1" t="n">
        <v>45903.55403935185</v>
      </c>
      <c r="C791" s="1" t="n">
        <v>45936</v>
      </c>
      <c r="D791" t="inlineStr">
        <is>
          <t>JÄMTLANDS LÄN</t>
        </is>
      </c>
      <c r="E791" t="inlineStr">
        <is>
          <t>BERG</t>
        </is>
      </c>
      <c r="F791" t="inlineStr">
        <is>
          <t>Övriga statliga verk och myndigheter</t>
        </is>
      </c>
      <c r="G791" t="n">
        <v>10.5</v>
      </c>
      <c r="H791" t="n">
        <v>0</v>
      </c>
      <c r="I791" t="n">
        <v>0</v>
      </c>
      <c r="J791" t="n">
        <v>0</v>
      </c>
      <c r="K791" t="n">
        <v>0</v>
      </c>
      <c r="L791" t="n">
        <v>0</v>
      </c>
      <c r="M791" t="n">
        <v>0</v>
      </c>
      <c r="N791" t="n">
        <v>0</v>
      </c>
      <c r="O791" t="n">
        <v>0</v>
      </c>
      <c r="P791" t="n">
        <v>0</v>
      </c>
      <c r="Q791" t="n">
        <v>0</v>
      </c>
      <c r="R791" s="2" t="inlineStr"/>
    </row>
    <row r="792" ht="15" customHeight="1">
      <c r="A792" t="inlineStr">
        <is>
          <t>A 41930-2025</t>
        </is>
      </c>
      <c r="B792" s="1" t="n">
        <v>45903.43454861111</v>
      </c>
      <c r="C792" s="1" t="n">
        <v>45936</v>
      </c>
      <c r="D792" t="inlineStr">
        <is>
          <t>JÄMTLANDS LÄN</t>
        </is>
      </c>
      <c r="E792" t="inlineStr">
        <is>
          <t>BERG</t>
        </is>
      </c>
      <c r="F792" t="inlineStr">
        <is>
          <t>Övriga statliga verk och myndigheter</t>
        </is>
      </c>
      <c r="G792" t="n">
        <v>2.4</v>
      </c>
      <c r="H792" t="n">
        <v>0</v>
      </c>
      <c r="I792" t="n">
        <v>0</v>
      </c>
      <c r="J792" t="n">
        <v>0</v>
      </c>
      <c r="K792" t="n">
        <v>0</v>
      </c>
      <c r="L792" t="n">
        <v>0</v>
      </c>
      <c r="M792" t="n">
        <v>0</v>
      </c>
      <c r="N792" t="n">
        <v>0</v>
      </c>
      <c r="O792" t="n">
        <v>0</v>
      </c>
      <c r="P792" t="n">
        <v>0</v>
      </c>
      <c r="Q792" t="n">
        <v>0</v>
      </c>
      <c r="R792" s="2" t="inlineStr"/>
    </row>
    <row r="793" ht="15" customHeight="1">
      <c r="A793" t="inlineStr">
        <is>
          <t>A 42101-2025</t>
        </is>
      </c>
      <c r="B793" s="1" t="n">
        <v>45903.80413194445</v>
      </c>
      <c r="C793" s="1" t="n">
        <v>45936</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35681-2025</t>
        </is>
      </c>
      <c r="B794" s="1" t="n">
        <v>45859.77703703703</v>
      </c>
      <c r="C794" s="1" t="n">
        <v>45936</v>
      </c>
      <c r="D794" t="inlineStr">
        <is>
          <t>JÄMTLANDS LÄN</t>
        </is>
      </c>
      <c r="E794" t="inlineStr">
        <is>
          <t>BERG</t>
        </is>
      </c>
      <c r="G794" t="n">
        <v>27</v>
      </c>
      <c r="H794" t="n">
        <v>0</v>
      </c>
      <c r="I794" t="n">
        <v>0</v>
      </c>
      <c r="J794" t="n">
        <v>0</v>
      </c>
      <c r="K794" t="n">
        <v>0</v>
      </c>
      <c r="L794" t="n">
        <v>0</v>
      </c>
      <c r="M794" t="n">
        <v>0</v>
      </c>
      <c r="N794" t="n">
        <v>0</v>
      </c>
      <c r="O794" t="n">
        <v>0</v>
      </c>
      <c r="P794" t="n">
        <v>0</v>
      </c>
      <c r="Q794" t="n">
        <v>0</v>
      </c>
      <c r="R794" s="2" t="inlineStr"/>
    </row>
    <row r="795" ht="15" customHeight="1">
      <c r="A795" t="inlineStr">
        <is>
          <t>A 35683-2025</t>
        </is>
      </c>
      <c r="B795" s="1" t="n">
        <v>45859</v>
      </c>
      <c r="C795" s="1" t="n">
        <v>45936</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41997-2025</t>
        </is>
      </c>
      <c r="B796" s="1" t="n">
        <v>45903.55162037037</v>
      </c>
      <c r="C796" s="1" t="n">
        <v>45936</v>
      </c>
      <c r="D796" t="inlineStr">
        <is>
          <t>JÄMTLANDS LÄN</t>
        </is>
      </c>
      <c r="E796" t="inlineStr">
        <is>
          <t>BERG</t>
        </is>
      </c>
      <c r="F796" t="inlineStr">
        <is>
          <t>Övriga statliga verk och myndigheter</t>
        </is>
      </c>
      <c r="G796" t="n">
        <v>2.2</v>
      </c>
      <c r="H796" t="n">
        <v>0</v>
      </c>
      <c r="I796" t="n">
        <v>0</v>
      </c>
      <c r="J796" t="n">
        <v>0</v>
      </c>
      <c r="K796" t="n">
        <v>0</v>
      </c>
      <c r="L796" t="n">
        <v>0</v>
      </c>
      <c r="M796" t="n">
        <v>0</v>
      </c>
      <c r="N796" t="n">
        <v>0</v>
      </c>
      <c r="O796" t="n">
        <v>0</v>
      </c>
      <c r="P796" t="n">
        <v>0</v>
      </c>
      <c r="Q796" t="n">
        <v>0</v>
      </c>
      <c r="R796" s="2" t="inlineStr"/>
    </row>
    <row r="797" ht="15" customHeight="1">
      <c r="A797" t="inlineStr">
        <is>
          <t>A 46874-2023</t>
        </is>
      </c>
      <c r="B797" s="1" t="n">
        <v>45200</v>
      </c>
      <c r="C797" s="1" t="n">
        <v>45936</v>
      </c>
      <c r="D797" t="inlineStr">
        <is>
          <t>JÄMTLANDS LÄN</t>
        </is>
      </c>
      <c r="E797" t="inlineStr">
        <is>
          <t>BERG</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42415-2025</t>
        </is>
      </c>
      <c r="B798" s="1" t="n">
        <v>45905.39195601852</v>
      </c>
      <c r="C798" s="1" t="n">
        <v>45936</v>
      </c>
      <c r="D798" t="inlineStr">
        <is>
          <t>JÄMTLANDS LÄN</t>
        </is>
      </c>
      <c r="E798" t="inlineStr">
        <is>
          <t>BERG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42378-2025</t>
        </is>
      </c>
      <c r="B799" s="1" t="n">
        <v>45905.34423611111</v>
      </c>
      <c r="C799" s="1" t="n">
        <v>45936</v>
      </c>
      <c r="D799" t="inlineStr">
        <is>
          <t>JÄMTLANDS LÄN</t>
        </is>
      </c>
      <c r="E799" t="inlineStr">
        <is>
          <t>BERG</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40266-2025</t>
        </is>
      </c>
      <c r="B800" s="1" t="n">
        <v>45895.34478009259</v>
      </c>
      <c r="C800" s="1" t="n">
        <v>45936</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42439-2025</t>
        </is>
      </c>
      <c r="B801" s="1" t="n">
        <v>45905.42969907408</v>
      </c>
      <c r="C801" s="1" t="n">
        <v>45936</v>
      </c>
      <c r="D801" t="inlineStr">
        <is>
          <t>JÄMTLANDS LÄN</t>
        </is>
      </c>
      <c r="E801" t="inlineStr">
        <is>
          <t>BERG</t>
        </is>
      </c>
      <c r="G801" t="n">
        <v>2</v>
      </c>
      <c r="H801" t="n">
        <v>0</v>
      </c>
      <c r="I801" t="n">
        <v>0</v>
      </c>
      <c r="J801" t="n">
        <v>0</v>
      </c>
      <c r="K801" t="n">
        <v>0</v>
      </c>
      <c r="L801" t="n">
        <v>0</v>
      </c>
      <c r="M801" t="n">
        <v>0</v>
      </c>
      <c r="N801" t="n">
        <v>0</v>
      </c>
      <c r="O801" t="n">
        <v>0</v>
      </c>
      <c r="P801" t="n">
        <v>0</v>
      </c>
      <c r="Q801" t="n">
        <v>0</v>
      </c>
      <c r="R801" s="2" t="inlineStr"/>
    </row>
    <row r="802" ht="15" customHeight="1">
      <c r="A802" t="inlineStr">
        <is>
          <t>A 40339-2025</t>
        </is>
      </c>
      <c r="B802" s="1" t="n">
        <v>45895</v>
      </c>
      <c r="C802" s="1" t="n">
        <v>45936</v>
      </c>
      <c r="D802" t="inlineStr">
        <is>
          <t>JÄMTLANDS LÄN</t>
        </is>
      </c>
      <c r="E802" t="inlineStr">
        <is>
          <t>BERG</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40340-2025</t>
        </is>
      </c>
      <c r="B803" s="1" t="n">
        <v>45895.46922453704</v>
      </c>
      <c r="C803" s="1" t="n">
        <v>45936</v>
      </c>
      <c r="D803" t="inlineStr">
        <is>
          <t>JÄMTLANDS LÄN</t>
        </is>
      </c>
      <c r="E803" t="inlineStr">
        <is>
          <t>BERG</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47304-2023</t>
        </is>
      </c>
      <c r="B804" s="1" t="n">
        <v>45202.48180555556</v>
      </c>
      <c r="C804" s="1" t="n">
        <v>45936</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36142-2025</t>
        </is>
      </c>
      <c r="B805" s="1" t="n">
        <v>45866</v>
      </c>
      <c r="C805" s="1" t="n">
        <v>45936</v>
      </c>
      <c r="D805" t="inlineStr">
        <is>
          <t>JÄMTLANDS LÄN</t>
        </is>
      </c>
      <c r="E805" t="inlineStr">
        <is>
          <t>BERG</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14697-2025</t>
        </is>
      </c>
      <c r="B806" s="1" t="n">
        <v>45742.59415509259</v>
      </c>
      <c r="C806" s="1" t="n">
        <v>45936</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42862-2025</t>
        </is>
      </c>
      <c r="B807" s="1" t="n">
        <v>45908.61515046296</v>
      </c>
      <c r="C807" s="1" t="n">
        <v>45936</v>
      </c>
      <c r="D807" t="inlineStr">
        <is>
          <t>JÄMTLANDS LÄN</t>
        </is>
      </c>
      <c r="E807" t="inlineStr">
        <is>
          <t>BERG</t>
        </is>
      </c>
      <c r="G807" t="n">
        <v>1.8</v>
      </c>
      <c r="H807" t="n">
        <v>0</v>
      </c>
      <c r="I807" t="n">
        <v>0</v>
      </c>
      <c r="J807" t="n">
        <v>0</v>
      </c>
      <c r="K807" t="n">
        <v>0</v>
      </c>
      <c r="L807" t="n">
        <v>0</v>
      </c>
      <c r="M807" t="n">
        <v>0</v>
      </c>
      <c r="N807" t="n">
        <v>0</v>
      </c>
      <c r="O807" t="n">
        <v>0</v>
      </c>
      <c r="P807" t="n">
        <v>0</v>
      </c>
      <c r="Q807" t="n">
        <v>0</v>
      </c>
      <c r="R807" s="2" t="inlineStr"/>
    </row>
    <row r="808" ht="15" customHeight="1">
      <c r="A808" t="inlineStr">
        <is>
          <t>A 43137-2025</t>
        </is>
      </c>
      <c r="B808" s="1" t="n">
        <v>45909.85438657407</v>
      </c>
      <c r="C808" s="1" t="n">
        <v>45936</v>
      </c>
      <c r="D808" t="inlineStr">
        <is>
          <t>JÄMTLANDS LÄN</t>
        </is>
      </c>
      <c r="E808" t="inlineStr">
        <is>
          <t>BERG</t>
        </is>
      </c>
      <c r="F808" t="inlineStr">
        <is>
          <t>Övriga statliga verk och myndigheter</t>
        </is>
      </c>
      <c r="G808" t="n">
        <v>11.6</v>
      </c>
      <c r="H808" t="n">
        <v>0</v>
      </c>
      <c r="I808" t="n">
        <v>0</v>
      </c>
      <c r="J808" t="n">
        <v>0</v>
      </c>
      <c r="K808" t="n">
        <v>0</v>
      </c>
      <c r="L808" t="n">
        <v>0</v>
      </c>
      <c r="M808" t="n">
        <v>0</v>
      </c>
      <c r="N808" t="n">
        <v>0</v>
      </c>
      <c r="O808" t="n">
        <v>0</v>
      </c>
      <c r="P808" t="n">
        <v>0</v>
      </c>
      <c r="Q808" t="n">
        <v>0</v>
      </c>
      <c r="R808" s="2" t="inlineStr"/>
    </row>
    <row r="809" ht="15" customHeight="1">
      <c r="A809" t="inlineStr">
        <is>
          <t>A 54415-2023</t>
        </is>
      </c>
      <c r="B809" s="1" t="n">
        <v>45233.40039351852</v>
      </c>
      <c r="C809" s="1" t="n">
        <v>45936</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43015-2025</t>
        </is>
      </c>
      <c r="B810" s="1" t="n">
        <v>45909.49278935185</v>
      </c>
      <c r="C810" s="1" t="n">
        <v>45936</v>
      </c>
      <c r="D810" t="inlineStr">
        <is>
          <t>JÄMTLANDS LÄN</t>
        </is>
      </c>
      <c r="E810" t="inlineStr">
        <is>
          <t>BERG</t>
        </is>
      </c>
      <c r="G810" t="n">
        <v>1.3</v>
      </c>
      <c r="H810" t="n">
        <v>0</v>
      </c>
      <c r="I810" t="n">
        <v>0</v>
      </c>
      <c r="J810" t="n">
        <v>0</v>
      </c>
      <c r="K810" t="n">
        <v>0</v>
      </c>
      <c r="L810" t="n">
        <v>0</v>
      </c>
      <c r="M810" t="n">
        <v>0</v>
      </c>
      <c r="N810" t="n">
        <v>0</v>
      </c>
      <c r="O810" t="n">
        <v>0</v>
      </c>
      <c r="P810" t="n">
        <v>0</v>
      </c>
      <c r="Q810" t="n">
        <v>0</v>
      </c>
      <c r="R810" s="2" t="inlineStr"/>
    </row>
    <row r="811" ht="15" customHeight="1">
      <c r="A811" t="inlineStr">
        <is>
          <t>A 40341-2025</t>
        </is>
      </c>
      <c r="B811" s="1" t="n">
        <v>45895</v>
      </c>
      <c r="C811" s="1" t="n">
        <v>45936</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40630-2025</t>
        </is>
      </c>
      <c r="B812" s="1" t="n">
        <v>45896</v>
      </c>
      <c r="C812" s="1" t="n">
        <v>45936</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43441-2025</t>
        </is>
      </c>
      <c r="B813" s="1" t="n">
        <v>45911.44184027778</v>
      </c>
      <c r="C813" s="1" t="n">
        <v>45936</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43442-2025</t>
        </is>
      </c>
      <c r="B814" s="1" t="n">
        <v>45911.44244212963</v>
      </c>
      <c r="C814" s="1" t="n">
        <v>45936</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43458-2025</t>
        </is>
      </c>
      <c r="B815" s="1" t="n">
        <v>45911.46315972223</v>
      </c>
      <c r="C815" s="1" t="n">
        <v>45936</v>
      </c>
      <c r="D815" t="inlineStr">
        <is>
          <t>JÄMTLANDS LÄN</t>
        </is>
      </c>
      <c r="E815" t="inlineStr">
        <is>
          <t>BERG</t>
        </is>
      </c>
      <c r="G815" t="n">
        <v>11.2</v>
      </c>
      <c r="H815" t="n">
        <v>0</v>
      </c>
      <c r="I815" t="n">
        <v>0</v>
      </c>
      <c r="J815" t="n">
        <v>0</v>
      </c>
      <c r="K815" t="n">
        <v>0</v>
      </c>
      <c r="L815" t="n">
        <v>0</v>
      </c>
      <c r="M815" t="n">
        <v>0</v>
      </c>
      <c r="N815" t="n">
        <v>0</v>
      </c>
      <c r="O815" t="n">
        <v>0</v>
      </c>
      <c r="P815" t="n">
        <v>0</v>
      </c>
      <c r="Q815" t="n">
        <v>0</v>
      </c>
      <c r="R815" s="2" t="inlineStr"/>
    </row>
    <row r="816" ht="15" customHeight="1">
      <c r="A816" t="inlineStr">
        <is>
          <t>A 22030-2025</t>
        </is>
      </c>
      <c r="B816" s="1" t="n">
        <v>45785.25814814815</v>
      </c>
      <c r="C816" s="1" t="n">
        <v>45936</v>
      </c>
      <c r="D816" t="inlineStr">
        <is>
          <t>JÄMTLANDS LÄN</t>
        </is>
      </c>
      <c r="E816" t="inlineStr">
        <is>
          <t>BERG</t>
        </is>
      </c>
      <c r="G816" t="n">
        <v>5</v>
      </c>
      <c r="H816" t="n">
        <v>0</v>
      </c>
      <c r="I816" t="n">
        <v>0</v>
      </c>
      <c r="J816" t="n">
        <v>0</v>
      </c>
      <c r="K816" t="n">
        <v>0</v>
      </c>
      <c r="L816" t="n">
        <v>0</v>
      </c>
      <c r="M816" t="n">
        <v>0</v>
      </c>
      <c r="N816" t="n">
        <v>0</v>
      </c>
      <c r="O816" t="n">
        <v>0</v>
      </c>
      <c r="P816" t="n">
        <v>0</v>
      </c>
      <c r="Q816" t="n">
        <v>0</v>
      </c>
      <c r="R816" s="2" t="inlineStr"/>
    </row>
    <row r="817" ht="15" customHeight="1">
      <c r="A817" t="inlineStr">
        <is>
          <t>A 36377-2025</t>
        </is>
      </c>
      <c r="B817" s="1" t="n">
        <v>45868.57342592593</v>
      </c>
      <c r="C817" s="1" t="n">
        <v>45936</v>
      </c>
      <c r="D817" t="inlineStr">
        <is>
          <t>JÄMTLANDS LÄN</t>
        </is>
      </c>
      <c r="E817" t="inlineStr">
        <is>
          <t>BERG</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43443-2025</t>
        </is>
      </c>
      <c r="B818" s="1" t="n">
        <v>45911.44350694444</v>
      </c>
      <c r="C818" s="1" t="n">
        <v>45936</v>
      </c>
      <c r="D818" t="inlineStr">
        <is>
          <t>JÄMTLANDS LÄN</t>
        </is>
      </c>
      <c r="E818" t="inlineStr">
        <is>
          <t>BERG</t>
        </is>
      </c>
      <c r="G818" t="n">
        <v>2.7</v>
      </c>
      <c r="H818" t="n">
        <v>0</v>
      </c>
      <c r="I818" t="n">
        <v>0</v>
      </c>
      <c r="J818" t="n">
        <v>0</v>
      </c>
      <c r="K818" t="n">
        <v>0</v>
      </c>
      <c r="L818" t="n">
        <v>0</v>
      </c>
      <c r="M818" t="n">
        <v>0</v>
      </c>
      <c r="N818" t="n">
        <v>0</v>
      </c>
      <c r="O818" t="n">
        <v>0</v>
      </c>
      <c r="P818" t="n">
        <v>0</v>
      </c>
      <c r="Q818" t="n">
        <v>0</v>
      </c>
      <c r="R818" s="2" t="inlineStr"/>
    </row>
    <row r="819" ht="15" customHeight="1">
      <c r="A819" t="inlineStr">
        <is>
          <t>A 43560-2025</t>
        </is>
      </c>
      <c r="B819" s="1" t="n">
        <v>45911.62758101852</v>
      </c>
      <c r="C819" s="1" t="n">
        <v>45936</v>
      </c>
      <c r="D819" t="inlineStr">
        <is>
          <t>JÄMTLANDS LÄN</t>
        </is>
      </c>
      <c r="E819" t="inlineStr">
        <is>
          <t>BERG</t>
        </is>
      </c>
      <c r="G819" t="n">
        <v>10</v>
      </c>
      <c r="H819" t="n">
        <v>0</v>
      </c>
      <c r="I819" t="n">
        <v>0</v>
      </c>
      <c r="J819" t="n">
        <v>0</v>
      </c>
      <c r="K819" t="n">
        <v>0</v>
      </c>
      <c r="L819" t="n">
        <v>0</v>
      </c>
      <c r="M819" t="n">
        <v>0</v>
      </c>
      <c r="N819" t="n">
        <v>0</v>
      </c>
      <c r="O819" t="n">
        <v>0</v>
      </c>
      <c r="P819" t="n">
        <v>0</v>
      </c>
      <c r="Q819" t="n">
        <v>0</v>
      </c>
      <c r="R819" s="2" t="inlineStr"/>
    </row>
    <row r="820" ht="15" customHeight="1">
      <c r="A820" t="inlineStr">
        <is>
          <t>A 24307-2023</t>
        </is>
      </c>
      <c r="B820" s="1" t="n">
        <v>45079.94229166667</v>
      </c>
      <c r="C820" s="1" t="n">
        <v>45936</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40990-2022</t>
        </is>
      </c>
      <c r="B821" s="1" t="n">
        <v>44823</v>
      </c>
      <c r="C821" s="1" t="n">
        <v>45936</v>
      </c>
      <c r="D821" t="inlineStr">
        <is>
          <t>JÄMTLANDS LÄN</t>
        </is>
      </c>
      <c r="E821" t="inlineStr">
        <is>
          <t>BERG</t>
        </is>
      </c>
      <c r="G821" t="n">
        <v>11.7</v>
      </c>
      <c r="H821" t="n">
        <v>0</v>
      </c>
      <c r="I821" t="n">
        <v>0</v>
      </c>
      <c r="J821" t="n">
        <v>0</v>
      </c>
      <c r="K821" t="n">
        <v>0</v>
      </c>
      <c r="L821" t="n">
        <v>0</v>
      </c>
      <c r="M821" t="n">
        <v>0</v>
      </c>
      <c r="N821" t="n">
        <v>0</v>
      </c>
      <c r="O821" t="n">
        <v>0</v>
      </c>
      <c r="P821" t="n">
        <v>0</v>
      </c>
      <c r="Q821" t="n">
        <v>0</v>
      </c>
      <c r="R821" s="2" t="inlineStr"/>
    </row>
    <row r="822" ht="15" customHeight="1">
      <c r="A822" t="inlineStr">
        <is>
          <t>A 43456-2025</t>
        </is>
      </c>
      <c r="B822" s="1" t="n">
        <v>45911.46148148148</v>
      </c>
      <c r="C822" s="1" t="n">
        <v>45936</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21521-2024</t>
        </is>
      </c>
      <c r="B823" s="1" t="n">
        <v>45441.58313657407</v>
      </c>
      <c r="C823" s="1" t="n">
        <v>45936</v>
      </c>
      <c r="D823" t="inlineStr">
        <is>
          <t>JÄMTLANDS LÄN</t>
        </is>
      </c>
      <c r="E823" t="inlineStr">
        <is>
          <t>BERG</t>
        </is>
      </c>
      <c r="G823" t="n">
        <v>1.2</v>
      </c>
      <c r="H823" t="n">
        <v>0</v>
      </c>
      <c r="I823" t="n">
        <v>0</v>
      </c>
      <c r="J823" t="n">
        <v>0</v>
      </c>
      <c r="K823" t="n">
        <v>0</v>
      </c>
      <c r="L823" t="n">
        <v>0</v>
      </c>
      <c r="M823" t="n">
        <v>0</v>
      </c>
      <c r="N823" t="n">
        <v>0</v>
      </c>
      <c r="O823" t="n">
        <v>0</v>
      </c>
      <c r="P823" t="n">
        <v>0</v>
      </c>
      <c r="Q823" t="n">
        <v>0</v>
      </c>
      <c r="R823" s="2" t="inlineStr"/>
    </row>
    <row r="824" ht="15" customHeight="1">
      <c r="A824" t="inlineStr">
        <is>
          <t>A 43567-2025</t>
        </is>
      </c>
      <c r="B824" s="1" t="n">
        <v>45911.6327662037</v>
      </c>
      <c r="C824" s="1" t="n">
        <v>45936</v>
      </c>
      <c r="D824" t="inlineStr">
        <is>
          <t>JÄMTLANDS LÄN</t>
        </is>
      </c>
      <c r="E824" t="inlineStr">
        <is>
          <t>BERG</t>
        </is>
      </c>
      <c r="G824" t="n">
        <v>7.7</v>
      </c>
      <c r="H824" t="n">
        <v>0</v>
      </c>
      <c r="I824" t="n">
        <v>0</v>
      </c>
      <c r="J824" t="n">
        <v>0</v>
      </c>
      <c r="K824" t="n">
        <v>0</v>
      </c>
      <c r="L824" t="n">
        <v>0</v>
      </c>
      <c r="M824" t="n">
        <v>0</v>
      </c>
      <c r="N824" t="n">
        <v>0</v>
      </c>
      <c r="O824" t="n">
        <v>0</v>
      </c>
      <c r="P824" t="n">
        <v>0</v>
      </c>
      <c r="Q824" t="n">
        <v>0</v>
      </c>
      <c r="R824" s="2" t="inlineStr"/>
    </row>
    <row r="825" ht="15" customHeight="1">
      <c r="A825" t="inlineStr">
        <is>
          <t>A 54998-2023</t>
        </is>
      </c>
      <c r="B825" s="1" t="n">
        <v>45236</v>
      </c>
      <c r="C825" s="1" t="n">
        <v>45936</v>
      </c>
      <c r="D825" t="inlineStr">
        <is>
          <t>JÄMTLANDS LÄN</t>
        </is>
      </c>
      <c r="E825" t="inlineStr">
        <is>
          <t>BERG</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43364-2025</t>
        </is>
      </c>
      <c r="B826" s="1" t="n">
        <v>45911.34483796296</v>
      </c>
      <c r="C826" s="1" t="n">
        <v>45936</v>
      </c>
      <c r="D826" t="inlineStr">
        <is>
          <t>JÄMTLANDS LÄN</t>
        </is>
      </c>
      <c r="E826" t="inlineStr">
        <is>
          <t>BERG</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32156-2024</t>
        </is>
      </c>
      <c r="B827" s="1" t="n">
        <v>45511</v>
      </c>
      <c r="C827" s="1" t="n">
        <v>45936</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23165-2024</t>
        </is>
      </c>
      <c r="B828" s="1" t="n">
        <v>45450</v>
      </c>
      <c r="C828" s="1" t="n">
        <v>45936</v>
      </c>
      <c r="D828" t="inlineStr">
        <is>
          <t>JÄMTLANDS LÄN</t>
        </is>
      </c>
      <c r="E828" t="inlineStr">
        <is>
          <t>BERG</t>
        </is>
      </c>
      <c r="G828" t="n">
        <v>1.3</v>
      </c>
      <c r="H828" t="n">
        <v>0</v>
      </c>
      <c r="I828" t="n">
        <v>0</v>
      </c>
      <c r="J828" t="n">
        <v>0</v>
      </c>
      <c r="K828" t="n">
        <v>0</v>
      </c>
      <c r="L828" t="n">
        <v>0</v>
      </c>
      <c r="M828" t="n">
        <v>0</v>
      </c>
      <c r="N828" t="n">
        <v>0</v>
      </c>
      <c r="O828" t="n">
        <v>0</v>
      </c>
      <c r="P828" t="n">
        <v>0</v>
      </c>
      <c r="Q828" t="n">
        <v>0</v>
      </c>
      <c r="R828" s="2" t="inlineStr"/>
    </row>
    <row r="829" ht="15" customHeight="1">
      <c r="A829" t="inlineStr">
        <is>
          <t>A 44031-2025</t>
        </is>
      </c>
      <c r="B829" s="1" t="n">
        <v>45915.49019675926</v>
      </c>
      <c r="C829" s="1" t="n">
        <v>45936</v>
      </c>
      <c r="D829" t="inlineStr">
        <is>
          <t>JÄMTLANDS LÄN</t>
        </is>
      </c>
      <c r="E829" t="inlineStr">
        <is>
          <t>BERG</t>
        </is>
      </c>
      <c r="F829" t="inlineStr">
        <is>
          <t>SCA</t>
        </is>
      </c>
      <c r="G829" t="n">
        <v>0.4</v>
      </c>
      <c r="H829" t="n">
        <v>0</v>
      </c>
      <c r="I829" t="n">
        <v>0</v>
      </c>
      <c r="J829" t="n">
        <v>0</v>
      </c>
      <c r="K829" t="n">
        <v>0</v>
      </c>
      <c r="L829" t="n">
        <v>0</v>
      </c>
      <c r="M829" t="n">
        <v>0</v>
      </c>
      <c r="N829" t="n">
        <v>0</v>
      </c>
      <c r="O829" t="n">
        <v>0</v>
      </c>
      <c r="P829" t="n">
        <v>0</v>
      </c>
      <c r="Q829" t="n">
        <v>0</v>
      </c>
      <c r="R829" s="2" t="inlineStr"/>
    </row>
    <row r="830">
      <c r="A830" t="inlineStr">
        <is>
          <t>A 19345-2024</t>
        </is>
      </c>
      <c r="B830" s="1" t="n">
        <v>45428.97185185185</v>
      </c>
      <c r="C830" s="1" t="n">
        <v>45936</v>
      </c>
      <c r="D830" t="inlineStr">
        <is>
          <t>JÄMTLANDS LÄN</t>
        </is>
      </c>
      <c r="E830" t="inlineStr">
        <is>
          <t>BERG</t>
        </is>
      </c>
      <c r="F830" t="inlineStr">
        <is>
          <t>SCA</t>
        </is>
      </c>
      <c r="G830" t="n">
        <v>14.7</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2025-10-06T12:35:23Z</dcterms:created>
  <dcterms:modified xmlns:dcterms="http://purl.org/dc/terms/" xmlns:xsi="http://www.w3.org/2001/XMLSchema-instance" xsi:type="dcterms:W3CDTF">2025-10-06T12:35:23Z</dcterms:modified>
</cp:coreProperties>
</file>