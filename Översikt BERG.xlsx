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45344</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45344</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45344</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45344</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45344</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45344</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45344</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45344</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45344</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45344</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45344</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45344</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45344</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45344</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45344</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45344</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45344</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45344</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45344</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45344</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45344</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45344</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45344</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45344</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16508-2021</t>
        </is>
      </c>
      <c r="B26" s="1" t="n">
        <v>44293</v>
      </c>
      <c r="C26" s="1" t="n">
        <v>45344</v>
      </c>
      <c r="D26" t="inlineStr">
        <is>
          <t>JÄMTLANDS LÄN</t>
        </is>
      </c>
      <c r="E26" t="inlineStr">
        <is>
          <t>BERG</t>
        </is>
      </c>
      <c r="G26" t="n">
        <v>18.9</v>
      </c>
      <c r="H26" t="n">
        <v>0</v>
      </c>
      <c r="I26" t="n">
        <v>1</v>
      </c>
      <c r="J26" t="n">
        <v>5</v>
      </c>
      <c r="K26" t="n">
        <v>0</v>
      </c>
      <c r="L26" t="n">
        <v>0</v>
      </c>
      <c r="M26" t="n">
        <v>0</v>
      </c>
      <c r="N26" t="n">
        <v>0</v>
      </c>
      <c r="O26" t="n">
        <v>5</v>
      </c>
      <c r="P26" t="n">
        <v>0</v>
      </c>
      <c r="Q26" t="n">
        <v>6</v>
      </c>
      <c r="R26" s="2" t="inlineStr">
        <is>
          <t>Gammelgransskål
Garnlav
Granticka
Knottrig blåslav
Rödbrun blekspik
Vedticka</t>
        </is>
      </c>
      <c r="S26">
        <f>HYPERLINK("https://klasma.github.io/Logging_2326/artfynd/A 16508-2021 artfynd.xlsx", "A 16508-2021")</f>
        <v/>
      </c>
      <c r="T26">
        <f>HYPERLINK("https://klasma.github.io/Logging_2326/kartor/A 16508-2021 karta.png", "A 16508-2021")</f>
        <v/>
      </c>
      <c r="V26">
        <f>HYPERLINK("https://klasma.github.io/Logging_2326/klagomål/A 16508-2021 FSC-klagomål.docx", "A 16508-2021")</f>
        <v/>
      </c>
      <c r="W26">
        <f>HYPERLINK("https://klasma.github.io/Logging_2326/klagomålsmail/A 16508-2021 FSC-klagomål mail.docx", "A 16508-2021")</f>
        <v/>
      </c>
      <c r="X26">
        <f>HYPERLINK("https://klasma.github.io/Logging_2326/tillsyn/A 16508-2021 tillsynsbegäran.docx", "A 16508-2021")</f>
        <v/>
      </c>
      <c r="Y26">
        <f>HYPERLINK("https://klasma.github.io/Logging_2326/tillsynsmail/A 16508-2021 tillsynsbegäran mail.docx", "A 16508-2021")</f>
        <v/>
      </c>
    </row>
    <row r="27" ht="15" customHeight="1">
      <c r="A27" t="inlineStr">
        <is>
          <t>A 56201-2021</t>
        </is>
      </c>
      <c r="B27" s="1" t="n">
        <v>44477</v>
      </c>
      <c r="C27" s="1" t="n">
        <v>45344</v>
      </c>
      <c r="D27" t="inlineStr">
        <is>
          <t>JÄMTLANDS LÄN</t>
        </is>
      </c>
      <c r="E27" t="inlineStr">
        <is>
          <t>BERG</t>
        </is>
      </c>
      <c r="F27" t="inlineStr">
        <is>
          <t>SCA</t>
        </is>
      </c>
      <c r="G27" t="n">
        <v>10.9</v>
      </c>
      <c r="H27" t="n">
        <v>3</v>
      </c>
      <c r="I27" t="n">
        <v>1</v>
      </c>
      <c r="J27" t="n">
        <v>4</v>
      </c>
      <c r="K27" t="n">
        <v>1</v>
      </c>
      <c r="L27" t="n">
        <v>0</v>
      </c>
      <c r="M27" t="n">
        <v>0</v>
      </c>
      <c r="N27" t="n">
        <v>0</v>
      </c>
      <c r="O27" t="n">
        <v>5</v>
      </c>
      <c r="P27" t="n">
        <v>1</v>
      </c>
      <c r="Q27" t="n">
        <v>6</v>
      </c>
      <c r="R27" s="2" t="inlineStr">
        <is>
          <t>Doftticka
Garnlav
Lunglav
Tretåig hackspett
Ullticka
Spindelblomster</t>
        </is>
      </c>
      <c r="S27">
        <f>HYPERLINK("https://klasma.github.io/Logging_2326/artfynd/A 56201-2021 artfynd.xlsx", "A 56201-2021")</f>
        <v/>
      </c>
      <c r="T27">
        <f>HYPERLINK("https://klasma.github.io/Logging_2326/kartor/A 56201-2021 karta.png", "A 56201-2021")</f>
        <v/>
      </c>
      <c r="V27">
        <f>HYPERLINK("https://klasma.github.io/Logging_2326/klagomål/A 56201-2021 FSC-klagomål.docx", "A 56201-2021")</f>
        <v/>
      </c>
      <c r="W27">
        <f>HYPERLINK("https://klasma.github.io/Logging_2326/klagomålsmail/A 56201-2021 FSC-klagomål mail.docx", "A 56201-2021")</f>
        <v/>
      </c>
      <c r="X27">
        <f>HYPERLINK("https://klasma.github.io/Logging_2326/tillsyn/A 56201-2021 tillsynsbegäran.docx", "A 56201-2021")</f>
        <v/>
      </c>
      <c r="Y27">
        <f>HYPERLINK("https://klasma.github.io/Logging_2326/tillsynsmail/A 56201-2021 tillsynsbegäran mail.docx", "A 56201-2021")</f>
        <v/>
      </c>
      <c r="Z27">
        <f>HYPERLINK("https://klasma.github.io/Logging_2326/fåglar/A 56201-2021 prioriterade fågelarter.docx", "A 56201-2021")</f>
        <v/>
      </c>
    </row>
    <row r="28" ht="15" customHeight="1">
      <c r="A28" t="inlineStr">
        <is>
          <t>A 31719-2022</t>
        </is>
      </c>
      <c r="B28" s="1" t="n">
        <v>44776</v>
      </c>
      <c r="C28" s="1" t="n">
        <v>45344</v>
      </c>
      <c r="D28" t="inlineStr">
        <is>
          <t>JÄMTLANDS LÄN</t>
        </is>
      </c>
      <c r="E28" t="inlineStr">
        <is>
          <t>BERG</t>
        </is>
      </c>
      <c r="G28" t="n">
        <v>4.2</v>
      </c>
      <c r="H28" t="n">
        <v>1</v>
      </c>
      <c r="I28" t="n">
        <v>0</v>
      </c>
      <c r="J28" t="n">
        <v>5</v>
      </c>
      <c r="K28" t="n">
        <v>1</v>
      </c>
      <c r="L28" t="n">
        <v>0</v>
      </c>
      <c r="M28" t="n">
        <v>0</v>
      </c>
      <c r="N28" t="n">
        <v>0</v>
      </c>
      <c r="O28" t="n">
        <v>6</v>
      </c>
      <c r="P28" t="n">
        <v>1</v>
      </c>
      <c r="Q28" t="n">
        <v>6</v>
      </c>
      <c r="R28" s="2" t="inlineStr">
        <is>
          <t>Knärot
Garnlav
Lunglav
Rosenticka
Ullticka
Vedtrappmossa</t>
        </is>
      </c>
      <c r="S28">
        <f>HYPERLINK("https://klasma.github.io/Logging_2326/artfynd/A 31719-2022 artfynd.xlsx", "A 31719-2022")</f>
        <v/>
      </c>
      <c r="T28">
        <f>HYPERLINK("https://klasma.github.io/Logging_2326/kartor/A 31719-2022 karta.png", "A 31719-2022")</f>
        <v/>
      </c>
      <c r="U28">
        <f>HYPERLINK("https://klasma.github.io/Logging_2326/knärot/A 31719-2022 karta knärot.png", "A 31719-2022")</f>
        <v/>
      </c>
      <c r="V28">
        <f>HYPERLINK("https://klasma.github.io/Logging_2326/klagomål/A 31719-2022 FSC-klagomål.docx", "A 31719-2022")</f>
        <v/>
      </c>
      <c r="W28">
        <f>HYPERLINK("https://klasma.github.io/Logging_2326/klagomålsmail/A 31719-2022 FSC-klagomål mail.docx", "A 31719-2022")</f>
        <v/>
      </c>
      <c r="X28">
        <f>HYPERLINK("https://klasma.github.io/Logging_2326/tillsyn/A 31719-2022 tillsynsbegäran.docx", "A 31719-2022")</f>
        <v/>
      </c>
      <c r="Y28">
        <f>HYPERLINK("https://klasma.github.io/Logging_2326/tillsynsmail/A 31719-2022 tillsynsbegäran mail.docx", "A 31719-2022")</f>
        <v/>
      </c>
    </row>
    <row r="29" ht="15" customHeight="1">
      <c r="A29" t="inlineStr">
        <is>
          <t>A 37398-2022</t>
        </is>
      </c>
      <c r="B29" s="1" t="n">
        <v>44806</v>
      </c>
      <c r="C29" s="1" t="n">
        <v>45344</v>
      </c>
      <c r="D29" t="inlineStr">
        <is>
          <t>JÄMTLANDS LÄN</t>
        </is>
      </c>
      <c r="E29" t="inlineStr">
        <is>
          <t>BERG</t>
        </is>
      </c>
      <c r="G29" t="n">
        <v>29.6</v>
      </c>
      <c r="H29" t="n">
        <v>3</v>
      </c>
      <c r="I29" t="n">
        <v>1</v>
      </c>
      <c r="J29" t="n">
        <v>5</v>
      </c>
      <c r="K29" t="n">
        <v>0</v>
      </c>
      <c r="L29" t="n">
        <v>0</v>
      </c>
      <c r="M29" t="n">
        <v>0</v>
      </c>
      <c r="N29" t="n">
        <v>0</v>
      </c>
      <c r="O29" t="n">
        <v>5</v>
      </c>
      <c r="P29" t="n">
        <v>0</v>
      </c>
      <c r="Q29" t="n">
        <v>6</v>
      </c>
      <c r="R29" s="2" t="inlineStr">
        <is>
          <t>Gränsticka
Harticka
Spillkråka
Stjärntagging
Tretåig hackspett
Spindelblomster</t>
        </is>
      </c>
      <c r="S29">
        <f>HYPERLINK("https://klasma.github.io/Logging_2326/artfynd/A 37398-2022 artfynd.xlsx", "A 37398-2022")</f>
        <v/>
      </c>
      <c r="T29">
        <f>HYPERLINK("https://klasma.github.io/Logging_2326/kartor/A 37398-2022 karta.png", "A 37398-2022")</f>
        <v/>
      </c>
      <c r="V29">
        <f>HYPERLINK("https://klasma.github.io/Logging_2326/klagomål/A 37398-2022 FSC-klagomål.docx", "A 37398-2022")</f>
        <v/>
      </c>
      <c r="W29">
        <f>HYPERLINK("https://klasma.github.io/Logging_2326/klagomålsmail/A 37398-2022 FSC-klagomål mail.docx", "A 37398-2022")</f>
        <v/>
      </c>
      <c r="X29">
        <f>HYPERLINK("https://klasma.github.io/Logging_2326/tillsyn/A 37398-2022 tillsynsbegäran.docx", "A 37398-2022")</f>
        <v/>
      </c>
      <c r="Y29">
        <f>HYPERLINK("https://klasma.github.io/Logging_2326/tillsynsmail/A 37398-2022 tillsynsbegäran mail.docx", "A 37398-2022")</f>
        <v/>
      </c>
      <c r="Z29">
        <f>HYPERLINK("https://klasma.github.io/Logging_2326/fåglar/A 37398-2022 prioriterade fågelarter.docx", "A 37398-2022")</f>
        <v/>
      </c>
    </row>
    <row r="30" ht="15" customHeight="1">
      <c r="A30" t="inlineStr">
        <is>
          <t>A 39021-2020</t>
        </is>
      </c>
      <c r="B30" s="1" t="n">
        <v>44062</v>
      </c>
      <c r="C30" s="1" t="n">
        <v>45344</v>
      </c>
      <c r="D30" t="inlineStr">
        <is>
          <t>JÄMTLANDS LÄN</t>
        </is>
      </c>
      <c r="E30" t="inlineStr">
        <is>
          <t>BERG</t>
        </is>
      </c>
      <c r="G30" t="n">
        <v>18</v>
      </c>
      <c r="H30" t="n">
        <v>0</v>
      </c>
      <c r="I30" t="n">
        <v>0</v>
      </c>
      <c r="J30" t="n">
        <v>5</v>
      </c>
      <c r="K30" t="n">
        <v>0</v>
      </c>
      <c r="L30" t="n">
        <v>0</v>
      </c>
      <c r="M30" t="n">
        <v>0</v>
      </c>
      <c r="N30" t="n">
        <v>0</v>
      </c>
      <c r="O30" t="n">
        <v>5</v>
      </c>
      <c r="P30" t="n">
        <v>0</v>
      </c>
      <c r="Q30" t="n">
        <v>5</v>
      </c>
      <c r="R30" s="2" t="inlineStr">
        <is>
          <t>Kolflarnlav
Mörk kolflarnlav
Vedflamlav
Vedskivlav
Vitplätt</t>
        </is>
      </c>
      <c r="S30">
        <f>HYPERLINK("https://klasma.github.io/Logging_2326/artfynd/A 39021-2020 artfynd.xlsx", "A 39021-2020")</f>
        <v/>
      </c>
      <c r="T30">
        <f>HYPERLINK("https://klasma.github.io/Logging_2326/kartor/A 39021-2020 karta.png", "A 39021-2020")</f>
        <v/>
      </c>
      <c r="V30">
        <f>HYPERLINK("https://klasma.github.io/Logging_2326/klagomål/A 39021-2020 FSC-klagomål.docx", "A 39021-2020")</f>
        <v/>
      </c>
      <c r="W30">
        <f>HYPERLINK("https://klasma.github.io/Logging_2326/klagomålsmail/A 39021-2020 FSC-klagomål mail.docx", "A 39021-2020")</f>
        <v/>
      </c>
      <c r="X30">
        <f>HYPERLINK("https://klasma.github.io/Logging_2326/tillsyn/A 39021-2020 tillsynsbegäran.docx", "A 39021-2020")</f>
        <v/>
      </c>
      <c r="Y30">
        <f>HYPERLINK("https://klasma.github.io/Logging_2326/tillsynsmail/A 39021-2020 tillsynsbegäran mail.docx", "A 39021-2020")</f>
        <v/>
      </c>
    </row>
    <row r="31" ht="15" customHeight="1">
      <c r="A31" t="inlineStr">
        <is>
          <t>A 56203-2021</t>
        </is>
      </c>
      <c r="B31" s="1" t="n">
        <v>44477</v>
      </c>
      <c r="C31" s="1" t="n">
        <v>45344</v>
      </c>
      <c r="D31" t="inlineStr">
        <is>
          <t>JÄMTLANDS LÄN</t>
        </is>
      </c>
      <c r="E31" t="inlineStr">
        <is>
          <t>BERG</t>
        </is>
      </c>
      <c r="F31" t="inlineStr">
        <is>
          <t>SCA</t>
        </is>
      </c>
      <c r="G31" t="n">
        <v>3.4</v>
      </c>
      <c r="H31" t="n">
        <v>2</v>
      </c>
      <c r="I31" t="n">
        <v>0</v>
      </c>
      <c r="J31" t="n">
        <v>4</v>
      </c>
      <c r="K31" t="n">
        <v>0</v>
      </c>
      <c r="L31" t="n">
        <v>0</v>
      </c>
      <c r="M31" t="n">
        <v>0</v>
      </c>
      <c r="N31" t="n">
        <v>0</v>
      </c>
      <c r="O31" t="n">
        <v>4</v>
      </c>
      <c r="P31" t="n">
        <v>0</v>
      </c>
      <c r="Q31" t="n">
        <v>5</v>
      </c>
      <c r="R31" s="2" t="inlineStr">
        <is>
          <t>Garnlav
Granticka
Lunglav
Tretåig hackspett
Tjäder</t>
        </is>
      </c>
      <c r="S31">
        <f>HYPERLINK("https://klasma.github.io/Logging_2326/artfynd/A 56203-2021 artfynd.xlsx", "A 56203-2021")</f>
        <v/>
      </c>
      <c r="T31">
        <f>HYPERLINK("https://klasma.github.io/Logging_2326/kartor/A 56203-2021 karta.png", "A 56203-2021")</f>
        <v/>
      </c>
      <c r="V31">
        <f>HYPERLINK("https://klasma.github.io/Logging_2326/klagomål/A 56203-2021 FSC-klagomål.docx", "A 56203-2021")</f>
        <v/>
      </c>
      <c r="W31">
        <f>HYPERLINK("https://klasma.github.io/Logging_2326/klagomålsmail/A 56203-2021 FSC-klagomål mail.docx", "A 56203-2021")</f>
        <v/>
      </c>
      <c r="X31">
        <f>HYPERLINK("https://klasma.github.io/Logging_2326/tillsyn/A 56203-2021 tillsynsbegäran.docx", "A 56203-2021")</f>
        <v/>
      </c>
      <c r="Y31">
        <f>HYPERLINK("https://klasma.github.io/Logging_2326/tillsynsmail/A 56203-2021 tillsynsbegäran mail.docx", "A 56203-2021")</f>
        <v/>
      </c>
      <c r="Z31">
        <f>HYPERLINK("https://klasma.github.io/Logging_2326/fåglar/A 56203-2021 prioriterade fågelarter.docx", "A 56203-2021")</f>
        <v/>
      </c>
    </row>
    <row r="32" ht="15" customHeight="1">
      <c r="A32" t="inlineStr">
        <is>
          <t>A 54841-2022</t>
        </is>
      </c>
      <c r="B32" s="1" t="n">
        <v>44883</v>
      </c>
      <c r="C32" s="1" t="n">
        <v>45344</v>
      </c>
      <c r="D32" t="inlineStr">
        <is>
          <t>JÄMTLANDS LÄN</t>
        </is>
      </c>
      <c r="E32" t="inlineStr">
        <is>
          <t>BERG</t>
        </is>
      </c>
      <c r="F32" t="inlineStr">
        <is>
          <t>SCA</t>
        </is>
      </c>
      <c r="G32" t="n">
        <v>21.9</v>
      </c>
      <c r="H32" t="n">
        <v>0</v>
      </c>
      <c r="I32" t="n">
        <v>0</v>
      </c>
      <c r="J32" t="n">
        <v>2</v>
      </c>
      <c r="K32" t="n">
        <v>3</v>
      </c>
      <c r="L32" t="n">
        <v>0</v>
      </c>
      <c r="M32" t="n">
        <v>0</v>
      </c>
      <c r="N32" t="n">
        <v>0</v>
      </c>
      <c r="O32" t="n">
        <v>5</v>
      </c>
      <c r="P32" t="n">
        <v>3</v>
      </c>
      <c r="Q32" t="n">
        <v>5</v>
      </c>
      <c r="R32" s="2" t="inlineStr">
        <is>
          <t>Fläckporing
Gräddporing
Smalfotad taggsvamp
Dvärgbägarlav
Vedflamlav</t>
        </is>
      </c>
      <c r="S32">
        <f>HYPERLINK("https://klasma.github.io/Logging_2326/artfynd/A 54841-2022 artfynd.xlsx", "A 54841-2022")</f>
        <v/>
      </c>
      <c r="T32">
        <f>HYPERLINK("https://klasma.github.io/Logging_2326/kartor/A 54841-2022 karta.png", "A 54841-2022")</f>
        <v/>
      </c>
      <c r="V32">
        <f>HYPERLINK("https://klasma.github.io/Logging_2326/klagomål/A 54841-2022 FSC-klagomål.docx", "A 54841-2022")</f>
        <v/>
      </c>
      <c r="W32">
        <f>HYPERLINK("https://klasma.github.io/Logging_2326/klagomålsmail/A 54841-2022 FSC-klagomål mail.docx", "A 54841-2022")</f>
        <v/>
      </c>
      <c r="X32">
        <f>HYPERLINK("https://klasma.github.io/Logging_2326/tillsyn/A 54841-2022 tillsynsbegäran.docx", "A 54841-2022")</f>
        <v/>
      </c>
      <c r="Y32">
        <f>HYPERLINK("https://klasma.github.io/Logging_2326/tillsynsmail/A 54841-2022 tillsynsbegäran mail.docx", "A 54841-2022")</f>
        <v/>
      </c>
    </row>
    <row r="33" ht="15" customHeight="1">
      <c r="A33" t="inlineStr">
        <is>
          <t>A 4716-2023</t>
        </is>
      </c>
      <c r="B33" s="1" t="n">
        <v>44953</v>
      </c>
      <c r="C33" s="1" t="n">
        <v>45344</v>
      </c>
      <c r="D33" t="inlineStr">
        <is>
          <t>JÄMTLANDS LÄN</t>
        </is>
      </c>
      <c r="E33" t="inlineStr">
        <is>
          <t>BERG</t>
        </is>
      </c>
      <c r="G33" t="n">
        <v>9.6</v>
      </c>
      <c r="H33" t="n">
        <v>1</v>
      </c>
      <c r="I33" t="n">
        <v>0</v>
      </c>
      <c r="J33" t="n">
        <v>3</v>
      </c>
      <c r="K33" t="n">
        <v>2</v>
      </c>
      <c r="L33" t="n">
        <v>0</v>
      </c>
      <c r="M33" t="n">
        <v>0</v>
      </c>
      <c r="N33" t="n">
        <v>0</v>
      </c>
      <c r="O33" t="n">
        <v>5</v>
      </c>
      <c r="P33" t="n">
        <v>2</v>
      </c>
      <c r="Q33" t="n">
        <v>5</v>
      </c>
      <c r="R33" s="2" t="inlineStr">
        <is>
          <t>Knärot
Taggfingersvamp
Garnlav
Lunglav
Ullticka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54406-2023</t>
        </is>
      </c>
      <c r="B34" s="1" t="n">
        <v>45233</v>
      </c>
      <c r="C34" s="1" t="n">
        <v>45344</v>
      </c>
      <c r="D34" t="inlineStr">
        <is>
          <t>JÄMTLANDS LÄN</t>
        </is>
      </c>
      <c r="E34" t="inlineStr">
        <is>
          <t>BERG</t>
        </is>
      </c>
      <c r="G34" t="n">
        <v>10.2</v>
      </c>
      <c r="H34" t="n">
        <v>1</v>
      </c>
      <c r="I34" t="n">
        <v>0</v>
      </c>
      <c r="J34" t="n">
        <v>4</v>
      </c>
      <c r="K34" t="n">
        <v>0</v>
      </c>
      <c r="L34" t="n">
        <v>0</v>
      </c>
      <c r="M34" t="n">
        <v>0</v>
      </c>
      <c r="N34" t="n">
        <v>0</v>
      </c>
      <c r="O34" t="n">
        <v>4</v>
      </c>
      <c r="P34" t="n">
        <v>0</v>
      </c>
      <c r="Q34" t="n">
        <v>5</v>
      </c>
      <c r="R34" s="2" t="inlineStr">
        <is>
          <t>Gammelgransskål
Garnlav
Granticka
Knottrig blåslav
Revlummer</t>
        </is>
      </c>
      <c r="S34">
        <f>HYPERLINK("https://klasma.github.io/Logging_2326/artfynd/A 54406-2023 artfynd.xlsx", "A 54406-2023")</f>
        <v/>
      </c>
      <c r="T34">
        <f>HYPERLINK("https://klasma.github.io/Logging_2326/kartor/A 54406-2023 karta.png", "A 54406-2023")</f>
        <v/>
      </c>
      <c r="V34">
        <f>HYPERLINK("https://klasma.github.io/Logging_2326/klagomål/A 54406-2023 FSC-klagomål.docx", "A 54406-2023")</f>
        <v/>
      </c>
      <c r="W34">
        <f>HYPERLINK("https://klasma.github.io/Logging_2326/klagomålsmail/A 54406-2023 FSC-klagomål mail.docx", "A 54406-2023")</f>
        <v/>
      </c>
      <c r="X34">
        <f>HYPERLINK("https://klasma.github.io/Logging_2326/tillsyn/A 54406-2023 tillsynsbegäran.docx", "A 54406-2023")</f>
        <v/>
      </c>
      <c r="Y34">
        <f>HYPERLINK("https://klasma.github.io/Logging_2326/tillsynsmail/A 54406-2023 tillsynsbegäran mail.docx", "A 54406-2023")</f>
        <v/>
      </c>
    </row>
    <row r="35" ht="15" customHeight="1">
      <c r="A35" t="inlineStr">
        <is>
          <t>A 55332-2023</t>
        </is>
      </c>
      <c r="B35" s="1" t="n">
        <v>45238</v>
      </c>
      <c r="C35" s="1" t="n">
        <v>45344</v>
      </c>
      <c r="D35" t="inlineStr">
        <is>
          <t>JÄMTLANDS LÄN</t>
        </is>
      </c>
      <c r="E35" t="inlineStr">
        <is>
          <t>BERG</t>
        </is>
      </c>
      <c r="F35" t="inlineStr">
        <is>
          <t>SCA</t>
        </is>
      </c>
      <c r="G35" t="n">
        <v>13</v>
      </c>
      <c r="H35" t="n">
        <v>0</v>
      </c>
      <c r="I35" t="n">
        <v>0</v>
      </c>
      <c r="J35" t="n">
        <v>3</v>
      </c>
      <c r="K35" t="n">
        <v>2</v>
      </c>
      <c r="L35" t="n">
        <v>0</v>
      </c>
      <c r="M35" t="n">
        <v>0</v>
      </c>
      <c r="N35" t="n">
        <v>0</v>
      </c>
      <c r="O35" t="n">
        <v>5</v>
      </c>
      <c r="P35" t="n">
        <v>2</v>
      </c>
      <c r="Q35" t="n">
        <v>5</v>
      </c>
      <c r="R35" s="2" t="inlineStr">
        <is>
          <t>Smalfotad taggsvamp
Tajgataggsvamp
Blanksvart spiklav
Reliktbock
Vedflamlav</t>
        </is>
      </c>
      <c r="S35">
        <f>HYPERLINK("https://klasma.github.io/Logging_2326/artfynd/A 55332-2023 artfynd.xlsx", "A 55332-2023")</f>
        <v/>
      </c>
      <c r="T35">
        <f>HYPERLINK("https://klasma.github.io/Logging_2326/kartor/A 55332-2023 karta.png", "A 55332-2023")</f>
        <v/>
      </c>
      <c r="V35">
        <f>HYPERLINK("https://klasma.github.io/Logging_2326/klagomål/A 55332-2023 FSC-klagomål.docx", "A 55332-2023")</f>
        <v/>
      </c>
      <c r="W35">
        <f>HYPERLINK("https://klasma.github.io/Logging_2326/klagomålsmail/A 55332-2023 FSC-klagomål mail.docx", "A 55332-2023")</f>
        <v/>
      </c>
      <c r="X35">
        <f>HYPERLINK("https://klasma.github.io/Logging_2326/tillsyn/A 55332-2023 tillsynsbegäran.docx", "A 55332-2023")</f>
        <v/>
      </c>
      <c r="Y35">
        <f>HYPERLINK("https://klasma.github.io/Logging_2326/tillsynsmail/A 55332-2023 tillsynsbegäran mail.docx", "A 55332-2023")</f>
        <v/>
      </c>
    </row>
    <row r="36" ht="15" customHeight="1">
      <c r="A36" t="inlineStr">
        <is>
          <t>A 63268-2018</t>
        </is>
      </c>
      <c r="B36" s="1" t="n">
        <v>43426</v>
      </c>
      <c r="C36" s="1" t="n">
        <v>45344</v>
      </c>
      <c r="D36" t="inlineStr">
        <is>
          <t>JÄMTLANDS LÄN</t>
        </is>
      </c>
      <c r="E36" t="inlineStr">
        <is>
          <t>BERG</t>
        </is>
      </c>
      <c r="F36" t="inlineStr">
        <is>
          <t>SCA</t>
        </is>
      </c>
      <c r="G36" t="n">
        <v>9.1</v>
      </c>
      <c r="H36" t="n">
        <v>0</v>
      </c>
      <c r="I36" t="n">
        <v>1</v>
      </c>
      <c r="J36" t="n">
        <v>3</v>
      </c>
      <c r="K36" t="n">
        <v>0</v>
      </c>
      <c r="L36" t="n">
        <v>0</v>
      </c>
      <c r="M36" t="n">
        <v>0</v>
      </c>
      <c r="N36" t="n">
        <v>0</v>
      </c>
      <c r="O36" t="n">
        <v>3</v>
      </c>
      <c r="P36" t="n">
        <v>0</v>
      </c>
      <c r="Q36" t="n">
        <v>4</v>
      </c>
      <c r="R36" s="2" t="inlineStr">
        <is>
          <t>Garnlav
Lunglav
Skrovellav
Skinnlav</t>
        </is>
      </c>
      <c r="S36">
        <f>HYPERLINK("https://klasma.github.io/Logging_2326/artfynd/A 63268-2018 artfynd.xlsx", "A 63268-2018")</f>
        <v/>
      </c>
      <c r="T36">
        <f>HYPERLINK("https://klasma.github.io/Logging_2326/kartor/A 63268-2018 karta.png", "A 63268-2018")</f>
        <v/>
      </c>
      <c r="V36">
        <f>HYPERLINK("https://klasma.github.io/Logging_2326/klagomål/A 63268-2018 FSC-klagomål.docx", "A 63268-2018")</f>
        <v/>
      </c>
      <c r="W36">
        <f>HYPERLINK("https://klasma.github.io/Logging_2326/klagomålsmail/A 63268-2018 FSC-klagomål mail.docx", "A 63268-2018")</f>
        <v/>
      </c>
      <c r="X36">
        <f>HYPERLINK("https://klasma.github.io/Logging_2326/tillsyn/A 63268-2018 tillsynsbegäran.docx", "A 63268-2018")</f>
        <v/>
      </c>
      <c r="Y36">
        <f>HYPERLINK("https://klasma.github.io/Logging_2326/tillsynsmail/A 63268-2018 tillsynsbegäran mail.docx", "A 63268-2018")</f>
        <v/>
      </c>
    </row>
    <row r="37" ht="15" customHeight="1">
      <c r="A37" t="inlineStr">
        <is>
          <t>A 20526-2020</t>
        </is>
      </c>
      <c r="B37" s="1" t="n">
        <v>43948</v>
      </c>
      <c r="C37" s="1" t="n">
        <v>45344</v>
      </c>
      <c r="D37" t="inlineStr">
        <is>
          <t>JÄMTLANDS LÄN</t>
        </is>
      </c>
      <c r="E37" t="inlineStr">
        <is>
          <t>BERG</t>
        </is>
      </c>
      <c r="G37" t="n">
        <v>1</v>
      </c>
      <c r="H37" t="n">
        <v>0</v>
      </c>
      <c r="I37" t="n">
        <v>0</v>
      </c>
      <c r="J37" t="n">
        <v>3</v>
      </c>
      <c r="K37" t="n">
        <v>0</v>
      </c>
      <c r="L37" t="n">
        <v>1</v>
      </c>
      <c r="M37" t="n">
        <v>0</v>
      </c>
      <c r="N37" t="n">
        <v>0</v>
      </c>
      <c r="O37" t="n">
        <v>4</v>
      </c>
      <c r="P37" t="n">
        <v>1</v>
      </c>
      <c r="Q37" t="n">
        <v>4</v>
      </c>
      <c r="R37" s="2" t="inlineStr">
        <is>
          <t>Grynlav
Olivbrun gytterlav
Skrovellav
Ullticka</t>
        </is>
      </c>
      <c r="S37">
        <f>HYPERLINK("https://klasma.github.io/Logging_2326/artfynd/A 20526-2020 artfynd.xlsx", "A 20526-2020")</f>
        <v/>
      </c>
      <c r="T37">
        <f>HYPERLINK("https://klasma.github.io/Logging_2326/kartor/A 20526-2020 karta.png", "A 20526-2020")</f>
        <v/>
      </c>
      <c r="V37">
        <f>HYPERLINK("https://klasma.github.io/Logging_2326/klagomål/A 20526-2020 FSC-klagomål.docx", "A 20526-2020")</f>
        <v/>
      </c>
      <c r="W37">
        <f>HYPERLINK("https://klasma.github.io/Logging_2326/klagomålsmail/A 20526-2020 FSC-klagomål mail.docx", "A 20526-2020")</f>
        <v/>
      </c>
      <c r="X37">
        <f>HYPERLINK("https://klasma.github.io/Logging_2326/tillsyn/A 20526-2020 tillsynsbegäran.docx", "A 20526-2020")</f>
        <v/>
      </c>
      <c r="Y37">
        <f>HYPERLINK("https://klasma.github.io/Logging_2326/tillsynsmail/A 20526-2020 tillsynsbegäran mail.docx", "A 20526-2020")</f>
        <v/>
      </c>
    </row>
    <row r="38" ht="15" customHeight="1">
      <c r="A38" t="inlineStr">
        <is>
          <t>A 36669-2020</t>
        </is>
      </c>
      <c r="B38" s="1" t="n">
        <v>44050</v>
      </c>
      <c r="C38" s="1" t="n">
        <v>45344</v>
      </c>
      <c r="D38" t="inlineStr">
        <is>
          <t>JÄMTLANDS LÄN</t>
        </is>
      </c>
      <c r="E38" t="inlineStr">
        <is>
          <t>BERG</t>
        </is>
      </c>
      <c r="F38" t="inlineStr">
        <is>
          <t>SCA</t>
        </is>
      </c>
      <c r="G38" t="n">
        <v>2.7</v>
      </c>
      <c r="H38" t="n">
        <v>0</v>
      </c>
      <c r="I38" t="n">
        <v>0</v>
      </c>
      <c r="J38" t="n">
        <v>4</v>
      </c>
      <c r="K38" t="n">
        <v>0</v>
      </c>
      <c r="L38" t="n">
        <v>0</v>
      </c>
      <c r="M38" t="n">
        <v>0</v>
      </c>
      <c r="N38" t="n">
        <v>0</v>
      </c>
      <c r="O38" t="n">
        <v>4</v>
      </c>
      <c r="P38" t="n">
        <v>0</v>
      </c>
      <c r="Q38" t="n">
        <v>4</v>
      </c>
      <c r="R38" s="2" t="inlineStr">
        <is>
          <t>Gammelgransskål
Garnlav
Harticka
Skrovellav</t>
        </is>
      </c>
      <c r="S38">
        <f>HYPERLINK("https://klasma.github.io/Logging_2326/artfynd/A 36669-2020 artfynd.xlsx", "A 36669-2020")</f>
        <v/>
      </c>
      <c r="T38">
        <f>HYPERLINK("https://klasma.github.io/Logging_2326/kartor/A 36669-2020 karta.png", "A 36669-2020")</f>
        <v/>
      </c>
      <c r="V38">
        <f>HYPERLINK("https://klasma.github.io/Logging_2326/klagomål/A 36669-2020 FSC-klagomål.docx", "A 36669-2020")</f>
        <v/>
      </c>
      <c r="W38">
        <f>HYPERLINK("https://klasma.github.io/Logging_2326/klagomålsmail/A 36669-2020 FSC-klagomål mail.docx", "A 36669-2020")</f>
        <v/>
      </c>
      <c r="X38">
        <f>HYPERLINK("https://klasma.github.io/Logging_2326/tillsyn/A 36669-2020 tillsynsbegäran.docx", "A 36669-2020")</f>
        <v/>
      </c>
      <c r="Y38">
        <f>HYPERLINK("https://klasma.github.io/Logging_2326/tillsynsmail/A 36669-2020 tillsynsbegäran mail.docx", "A 36669-2020")</f>
        <v/>
      </c>
    </row>
    <row r="39" ht="15" customHeight="1">
      <c r="A39" t="inlineStr">
        <is>
          <t>A 41872-2020</t>
        </is>
      </c>
      <c r="B39" s="1" t="n">
        <v>44074</v>
      </c>
      <c r="C39" s="1" t="n">
        <v>45344</v>
      </c>
      <c r="D39" t="inlineStr">
        <is>
          <t>JÄMTLANDS LÄN</t>
        </is>
      </c>
      <c r="E39" t="inlineStr">
        <is>
          <t>BERG</t>
        </is>
      </c>
      <c r="F39" t="inlineStr">
        <is>
          <t>SCA</t>
        </is>
      </c>
      <c r="G39" t="n">
        <v>4.9</v>
      </c>
      <c r="H39" t="n">
        <v>0</v>
      </c>
      <c r="I39" t="n">
        <v>1</v>
      </c>
      <c r="J39" t="n">
        <v>3</v>
      </c>
      <c r="K39" t="n">
        <v>0</v>
      </c>
      <c r="L39" t="n">
        <v>0</v>
      </c>
      <c r="M39" t="n">
        <v>0</v>
      </c>
      <c r="N39" t="n">
        <v>0</v>
      </c>
      <c r="O39" t="n">
        <v>3</v>
      </c>
      <c r="P39" t="n">
        <v>0</v>
      </c>
      <c r="Q39" t="n">
        <v>4</v>
      </c>
      <c r="R39" s="2" t="inlineStr">
        <is>
          <t>Garnlav
Lunglav
Vedskivlav
Dropptaggsvamp</t>
        </is>
      </c>
      <c r="S39">
        <f>HYPERLINK("https://klasma.github.io/Logging_2326/artfynd/A 41872-2020 artfynd.xlsx", "A 41872-2020")</f>
        <v/>
      </c>
      <c r="T39">
        <f>HYPERLINK("https://klasma.github.io/Logging_2326/kartor/A 41872-2020 karta.png", "A 41872-2020")</f>
        <v/>
      </c>
      <c r="V39">
        <f>HYPERLINK("https://klasma.github.io/Logging_2326/klagomål/A 41872-2020 FSC-klagomål.docx", "A 41872-2020")</f>
        <v/>
      </c>
      <c r="W39">
        <f>HYPERLINK("https://klasma.github.io/Logging_2326/klagomålsmail/A 41872-2020 FSC-klagomål mail.docx", "A 41872-2020")</f>
        <v/>
      </c>
      <c r="X39">
        <f>HYPERLINK("https://klasma.github.io/Logging_2326/tillsyn/A 41872-2020 tillsynsbegäran.docx", "A 41872-2020")</f>
        <v/>
      </c>
      <c r="Y39">
        <f>HYPERLINK("https://klasma.github.io/Logging_2326/tillsynsmail/A 41872-2020 tillsynsbegäran mail.docx", "A 41872-2020")</f>
        <v/>
      </c>
    </row>
    <row r="40" ht="15" customHeight="1">
      <c r="A40" t="inlineStr">
        <is>
          <t>A 54979-2021</t>
        </is>
      </c>
      <c r="B40" s="1" t="n">
        <v>44474</v>
      </c>
      <c r="C40" s="1" t="n">
        <v>45344</v>
      </c>
      <c r="D40" t="inlineStr">
        <is>
          <t>JÄMTLANDS LÄN</t>
        </is>
      </c>
      <c r="E40" t="inlineStr">
        <is>
          <t>BERG</t>
        </is>
      </c>
      <c r="G40" t="n">
        <v>13.5</v>
      </c>
      <c r="H40" t="n">
        <v>0</v>
      </c>
      <c r="I40" t="n">
        <v>1</v>
      </c>
      <c r="J40" t="n">
        <v>3</v>
      </c>
      <c r="K40" t="n">
        <v>0</v>
      </c>
      <c r="L40" t="n">
        <v>0</v>
      </c>
      <c r="M40" t="n">
        <v>0</v>
      </c>
      <c r="N40" t="n">
        <v>0</v>
      </c>
      <c r="O40" t="n">
        <v>3</v>
      </c>
      <c r="P40" t="n">
        <v>0</v>
      </c>
      <c r="Q40" t="n">
        <v>4</v>
      </c>
      <c r="R40" s="2" t="inlineStr">
        <is>
          <t>Garnlav
Lunglav
Skrovellav
Luddlav</t>
        </is>
      </c>
      <c r="S40">
        <f>HYPERLINK("https://klasma.github.io/Logging_2326/artfynd/A 54979-2021 artfynd.xlsx", "A 54979-2021")</f>
        <v/>
      </c>
      <c r="T40">
        <f>HYPERLINK("https://klasma.github.io/Logging_2326/kartor/A 54979-2021 karta.png", "A 54979-2021")</f>
        <v/>
      </c>
      <c r="V40">
        <f>HYPERLINK("https://klasma.github.io/Logging_2326/klagomål/A 54979-2021 FSC-klagomål.docx", "A 54979-2021")</f>
        <v/>
      </c>
      <c r="W40">
        <f>HYPERLINK("https://klasma.github.io/Logging_2326/klagomålsmail/A 54979-2021 FSC-klagomål mail.docx", "A 54979-2021")</f>
        <v/>
      </c>
      <c r="X40">
        <f>HYPERLINK("https://klasma.github.io/Logging_2326/tillsyn/A 54979-2021 tillsynsbegäran.docx", "A 54979-2021")</f>
        <v/>
      </c>
      <c r="Y40">
        <f>HYPERLINK("https://klasma.github.io/Logging_2326/tillsynsmail/A 54979-2021 tillsynsbegäran mail.docx", "A 54979-2021")</f>
        <v/>
      </c>
    </row>
    <row r="41" ht="15" customHeight="1">
      <c r="A41" t="inlineStr">
        <is>
          <t>A 7891-2022</t>
        </is>
      </c>
      <c r="B41" s="1" t="n">
        <v>44607</v>
      </c>
      <c r="C41" s="1" t="n">
        <v>45344</v>
      </c>
      <c r="D41" t="inlineStr">
        <is>
          <t>JÄMTLANDS LÄN</t>
        </is>
      </c>
      <c r="E41" t="inlineStr">
        <is>
          <t>BERG</t>
        </is>
      </c>
      <c r="G41" t="n">
        <v>2.5</v>
      </c>
      <c r="H41" t="n">
        <v>3</v>
      </c>
      <c r="I41" t="n">
        <v>0</v>
      </c>
      <c r="J41" t="n">
        <v>1</v>
      </c>
      <c r="K41" t="n">
        <v>1</v>
      </c>
      <c r="L41" t="n">
        <v>0</v>
      </c>
      <c r="M41" t="n">
        <v>0</v>
      </c>
      <c r="N41" t="n">
        <v>0</v>
      </c>
      <c r="O41" t="n">
        <v>2</v>
      </c>
      <c r="P41" t="n">
        <v>1</v>
      </c>
      <c r="Q41" t="n">
        <v>4</v>
      </c>
      <c r="R41" s="2" t="inlineStr">
        <is>
          <t>Knärot
Ullticka
Blåsippa
Revlummer</t>
        </is>
      </c>
      <c r="S41">
        <f>HYPERLINK("https://klasma.github.io/Logging_2326/artfynd/A 7891-2022 artfynd.xlsx", "A 7891-2022")</f>
        <v/>
      </c>
      <c r="T41">
        <f>HYPERLINK("https://klasma.github.io/Logging_2326/kartor/A 7891-2022 karta.png", "A 7891-2022")</f>
        <v/>
      </c>
      <c r="U41">
        <f>HYPERLINK("https://klasma.github.io/Logging_2326/knärot/A 7891-2022 karta knärot.png", "A 7891-2022")</f>
        <v/>
      </c>
      <c r="V41">
        <f>HYPERLINK("https://klasma.github.io/Logging_2326/klagomål/A 7891-2022 FSC-klagomål.docx", "A 7891-2022")</f>
        <v/>
      </c>
      <c r="W41">
        <f>HYPERLINK("https://klasma.github.io/Logging_2326/klagomålsmail/A 7891-2022 FSC-klagomål mail.docx", "A 7891-2022")</f>
        <v/>
      </c>
      <c r="X41">
        <f>HYPERLINK("https://klasma.github.io/Logging_2326/tillsyn/A 7891-2022 tillsynsbegäran.docx", "A 7891-2022")</f>
        <v/>
      </c>
      <c r="Y41">
        <f>HYPERLINK("https://klasma.github.io/Logging_2326/tillsynsmail/A 7891-2022 tillsynsbegäran mail.docx", "A 7891-2022")</f>
        <v/>
      </c>
    </row>
    <row r="42" ht="15" customHeight="1">
      <c r="A42" t="inlineStr">
        <is>
          <t>A 22333-2022</t>
        </is>
      </c>
      <c r="B42" s="1" t="n">
        <v>44712</v>
      </c>
      <c r="C42" s="1" t="n">
        <v>45344</v>
      </c>
      <c r="D42" t="inlineStr">
        <is>
          <t>JÄMTLANDS LÄN</t>
        </is>
      </c>
      <c r="E42" t="inlineStr">
        <is>
          <t>BERG</t>
        </is>
      </c>
      <c r="F42" t="inlineStr">
        <is>
          <t>SCA</t>
        </is>
      </c>
      <c r="G42" t="n">
        <v>5.5</v>
      </c>
      <c r="H42" t="n">
        <v>1</v>
      </c>
      <c r="I42" t="n">
        <v>0</v>
      </c>
      <c r="J42" t="n">
        <v>3</v>
      </c>
      <c r="K42" t="n">
        <v>1</v>
      </c>
      <c r="L42" t="n">
        <v>0</v>
      </c>
      <c r="M42" t="n">
        <v>0</v>
      </c>
      <c r="N42" t="n">
        <v>0</v>
      </c>
      <c r="O42" t="n">
        <v>4</v>
      </c>
      <c r="P42" t="n">
        <v>1</v>
      </c>
      <c r="Q42" t="n">
        <v>4</v>
      </c>
      <c r="R42" s="2" t="inlineStr">
        <is>
          <t>Knärot
Gränsticka
Rosenticka
Ullticka</t>
        </is>
      </c>
      <c r="S42">
        <f>HYPERLINK("https://klasma.github.io/Logging_2326/artfynd/A 22333-2022 artfynd.xlsx", "A 22333-2022")</f>
        <v/>
      </c>
      <c r="T42">
        <f>HYPERLINK("https://klasma.github.io/Logging_2326/kartor/A 22333-2022 karta.png", "A 22333-2022")</f>
        <v/>
      </c>
      <c r="U42">
        <f>HYPERLINK("https://klasma.github.io/Logging_2326/knärot/A 22333-2022 karta knärot.png", "A 22333-2022")</f>
        <v/>
      </c>
      <c r="V42">
        <f>HYPERLINK("https://klasma.github.io/Logging_2326/klagomål/A 22333-2022 FSC-klagomål.docx", "A 22333-2022")</f>
        <v/>
      </c>
      <c r="W42">
        <f>HYPERLINK("https://klasma.github.io/Logging_2326/klagomålsmail/A 22333-2022 FSC-klagomål mail.docx", "A 22333-2022")</f>
        <v/>
      </c>
      <c r="X42">
        <f>HYPERLINK("https://klasma.github.io/Logging_2326/tillsyn/A 22333-2022 tillsynsbegäran.docx", "A 22333-2022")</f>
        <v/>
      </c>
      <c r="Y42">
        <f>HYPERLINK("https://klasma.github.io/Logging_2326/tillsynsmail/A 22333-2022 tillsynsbegäran mail.docx", "A 22333-2022")</f>
        <v/>
      </c>
    </row>
    <row r="43" ht="15" customHeight="1">
      <c r="A43" t="inlineStr">
        <is>
          <t>A 35742-2022</t>
        </is>
      </c>
      <c r="B43" s="1" t="n">
        <v>44799</v>
      </c>
      <c r="C43" s="1" t="n">
        <v>45344</v>
      </c>
      <c r="D43" t="inlineStr">
        <is>
          <t>JÄMTLANDS LÄN</t>
        </is>
      </c>
      <c r="E43" t="inlineStr">
        <is>
          <t>BERG</t>
        </is>
      </c>
      <c r="F43" t="inlineStr">
        <is>
          <t>SCA</t>
        </is>
      </c>
      <c r="G43" t="n">
        <v>16.6</v>
      </c>
      <c r="H43" t="n">
        <v>1</v>
      </c>
      <c r="I43" t="n">
        <v>1</v>
      </c>
      <c r="J43" t="n">
        <v>3</v>
      </c>
      <c r="K43" t="n">
        <v>0</v>
      </c>
      <c r="L43" t="n">
        <v>0</v>
      </c>
      <c r="M43" t="n">
        <v>0</v>
      </c>
      <c r="N43" t="n">
        <v>0</v>
      </c>
      <c r="O43" t="n">
        <v>3</v>
      </c>
      <c r="P43" t="n">
        <v>0</v>
      </c>
      <c r="Q43" t="n">
        <v>4</v>
      </c>
      <c r="R43" s="2" t="inlineStr">
        <is>
          <t>Dvärgbägarlav
Vedflamlav
Vedskivlav
Plattlummer</t>
        </is>
      </c>
      <c r="S43">
        <f>HYPERLINK("https://klasma.github.io/Logging_2326/artfynd/A 35742-2022 artfynd.xlsx", "A 35742-2022")</f>
        <v/>
      </c>
      <c r="T43">
        <f>HYPERLINK("https://klasma.github.io/Logging_2326/kartor/A 35742-2022 karta.png", "A 35742-2022")</f>
        <v/>
      </c>
      <c r="V43">
        <f>HYPERLINK("https://klasma.github.io/Logging_2326/klagomål/A 35742-2022 FSC-klagomål.docx", "A 35742-2022")</f>
        <v/>
      </c>
      <c r="W43">
        <f>HYPERLINK("https://klasma.github.io/Logging_2326/klagomålsmail/A 35742-2022 FSC-klagomål mail.docx", "A 35742-2022")</f>
        <v/>
      </c>
      <c r="X43">
        <f>HYPERLINK("https://klasma.github.io/Logging_2326/tillsyn/A 35742-2022 tillsynsbegäran.docx", "A 35742-2022")</f>
        <v/>
      </c>
      <c r="Y43">
        <f>HYPERLINK("https://klasma.github.io/Logging_2326/tillsynsmail/A 35742-2022 tillsynsbegäran mail.docx", "A 35742-2022")</f>
        <v/>
      </c>
    </row>
    <row r="44" ht="15" customHeight="1">
      <c r="A44" t="inlineStr">
        <is>
          <t>A 37381-2022</t>
        </is>
      </c>
      <c r="B44" s="1" t="n">
        <v>44806</v>
      </c>
      <c r="C44" s="1" t="n">
        <v>45344</v>
      </c>
      <c r="D44" t="inlineStr">
        <is>
          <t>JÄMTLANDS LÄN</t>
        </is>
      </c>
      <c r="E44" t="inlineStr">
        <is>
          <t>BERG</t>
        </is>
      </c>
      <c r="G44" t="n">
        <v>29</v>
      </c>
      <c r="H44" t="n">
        <v>1</v>
      </c>
      <c r="I44" t="n">
        <v>0</v>
      </c>
      <c r="J44" t="n">
        <v>4</v>
      </c>
      <c r="K44" t="n">
        <v>0</v>
      </c>
      <c r="L44" t="n">
        <v>0</v>
      </c>
      <c r="M44" t="n">
        <v>0</v>
      </c>
      <c r="N44" t="n">
        <v>0</v>
      </c>
      <c r="O44" t="n">
        <v>4</v>
      </c>
      <c r="P44" t="n">
        <v>0</v>
      </c>
      <c r="Q44" t="n">
        <v>4</v>
      </c>
      <c r="R44" s="2" t="inlineStr">
        <is>
          <t>Garnlav
Granticka
Harticka
Tretåig hackspett</t>
        </is>
      </c>
      <c r="S44">
        <f>HYPERLINK("https://klasma.github.io/Logging_2326/artfynd/A 37381-2022 artfynd.xlsx", "A 37381-2022")</f>
        <v/>
      </c>
      <c r="T44">
        <f>HYPERLINK("https://klasma.github.io/Logging_2326/kartor/A 37381-2022 karta.png", "A 37381-2022")</f>
        <v/>
      </c>
      <c r="V44">
        <f>HYPERLINK("https://klasma.github.io/Logging_2326/klagomål/A 37381-2022 FSC-klagomål.docx", "A 37381-2022")</f>
        <v/>
      </c>
      <c r="W44">
        <f>HYPERLINK("https://klasma.github.io/Logging_2326/klagomålsmail/A 37381-2022 FSC-klagomål mail.docx", "A 37381-2022")</f>
        <v/>
      </c>
      <c r="X44">
        <f>HYPERLINK("https://klasma.github.io/Logging_2326/tillsyn/A 37381-2022 tillsynsbegäran.docx", "A 37381-2022")</f>
        <v/>
      </c>
      <c r="Y44">
        <f>HYPERLINK("https://klasma.github.io/Logging_2326/tillsynsmail/A 37381-2022 tillsynsbegäran mail.docx", "A 37381-2022")</f>
        <v/>
      </c>
      <c r="Z44">
        <f>HYPERLINK("https://klasma.github.io/Logging_2326/fåglar/A 37381-2022 prioriterade fågelarter.docx", "A 37381-2022")</f>
        <v/>
      </c>
    </row>
    <row r="45" ht="15" customHeight="1">
      <c r="A45" t="inlineStr">
        <is>
          <t>A 7672-2023</t>
        </is>
      </c>
      <c r="B45" s="1" t="n">
        <v>44967</v>
      </c>
      <c r="C45" s="1" t="n">
        <v>45344</v>
      </c>
      <c r="D45" t="inlineStr">
        <is>
          <t>JÄMTLANDS LÄN</t>
        </is>
      </c>
      <c r="E45" t="inlineStr">
        <is>
          <t>BERG</t>
        </is>
      </c>
      <c r="G45" t="n">
        <v>13.1</v>
      </c>
      <c r="H45" t="n">
        <v>1</v>
      </c>
      <c r="I45" t="n">
        <v>0</v>
      </c>
      <c r="J45" t="n">
        <v>3</v>
      </c>
      <c r="K45" t="n">
        <v>1</v>
      </c>
      <c r="L45" t="n">
        <v>0</v>
      </c>
      <c r="M45" t="n">
        <v>0</v>
      </c>
      <c r="N45" t="n">
        <v>0</v>
      </c>
      <c r="O45" t="n">
        <v>4</v>
      </c>
      <c r="P45" t="n">
        <v>1</v>
      </c>
      <c r="Q45" t="n">
        <v>4</v>
      </c>
      <c r="R45" s="2" t="inlineStr">
        <is>
          <t>Knärot
Garnlav
Lunglav
Mörk kolflarnlav</t>
        </is>
      </c>
      <c r="S45">
        <f>HYPERLINK("https://klasma.github.io/Logging_2326/artfynd/A 7672-2023 artfynd.xlsx", "A 7672-2023")</f>
        <v/>
      </c>
      <c r="T45">
        <f>HYPERLINK("https://klasma.github.io/Logging_2326/kartor/A 7672-2023 karta.png", "A 7672-2023")</f>
        <v/>
      </c>
      <c r="U45">
        <f>HYPERLINK("https://klasma.github.io/Logging_2326/knärot/A 7672-2023 karta knärot.png", "A 7672-2023")</f>
        <v/>
      </c>
      <c r="V45">
        <f>HYPERLINK("https://klasma.github.io/Logging_2326/klagomål/A 7672-2023 FSC-klagomål.docx", "A 7672-2023")</f>
        <v/>
      </c>
      <c r="W45">
        <f>HYPERLINK("https://klasma.github.io/Logging_2326/klagomålsmail/A 7672-2023 FSC-klagomål mail.docx", "A 7672-2023")</f>
        <v/>
      </c>
      <c r="X45">
        <f>HYPERLINK("https://klasma.github.io/Logging_2326/tillsyn/A 7672-2023 tillsynsbegäran.docx", "A 7672-2023")</f>
        <v/>
      </c>
      <c r="Y45">
        <f>HYPERLINK("https://klasma.github.io/Logging_2326/tillsynsmail/A 7672-2023 tillsynsbegäran mail.docx", "A 7672-2023")</f>
        <v/>
      </c>
    </row>
    <row r="46" ht="15" customHeight="1">
      <c r="A46" t="inlineStr">
        <is>
          <t>A 20874-2023</t>
        </is>
      </c>
      <c r="B46" s="1" t="n">
        <v>45058</v>
      </c>
      <c r="C46" s="1" t="n">
        <v>45344</v>
      </c>
      <c r="D46" t="inlineStr">
        <is>
          <t>JÄMTLANDS LÄN</t>
        </is>
      </c>
      <c r="E46" t="inlineStr">
        <is>
          <t>BERG</t>
        </is>
      </c>
      <c r="F46" t="inlineStr">
        <is>
          <t>SCA</t>
        </is>
      </c>
      <c r="G46" t="n">
        <v>2.6</v>
      </c>
      <c r="H46" t="n">
        <v>0</v>
      </c>
      <c r="I46" t="n">
        <v>1</v>
      </c>
      <c r="J46" t="n">
        <v>3</v>
      </c>
      <c r="K46" t="n">
        <v>0</v>
      </c>
      <c r="L46" t="n">
        <v>0</v>
      </c>
      <c r="M46" t="n">
        <v>0</v>
      </c>
      <c r="N46" t="n">
        <v>0</v>
      </c>
      <c r="O46" t="n">
        <v>3</v>
      </c>
      <c r="P46" t="n">
        <v>0</v>
      </c>
      <c r="Q46" t="n">
        <v>4</v>
      </c>
      <c r="R46" s="2" t="inlineStr">
        <is>
          <t>Kolflarnlav
Mörk kolflarnlav
Vedskivlav
Skinnlav</t>
        </is>
      </c>
      <c r="S46">
        <f>HYPERLINK("https://klasma.github.io/Logging_2326/artfynd/A 20874-2023 artfynd.xlsx", "A 20874-2023")</f>
        <v/>
      </c>
      <c r="T46">
        <f>HYPERLINK("https://klasma.github.io/Logging_2326/kartor/A 20874-2023 karta.png", "A 20874-2023")</f>
        <v/>
      </c>
      <c r="V46">
        <f>HYPERLINK("https://klasma.github.io/Logging_2326/klagomål/A 20874-2023 FSC-klagomål.docx", "A 20874-2023")</f>
        <v/>
      </c>
      <c r="W46">
        <f>HYPERLINK("https://klasma.github.io/Logging_2326/klagomålsmail/A 20874-2023 FSC-klagomål mail.docx", "A 20874-2023")</f>
        <v/>
      </c>
      <c r="X46">
        <f>HYPERLINK("https://klasma.github.io/Logging_2326/tillsyn/A 20874-2023 tillsynsbegäran.docx", "A 20874-2023")</f>
        <v/>
      </c>
      <c r="Y46">
        <f>HYPERLINK("https://klasma.github.io/Logging_2326/tillsynsmail/A 20874-2023 tillsynsbegäran mail.docx", "A 20874-2023")</f>
        <v/>
      </c>
    </row>
    <row r="47" ht="15" customHeight="1">
      <c r="A47" t="inlineStr">
        <is>
          <t>A 23951-2023</t>
        </is>
      </c>
      <c r="B47" s="1" t="n">
        <v>45078</v>
      </c>
      <c r="C47" s="1" t="n">
        <v>45344</v>
      </c>
      <c r="D47" t="inlineStr">
        <is>
          <t>JÄMTLANDS LÄN</t>
        </is>
      </c>
      <c r="E47" t="inlineStr">
        <is>
          <t>BERG</t>
        </is>
      </c>
      <c r="G47" t="n">
        <v>16.4</v>
      </c>
      <c r="H47" t="n">
        <v>1</v>
      </c>
      <c r="I47" t="n">
        <v>1</v>
      </c>
      <c r="J47" t="n">
        <v>2</v>
      </c>
      <c r="K47" t="n">
        <v>1</v>
      </c>
      <c r="L47" t="n">
        <v>0</v>
      </c>
      <c r="M47" t="n">
        <v>0</v>
      </c>
      <c r="N47" t="n">
        <v>0</v>
      </c>
      <c r="O47" t="n">
        <v>3</v>
      </c>
      <c r="P47" t="n">
        <v>1</v>
      </c>
      <c r="Q47" t="n">
        <v>4</v>
      </c>
      <c r="R47" s="2" t="inlineStr">
        <is>
          <t>Doftticka
Kolflarnlav
Lunglav
Stuplav</t>
        </is>
      </c>
      <c r="S47">
        <f>HYPERLINK("https://klasma.github.io/Logging_2326/artfynd/A 23951-2023 artfynd.xlsx", "A 23951-2023")</f>
        <v/>
      </c>
      <c r="T47">
        <f>HYPERLINK("https://klasma.github.io/Logging_2326/kartor/A 23951-2023 karta.png", "A 23951-2023")</f>
        <v/>
      </c>
      <c r="V47">
        <f>HYPERLINK("https://klasma.github.io/Logging_2326/klagomål/A 23951-2023 FSC-klagomål.docx", "A 23951-2023")</f>
        <v/>
      </c>
      <c r="W47">
        <f>HYPERLINK("https://klasma.github.io/Logging_2326/klagomålsmail/A 23951-2023 FSC-klagomål mail.docx", "A 23951-2023")</f>
        <v/>
      </c>
      <c r="X47">
        <f>HYPERLINK("https://klasma.github.io/Logging_2326/tillsyn/A 23951-2023 tillsynsbegäran.docx", "A 23951-2023")</f>
        <v/>
      </c>
      <c r="Y47">
        <f>HYPERLINK("https://klasma.github.io/Logging_2326/tillsynsmail/A 23951-2023 tillsynsbegäran mail.docx", "A 23951-2023")</f>
        <v/>
      </c>
    </row>
    <row r="48" ht="15" customHeight="1">
      <c r="A48" t="inlineStr">
        <is>
          <t>A 65218-2023</t>
        </is>
      </c>
      <c r="B48" s="1" t="n">
        <v>45289</v>
      </c>
      <c r="C48" s="1" t="n">
        <v>45344</v>
      </c>
      <c r="D48" t="inlineStr">
        <is>
          <t>JÄMTLANDS LÄN</t>
        </is>
      </c>
      <c r="E48" t="inlineStr">
        <is>
          <t>BERG</t>
        </is>
      </c>
      <c r="F48" t="inlineStr">
        <is>
          <t>Kyrkan</t>
        </is>
      </c>
      <c r="G48" t="n">
        <v>9.300000000000001</v>
      </c>
      <c r="H48" t="n">
        <v>3</v>
      </c>
      <c r="I48" t="n">
        <v>2</v>
      </c>
      <c r="J48" t="n">
        <v>1</v>
      </c>
      <c r="K48" t="n">
        <v>0</v>
      </c>
      <c r="L48" t="n">
        <v>0</v>
      </c>
      <c r="M48" t="n">
        <v>0</v>
      </c>
      <c r="N48" t="n">
        <v>0</v>
      </c>
      <c r="O48" t="n">
        <v>1</v>
      </c>
      <c r="P48" t="n">
        <v>0</v>
      </c>
      <c r="Q48" t="n">
        <v>4</v>
      </c>
      <c r="R48" s="2" t="inlineStr">
        <is>
          <t>Lunglav
Plattlummer
Spindelblomster
Fläcknycklar</t>
        </is>
      </c>
      <c r="S48">
        <f>HYPERLINK("https://klasma.github.io/Logging_2326/artfynd/A 65218-2023 artfynd.xlsx", "A 65218-2023")</f>
        <v/>
      </c>
      <c r="T48">
        <f>HYPERLINK("https://klasma.github.io/Logging_2326/kartor/A 65218-2023 karta.png", "A 65218-2023")</f>
        <v/>
      </c>
      <c r="V48">
        <f>HYPERLINK("https://klasma.github.io/Logging_2326/klagomål/A 65218-2023 FSC-klagomål.docx", "A 65218-2023")</f>
        <v/>
      </c>
      <c r="W48">
        <f>HYPERLINK("https://klasma.github.io/Logging_2326/klagomålsmail/A 65218-2023 FSC-klagomål mail.docx", "A 65218-2023")</f>
        <v/>
      </c>
      <c r="X48">
        <f>HYPERLINK("https://klasma.github.io/Logging_2326/tillsyn/A 65218-2023 tillsynsbegäran.docx", "A 65218-2023")</f>
        <v/>
      </c>
      <c r="Y48">
        <f>HYPERLINK("https://klasma.github.io/Logging_2326/tillsynsmail/A 65218-2023 tillsynsbegäran mail.docx", "A 65218-2023")</f>
        <v/>
      </c>
    </row>
    <row r="49" ht="15" customHeight="1">
      <c r="A49" t="inlineStr">
        <is>
          <t>A 7094-2019</t>
        </is>
      </c>
      <c r="B49" s="1" t="n">
        <v>43496</v>
      </c>
      <c r="C49" s="1" t="n">
        <v>45344</v>
      </c>
      <c r="D49" t="inlineStr">
        <is>
          <t>JÄMTLANDS LÄN</t>
        </is>
      </c>
      <c r="E49" t="inlineStr">
        <is>
          <t>BERG</t>
        </is>
      </c>
      <c r="G49" t="n">
        <v>5.5</v>
      </c>
      <c r="H49" t="n">
        <v>1</v>
      </c>
      <c r="I49" t="n">
        <v>0</v>
      </c>
      <c r="J49" t="n">
        <v>2</v>
      </c>
      <c r="K49" t="n">
        <v>0</v>
      </c>
      <c r="L49" t="n">
        <v>0</v>
      </c>
      <c r="M49" t="n">
        <v>0</v>
      </c>
      <c r="N49" t="n">
        <v>0</v>
      </c>
      <c r="O49" t="n">
        <v>2</v>
      </c>
      <c r="P49" t="n">
        <v>0</v>
      </c>
      <c r="Q49" t="n">
        <v>3</v>
      </c>
      <c r="R49" s="2" t="inlineStr">
        <is>
          <t>Garnlav
Vitgrynig nållav
Fläcknycklar</t>
        </is>
      </c>
      <c r="S49">
        <f>HYPERLINK("https://klasma.github.io/Logging_2326/artfynd/A 7094-2019 artfynd.xlsx", "A 7094-2019")</f>
        <v/>
      </c>
      <c r="T49">
        <f>HYPERLINK("https://klasma.github.io/Logging_2326/kartor/A 7094-2019 karta.png", "A 7094-2019")</f>
        <v/>
      </c>
      <c r="V49">
        <f>HYPERLINK("https://klasma.github.io/Logging_2326/klagomål/A 7094-2019 FSC-klagomål.docx", "A 7094-2019")</f>
        <v/>
      </c>
      <c r="W49">
        <f>HYPERLINK("https://klasma.github.io/Logging_2326/klagomålsmail/A 7094-2019 FSC-klagomål mail.docx", "A 7094-2019")</f>
        <v/>
      </c>
      <c r="X49">
        <f>HYPERLINK("https://klasma.github.io/Logging_2326/tillsyn/A 7094-2019 tillsynsbegäran.docx", "A 7094-2019")</f>
        <v/>
      </c>
      <c r="Y49">
        <f>HYPERLINK("https://klasma.github.io/Logging_2326/tillsynsmail/A 7094-2019 tillsynsbegäran mail.docx", "A 7094-2019")</f>
        <v/>
      </c>
    </row>
    <row r="50" ht="15" customHeight="1">
      <c r="A50" t="inlineStr">
        <is>
          <t>A 52190-2020</t>
        </is>
      </c>
      <c r="B50" s="1" t="n">
        <v>44111</v>
      </c>
      <c r="C50" s="1" t="n">
        <v>45344</v>
      </c>
      <c r="D50" t="inlineStr">
        <is>
          <t>JÄMTLANDS LÄN</t>
        </is>
      </c>
      <c r="E50" t="inlineStr">
        <is>
          <t>BERG</t>
        </is>
      </c>
      <c r="G50" t="n">
        <v>23.3</v>
      </c>
      <c r="H50" t="n">
        <v>0</v>
      </c>
      <c r="I50" t="n">
        <v>1</v>
      </c>
      <c r="J50" t="n">
        <v>2</v>
      </c>
      <c r="K50" t="n">
        <v>0</v>
      </c>
      <c r="L50" t="n">
        <v>0</v>
      </c>
      <c r="M50" t="n">
        <v>0</v>
      </c>
      <c r="N50" t="n">
        <v>0</v>
      </c>
      <c r="O50" t="n">
        <v>2</v>
      </c>
      <c r="P50" t="n">
        <v>0</v>
      </c>
      <c r="Q50" t="n">
        <v>3</v>
      </c>
      <c r="R50" s="2" t="inlineStr">
        <is>
          <t>Garnlav
Granticka
Ögonpyrola</t>
        </is>
      </c>
      <c r="S50">
        <f>HYPERLINK("https://klasma.github.io/Logging_2326/artfynd/A 52190-2020 artfynd.xlsx", "A 52190-2020")</f>
        <v/>
      </c>
      <c r="T50">
        <f>HYPERLINK("https://klasma.github.io/Logging_2326/kartor/A 52190-2020 karta.png", "A 52190-2020")</f>
        <v/>
      </c>
      <c r="V50">
        <f>HYPERLINK("https://klasma.github.io/Logging_2326/klagomål/A 52190-2020 FSC-klagomål.docx", "A 52190-2020")</f>
        <v/>
      </c>
      <c r="W50">
        <f>HYPERLINK("https://klasma.github.io/Logging_2326/klagomålsmail/A 52190-2020 FSC-klagomål mail.docx", "A 52190-2020")</f>
        <v/>
      </c>
      <c r="X50">
        <f>HYPERLINK("https://klasma.github.io/Logging_2326/tillsyn/A 52190-2020 tillsynsbegäran.docx", "A 52190-2020")</f>
        <v/>
      </c>
      <c r="Y50">
        <f>HYPERLINK("https://klasma.github.io/Logging_2326/tillsynsmail/A 52190-2020 tillsynsbegäran mail.docx", "A 52190-2020")</f>
        <v/>
      </c>
    </row>
    <row r="51" ht="15" customHeight="1">
      <c r="A51" t="inlineStr">
        <is>
          <t>A 14599-2021</t>
        </is>
      </c>
      <c r="B51" s="1" t="n">
        <v>44279</v>
      </c>
      <c r="C51" s="1" t="n">
        <v>45344</v>
      </c>
      <c r="D51" t="inlineStr">
        <is>
          <t>JÄMTLANDS LÄN</t>
        </is>
      </c>
      <c r="E51" t="inlineStr">
        <is>
          <t>BERG</t>
        </is>
      </c>
      <c r="G51" t="n">
        <v>25.7</v>
      </c>
      <c r="H51" t="n">
        <v>1</v>
      </c>
      <c r="I51" t="n">
        <v>0</v>
      </c>
      <c r="J51" t="n">
        <v>3</v>
      </c>
      <c r="K51" t="n">
        <v>0</v>
      </c>
      <c r="L51" t="n">
        <v>0</v>
      </c>
      <c r="M51" t="n">
        <v>0</v>
      </c>
      <c r="N51" t="n">
        <v>0</v>
      </c>
      <c r="O51" t="n">
        <v>3</v>
      </c>
      <c r="P51" t="n">
        <v>0</v>
      </c>
      <c r="Q51" t="n">
        <v>3</v>
      </c>
      <c r="R51" s="2" t="inlineStr">
        <is>
          <t>Garnlav
Harticka
Tretåig hackspett</t>
        </is>
      </c>
      <c r="S51">
        <f>HYPERLINK("https://klasma.github.io/Logging_2326/artfynd/A 14599-2021 artfynd.xlsx", "A 14599-2021")</f>
        <v/>
      </c>
      <c r="T51">
        <f>HYPERLINK("https://klasma.github.io/Logging_2326/kartor/A 14599-2021 karta.png", "A 14599-2021")</f>
        <v/>
      </c>
      <c r="V51">
        <f>HYPERLINK("https://klasma.github.io/Logging_2326/klagomål/A 14599-2021 FSC-klagomål.docx", "A 14599-2021")</f>
        <v/>
      </c>
      <c r="W51">
        <f>HYPERLINK("https://klasma.github.io/Logging_2326/klagomålsmail/A 14599-2021 FSC-klagomål mail.docx", "A 14599-2021")</f>
        <v/>
      </c>
      <c r="X51">
        <f>HYPERLINK("https://klasma.github.io/Logging_2326/tillsyn/A 14599-2021 tillsynsbegäran.docx", "A 14599-2021")</f>
        <v/>
      </c>
      <c r="Y51">
        <f>HYPERLINK("https://klasma.github.io/Logging_2326/tillsynsmail/A 14599-2021 tillsynsbegäran mail.docx", "A 14599-2021")</f>
        <v/>
      </c>
      <c r="Z51">
        <f>HYPERLINK("https://klasma.github.io/Logging_2326/fåglar/A 14599-2021 prioriterade fågelarter.docx", "A 14599-2021")</f>
        <v/>
      </c>
    </row>
    <row r="52" ht="15" customHeight="1">
      <c r="A52" t="inlineStr">
        <is>
          <t>A 16830-2021</t>
        </is>
      </c>
      <c r="B52" s="1" t="n">
        <v>44293</v>
      </c>
      <c r="C52" s="1" t="n">
        <v>45344</v>
      </c>
      <c r="D52" t="inlineStr">
        <is>
          <t>JÄMTLANDS LÄN</t>
        </is>
      </c>
      <c r="E52" t="inlineStr">
        <is>
          <t>BERG</t>
        </is>
      </c>
      <c r="G52" t="n">
        <v>2</v>
      </c>
      <c r="H52" t="n">
        <v>0</v>
      </c>
      <c r="I52" t="n">
        <v>0</v>
      </c>
      <c r="J52" t="n">
        <v>3</v>
      </c>
      <c r="K52" t="n">
        <v>0</v>
      </c>
      <c r="L52" t="n">
        <v>0</v>
      </c>
      <c r="M52" t="n">
        <v>0</v>
      </c>
      <c r="N52" t="n">
        <v>0</v>
      </c>
      <c r="O52" t="n">
        <v>3</v>
      </c>
      <c r="P52" t="n">
        <v>0</v>
      </c>
      <c r="Q52" t="n">
        <v>3</v>
      </c>
      <c r="R52" s="2" t="inlineStr">
        <is>
          <t>Garnlav
Granticka
Vitgrynig nållav</t>
        </is>
      </c>
      <c r="S52">
        <f>HYPERLINK("https://klasma.github.io/Logging_2326/artfynd/A 16830-2021 artfynd.xlsx", "A 16830-2021")</f>
        <v/>
      </c>
      <c r="T52">
        <f>HYPERLINK("https://klasma.github.io/Logging_2326/kartor/A 16830-2021 karta.png", "A 16830-2021")</f>
        <v/>
      </c>
      <c r="V52">
        <f>HYPERLINK("https://klasma.github.io/Logging_2326/klagomål/A 16830-2021 FSC-klagomål.docx", "A 16830-2021")</f>
        <v/>
      </c>
      <c r="W52">
        <f>HYPERLINK("https://klasma.github.io/Logging_2326/klagomålsmail/A 16830-2021 FSC-klagomål mail.docx", "A 16830-2021")</f>
        <v/>
      </c>
      <c r="X52">
        <f>HYPERLINK("https://klasma.github.io/Logging_2326/tillsyn/A 16830-2021 tillsynsbegäran.docx", "A 16830-2021")</f>
        <v/>
      </c>
      <c r="Y52">
        <f>HYPERLINK("https://klasma.github.io/Logging_2326/tillsynsmail/A 16830-2021 tillsynsbegäran mail.docx", "A 16830-2021")</f>
        <v/>
      </c>
    </row>
    <row r="53" ht="15" customHeight="1">
      <c r="A53" t="inlineStr">
        <is>
          <t>A 68433-2021</t>
        </is>
      </c>
      <c r="B53" s="1" t="n">
        <v>44529</v>
      </c>
      <c r="C53" s="1" t="n">
        <v>45344</v>
      </c>
      <c r="D53" t="inlineStr">
        <is>
          <t>JÄMTLANDS LÄN</t>
        </is>
      </c>
      <c r="E53" t="inlineStr">
        <is>
          <t>BERG</t>
        </is>
      </c>
      <c r="G53" t="n">
        <v>17.9</v>
      </c>
      <c r="H53" t="n">
        <v>0</v>
      </c>
      <c r="I53" t="n">
        <v>0</v>
      </c>
      <c r="J53" t="n">
        <v>3</v>
      </c>
      <c r="K53" t="n">
        <v>0</v>
      </c>
      <c r="L53" t="n">
        <v>0</v>
      </c>
      <c r="M53" t="n">
        <v>0</v>
      </c>
      <c r="N53" t="n">
        <v>0</v>
      </c>
      <c r="O53" t="n">
        <v>3</v>
      </c>
      <c r="P53" t="n">
        <v>0</v>
      </c>
      <c r="Q53" t="n">
        <v>3</v>
      </c>
      <c r="R53" s="2" t="inlineStr">
        <is>
          <t>Doftskinn
Vaddporing
Vedskivlav</t>
        </is>
      </c>
      <c r="S53">
        <f>HYPERLINK("https://klasma.github.io/Logging_2326/artfynd/A 68433-2021 artfynd.xlsx", "A 68433-2021")</f>
        <v/>
      </c>
      <c r="T53">
        <f>HYPERLINK("https://klasma.github.io/Logging_2326/kartor/A 68433-2021 karta.png", "A 68433-2021")</f>
        <v/>
      </c>
      <c r="V53">
        <f>HYPERLINK("https://klasma.github.io/Logging_2326/klagomål/A 68433-2021 FSC-klagomål.docx", "A 68433-2021")</f>
        <v/>
      </c>
      <c r="W53">
        <f>HYPERLINK("https://klasma.github.io/Logging_2326/klagomålsmail/A 68433-2021 FSC-klagomål mail.docx", "A 68433-2021")</f>
        <v/>
      </c>
      <c r="X53">
        <f>HYPERLINK("https://klasma.github.io/Logging_2326/tillsyn/A 68433-2021 tillsynsbegäran.docx", "A 68433-2021")</f>
        <v/>
      </c>
      <c r="Y53">
        <f>HYPERLINK("https://klasma.github.io/Logging_2326/tillsynsmail/A 68433-2021 tillsynsbegäran mail.docx", "A 68433-2021")</f>
        <v/>
      </c>
    </row>
    <row r="54" ht="15" customHeight="1">
      <c r="A54" t="inlineStr">
        <is>
          <t>A 54999-2023</t>
        </is>
      </c>
      <c r="B54" s="1" t="n">
        <v>45237</v>
      </c>
      <c r="C54" s="1" t="n">
        <v>45344</v>
      </c>
      <c r="D54" t="inlineStr">
        <is>
          <t>JÄMTLANDS LÄN</t>
        </is>
      </c>
      <c r="E54" t="inlineStr">
        <is>
          <t>BERG</t>
        </is>
      </c>
      <c r="F54" t="inlineStr">
        <is>
          <t>SCA</t>
        </is>
      </c>
      <c r="G54" t="n">
        <v>2.6</v>
      </c>
      <c r="H54" t="n">
        <v>0</v>
      </c>
      <c r="I54" t="n">
        <v>0</v>
      </c>
      <c r="J54" t="n">
        <v>2</v>
      </c>
      <c r="K54" t="n">
        <v>1</v>
      </c>
      <c r="L54" t="n">
        <v>0</v>
      </c>
      <c r="M54" t="n">
        <v>0</v>
      </c>
      <c r="N54" t="n">
        <v>0</v>
      </c>
      <c r="O54" t="n">
        <v>3</v>
      </c>
      <c r="P54" t="n">
        <v>1</v>
      </c>
      <c r="Q54" t="n">
        <v>3</v>
      </c>
      <c r="R54" s="2" t="inlineStr">
        <is>
          <t>Gräddporing
Blågrå svartspik
Dvärgbägarlav</t>
        </is>
      </c>
      <c r="S54">
        <f>HYPERLINK("https://klasma.github.io/Logging_2326/artfynd/A 54999-2023 artfynd.xlsx", "A 54999-2023")</f>
        <v/>
      </c>
      <c r="T54">
        <f>HYPERLINK("https://klasma.github.io/Logging_2326/kartor/A 54999-2023 karta.png", "A 54999-2023")</f>
        <v/>
      </c>
      <c r="V54">
        <f>HYPERLINK("https://klasma.github.io/Logging_2326/klagomål/A 54999-2023 FSC-klagomål.docx", "A 54999-2023")</f>
        <v/>
      </c>
      <c r="W54">
        <f>HYPERLINK("https://klasma.github.io/Logging_2326/klagomålsmail/A 54999-2023 FSC-klagomål mail.docx", "A 54999-2023")</f>
        <v/>
      </c>
      <c r="X54">
        <f>HYPERLINK("https://klasma.github.io/Logging_2326/tillsyn/A 54999-2023 tillsynsbegäran.docx", "A 54999-2023")</f>
        <v/>
      </c>
      <c r="Y54">
        <f>HYPERLINK("https://klasma.github.io/Logging_2326/tillsynsmail/A 54999-2023 tillsynsbegäran mail.docx", "A 54999-2023")</f>
        <v/>
      </c>
    </row>
    <row r="55" ht="15" customHeight="1">
      <c r="A55" t="inlineStr">
        <is>
          <t>A 54993-2023</t>
        </is>
      </c>
      <c r="B55" s="1" t="n">
        <v>45237</v>
      </c>
      <c r="C55" s="1" t="n">
        <v>45344</v>
      </c>
      <c r="D55" t="inlineStr">
        <is>
          <t>JÄMTLANDS LÄN</t>
        </is>
      </c>
      <c r="E55" t="inlineStr">
        <is>
          <t>BERG</t>
        </is>
      </c>
      <c r="F55" t="inlineStr">
        <is>
          <t>SCA</t>
        </is>
      </c>
      <c r="G55" t="n">
        <v>19</v>
      </c>
      <c r="H55" t="n">
        <v>0</v>
      </c>
      <c r="I55" t="n">
        <v>0</v>
      </c>
      <c r="J55" t="n">
        <v>1</v>
      </c>
      <c r="K55" t="n">
        <v>2</v>
      </c>
      <c r="L55" t="n">
        <v>0</v>
      </c>
      <c r="M55" t="n">
        <v>0</v>
      </c>
      <c r="N55" t="n">
        <v>0</v>
      </c>
      <c r="O55" t="n">
        <v>3</v>
      </c>
      <c r="P55" t="n">
        <v>2</v>
      </c>
      <c r="Q55" t="n">
        <v>3</v>
      </c>
      <c r="R55" s="2" t="inlineStr">
        <is>
          <t>Fläckporing
Gräddporing
Dvärgbägarlav</t>
        </is>
      </c>
      <c r="S55">
        <f>HYPERLINK("https://klasma.github.io/Logging_2326/artfynd/A 54993-2023 artfynd.xlsx", "A 54993-2023")</f>
        <v/>
      </c>
      <c r="T55">
        <f>HYPERLINK("https://klasma.github.io/Logging_2326/kartor/A 54993-2023 karta.png", "A 54993-2023")</f>
        <v/>
      </c>
      <c r="V55">
        <f>HYPERLINK("https://klasma.github.io/Logging_2326/klagomål/A 54993-2023 FSC-klagomål.docx", "A 54993-2023")</f>
        <v/>
      </c>
      <c r="W55">
        <f>HYPERLINK("https://klasma.github.io/Logging_2326/klagomålsmail/A 54993-2023 FSC-klagomål mail.docx", "A 54993-2023")</f>
        <v/>
      </c>
      <c r="X55">
        <f>HYPERLINK("https://klasma.github.io/Logging_2326/tillsyn/A 54993-2023 tillsynsbegäran.docx", "A 54993-2023")</f>
        <v/>
      </c>
      <c r="Y55">
        <f>HYPERLINK("https://klasma.github.io/Logging_2326/tillsynsmail/A 54993-2023 tillsynsbegäran mail.docx", "A 54993-2023")</f>
        <v/>
      </c>
    </row>
    <row r="56" ht="15" customHeight="1">
      <c r="A56" t="inlineStr">
        <is>
          <t>A 65834-2018</t>
        </is>
      </c>
      <c r="B56" s="1" t="n">
        <v>43433</v>
      </c>
      <c r="C56" s="1" t="n">
        <v>45344</v>
      </c>
      <c r="D56" t="inlineStr">
        <is>
          <t>JÄMTLANDS LÄN</t>
        </is>
      </c>
      <c r="E56" t="inlineStr">
        <is>
          <t>BERG</t>
        </is>
      </c>
      <c r="F56" t="inlineStr">
        <is>
          <t>SCA</t>
        </is>
      </c>
      <c r="G56" t="n">
        <v>2.8</v>
      </c>
      <c r="H56" t="n">
        <v>0</v>
      </c>
      <c r="I56" t="n">
        <v>0</v>
      </c>
      <c r="J56" t="n">
        <v>2</v>
      </c>
      <c r="K56" t="n">
        <v>0</v>
      </c>
      <c r="L56" t="n">
        <v>0</v>
      </c>
      <c r="M56" t="n">
        <v>0</v>
      </c>
      <c r="N56" t="n">
        <v>0</v>
      </c>
      <c r="O56" t="n">
        <v>2</v>
      </c>
      <c r="P56" t="n">
        <v>0</v>
      </c>
      <c r="Q56" t="n">
        <v>2</v>
      </c>
      <c r="R56" s="2" t="inlineStr">
        <is>
          <t>Garnlav
Lunglav</t>
        </is>
      </c>
      <c r="S56">
        <f>HYPERLINK("https://klasma.github.io/Logging_2326/artfynd/A 65834-2018 artfynd.xlsx", "A 65834-2018")</f>
        <v/>
      </c>
      <c r="T56">
        <f>HYPERLINK("https://klasma.github.io/Logging_2326/kartor/A 65834-2018 karta.png", "A 65834-2018")</f>
        <v/>
      </c>
      <c r="V56">
        <f>HYPERLINK("https://klasma.github.io/Logging_2326/klagomål/A 65834-2018 FSC-klagomål.docx", "A 65834-2018")</f>
        <v/>
      </c>
      <c r="W56">
        <f>HYPERLINK("https://klasma.github.io/Logging_2326/klagomålsmail/A 65834-2018 FSC-klagomål mail.docx", "A 65834-2018")</f>
        <v/>
      </c>
      <c r="X56">
        <f>HYPERLINK("https://klasma.github.io/Logging_2326/tillsyn/A 65834-2018 tillsynsbegäran.docx", "A 65834-2018")</f>
        <v/>
      </c>
      <c r="Y56">
        <f>HYPERLINK("https://klasma.github.io/Logging_2326/tillsynsmail/A 65834-2018 tillsynsbegäran mail.docx", "A 65834-2018")</f>
        <v/>
      </c>
    </row>
    <row r="57" ht="15" customHeight="1">
      <c r="A57" t="inlineStr">
        <is>
          <t>A 26194-2019</t>
        </is>
      </c>
      <c r="B57" s="1" t="n">
        <v>43609</v>
      </c>
      <c r="C57" s="1" t="n">
        <v>45344</v>
      </c>
      <c r="D57" t="inlineStr">
        <is>
          <t>JÄMTLANDS LÄN</t>
        </is>
      </c>
      <c r="E57" t="inlineStr">
        <is>
          <t>BERG</t>
        </is>
      </c>
      <c r="G57" t="n">
        <v>11</v>
      </c>
      <c r="H57" t="n">
        <v>0</v>
      </c>
      <c r="I57" t="n">
        <v>0</v>
      </c>
      <c r="J57" t="n">
        <v>2</v>
      </c>
      <c r="K57" t="n">
        <v>0</v>
      </c>
      <c r="L57" t="n">
        <v>0</v>
      </c>
      <c r="M57" t="n">
        <v>0</v>
      </c>
      <c r="N57" t="n">
        <v>0</v>
      </c>
      <c r="O57" t="n">
        <v>2</v>
      </c>
      <c r="P57" t="n">
        <v>0</v>
      </c>
      <c r="Q57" t="n">
        <v>2</v>
      </c>
      <c r="R57" s="2" t="inlineStr">
        <is>
          <t>Vedflamlav
Vedskivlav</t>
        </is>
      </c>
      <c r="S57">
        <f>HYPERLINK("https://klasma.github.io/Logging_2326/artfynd/A 26194-2019 artfynd.xlsx", "A 26194-2019")</f>
        <v/>
      </c>
      <c r="T57">
        <f>HYPERLINK("https://klasma.github.io/Logging_2326/kartor/A 26194-2019 karta.png", "A 26194-2019")</f>
        <v/>
      </c>
      <c r="V57">
        <f>HYPERLINK("https://klasma.github.io/Logging_2326/klagomål/A 26194-2019 FSC-klagomål.docx", "A 26194-2019")</f>
        <v/>
      </c>
      <c r="W57">
        <f>HYPERLINK("https://klasma.github.io/Logging_2326/klagomålsmail/A 26194-2019 FSC-klagomål mail.docx", "A 26194-2019")</f>
        <v/>
      </c>
      <c r="X57">
        <f>HYPERLINK("https://klasma.github.io/Logging_2326/tillsyn/A 26194-2019 tillsynsbegäran.docx", "A 26194-2019")</f>
        <v/>
      </c>
      <c r="Y57">
        <f>HYPERLINK("https://klasma.github.io/Logging_2326/tillsynsmail/A 26194-2019 tillsynsbegäran mail.docx", "A 26194-2019")</f>
        <v/>
      </c>
    </row>
    <row r="58" ht="15" customHeight="1">
      <c r="A58" t="inlineStr">
        <is>
          <t>A 24421-2020</t>
        </is>
      </c>
      <c r="B58" s="1" t="n">
        <v>43976</v>
      </c>
      <c r="C58" s="1" t="n">
        <v>45344</v>
      </c>
      <c r="D58" t="inlineStr">
        <is>
          <t>JÄMTLANDS LÄN</t>
        </is>
      </c>
      <c r="E58" t="inlineStr">
        <is>
          <t>BERG</t>
        </is>
      </c>
      <c r="F58" t="inlineStr">
        <is>
          <t>SCA</t>
        </is>
      </c>
      <c r="G58" t="n">
        <v>15.8</v>
      </c>
      <c r="H58" t="n">
        <v>0</v>
      </c>
      <c r="I58" t="n">
        <v>0</v>
      </c>
      <c r="J58" t="n">
        <v>2</v>
      </c>
      <c r="K58" t="n">
        <v>0</v>
      </c>
      <c r="L58" t="n">
        <v>0</v>
      </c>
      <c r="M58" t="n">
        <v>0</v>
      </c>
      <c r="N58" t="n">
        <v>0</v>
      </c>
      <c r="O58" t="n">
        <v>2</v>
      </c>
      <c r="P58" t="n">
        <v>0</v>
      </c>
      <c r="Q58" t="n">
        <v>2</v>
      </c>
      <c r="R58" s="2" t="inlineStr">
        <is>
          <t>Blanksvart spiklav
Vedflamlav</t>
        </is>
      </c>
      <c r="S58">
        <f>HYPERLINK("https://klasma.github.io/Logging_2326/artfynd/A 24421-2020 artfynd.xlsx", "A 24421-2020")</f>
        <v/>
      </c>
      <c r="T58">
        <f>HYPERLINK("https://klasma.github.io/Logging_2326/kartor/A 24421-2020 karta.png", "A 24421-2020")</f>
        <v/>
      </c>
      <c r="V58">
        <f>HYPERLINK("https://klasma.github.io/Logging_2326/klagomål/A 24421-2020 FSC-klagomål.docx", "A 24421-2020")</f>
        <v/>
      </c>
      <c r="W58">
        <f>HYPERLINK("https://klasma.github.io/Logging_2326/klagomålsmail/A 24421-2020 FSC-klagomål mail.docx", "A 24421-2020")</f>
        <v/>
      </c>
      <c r="X58">
        <f>HYPERLINK("https://klasma.github.io/Logging_2326/tillsyn/A 24421-2020 tillsynsbegäran.docx", "A 24421-2020")</f>
        <v/>
      </c>
      <c r="Y58">
        <f>HYPERLINK("https://klasma.github.io/Logging_2326/tillsynsmail/A 24421-2020 tillsynsbegäran mail.docx", "A 24421-2020")</f>
        <v/>
      </c>
    </row>
    <row r="59" ht="15" customHeight="1">
      <c r="A59" t="inlineStr">
        <is>
          <t>A 32743-2020</t>
        </is>
      </c>
      <c r="B59" s="1" t="n">
        <v>44019</v>
      </c>
      <c r="C59" s="1" t="n">
        <v>45344</v>
      </c>
      <c r="D59" t="inlineStr">
        <is>
          <t>JÄMTLANDS LÄN</t>
        </is>
      </c>
      <c r="E59" t="inlineStr">
        <is>
          <t>BERG</t>
        </is>
      </c>
      <c r="F59" t="inlineStr">
        <is>
          <t>SCA</t>
        </is>
      </c>
      <c r="G59" t="n">
        <v>2.1</v>
      </c>
      <c r="H59" t="n">
        <v>0</v>
      </c>
      <c r="I59" t="n">
        <v>1</v>
      </c>
      <c r="J59" t="n">
        <v>1</v>
      </c>
      <c r="K59" t="n">
        <v>0</v>
      </c>
      <c r="L59" t="n">
        <v>0</v>
      </c>
      <c r="M59" t="n">
        <v>0</v>
      </c>
      <c r="N59" t="n">
        <v>0</v>
      </c>
      <c r="O59" t="n">
        <v>1</v>
      </c>
      <c r="P59" t="n">
        <v>0</v>
      </c>
      <c r="Q59" t="n">
        <v>2</v>
      </c>
      <c r="R59" s="2" t="inlineStr">
        <is>
          <t>Skrovellav
Barkkornlav</t>
        </is>
      </c>
      <c r="S59">
        <f>HYPERLINK("https://klasma.github.io/Logging_2326/artfynd/A 32743-2020 artfynd.xlsx", "A 32743-2020")</f>
        <v/>
      </c>
      <c r="T59">
        <f>HYPERLINK("https://klasma.github.io/Logging_2326/kartor/A 32743-2020 karta.png", "A 32743-2020")</f>
        <v/>
      </c>
      <c r="V59">
        <f>HYPERLINK("https://klasma.github.io/Logging_2326/klagomål/A 32743-2020 FSC-klagomål.docx", "A 32743-2020")</f>
        <v/>
      </c>
      <c r="W59">
        <f>HYPERLINK("https://klasma.github.io/Logging_2326/klagomålsmail/A 32743-2020 FSC-klagomål mail.docx", "A 32743-2020")</f>
        <v/>
      </c>
      <c r="X59">
        <f>HYPERLINK("https://klasma.github.io/Logging_2326/tillsyn/A 32743-2020 tillsynsbegäran.docx", "A 32743-2020")</f>
        <v/>
      </c>
      <c r="Y59">
        <f>HYPERLINK("https://klasma.github.io/Logging_2326/tillsynsmail/A 32743-2020 tillsynsbegäran mail.docx", "A 32743-2020")</f>
        <v/>
      </c>
    </row>
    <row r="60" ht="15" customHeight="1">
      <c r="A60" t="inlineStr">
        <is>
          <t>A 34577-2020</t>
        </is>
      </c>
      <c r="B60" s="1" t="n">
        <v>44033</v>
      </c>
      <c r="C60" s="1" t="n">
        <v>45344</v>
      </c>
      <c r="D60" t="inlineStr">
        <is>
          <t>JÄMTLANDS LÄN</t>
        </is>
      </c>
      <c r="E60" t="inlineStr">
        <is>
          <t>BERG</t>
        </is>
      </c>
      <c r="F60" t="inlineStr">
        <is>
          <t>SCA</t>
        </is>
      </c>
      <c r="G60" t="n">
        <v>7</v>
      </c>
      <c r="H60" t="n">
        <v>1</v>
      </c>
      <c r="I60" t="n">
        <v>0</v>
      </c>
      <c r="J60" t="n">
        <v>1</v>
      </c>
      <c r="K60" t="n">
        <v>1</v>
      </c>
      <c r="L60" t="n">
        <v>0</v>
      </c>
      <c r="M60" t="n">
        <v>0</v>
      </c>
      <c r="N60" t="n">
        <v>0</v>
      </c>
      <c r="O60" t="n">
        <v>2</v>
      </c>
      <c r="P60" t="n">
        <v>1</v>
      </c>
      <c r="Q60" t="n">
        <v>2</v>
      </c>
      <c r="R60" s="2" t="inlineStr">
        <is>
          <t>Doftticka
Skrovellav</t>
        </is>
      </c>
      <c r="S60">
        <f>HYPERLINK("https://klasma.github.io/Logging_2326/artfynd/A 34577-2020 artfynd.xlsx", "A 34577-2020")</f>
        <v/>
      </c>
      <c r="T60">
        <f>HYPERLINK("https://klasma.github.io/Logging_2326/kartor/A 34577-2020 karta.png", "A 34577-2020")</f>
        <v/>
      </c>
      <c r="V60">
        <f>HYPERLINK("https://klasma.github.io/Logging_2326/klagomål/A 34577-2020 FSC-klagomål.docx", "A 34577-2020")</f>
        <v/>
      </c>
      <c r="W60">
        <f>HYPERLINK("https://klasma.github.io/Logging_2326/klagomålsmail/A 34577-2020 FSC-klagomål mail.docx", "A 34577-2020")</f>
        <v/>
      </c>
      <c r="X60">
        <f>HYPERLINK("https://klasma.github.io/Logging_2326/tillsyn/A 34577-2020 tillsynsbegäran.docx", "A 34577-2020")</f>
        <v/>
      </c>
      <c r="Y60">
        <f>HYPERLINK("https://klasma.github.io/Logging_2326/tillsynsmail/A 34577-2020 tillsynsbegäran mail.docx", "A 34577-2020")</f>
        <v/>
      </c>
    </row>
    <row r="61" ht="15" customHeight="1">
      <c r="A61" t="inlineStr">
        <is>
          <t>A 59786-2020</t>
        </is>
      </c>
      <c r="B61" s="1" t="n">
        <v>44148</v>
      </c>
      <c r="C61" s="1" t="n">
        <v>45344</v>
      </c>
      <c r="D61" t="inlineStr">
        <is>
          <t>JÄMTLANDS LÄN</t>
        </is>
      </c>
      <c r="E61" t="inlineStr">
        <is>
          <t>BERG</t>
        </is>
      </c>
      <c r="F61" t="inlineStr">
        <is>
          <t>Kommuner</t>
        </is>
      </c>
      <c r="G61" t="n">
        <v>9.1</v>
      </c>
      <c r="H61" t="n">
        <v>0</v>
      </c>
      <c r="I61" t="n">
        <v>0</v>
      </c>
      <c r="J61" t="n">
        <v>2</v>
      </c>
      <c r="K61" t="n">
        <v>0</v>
      </c>
      <c r="L61" t="n">
        <v>0</v>
      </c>
      <c r="M61" t="n">
        <v>0</v>
      </c>
      <c r="N61" t="n">
        <v>0</v>
      </c>
      <c r="O61" t="n">
        <v>2</v>
      </c>
      <c r="P61" t="n">
        <v>0</v>
      </c>
      <c r="Q61" t="n">
        <v>2</v>
      </c>
      <c r="R61" s="2" t="inlineStr">
        <is>
          <t>Gränsticka
Rosenticka</t>
        </is>
      </c>
      <c r="S61">
        <f>HYPERLINK("https://klasma.github.io/Logging_2326/artfynd/A 59786-2020 artfynd.xlsx", "A 59786-2020")</f>
        <v/>
      </c>
      <c r="T61">
        <f>HYPERLINK("https://klasma.github.io/Logging_2326/kartor/A 59786-2020 karta.png", "A 59786-2020")</f>
        <v/>
      </c>
      <c r="V61">
        <f>HYPERLINK("https://klasma.github.io/Logging_2326/klagomål/A 59786-2020 FSC-klagomål.docx", "A 59786-2020")</f>
        <v/>
      </c>
      <c r="W61">
        <f>HYPERLINK("https://klasma.github.io/Logging_2326/klagomålsmail/A 59786-2020 FSC-klagomål mail.docx", "A 59786-2020")</f>
        <v/>
      </c>
      <c r="X61">
        <f>HYPERLINK("https://klasma.github.io/Logging_2326/tillsyn/A 59786-2020 tillsynsbegäran.docx", "A 59786-2020")</f>
        <v/>
      </c>
      <c r="Y61">
        <f>HYPERLINK("https://klasma.github.io/Logging_2326/tillsynsmail/A 59786-2020 tillsynsbegäran mail.docx", "A 59786-2020")</f>
        <v/>
      </c>
    </row>
    <row r="62" ht="15" customHeight="1">
      <c r="A62" t="inlineStr">
        <is>
          <t>A 14588-2021</t>
        </is>
      </c>
      <c r="B62" s="1" t="n">
        <v>44279</v>
      </c>
      <c r="C62" s="1" t="n">
        <v>45344</v>
      </c>
      <c r="D62" t="inlineStr">
        <is>
          <t>JÄMTLANDS LÄN</t>
        </is>
      </c>
      <c r="E62" t="inlineStr">
        <is>
          <t>BERG</t>
        </is>
      </c>
      <c r="G62" t="n">
        <v>6.3</v>
      </c>
      <c r="H62" t="n">
        <v>0</v>
      </c>
      <c r="I62" t="n">
        <v>0</v>
      </c>
      <c r="J62" t="n">
        <v>2</v>
      </c>
      <c r="K62" t="n">
        <v>0</v>
      </c>
      <c r="L62" t="n">
        <v>0</v>
      </c>
      <c r="M62" t="n">
        <v>0</v>
      </c>
      <c r="N62" t="n">
        <v>0</v>
      </c>
      <c r="O62" t="n">
        <v>2</v>
      </c>
      <c r="P62" t="n">
        <v>0</v>
      </c>
      <c r="Q62" t="n">
        <v>2</v>
      </c>
      <c r="R62" s="2" t="inlineStr">
        <is>
          <t>Garnlav
Harticka</t>
        </is>
      </c>
      <c r="S62">
        <f>HYPERLINK("https://klasma.github.io/Logging_2326/artfynd/A 14588-2021 artfynd.xlsx", "A 14588-2021")</f>
        <v/>
      </c>
      <c r="T62">
        <f>HYPERLINK("https://klasma.github.io/Logging_2326/kartor/A 14588-2021 karta.png", "A 14588-2021")</f>
        <v/>
      </c>
      <c r="V62">
        <f>HYPERLINK("https://klasma.github.io/Logging_2326/klagomål/A 14588-2021 FSC-klagomål.docx", "A 14588-2021")</f>
        <v/>
      </c>
      <c r="W62">
        <f>HYPERLINK("https://klasma.github.io/Logging_2326/klagomålsmail/A 14588-2021 FSC-klagomål mail.docx", "A 14588-2021")</f>
        <v/>
      </c>
      <c r="X62">
        <f>HYPERLINK("https://klasma.github.io/Logging_2326/tillsyn/A 14588-2021 tillsynsbegäran.docx", "A 14588-2021")</f>
        <v/>
      </c>
      <c r="Y62">
        <f>HYPERLINK("https://klasma.github.io/Logging_2326/tillsynsmail/A 14588-2021 tillsynsbegäran mail.docx", "A 14588-2021")</f>
        <v/>
      </c>
    </row>
    <row r="63" ht="15" customHeight="1">
      <c r="A63" t="inlineStr">
        <is>
          <t>A 51950-2021</t>
        </is>
      </c>
      <c r="B63" s="1" t="n">
        <v>44463</v>
      </c>
      <c r="C63" s="1" t="n">
        <v>45344</v>
      </c>
      <c r="D63" t="inlineStr">
        <is>
          <t>JÄMTLANDS LÄN</t>
        </is>
      </c>
      <c r="E63" t="inlineStr">
        <is>
          <t>BERG</t>
        </is>
      </c>
      <c r="F63" t="inlineStr">
        <is>
          <t>SCA</t>
        </is>
      </c>
      <c r="G63" t="n">
        <v>0.8</v>
      </c>
      <c r="H63" t="n">
        <v>0</v>
      </c>
      <c r="I63" t="n">
        <v>0</v>
      </c>
      <c r="J63" t="n">
        <v>2</v>
      </c>
      <c r="K63" t="n">
        <v>0</v>
      </c>
      <c r="L63" t="n">
        <v>0</v>
      </c>
      <c r="M63" t="n">
        <v>0</v>
      </c>
      <c r="N63" t="n">
        <v>0</v>
      </c>
      <c r="O63" t="n">
        <v>2</v>
      </c>
      <c r="P63" t="n">
        <v>0</v>
      </c>
      <c r="Q63" t="n">
        <v>2</v>
      </c>
      <c r="R63" s="2" t="inlineStr">
        <is>
          <t>Garnlav
Vedflamlav</t>
        </is>
      </c>
      <c r="S63">
        <f>HYPERLINK("https://klasma.github.io/Logging_2326/artfynd/A 51950-2021 artfynd.xlsx", "A 51950-2021")</f>
        <v/>
      </c>
      <c r="T63">
        <f>HYPERLINK("https://klasma.github.io/Logging_2326/kartor/A 51950-2021 karta.png", "A 51950-2021")</f>
        <v/>
      </c>
      <c r="V63">
        <f>HYPERLINK("https://klasma.github.io/Logging_2326/klagomål/A 51950-2021 FSC-klagomål.docx", "A 51950-2021")</f>
        <v/>
      </c>
      <c r="W63">
        <f>HYPERLINK("https://klasma.github.io/Logging_2326/klagomålsmail/A 51950-2021 FSC-klagomål mail.docx", "A 51950-2021")</f>
        <v/>
      </c>
      <c r="X63">
        <f>HYPERLINK("https://klasma.github.io/Logging_2326/tillsyn/A 51950-2021 tillsynsbegäran.docx", "A 51950-2021")</f>
        <v/>
      </c>
      <c r="Y63">
        <f>HYPERLINK("https://klasma.github.io/Logging_2326/tillsynsmail/A 51950-2021 tillsynsbegäran mail.docx", "A 51950-2021")</f>
        <v/>
      </c>
    </row>
    <row r="64" ht="15" customHeight="1">
      <c r="A64" t="inlineStr">
        <is>
          <t>A 6784-2022</t>
        </is>
      </c>
      <c r="B64" s="1" t="n">
        <v>44602</v>
      </c>
      <c r="C64" s="1" t="n">
        <v>45344</v>
      </c>
      <c r="D64" t="inlineStr">
        <is>
          <t>JÄMTLANDS LÄN</t>
        </is>
      </c>
      <c r="E64" t="inlineStr">
        <is>
          <t>BERG</t>
        </is>
      </c>
      <c r="G64" t="n">
        <v>4</v>
      </c>
      <c r="H64" t="n">
        <v>1</v>
      </c>
      <c r="I64" t="n">
        <v>0</v>
      </c>
      <c r="J64" t="n">
        <v>1</v>
      </c>
      <c r="K64" t="n">
        <v>0</v>
      </c>
      <c r="L64" t="n">
        <v>0</v>
      </c>
      <c r="M64" t="n">
        <v>0</v>
      </c>
      <c r="N64" t="n">
        <v>0</v>
      </c>
      <c r="O64" t="n">
        <v>1</v>
      </c>
      <c r="P64" t="n">
        <v>0</v>
      </c>
      <c r="Q64" t="n">
        <v>2</v>
      </c>
      <c r="R64" s="2" t="inlineStr">
        <is>
          <t>Brunklöver
Brudsporre</t>
        </is>
      </c>
      <c r="S64">
        <f>HYPERLINK("https://klasma.github.io/Logging_2326/artfynd/A 6784-2022 artfynd.xlsx", "A 6784-2022")</f>
        <v/>
      </c>
      <c r="T64">
        <f>HYPERLINK("https://klasma.github.io/Logging_2326/kartor/A 6784-2022 karta.png", "A 6784-2022")</f>
        <v/>
      </c>
      <c r="V64">
        <f>HYPERLINK("https://klasma.github.io/Logging_2326/klagomål/A 6784-2022 FSC-klagomål.docx", "A 6784-2022")</f>
        <v/>
      </c>
      <c r="W64">
        <f>HYPERLINK("https://klasma.github.io/Logging_2326/klagomålsmail/A 6784-2022 FSC-klagomål mail.docx", "A 6784-2022")</f>
        <v/>
      </c>
      <c r="X64">
        <f>HYPERLINK("https://klasma.github.io/Logging_2326/tillsyn/A 6784-2022 tillsynsbegäran.docx", "A 6784-2022")</f>
        <v/>
      </c>
      <c r="Y64">
        <f>HYPERLINK("https://klasma.github.io/Logging_2326/tillsynsmail/A 6784-2022 tillsynsbegäran mail.docx", "A 6784-2022")</f>
        <v/>
      </c>
    </row>
    <row r="65" ht="15" customHeight="1">
      <c r="A65" t="inlineStr">
        <is>
          <t>A 37387-2022</t>
        </is>
      </c>
      <c r="B65" s="1" t="n">
        <v>44806</v>
      </c>
      <c r="C65" s="1" t="n">
        <v>45344</v>
      </c>
      <c r="D65" t="inlineStr">
        <is>
          <t>JÄMTLANDS LÄN</t>
        </is>
      </c>
      <c r="E65" t="inlineStr">
        <is>
          <t>BERG</t>
        </is>
      </c>
      <c r="G65" t="n">
        <v>20.2</v>
      </c>
      <c r="H65" t="n">
        <v>1</v>
      </c>
      <c r="I65" t="n">
        <v>0</v>
      </c>
      <c r="J65" t="n">
        <v>2</v>
      </c>
      <c r="K65" t="n">
        <v>0</v>
      </c>
      <c r="L65" t="n">
        <v>0</v>
      </c>
      <c r="M65" t="n">
        <v>0</v>
      </c>
      <c r="N65" t="n">
        <v>0</v>
      </c>
      <c r="O65" t="n">
        <v>2</v>
      </c>
      <c r="P65" t="n">
        <v>0</v>
      </c>
      <c r="Q65" t="n">
        <v>2</v>
      </c>
      <c r="R65" s="2" t="inlineStr">
        <is>
          <t>Garnlav
Tretåig hackspett</t>
        </is>
      </c>
      <c r="S65">
        <f>HYPERLINK("https://klasma.github.io/Logging_2326/artfynd/A 37387-2022 artfynd.xlsx", "A 37387-2022")</f>
        <v/>
      </c>
      <c r="T65">
        <f>HYPERLINK("https://klasma.github.io/Logging_2326/kartor/A 37387-2022 karta.png", "A 37387-2022")</f>
        <v/>
      </c>
      <c r="V65">
        <f>HYPERLINK("https://klasma.github.io/Logging_2326/klagomål/A 37387-2022 FSC-klagomål.docx", "A 37387-2022")</f>
        <v/>
      </c>
      <c r="W65">
        <f>HYPERLINK("https://klasma.github.io/Logging_2326/klagomålsmail/A 37387-2022 FSC-klagomål mail.docx", "A 37387-2022")</f>
        <v/>
      </c>
      <c r="X65">
        <f>HYPERLINK("https://klasma.github.io/Logging_2326/tillsyn/A 37387-2022 tillsynsbegäran.docx", "A 37387-2022")</f>
        <v/>
      </c>
      <c r="Y65">
        <f>HYPERLINK("https://klasma.github.io/Logging_2326/tillsynsmail/A 37387-2022 tillsynsbegäran mail.docx", "A 37387-2022")</f>
        <v/>
      </c>
      <c r="Z65">
        <f>HYPERLINK("https://klasma.github.io/Logging_2326/fåglar/A 37387-2022 prioriterade fågelarter.docx", "A 37387-2022")</f>
        <v/>
      </c>
    </row>
    <row r="66" ht="15" customHeight="1">
      <c r="A66" t="inlineStr">
        <is>
          <t>A 41823-2022</t>
        </is>
      </c>
      <c r="B66" s="1" t="n">
        <v>44827</v>
      </c>
      <c r="C66" s="1" t="n">
        <v>45344</v>
      </c>
      <c r="D66" t="inlineStr">
        <is>
          <t>JÄMTLANDS LÄN</t>
        </is>
      </c>
      <c r="E66" t="inlineStr">
        <is>
          <t>BERG</t>
        </is>
      </c>
      <c r="F66" t="inlineStr">
        <is>
          <t>SCA</t>
        </is>
      </c>
      <c r="G66" t="n">
        <v>21.6</v>
      </c>
      <c r="H66" t="n">
        <v>1</v>
      </c>
      <c r="I66" t="n">
        <v>0</v>
      </c>
      <c r="J66" t="n">
        <v>1</v>
      </c>
      <c r="K66" t="n">
        <v>1</v>
      </c>
      <c r="L66" t="n">
        <v>0</v>
      </c>
      <c r="M66" t="n">
        <v>0</v>
      </c>
      <c r="N66" t="n">
        <v>0</v>
      </c>
      <c r="O66" t="n">
        <v>2</v>
      </c>
      <c r="P66" t="n">
        <v>1</v>
      </c>
      <c r="Q66" t="n">
        <v>2</v>
      </c>
      <c r="R66" s="2" t="inlineStr">
        <is>
          <t>Doftticka
Reliktbock</t>
        </is>
      </c>
      <c r="S66">
        <f>HYPERLINK("https://klasma.github.io/Logging_2326/artfynd/A 41823-2022 artfynd.xlsx", "A 41823-2022")</f>
        <v/>
      </c>
      <c r="T66">
        <f>HYPERLINK("https://klasma.github.io/Logging_2326/kartor/A 41823-2022 karta.png", "A 41823-2022")</f>
        <v/>
      </c>
      <c r="V66">
        <f>HYPERLINK("https://klasma.github.io/Logging_2326/klagomål/A 41823-2022 FSC-klagomål.docx", "A 41823-2022")</f>
        <v/>
      </c>
      <c r="W66">
        <f>HYPERLINK("https://klasma.github.io/Logging_2326/klagomålsmail/A 41823-2022 FSC-klagomål mail.docx", "A 41823-2022")</f>
        <v/>
      </c>
      <c r="X66">
        <f>HYPERLINK("https://klasma.github.io/Logging_2326/tillsyn/A 41823-2022 tillsynsbegäran.docx", "A 41823-2022")</f>
        <v/>
      </c>
      <c r="Y66">
        <f>HYPERLINK("https://klasma.github.io/Logging_2326/tillsynsmail/A 41823-2022 tillsynsbegäran mail.docx", "A 41823-2022")</f>
        <v/>
      </c>
    </row>
    <row r="67" ht="15" customHeight="1">
      <c r="A67" t="inlineStr">
        <is>
          <t>A 44441-2022</t>
        </is>
      </c>
      <c r="B67" s="1" t="n">
        <v>44840</v>
      </c>
      <c r="C67" s="1" t="n">
        <v>45344</v>
      </c>
      <c r="D67" t="inlineStr">
        <is>
          <t>JÄMTLANDS LÄN</t>
        </is>
      </c>
      <c r="E67" t="inlineStr">
        <is>
          <t>BERG</t>
        </is>
      </c>
      <c r="F67" t="inlineStr">
        <is>
          <t>SCA</t>
        </is>
      </c>
      <c r="G67" t="n">
        <v>3.5</v>
      </c>
      <c r="H67" t="n">
        <v>1</v>
      </c>
      <c r="I67" t="n">
        <v>0</v>
      </c>
      <c r="J67" t="n">
        <v>2</v>
      </c>
      <c r="K67" t="n">
        <v>0</v>
      </c>
      <c r="L67" t="n">
        <v>0</v>
      </c>
      <c r="M67" t="n">
        <v>0</v>
      </c>
      <c r="N67" t="n">
        <v>0</v>
      </c>
      <c r="O67" t="n">
        <v>2</v>
      </c>
      <c r="P67" t="n">
        <v>0</v>
      </c>
      <c r="Q67" t="n">
        <v>2</v>
      </c>
      <c r="R67" s="2" t="inlineStr">
        <is>
          <t>Nordtagging
Tretåig hackspett</t>
        </is>
      </c>
      <c r="S67">
        <f>HYPERLINK("https://klasma.github.io/Logging_2326/artfynd/A 44441-2022 artfynd.xlsx", "A 44441-2022")</f>
        <v/>
      </c>
      <c r="T67">
        <f>HYPERLINK("https://klasma.github.io/Logging_2326/kartor/A 44441-2022 karta.png", "A 44441-2022")</f>
        <v/>
      </c>
      <c r="V67">
        <f>HYPERLINK("https://klasma.github.io/Logging_2326/klagomål/A 44441-2022 FSC-klagomål.docx", "A 44441-2022")</f>
        <v/>
      </c>
      <c r="W67">
        <f>HYPERLINK("https://klasma.github.io/Logging_2326/klagomålsmail/A 44441-2022 FSC-klagomål mail.docx", "A 44441-2022")</f>
        <v/>
      </c>
      <c r="X67">
        <f>HYPERLINK("https://klasma.github.io/Logging_2326/tillsyn/A 44441-2022 tillsynsbegäran.docx", "A 44441-2022")</f>
        <v/>
      </c>
      <c r="Y67">
        <f>HYPERLINK("https://klasma.github.io/Logging_2326/tillsynsmail/A 44441-2022 tillsynsbegäran mail.docx", "A 44441-2022")</f>
        <v/>
      </c>
      <c r="Z67">
        <f>HYPERLINK("https://klasma.github.io/Logging_2326/fåglar/A 44441-2022 prioriterade fågelarter.docx", "A 44441-2022")</f>
        <v/>
      </c>
    </row>
    <row r="68" ht="15" customHeight="1">
      <c r="A68" t="inlineStr">
        <is>
          <t>A 60849-2022</t>
        </is>
      </c>
      <c r="B68" s="1" t="n">
        <v>44908</v>
      </c>
      <c r="C68" s="1" t="n">
        <v>45344</v>
      </c>
      <c r="D68" t="inlineStr">
        <is>
          <t>JÄMTLANDS LÄN</t>
        </is>
      </c>
      <c r="E68" t="inlineStr">
        <is>
          <t>BERG</t>
        </is>
      </c>
      <c r="G68" t="n">
        <v>19.2</v>
      </c>
      <c r="H68" t="n">
        <v>1</v>
      </c>
      <c r="I68" t="n">
        <v>0</v>
      </c>
      <c r="J68" t="n">
        <v>1</v>
      </c>
      <c r="K68" t="n">
        <v>1</v>
      </c>
      <c r="L68" t="n">
        <v>0</v>
      </c>
      <c r="M68" t="n">
        <v>0</v>
      </c>
      <c r="N68" t="n">
        <v>0</v>
      </c>
      <c r="O68" t="n">
        <v>2</v>
      </c>
      <c r="P68" t="n">
        <v>1</v>
      </c>
      <c r="Q68" t="n">
        <v>2</v>
      </c>
      <c r="R68" s="2" t="inlineStr">
        <is>
          <t>Knärot
Garnlav</t>
        </is>
      </c>
      <c r="S68">
        <f>HYPERLINK("https://klasma.github.io/Logging_2326/artfynd/A 60849-2022 artfynd.xlsx", "A 60849-2022")</f>
        <v/>
      </c>
      <c r="T68">
        <f>HYPERLINK("https://klasma.github.io/Logging_2326/kartor/A 60849-2022 karta.png", "A 60849-2022")</f>
        <v/>
      </c>
      <c r="U68">
        <f>HYPERLINK("https://klasma.github.io/Logging_2326/knärot/A 60849-2022 karta knärot.png", "A 60849-2022")</f>
        <v/>
      </c>
      <c r="V68">
        <f>HYPERLINK("https://klasma.github.io/Logging_2326/klagomål/A 60849-2022 FSC-klagomål.docx", "A 60849-2022")</f>
        <v/>
      </c>
      <c r="W68">
        <f>HYPERLINK("https://klasma.github.io/Logging_2326/klagomålsmail/A 60849-2022 FSC-klagomål mail.docx", "A 60849-2022")</f>
        <v/>
      </c>
      <c r="X68">
        <f>HYPERLINK("https://klasma.github.io/Logging_2326/tillsyn/A 60849-2022 tillsynsbegäran.docx", "A 60849-2022")</f>
        <v/>
      </c>
      <c r="Y68">
        <f>HYPERLINK("https://klasma.github.io/Logging_2326/tillsynsmail/A 60849-2022 tillsynsbegäran mail.docx", "A 60849-2022")</f>
        <v/>
      </c>
    </row>
    <row r="69" ht="15" customHeight="1">
      <c r="A69" t="inlineStr">
        <is>
          <t>A 575-2023</t>
        </is>
      </c>
      <c r="B69" s="1" t="n">
        <v>44930</v>
      </c>
      <c r="C69" s="1" t="n">
        <v>45344</v>
      </c>
      <c r="D69" t="inlineStr">
        <is>
          <t>JÄMTLANDS LÄN</t>
        </is>
      </c>
      <c r="E69" t="inlineStr">
        <is>
          <t>BERG</t>
        </is>
      </c>
      <c r="G69" t="n">
        <v>10.9</v>
      </c>
      <c r="H69" t="n">
        <v>0</v>
      </c>
      <c r="I69" t="n">
        <v>1</v>
      </c>
      <c r="J69" t="n">
        <v>1</v>
      </c>
      <c r="K69" t="n">
        <v>0</v>
      </c>
      <c r="L69" t="n">
        <v>0</v>
      </c>
      <c r="M69" t="n">
        <v>0</v>
      </c>
      <c r="N69" t="n">
        <v>0</v>
      </c>
      <c r="O69" t="n">
        <v>1</v>
      </c>
      <c r="P69" t="n">
        <v>0</v>
      </c>
      <c r="Q69" t="n">
        <v>2</v>
      </c>
      <c r="R69" s="2" t="inlineStr">
        <is>
          <t>Lunglav
Rävticka</t>
        </is>
      </c>
      <c r="S69">
        <f>HYPERLINK("https://klasma.github.io/Logging_2326/artfynd/A 575-2023 artfynd.xlsx", "A 575-2023")</f>
        <v/>
      </c>
      <c r="T69">
        <f>HYPERLINK("https://klasma.github.io/Logging_2326/kartor/A 575-2023 karta.png", "A 575-2023")</f>
        <v/>
      </c>
      <c r="V69">
        <f>HYPERLINK("https://klasma.github.io/Logging_2326/klagomål/A 575-2023 FSC-klagomål.docx", "A 575-2023")</f>
        <v/>
      </c>
      <c r="W69">
        <f>HYPERLINK("https://klasma.github.io/Logging_2326/klagomålsmail/A 575-2023 FSC-klagomål mail.docx", "A 575-2023")</f>
        <v/>
      </c>
      <c r="X69">
        <f>HYPERLINK("https://klasma.github.io/Logging_2326/tillsyn/A 575-2023 tillsynsbegäran.docx", "A 575-2023")</f>
        <v/>
      </c>
      <c r="Y69">
        <f>HYPERLINK("https://klasma.github.io/Logging_2326/tillsynsmail/A 575-2023 tillsynsbegäran mail.docx", "A 575-2023")</f>
        <v/>
      </c>
    </row>
    <row r="70" ht="15" customHeight="1">
      <c r="A70" t="inlineStr">
        <is>
          <t>A 7473-2023</t>
        </is>
      </c>
      <c r="B70" s="1" t="n">
        <v>44966</v>
      </c>
      <c r="C70" s="1" t="n">
        <v>45344</v>
      </c>
      <c r="D70" t="inlineStr">
        <is>
          <t>JÄMTLANDS LÄN</t>
        </is>
      </c>
      <c r="E70" t="inlineStr">
        <is>
          <t>BERG</t>
        </is>
      </c>
      <c r="G70" t="n">
        <v>26.8</v>
      </c>
      <c r="H70" t="n">
        <v>1</v>
      </c>
      <c r="I70" t="n">
        <v>1</v>
      </c>
      <c r="J70" t="n">
        <v>1</v>
      </c>
      <c r="K70" t="n">
        <v>0</v>
      </c>
      <c r="L70" t="n">
        <v>0</v>
      </c>
      <c r="M70" t="n">
        <v>0</v>
      </c>
      <c r="N70" t="n">
        <v>0</v>
      </c>
      <c r="O70" t="n">
        <v>1</v>
      </c>
      <c r="P70" t="n">
        <v>0</v>
      </c>
      <c r="Q70" t="n">
        <v>2</v>
      </c>
      <c r="R70" s="2" t="inlineStr">
        <is>
          <t>Tretåig hackspett
Dropptaggsvamp</t>
        </is>
      </c>
      <c r="S70">
        <f>HYPERLINK("https://klasma.github.io/Logging_2326/artfynd/A 7473-2023 artfynd.xlsx", "A 7473-2023")</f>
        <v/>
      </c>
      <c r="T70">
        <f>HYPERLINK("https://klasma.github.io/Logging_2326/kartor/A 7473-2023 karta.png", "A 7473-2023")</f>
        <v/>
      </c>
      <c r="V70">
        <f>HYPERLINK("https://klasma.github.io/Logging_2326/klagomål/A 7473-2023 FSC-klagomål.docx", "A 7473-2023")</f>
        <v/>
      </c>
      <c r="W70">
        <f>HYPERLINK("https://klasma.github.io/Logging_2326/klagomålsmail/A 7473-2023 FSC-klagomål mail.docx", "A 7473-2023")</f>
        <v/>
      </c>
      <c r="X70">
        <f>HYPERLINK("https://klasma.github.io/Logging_2326/tillsyn/A 7473-2023 tillsynsbegäran.docx", "A 7473-2023")</f>
        <v/>
      </c>
      <c r="Y70">
        <f>HYPERLINK("https://klasma.github.io/Logging_2326/tillsynsmail/A 7473-2023 tillsynsbegäran mail.docx", "A 7473-2023")</f>
        <v/>
      </c>
      <c r="Z70">
        <f>HYPERLINK("https://klasma.github.io/Logging_2326/fåglar/A 7473-2023 prioriterade fågelarter.docx", "A 7473-2023")</f>
        <v/>
      </c>
    </row>
    <row r="71" ht="15" customHeight="1">
      <c r="A71" t="inlineStr">
        <is>
          <t>A 10133-2023</t>
        </is>
      </c>
      <c r="B71" s="1" t="n">
        <v>44986</v>
      </c>
      <c r="C71" s="1" t="n">
        <v>45344</v>
      </c>
      <c r="D71" t="inlineStr">
        <is>
          <t>JÄMTLANDS LÄN</t>
        </is>
      </c>
      <c r="E71" t="inlineStr">
        <is>
          <t>BERG</t>
        </is>
      </c>
      <c r="F71" t="inlineStr">
        <is>
          <t>Holmen skog AB</t>
        </is>
      </c>
      <c r="G71" t="n">
        <v>3</v>
      </c>
      <c r="H71" t="n">
        <v>0</v>
      </c>
      <c r="I71" t="n">
        <v>0</v>
      </c>
      <c r="J71" t="n">
        <v>2</v>
      </c>
      <c r="K71" t="n">
        <v>0</v>
      </c>
      <c r="L71" t="n">
        <v>0</v>
      </c>
      <c r="M71" t="n">
        <v>0</v>
      </c>
      <c r="N71" t="n">
        <v>0</v>
      </c>
      <c r="O71" t="n">
        <v>2</v>
      </c>
      <c r="P71" t="n">
        <v>0</v>
      </c>
      <c r="Q71" t="n">
        <v>2</v>
      </c>
      <c r="R71" s="2" t="inlineStr">
        <is>
          <t>Garnlav
Vitgrynig nållav</t>
        </is>
      </c>
      <c r="S71">
        <f>HYPERLINK("https://klasma.github.io/Logging_2326/artfynd/A 10133-2023 artfynd.xlsx", "A 10133-2023")</f>
        <v/>
      </c>
      <c r="T71">
        <f>HYPERLINK("https://klasma.github.io/Logging_2326/kartor/A 10133-2023 karta.png", "A 10133-2023")</f>
        <v/>
      </c>
      <c r="V71">
        <f>HYPERLINK("https://klasma.github.io/Logging_2326/klagomål/A 10133-2023 FSC-klagomål.docx", "A 10133-2023")</f>
        <v/>
      </c>
      <c r="W71">
        <f>HYPERLINK("https://klasma.github.io/Logging_2326/klagomålsmail/A 10133-2023 FSC-klagomål mail.docx", "A 10133-2023")</f>
        <v/>
      </c>
      <c r="X71">
        <f>HYPERLINK("https://klasma.github.io/Logging_2326/tillsyn/A 10133-2023 tillsynsbegäran.docx", "A 10133-2023")</f>
        <v/>
      </c>
      <c r="Y71">
        <f>HYPERLINK("https://klasma.github.io/Logging_2326/tillsynsmail/A 10133-2023 tillsynsbegäran mail.docx", "A 10133-2023")</f>
        <v/>
      </c>
    </row>
    <row r="72" ht="15" customHeight="1">
      <c r="A72" t="inlineStr">
        <is>
          <t>A 29615-2023</t>
        </is>
      </c>
      <c r="B72" s="1" t="n">
        <v>45107</v>
      </c>
      <c r="C72" s="1" t="n">
        <v>45344</v>
      </c>
      <c r="D72" t="inlineStr">
        <is>
          <t>JÄMTLANDS LÄN</t>
        </is>
      </c>
      <c r="E72" t="inlineStr">
        <is>
          <t>BERG</t>
        </is>
      </c>
      <c r="F72" t="inlineStr">
        <is>
          <t>SCA</t>
        </is>
      </c>
      <c r="G72" t="n">
        <v>8.800000000000001</v>
      </c>
      <c r="H72" t="n">
        <v>1</v>
      </c>
      <c r="I72" t="n">
        <v>0</v>
      </c>
      <c r="J72" t="n">
        <v>2</v>
      </c>
      <c r="K72" t="n">
        <v>0</v>
      </c>
      <c r="L72" t="n">
        <v>0</v>
      </c>
      <c r="M72" t="n">
        <v>0</v>
      </c>
      <c r="N72" t="n">
        <v>0</v>
      </c>
      <c r="O72" t="n">
        <v>2</v>
      </c>
      <c r="P72" t="n">
        <v>0</v>
      </c>
      <c r="Q72" t="n">
        <v>2</v>
      </c>
      <c r="R72" s="2" t="inlineStr">
        <is>
          <t>Granticka
Tretåig hackspett</t>
        </is>
      </c>
      <c r="S72">
        <f>HYPERLINK("https://klasma.github.io/Logging_2326/artfynd/A 29615-2023 artfynd.xlsx", "A 29615-2023")</f>
        <v/>
      </c>
      <c r="T72">
        <f>HYPERLINK("https://klasma.github.io/Logging_2326/kartor/A 29615-2023 karta.png", "A 29615-2023")</f>
        <v/>
      </c>
      <c r="V72">
        <f>HYPERLINK("https://klasma.github.io/Logging_2326/klagomål/A 29615-2023 FSC-klagomål.docx", "A 29615-2023")</f>
        <v/>
      </c>
      <c r="W72">
        <f>HYPERLINK("https://klasma.github.io/Logging_2326/klagomålsmail/A 29615-2023 FSC-klagomål mail.docx", "A 29615-2023")</f>
        <v/>
      </c>
      <c r="X72">
        <f>HYPERLINK("https://klasma.github.io/Logging_2326/tillsyn/A 29615-2023 tillsynsbegäran.docx", "A 29615-2023")</f>
        <v/>
      </c>
      <c r="Y72">
        <f>HYPERLINK("https://klasma.github.io/Logging_2326/tillsynsmail/A 29615-2023 tillsynsbegäran mail.docx", "A 29615-2023")</f>
        <v/>
      </c>
      <c r="Z72">
        <f>HYPERLINK("https://klasma.github.io/Logging_2326/fåglar/A 29615-2023 prioriterade fågelarter.docx", "A 29615-2023")</f>
        <v/>
      </c>
    </row>
    <row r="73" ht="15" customHeight="1">
      <c r="A73" t="inlineStr">
        <is>
          <t>A 48880-2023</t>
        </is>
      </c>
      <c r="B73" s="1" t="n">
        <v>45209</v>
      </c>
      <c r="C73" s="1" t="n">
        <v>45344</v>
      </c>
      <c r="D73" t="inlineStr">
        <is>
          <t>JÄMTLANDS LÄN</t>
        </is>
      </c>
      <c r="E73" t="inlineStr">
        <is>
          <t>BERG</t>
        </is>
      </c>
      <c r="F73" t="inlineStr">
        <is>
          <t>Naturvårdsverket</t>
        </is>
      </c>
      <c r="G73" t="n">
        <v>5.5</v>
      </c>
      <c r="H73" t="n">
        <v>0</v>
      </c>
      <c r="I73" t="n">
        <v>0</v>
      </c>
      <c r="J73" t="n">
        <v>2</v>
      </c>
      <c r="K73" t="n">
        <v>0</v>
      </c>
      <c r="L73" t="n">
        <v>0</v>
      </c>
      <c r="M73" t="n">
        <v>0</v>
      </c>
      <c r="N73" t="n">
        <v>0</v>
      </c>
      <c r="O73" t="n">
        <v>2</v>
      </c>
      <c r="P73" t="n">
        <v>0</v>
      </c>
      <c r="Q73" t="n">
        <v>2</v>
      </c>
      <c r="R73" s="2" t="inlineStr">
        <is>
          <t>Garnlav
Lunglav</t>
        </is>
      </c>
      <c r="S73">
        <f>HYPERLINK("https://klasma.github.io/Logging_2326/artfynd/A 48880-2023 artfynd.xlsx", "A 48880-2023")</f>
        <v/>
      </c>
      <c r="T73">
        <f>HYPERLINK("https://klasma.github.io/Logging_2326/kartor/A 48880-2023 karta.png", "A 48880-2023")</f>
        <v/>
      </c>
      <c r="U73">
        <f>HYPERLINK("https://klasma.github.io/Logging_2326/knärot/A 48880-2023 karta knärot.png", "A 48880-2023")</f>
        <v/>
      </c>
      <c r="V73">
        <f>HYPERLINK("https://klasma.github.io/Logging_2326/klagomål/A 48880-2023 FSC-klagomål.docx", "A 48880-2023")</f>
        <v/>
      </c>
      <c r="W73">
        <f>HYPERLINK("https://klasma.github.io/Logging_2326/klagomålsmail/A 48880-2023 FSC-klagomål mail.docx", "A 48880-2023")</f>
        <v/>
      </c>
      <c r="X73">
        <f>HYPERLINK("https://klasma.github.io/Logging_2326/tillsyn/A 48880-2023 tillsynsbegäran.docx", "A 48880-2023")</f>
        <v/>
      </c>
      <c r="Y73">
        <f>HYPERLINK("https://klasma.github.io/Logging_2326/tillsynsmail/A 48880-2023 tillsynsbegäran mail.docx", "A 48880-2023")</f>
        <v/>
      </c>
    </row>
    <row r="74" ht="15" customHeight="1">
      <c r="A74" t="inlineStr">
        <is>
          <t>A 54996-2023</t>
        </is>
      </c>
      <c r="B74" s="1" t="n">
        <v>45237</v>
      </c>
      <c r="C74" s="1" t="n">
        <v>45344</v>
      </c>
      <c r="D74" t="inlineStr">
        <is>
          <t>JÄMTLANDS LÄN</t>
        </is>
      </c>
      <c r="E74" t="inlineStr">
        <is>
          <t>BERG</t>
        </is>
      </c>
      <c r="F74" t="inlineStr">
        <is>
          <t>SCA</t>
        </is>
      </c>
      <c r="G74" t="n">
        <v>6.2</v>
      </c>
      <c r="H74" t="n">
        <v>0</v>
      </c>
      <c r="I74" t="n">
        <v>0</v>
      </c>
      <c r="J74" t="n">
        <v>2</v>
      </c>
      <c r="K74" t="n">
        <v>0</v>
      </c>
      <c r="L74" t="n">
        <v>0</v>
      </c>
      <c r="M74" t="n">
        <v>0</v>
      </c>
      <c r="N74" t="n">
        <v>0</v>
      </c>
      <c r="O74" t="n">
        <v>2</v>
      </c>
      <c r="P74" t="n">
        <v>0</v>
      </c>
      <c r="Q74" t="n">
        <v>2</v>
      </c>
      <c r="R74" s="2" t="inlineStr">
        <is>
          <t>Dvärgbägarlav
Vedflamlav</t>
        </is>
      </c>
      <c r="S74">
        <f>HYPERLINK("https://klasma.github.io/Logging_2326/artfynd/A 54996-2023 artfynd.xlsx", "A 54996-2023")</f>
        <v/>
      </c>
      <c r="T74">
        <f>HYPERLINK("https://klasma.github.io/Logging_2326/kartor/A 54996-2023 karta.png", "A 54996-2023")</f>
        <v/>
      </c>
      <c r="V74">
        <f>HYPERLINK("https://klasma.github.io/Logging_2326/klagomål/A 54996-2023 FSC-klagomål.docx", "A 54996-2023")</f>
        <v/>
      </c>
      <c r="W74">
        <f>HYPERLINK("https://klasma.github.io/Logging_2326/klagomålsmail/A 54996-2023 FSC-klagomål mail.docx", "A 54996-2023")</f>
        <v/>
      </c>
      <c r="X74">
        <f>HYPERLINK("https://klasma.github.io/Logging_2326/tillsyn/A 54996-2023 tillsynsbegäran.docx", "A 54996-2023")</f>
        <v/>
      </c>
      <c r="Y74">
        <f>HYPERLINK("https://klasma.github.io/Logging_2326/tillsynsmail/A 54996-2023 tillsynsbegäran mail.docx", "A 54996-2023")</f>
        <v/>
      </c>
    </row>
    <row r="75" ht="15" customHeight="1">
      <c r="A75" t="inlineStr">
        <is>
          <t>A 55331-2023</t>
        </is>
      </c>
      <c r="B75" s="1" t="n">
        <v>45238</v>
      </c>
      <c r="C75" s="1" t="n">
        <v>45344</v>
      </c>
      <c r="D75" t="inlineStr">
        <is>
          <t>JÄMTLANDS LÄN</t>
        </is>
      </c>
      <c r="E75" t="inlineStr">
        <is>
          <t>BERG</t>
        </is>
      </c>
      <c r="F75" t="inlineStr">
        <is>
          <t>SCA</t>
        </is>
      </c>
      <c r="G75" t="n">
        <v>8.800000000000001</v>
      </c>
      <c r="H75" t="n">
        <v>1</v>
      </c>
      <c r="I75" t="n">
        <v>1</v>
      </c>
      <c r="J75" t="n">
        <v>0</v>
      </c>
      <c r="K75" t="n">
        <v>0</v>
      </c>
      <c r="L75" t="n">
        <v>0</v>
      </c>
      <c r="M75" t="n">
        <v>0</v>
      </c>
      <c r="N75" t="n">
        <v>0</v>
      </c>
      <c r="O75" t="n">
        <v>0</v>
      </c>
      <c r="P75" t="n">
        <v>0</v>
      </c>
      <c r="Q75" t="n">
        <v>2</v>
      </c>
      <c r="R75" s="2" t="inlineStr">
        <is>
          <t>Tibast
Fläcknycklar</t>
        </is>
      </c>
      <c r="S75">
        <f>HYPERLINK("https://klasma.github.io/Logging_2326/artfynd/A 55331-2023 artfynd.xlsx", "A 55331-2023")</f>
        <v/>
      </c>
      <c r="T75">
        <f>HYPERLINK("https://klasma.github.io/Logging_2326/kartor/A 55331-2023 karta.png", "A 55331-2023")</f>
        <v/>
      </c>
      <c r="V75">
        <f>HYPERLINK("https://klasma.github.io/Logging_2326/klagomål/A 55331-2023 FSC-klagomål.docx", "A 55331-2023")</f>
        <v/>
      </c>
      <c r="W75">
        <f>HYPERLINK("https://klasma.github.io/Logging_2326/klagomålsmail/A 55331-2023 FSC-klagomål mail.docx", "A 55331-2023")</f>
        <v/>
      </c>
      <c r="X75">
        <f>HYPERLINK("https://klasma.github.io/Logging_2326/tillsyn/A 55331-2023 tillsynsbegäran.docx", "A 55331-2023")</f>
        <v/>
      </c>
      <c r="Y75">
        <f>HYPERLINK("https://klasma.github.io/Logging_2326/tillsynsmail/A 55331-2023 tillsynsbegäran mail.docx", "A 55331-2023")</f>
        <v/>
      </c>
    </row>
    <row r="76" ht="15" customHeight="1">
      <c r="A76" t="inlineStr">
        <is>
          <t>A 66769-2018</t>
        </is>
      </c>
      <c r="B76" s="1" t="n">
        <v>43437</v>
      </c>
      <c r="C76" s="1" t="n">
        <v>45344</v>
      </c>
      <c r="D76" t="inlineStr">
        <is>
          <t>JÄMTLANDS LÄN</t>
        </is>
      </c>
      <c r="E76" t="inlineStr">
        <is>
          <t>BERG</t>
        </is>
      </c>
      <c r="G76" t="n">
        <v>0.9</v>
      </c>
      <c r="H76" t="n">
        <v>0</v>
      </c>
      <c r="I76" t="n">
        <v>0</v>
      </c>
      <c r="J76" t="n">
        <v>1</v>
      </c>
      <c r="K76" t="n">
        <v>0</v>
      </c>
      <c r="L76" t="n">
        <v>0</v>
      </c>
      <c r="M76" t="n">
        <v>0</v>
      </c>
      <c r="N76" t="n">
        <v>0</v>
      </c>
      <c r="O76" t="n">
        <v>1</v>
      </c>
      <c r="P76" t="n">
        <v>0</v>
      </c>
      <c r="Q76" t="n">
        <v>1</v>
      </c>
      <c r="R76" s="2" t="inlineStr">
        <is>
          <t>Garnlav</t>
        </is>
      </c>
      <c r="S76">
        <f>HYPERLINK("https://klasma.github.io/Logging_2326/artfynd/A 66769-2018 artfynd.xlsx", "A 66769-2018")</f>
        <v/>
      </c>
      <c r="T76">
        <f>HYPERLINK("https://klasma.github.io/Logging_2326/kartor/A 66769-2018 karta.png", "A 66769-2018")</f>
        <v/>
      </c>
      <c r="V76">
        <f>HYPERLINK("https://klasma.github.io/Logging_2326/klagomål/A 66769-2018 FSC-klagomål.docx", "A 66769-2018")</f>
        <v/>
      </c>
      <c r="W76">
        <f>HYPERLINK("https://klasma.github.io/Logging_2326/klagomålsmail/A 66769-2018 FSC-klagomål mail.docx", "A 66769-2018")</f>
        <v/>
      </c>
      <c r="X76">
        <f>HYPERLINK("https://klasma.github.io/Logging_2326/tillsyn/A 66769-2018 tillsynsbegäran.docx", "A 66769-2018")</f>
        <v/>
      </c>
      <c r="Y76">
        <f>HYPERLINK("https://klasma.github.io/Logging_2326/tillsynsmail/A 66769-2018 tillsynsbegäran mail.docx", "A 66769-2018")</f>
        <v/>
      </c>
    </row>
    <row r="77" ht="15" customHeight="1">
      <c r="A77" t="inlineStr">
        <is>
          <t>A 14312-2019</t>
        </is>
      </c>
      <c r="B77" s="1" t="n">
        <v>43535</v>
      </c>
      <c r="C77" s="1" t="n">
        <v>45344</v>
      </c>
      <c r="D77" t="inlineStr">
        <is>
          <t>JÄMTLANDS LÄN</t>
        </is>
      </c>
      <c r="E77" t="inlineStr">
        <is>
          <t>BERG</t>
        </is>
      </c>
      <c r="G77" t="n">
        <v>5.3</v>
      </c>
      <c r="H77" t="n">
        <v>1</v>
      </c>
      <c r="I77" t="n">
        <v>0</v>
      </c>
      <c r="J77" t="n">
        <v>1</v>
      </c>
      <c r="K77" t="n">
        <v>0</v>
      </c>
      <c r="L77" t="n">
        <v>0</v>
      </c>
      <c r="M77" t="n">
        <v>0</v>
      </c>
      <c r="N77" t="n">
        <v>0</v>
      </c>
      <c r="O77" t="n">
        <v>1</v>
      </c>
      <c r="P77" t="n">
        <v>0</v>
      </c>
      <c r="Q77" t="n">
        <v>1</v>
      </c>
      <c r="R77" s="2" t="inlineStr">
        <is>
          <t>Tretåig hackspett</t>
        </is>
      </c>
      <c r="S77">
        <f>HYPERLINK("https://klasma.github.io/Logging_2326/artfynd/A 14312-2019 artfynd.xlsx", "A 14312-2019")</f>
        <v/>
      </c>
      <c r="T77">
        <f>HYPERLINK("https://klasma.github.io/Logging_2326/kartor/A 14312-2019 karta.png", "A 14312-2019")</f>
        <v/>
      </c>
      <c r="V77">
        <f>HYPERLINK("https://klasma.github.io/Logging_2326/klagomål/A 14312-2019 FSC-klagomål.docx", "A 14312-2019")</f>
        <v/>
      </c>
      <c r="W77">
        <f>HYPERLINK("https://klasma.github.io/Logging_2326/klagomålsmail/A 14312-2019 FSC-klagomål mail.docx", "A 14312-2019")</f>
        <v/>
      </c>
      <c r="X77">
        <f>HYPERLINK("https://klasma.github.io/Logging_2326/tillsyn/A 14312-2019 tillsynsbegäran.docx", "A 14312-2019")</f>
        <v/>
      </c>
      <c r="Y77">
        <f>HYPERLINK("https://klasma.github.io/Logging_2326/tillsynsmail/A 14312-2019 tillsynsbegäran mail.docx", "A 14312-2019")</f>
        <v/>
      </c>
      <c r="Z77">
        <f>HYPERLINK("https://klasma.github.io/Logging_2326/fåglar/A 14312-2019 prioriterade fågelarter.docx", "A 14312-2019")</f>
        <v/>
      </c>
    </row>
    <row r="78" ht="15" customHeight="1">
      <c r="A78" t="inlineStr">
        <is>
          <t>A 14325-2019</t>
        </is>
      </c>
      <c r="B78" s="1" t="n">
        <v>43535</v>
      </c>
      <c r="C78" s="1" t="n">
        <v>45344</v>
      </c>
      <c r="D78" t="inlineStr">
        <is>
          <t>JÄMTLANDS LÄN</t>
        </is>
      </c>
      <c r="E78" t="inlineStr">
        <is>
          <t>BERG</t>
        </is>
      </c>
      <c r="G78" t="n">
        <v>1.5</v>
      </c>
      <c r="H78" t="n">
        <v>0</v>
      </c>
      <c r="I78" t="n">
        <v>0</v>
      </c>
      <c r="J78" t="n">
        <v>1</v>
      </c>
      <c r="K78" t="n">
        <v>0</v>
      </c>
      <c r="L78" t="n">
        <v>0</v>
      </c>
      <c r="M78" t="n">
        <v>0</v>
      </c>
      <c r="N78" t="n">
        <v>0</v>
      </c>
      <c r="O78" t="n">
        <v>1</v>
      </c>
      <c r="P78" t="n">
        <v>0</v>
      </c>
      <c r="Q78" t="n">
        <v>1</v>
      </c>
      <c r="R78" s="2" t="inlineStr">
        <is>
          <t>Ullticka</t>
        </is>
      </c>
      <c r="S78">
        <f>HYPERLINK("https://klasma.github.io/Logging_2326/artfynd/A 14325-2019 artfynd.xlsx", "A 14325-2019")</f>
        <v/>
      </c>
      <c r="T78">
        <f>HYPERLINK("https://klasma.github.io/Logging_2326/kartor/A 14325-2019 karta.png", "A 14325-2019")</f>
        <v/>
      </c>
      <c r="V78">
        <f>HYPERLINK("https://klasma.github.io/Logging_2326/klagomål/A 14325-2019 FSC-klagomål.docx", "A 14325-2019")</f>
        <v/>
      </c>
      <c r="W78">
        <f>HYPERLINK("https://klasma.github.io/Logging_2326/klagomålsmail/A 14325-2019 FSC-klagomål mail.docx", "A 14325-2019")</f>
        <v/>
      </c>
      <c r="X78">
        <f>HYPERLINK("https://klasma.github.io/Logging_2326/tillsyn/A 14325-2019 tillsynsbegäran.docx", "A 14325-2019")</f>
        <v/>
      </c>
      <c r="Y78">
        <f>HYPERLINK("https://klasma.github.io/Logging_2326/tillsynsmail/A 14325-2019 tillsynsbegäran mail.docx", "A 14325-2019")</f>
        <v/>
      </c>
    </row>
    <row r="79" ht="15" customHeight="1">
      <c r="A79" t="inlineStr">
        <is>
          <t>A 43295-2019</t>
        </is>
      </c>
      <c r="B79" s="1" t="n">
        <v>43703</v>
      </c>
      <c r="C79" s="1" t="n">
        <v>45344</v>
      </c>
      <c r="D79" t="inlineStr">
        <is>
          <t>JÄMTLANDS LÄN</t>
        </is>
      </c>
      <c r="E79" t="inlineStr">
        <is>
          <t>BERG</t>
        </is>
      </c>
      <c r="G79" t="n">
        <v>0.7</v>
      </c>
      <c r="H79" t="n">
        <v>1</v>
      </c>
      <c r="I79" t="n">
        <v>0</v>
      </c>
      <c r="J79" t="n">
        <v>1</v>
      </c>
      <c r="K79" t="n">
        <v>0</v>
      </c>
      <c r="L79" t="n">
        <v>0</v>
      </c>
      <c r="M79" t="n">
        <v>0</v>
      </c>
      <c r="N79" t="n">
        <v>0</v>
      </c>
      <c r="O79" t="n">
        <v>1</v>
      </c>
      <c r="P79" t="n">
        <v>0</v>
      </c>
      <c r="Q79" t="n">
        <v>1</v>
      </c>
      <c r="R79" s="2" t="inlineStr">
        <is>
          <t>Mindre hackspett</t>
        </is>
      </c>
      <c r="S79">
        <f>HYPERLINK("https://klasma.github.io/Logging_2326/artfynd/A 43295-2019 artfynd.xlsx", "A 43295-2019")</f>
        <v/>
      </c>
      <c r="T79">
        <f>HYPERLINK("https://klasma.github.io/Logging_2326/kartor/A 43295-2019 karta.png", "A 43295-2019")</f>
        <v/>
      </c>
      <c r="V79">
        <f>HYPERLINK("https://klasma.github.io/Logging_2326/klagomål/A 43295-2019 FSC-klagomål.docx", "A 43295-2019")</f>
        <v/>
      </c>
      <c r="W79">
        <f>HYPERLINK("https://klasma.github.io/Logging_2326/klagomålsmail/A 43295-2019 FSC-klagomål mail.docx", "A 43295-2019")</f>
        <v/>
      </c>
      <c r="X79">
        <f>HYPERLINK("https://klasma.github.io/Logging_2326/tillsyn/A 43295-2019 tillsynsbegäran.docx", "A 43295-2019")</f>
        <v/>
      </c>
      <c r="Y79">
        <f>HYPERLINK("https://klasma.github.io/Logging_2326/tillsynsmail/A 43295-2019 tillsynsbegäran mail.docx", "A 43295-2019")</f>
        <v/>
      </c>
      <c r="Z79">
        <f>HYPERLINK("https://klasma.github.io/Logging_2326/fåglar/A 43295-2019 prioriterade fågelarter.docx", "A 43295-2019")</f>
        <v/>
      </c>
    </row>
    <row r="80" ht="15" customHeight="1">
      <c r="A80" t="inlineStr">
        <is>
          <t>A 43203-2019</t>
        </is>
      </c>
      <c r="B80" s="1" t="n">
        <v>43705</v>
      </c>
      <c r="C80" s="1" t="n">
        <v>45344</v>
      </c>
      <c r="D80" t="inlineStr">
        <is>
          <t>JÄMTLANDS LÄN</t>
        </is>
      </c>
      <c r="E80" t="inlineStr">
        <is>
          <t>BERG</t>
        </is>
      </c>
      <c r="F80" t="inlineStr">
        <is>
          <t>SCA</t>
        </is>
      </c>
      <c r="G80" t="n">
        <v>2.6</v>
      </c>
      <c r="H80" t="n">
        <v>1</v>
      </c>
      <c r="I80" t="n">
        <v>0</v>
      </c>
      <c r="J80" t="n">
        <v>0</v>
      </c>
      <c r="K80" t="n">
        <v>0</v>
      </c>
      <c r="L80" t="n">
        <v>0</v>
      </c>
      <c r="M80" t="n">
        <v>0</v>
      </c>
      <c r="N80" t="n">
        <v>0</v>
      </c>
      <c r="O80" t="n">
        <v>0</v>
      </c>
      <c r="P80" t="n">
        <v>0</v>
      </c>
      <c r="Q80" t="n">
        <v>1</v>
      </c>
      <c r="R80" s="2" t="inlineStr">
        <is>
          <t>Fläcknycklar</t>
        </is>
      </c>
      <c r="S80">
        <f>HYPERLINK("https://klasma.github.io/Logging_2326/artfynd/A 43203-2019 artfynd.xlsx", "A 43203-2019")</f>
        <v/>
      </c>
      <c r="T80">
        <f>HYPERLINK("https://klasma.github.io/Logging_2326/kartor/A 43203-2019 karta.png", "A 43203-2019")</f>
        <v/>
      </c>
      <c r="V80">
        <f>HYPERLINK("https://klasma.github.io/Logging_2326/klagomål/A 43203-2019 FSC-klagomål.docx", "A 43203-2019")</f>
        <v/>
      </c>
      <c r="W80">
        <f>HYPERLINK("https://klasma.github.io/Logging_2326/klagomålsmail/A 43203-2019 FSC-klagomål mail.docx", "A 43203-2019")</f>
        <v/>
      </c>
      <c r="X80">
        <f>HYPERLINK("https://klasma.github.io/Logging_2326/tillsyn/A 43203-2019 tillsynsbegäran.docx", "A 43203-2019")</f>
        <v/>
      </c>
      <c r="Y80">
        <f>HYPERLINK("https://klasma.github.io/Logging_2326/tillsynsmail/A 43203-2019 tillsynsbegäran mail.docx", "A 43203-2019")</f>
        <v/>
      </c>
    </row>
    <row r="81" ht="15" customHeight="1">
      <c r="A81" t="inlineStr">
        <is>
          <t>A 61775-2019</t>
        </is>
      </c>
      <c r="B81" s="1" t="n">
        <v>43784</v>
      </c>
      <c r="C81" s="1" t="n">
        <v>45344</v>
      </c>
      <c r="D81" t="inlineStr">
        <is>
          <t>JÄMTLANDS LÄN</t>
        </is>
      </c>
      <c r="E81" t="inlineStr">
        <is>
          <t>BERG</t>
        </is>
      </c>
      <c r="F81" t="inlineStr">
        <is>
          <t>SCA</t>
        </is>
      </c>
      <c r="G81" t="n">
        <v>5.4</v>
      </c>
      <c r="H81" t="n">
        <v>0</v>
      </c>
      <c r="I81" t="n">
        <v>0</v>
      </c>
      <c r="J81" t="n">
        <v>1</v>
      </c>
      <c r="K81" t="n">
        <v>0</v>
      </c>
      <c r="L81" t="n">
        <v>0</v>
      </c>
      <c r="M81" t="n">
        <v>0</v>
      </c>
      <c r="N81" t="n">
        <v>0</v>
      </c>
      <c r="O81" t="n">
        <v>1</v>
      </c>
      <c r="P81" t="n">
        <v>0</v>
      </c>
      <c r="Q81" t="n">
        <v>1</v>
      </c>
      <c r="R81" s="2" t="inlineStr">
        <is>
          <t>Dvärgbägarlav</t>
        </is>
      </c>
      <c r="S81">
        <f>HYPERLINK("https://klasma.github.io/Logging_2326/artfynd/A 61775-2019 artfynd.xlsx", "A 61775-2019")</f>
        <v/>
      </c>
      <c r="T81">
        <f>HYPERLINK("https://klasma.github.io/Logging_2326/kartor/A 61775-2019 karta.png", "A 61775-2019")</f>
        <v/>
      </c>
      <c r="V81">
        <f>HYPERLINK("https://klasma.github.io/Logging_2326/klagomål/A 61775-2019 FSC-klagomål.docx", "A 61775-2019")</f>
        <v/>
      </c>
      <c r="W81">
        <f>HYPERLINK("https://klasma.github.io/Logging_2326/klagomålsmail/A 61775-2019 FSC-klagomål mail.docx", "A 61775-2019")</f>
        <v/>
      </c>
      <c r="X81">
        <f>HYPERLINK("https://klasma.github.io/Logging_2326/tillsyn/A 61775-2019 tillsynsbegäran.docx", "A 61775-2019")</f>
        <v/>
      </c>
      <c r="Y81">
        <f>HYPERLINK("https://klasma.github.io/Logging_2326/tillsynsmail/A 61775-2019 tillsynsbegäran mail.docx", "A 61775-2019")</f>
        <v/>
      </c>
    </row>
    <row r="82" ht="15" customHeight="1">
      <c r="A82" t="inlineStr">
        <is>
          <t>A 67342-2019</t>
        </is>
      </c>
      <c r="B82" s="1" t="n">
        <v>43812</v>
      </c>
      <c r="C82" s="1" t="n">
        <v>45344</v>
      </c>
      <c r="D82" t="inlineStr">
        <is>
          <t>JÄMTLANDS LÄN</t>
        </is>
      </c>
      <c r="E82" t="inlineStr">
        <is>
          <t>BERG</t>
        </is>
      </c>
      <c r="G82" t="n">
        <v>5</v>
      </c>
      <c r="H82" t="n">
        <v>1</v>
      </c>
      <c r="I82" t="n">
        <v>0</v>
      </c>
      <c r="J82" t="n">
        <v>0</v>
      </c>
      <c r="K82" t="n">
        <v>0</v>
      </c>
      <c r="L82" t="n">
        <v>0</v>
      </c>
      <c r="M82" t="n">
        <v>0</v>
      </c>
      <c r="N82" t="n">
        <v>0</v>
      </c>
      <c r="O82" t="n">
        <v>0</v>
      </c>
      <c r="P82" t="n">
        <v>0</v>
      </c>
      <c r="Q82" t="n">
        <v>1</v>
      </c>
      <c r="R82" s="2" t="inlineStr">
        <is>
          <t>Revlummer</t>
        </is>
      </c>
      <c r="S82">
        <f>HYPERLINK("https://klasma.github.io/Logging_2326/artfynd/A 67342-2019 artfynd.xlsx", "A 67342-2019")</f>
        <v/>
      </c>
      <c r="T82">
        <f>HYPERLINK("https://klasma.github.io/Logging_2326/kartor/A 67342-2019 karta.png", "A 67342-2019")</f>
        <v/>
      </c>
      <c r="V82">
        <f>HYPERLINK("https://klasma.github.io/Logging_2326/klagomål/A 67342-2019 FSC-klagomål.docx", "A 67342-2019")</f>
        <v/>
      </c>
      <c r="W82">
        <f>HYPERLINK("https://klasma.github.io/Logging_2326/klagomålsmail/A 67342-2019 FSC-klagomål mail.docx", "A 67342-2019")</f>
        <v/>
      </c>
      <c r="X82">
        <f>HYPERLINK("https://klasma.github.io/Logging_2326/tillsyn/A 67342-2019 tillsynsbegäran.docx", "A 67342-2019")</f>
        <v/>
      </c>
      <c r="Y82">
        <f>HYPERLINK("https://klasma.github.io/Logging_2326/tillsynsmail/A 67342-2019 tillsynsbegäran mail.docx", "A 67342-2019")</f>
        <v/>
      </c>
    </row>
    <row r="83" ht="15" customHeight="1">
      <c r="A83" t="inlineStr">
        <is>
          <t>A 34582-2020</t>
        </is>
      </c>
      <c r="B83" s="1" t="n">
        <v>44033</v>
      </c>
      <c r="C83" s="1" t="n">
        <v>45344</v>
      </c>
      <c r="D83" t="inlineStr">
        <is>
          <t>JÄMTLANDS LÄN</t>
        </is>
      </c>
      <c r="E83" t="inlineStr">
        <is>
          <t>BERG</t>
        </is>
      </c>
      <c r="F83" t="inlineStr">
        <is>
          <t>SCA</t>
        </is>
      </c>
      <c r="G83" t="n">
        <v>10.6</v>
      </c>
      <c r="H83" t="n">
        <v>0</v>
      </c>
      <c r="I83" t="n">
        <v>0</v>
      </c>
      <c r="J83" t="n">
        <v>1</v>
      </c>
      <c r="K83" t="n">
        <v>0</v>
      </c>
      <c r="L83" t="n">
        <v>0</v>
      </c>
      <c r="M83" t="n">
        <v>0</v>
      </c>
      <c r="N83" t="n">
        <v>0</v>
      </c>
      <c r="O83" t="n">
        <v>1</v>
      </c>
      <c r="P83" t="n">
        <v>0</v>
      </c>
      <c r="Q83" t="n">
        <v>1</v>
      </c>
      <c r="R83" s="2" t="inlineStr">
        <is>
          <t>Kolflarnlav</t>
        </is>
      </c>
      <c r="S83">
        <f>HYPERLINK("https://klasma.github.io/Logging_2326/artfynd/A 34582-2020 artfynd.xlsx", "A 34582-2020")</f>
        <v/>
      </c>
      <c r="T83">
        <f>HYPERLINK("https://klasma.github.io/Logging_2326/kartor/A 34582-2020 karta.png", "A 34582-2020")</f>
        <v/>
      </c>
      <c r="V83">
        <f>HYPERLINK("https://klasma.github.io/Logging_2326/klagomål/A 34582-2020 FSC-klagomål.docx", "A 34582-2020")</f>
        <v/>
      </c>
      <c r="W83">
        <f>HYPERLINK("https://klasma.github.io/Logging_2326/klagomålsmail/A 34582-2020 FSC-klagomål mail.docx", "A 34582-2020")</f>
        <v/>
      </c>
      <c r="X83">
        <f>HYPERLINK("https://klasma.github.io/Logging_2326/tillsyn/A 34582-2020 tillsynsbegäran.docx", "A 34582-2020")</f>
        <v/>
      </c>
      <c r="Y83">
        <f>HYPERLINK("https://klasma.github.io/Logging_2326/tillsynsmail/A 34582-2020 tillsynsbegäran mail.docx", "A 34582-2020")</f>
        <v/>
      </c>
    </row>
    <row r="84" ht="15" customHeight="1">
      <c r="A84" t="inlineStr">
        <is>
          <t>A 36966-2020</t>
        </is>
      </c>
      <c r="B84" s="1" t="n">
        <v>44053</v>
      </c>
      <c r="C84" s="1" t="n">
        <v>45344</v>
      </c>
      <c r="D84" t="inlineStr">
        <is>
          <t>JÄMTLANDS LÄN</t>
        </is>
      </c>
      <c r="E84" t="inlineStr">
        <is>
          <t>BERG</t>
        </is>
      </c>
      <c r="F84" t="inlineStr">
        <is>
          <t>SCA</t>
        </is>
      </c>
      <c r="G84" t="n">
        <v>2.7</v>
      </c>
      <c r="H84" t="n">
        <v>0</v>
      </c>
      <c r="I84" t="n">
        <v>0</v>
      </c>
      <c r="J84" t="n">
        <v>1</v>
      </c>
      <c r="K84" t="n">
        <v>0</v>
      </c>
      <c r="L84" t="n">
        <v>0</v>
      </c>
      <c r="M84" t="n">
        <v>0</v>
      </c>
      <c r="N84" t="n">
        <v>0</v>
      </c>
      <c r="O84" t="n">
        <v>1</v>
      </c>
      <c r="P84" t="n">
        <v>0</v>
      </c>
      <c r="Q84" t="n">
        <v>1</v>
      </c>
      <c r="R84" s="2" t="inlineStr">
        <is>
          <t>Reliktbock</t>
        </is>
      </c>
      <c r="S84">
        <f>HYPERLINK("https://klasma.github.io/Logging_2326/artfynd/A 36966-2020 artfynd.xlsx", "A 36966-2020")</f>
        <v/>
      </c>
      <c r="T84">
        <f>HYPERLINK("https://klasma.github.io/Logging_2326/kartor/A 36966-2020 karta.png", "A 36966-2020")</f>
        <v/>
      </c>
      <c r="V84">
        <f>HYPERLINK("https://klasma.github.io/Logging_2326/klagomål/A 36966-2020 FSC-klagomål.docx", "A 36966-2020")</f>
        <v/>
      </c>
      <c r="W84">
        <f>HYPERLINK("https://klasma.github.io/Logging_2326/klagomålsmail/A 36966-2020 FSC-klagomål mail.docx", "A 36966-2020")</f>
        <v/>
      </c>
      <c r="X84">
        <f>HYPERLINK("https://klasma.github.io/Logging_2326/tillsyn/A 36966-2020 tillsynsbegäran.docx", "A 36966-2020")</f>
        <v/>
      </c>
      <c r="Y84">
        <f>HYPERLINK("https://klasma.github.io/Logging_2326/tillsynsmail/A 36966-2020 tillsynsbegäran mail.docx", "A 36966-2020")</f>
        <v/>
      </c>
    </row>
    <row r="85" ht="15" customHeight="1">
      <c r="A85" t="inlineStr">
        <is>
          <t>A 16834-2021</t>
        </is>
      </c>
      <c r="B85" s="1" t="n">
        <v>44293</v>
      </c>
      <c r="C85" s="1" t="n">
        <v>45344</v>
      </c>
      <c r="D85" t="inlineStr">
        <is>
          <t>JÄMTLANDS LÄN</t>
        </is>
      </c>
      <c r="E85" t="inlineStr">
        <is>
          <t>BERG</t>
        </is>
      </c>
      <c r="G85" t="n">
        <v>18.7</v>
      </c>
      <c r="H85" t="n">
        <v>0</v>
      </c>
      <c r="I85" t="n">
        <v>0</v>
      </c>
      <c r="J85" t="n">
        <v>1</v>
      </c>
      <c r="K85" t="n">
        <v>0</v>
      </c>
      <c r="L85" t="n">
        <v>0</v>
      </c>
      <c r="M85" t="n">
        <v>0</v>
      </c>
      <c r="N85" t="n">
        <v>0</v>
      </c>
      <c r="O85" t="n">
        <v>1</v>
      </c>
      <c r="P85" t="n">
        <v>0</v>
      </c>
      <c r="Q85" t="n">
        <v>1</v>
      </c>
      <c r="R85" s="2" t="inlineStr">
        <is>
          <t>Gränsticka</t>
        </is>
      </c>
      <c r="S85">
        <f>HYPERLINK("https://klasma.github.io/Logging_2326/artfynd/A 16834-2021 artfynd.xlsx", "A 16834-2021")</f>
        <v/>
      </c>
      <c r="T85">
        <f>HYPERLINK("https://klasma.github.io/Logging_2326/kartor/A 16834-2021 karta.png", "A 16834-2021")</f>
        <v/>
      </c>
      <c r="V85">
        <f>HYPERLINK("https://klasma.github.io/Logging_2326/klagomål/A 16834-2021 FSC-klagomål.docx", "A 16834-2021")</f>
        <v/>
      </c>
      <c r="W85">
        <f>HYPERLINK("https://klasma.github.io/Logging_2326/klagomålsmail/A 16834-2021 FSC-klagomål mail.docx", "A 16834-2021")</f>
        <v/>
      </c>
      <c r="X85">
        <f>HYPERLINK("https://klasma.github.io/Logging_2326/tillsyn/A 16834-2021 tillsynsbegäran.docx", "A 16834-2021")</f>
        <v/>
      </c>
      <c r="Y85">
        <f>HYPERLINK("https://klasma.github.io/Logging_2326/tillsynsmail/A 16834-2021 tillsynsbegäran mail.docx", "A 16834-2021")</f>
        <v/>
      </c>
    </row>
    <row r="86" ht="15" customHeight="1">
      <c r="A86" t="inlineStr">
        <is>
          <t>A 33557-2021</t>
        </is>
      </c>
      <c r="B86" s="1" t="n">
        <v>44377</v>
      </c>
      <c r="C86" s="1" t="n">
        <v>45344</v>
      </c>
      <c r="D86" t="inlineStr">
        <is>
          <t>JÄMTLANDS LÄN</t>
        </is>
      </c>
      <c r="E86" t="inlineStr">
        <is>
          <t>BERG</t>
        </is>
      </c>
      <c r="F86" t="inlineStr">
        <is>
          <t>SCA</t>
        </is>
      </c>
      <c r="G86" t="n">
        <v>10</v>
      </c>
      <c r="H86" t="n">
        <v>0</v>
      </c>
      <c r="I86" t="n">
        <v>0</v>
      </c>
      <c r="J86" t="n">
        <v>0</v>
      </c>
      <c r="K86" t="n">
        <v>1</v>
      </c>
      <c r="L86" t="n">
        <v>0</v>
      </c>
      <c r="M86" t="n">
        <v>0</v>
      </c>
      <c r="N86" t="n">
        <v>0</v>
      </c>
      <c r="O86" t="n">
        <v>1</v>
      </c>
      <c r="P86" t="n">
        <v>1</v>
      </c>
      <c r="Q86" t="n">
        <v>1</v>
      </c>
      <c r="R86" s="2" t="inlineStr">
        <is>
          <t>Gräddporing</t>
        </is>
      </c>
      <c r="S86">
        <f>HYPERLINK("https://klasma.github.io/Logging_2326/artfynd/A 33557-2021 artfynd.xlsx", "A 33557-2021")</f>
        <v/>
      </c>
      <c r="T86">
        <f>HYPERLINK("https://klasma.github.io/Logging_2326/kartor/A 33557-2021 karta.png", "A 33557-2021")</f>
        <v/>
      </c>
      <c r="V86">
        <f>HYPERLINK("https://klasma.github.io/Logging_2326/klagomål/A 33557-2021 FSC-klagomål.docx", "A 33557-2021")</f>
        <v/>
      </c>
      <c r="W86">
        <f>HYPERLINK("https://klasma.github.io/Logging_2326/klagomålsmail/A 33557-2021 FSC-klagomål mail.docx", "A 33557-2021")</f>
        <v/>
      </c>
      <c r="X86">
        <f>HYPERLINK("https://klasma.github.io/Logging_2326/tillsyn/A 33557-2021 tillsynsbegäran.docx", "A 33557-2021")</f>
        <v/>
      </c>
      <c r="Y86">
        <f>HYPERLINK("https://klasma.github.io/Logging_2326/tillsynsmail/A 33557-2021 tillsynsbegäran mail.docx", "A 33557-2021")</f>
        <v/>
      </c>
    </row>
    <row r="87" ht="15" customHeight="1">
      <c r="A87" t="inlineStr">
        <is>
          <t>A 68434-2021</t>
        </is>
      </c>
      <c r="B87" s="1" t="n">
        <v>44529</v>
      </c>
      <c r="C87" s="1" t="n">
        <v>45344</v>
      </c>
      <c r="D87" t="inlineStr">
        <is>
          <t>JÄMTLANDS LÄN</t>
        </is>
      </c>
      <c r="E87" t="inlineStr">
        <is>
          <t>BERG</t>
        </is>
      </c>
      <c r="G87" t="n">
        <v>14</v>
      </c>
      <c r="H87" t="n">
        <v>0</v>
      </c>
      <c r="I87" t="n">
        <v>0</v>
      </c>
      <c r="J87" t="n">
        <v>0</v>
      </c>
      <c r="K87" t="n">
        <v>1</v>
      </c>
      <c r="L87" t="n">
        <v>0</v>
      </c>
      <c r="M87" t="n">
        <v>0</v>
      </c>
      <c r="N87" t="n">
        <v>0</v>
      </c>
      <c r="O87" t="n">
        <v>1</v>
      </c>
      <c r="P87" t="n">
        <v>1</v>
      </c>
      <c r="Q87" t="n">
        <v>1</v>
      </c>
      <c r="R87" s="2" t="inlineStr">
        <is>
          <t>Ostticka</t>
        </is>
      </c>
      <c r="S87">
        <f>HYPERLINK("https://klasma.github.io/Logging_2326/artfynd/A 68434-2021 artfynd.xlsx", "A 68434-2021")</f>
        <v/>
      </c>
      <c r="T87">
        <f>HYPERLINK("https://klasma.github.io/Logging_2326/kartor/A 68434-2021 karta.png", "A 68434-2021")</f>
        <v/>
      </c>
      <c r="V87">
        <f>HYPERLINK("https://klasma.github.io/Logging_2326/klagomål/A 68434-2021 FSC-klagomål.docx", "A 68434-2021")</f>
        <v/>
      </c>
      <c r="W87">
        <f>HYPERLINK("https://klasma.github.io/Logging_2326/klagomålsmail/A 68434-2021 FSC-klagomål mail.docx", "A 68434-2021")</f>
        <v/>
      </c>
      <c r="X87">
        <f>HYPERLINK("https://klasma.github.io/Logging_2326/tillsyn/A 68434-2021 tillsynsbegäran.docx", "A 68434-2021")</f>
        <v/>
      </c>
      <c r="Y87">
        <f>HYPERLINK("https://klasma.github.io/Logging_2326/tillsynsmail/A 68434-2021 tillsynsbegäran mail.docx", "A 68434-2021")</f>
        <v/>
      </c>
    </row>
    <row r="88" ht="15" customHeight="1">
      <c r="A88" t="inlineStr">
        <is>
          <t>A 32686-2022</t>
        </is>
      </c>
      <c r="B88" s="1" t="n">
        <v>44776</v>
      </c>
      <c r="C88" s="1" t="n">
        <v>45344</v>
      </c>
      <c r="D88" t="inlineStr">
        <is>
          <t>JÄMTLANDS LÄN</t>
        </is>
      </c>
      <c r="E88" t="inlineStr">
        <is>
          <t>BERG</t>
        </is>
      </c>
      <c r="G88" t="n">
        <v>4.8</v>
      </c>
      <c r="H88" t="n">
        <v>1</v>
      </c>
      <c r="I88" t="n">
        <v>0</v>
      </c>
      <c r="J88" t="n">
        <v>0</v>
      </c>
      <c r="K88" t="n">
        <v>1</v>
      </c>
      <c r="L88" t="n">
        <v>0</v>
      </c>
      <c r="M88" t="n">
        <v>0</v>
      </c>
      <c r="N88" t="n">
        <v>0</v>
      </c>
      <c r="O88" t="n">
        <v>1</v>
      </c>
      <c r="P88" t="n">
        <v>1</v>
      </c>
      <c r="Q88" t="n">
        <v>1</v>
      </c>
      <c r="R88" s="2" t="inlineStr">
        <is>
          <t>Knärot</t>
        </is>
      </c>
      <c r="S88">
        <f>HYPERLINK("https://klasma.github.io/Logging_2326/artfynd/A 32686-2022 artfynd.xlsx", "A 32686-2022")</f>
        <v/>
      </c>
      <c r="T88">
        <f>HYPERLINK("https://klasma.github.io/Logging_2326/kartor/A 32686-2022 karta.png", "A 32686-2022")</f>
        <v/>
      </c>
      <c r="U88">
        <f>HYPERLINK("https://klasma.github.io/Logging_2326/knärot/A 32686-2022 karta knärot.png", "A 32686-2022")</f>
        <v/>
      </c>
      <c r="V88">
        <f>HYPERLINK("https://klasma.github.io/Logging_2326/klagomål/A 32686-2022 FSC-klagomål.docx", "A 32686-2022")</f>
        <v/>
      </c>
      <c r="W88">
        <f>HYPERLINK("https://klasma.github.io/Logging_2326/klagomålsmail/A 32686-2022 FSC-klagomål mail.docx", "A 32686-2022")</f>
        <v/>
      </c>
      <c r="X88">
        <f>HYPERLINK("https://klasma.github.io/Logging_2326/tillsyn/A 32686-2022 tillsynsbegäran.docx", "A 32686-2022")</f>
        <v/>
      </c>
      <c r="Y88">
        <f>HYPERLINK("https://klasma.github.io/Logging_2326/tillsynsmail/A 32686-2022 tillsynsbegäran mail.docx", "A 32686-2022")</f>
        <v/>
      </c>
    </row>
    <row r="89" ht="15" customHeight="1">
      <c r="A89" t="inlineStr">
        <is>
          <t>A 34271-2022</t>
        </is>
      </c>
      <c r="B89" s="1" t="n">
        <v>44792</v>
      </c>
      <c r="C89" s="1" t="n">
        <v>45344</v>
      </c>
      <c r="D89" t="inlineStr">
        <is>
          <t>JÄMTLANDS LÄN</t>
        </is>
      </c>
      <c r="E89" t="inlineStr">
        <is>
          <t>BERG</t>
        </is>
      </c>
      <c r="F89" t="inlineStr">
        <is>
          <t>SCA</t>
        </is>
      </c>
      <c r="G89" t="n">
        <v>17</v>
      </c>
      <c r="H89" t="n">
        <v>1</v>
      </c>
      <c r="I89" t="n">
        <v>0</v>
      </c>
      <c r="J89" t="n">
        <v>1</v>
      </c>
      <c r="K89" t="n">
        <v>0</v>
      </c>
      <c r="L89" t="n">
        <v>0</v>
      </c>
      <c r="M89" t="n">
        <v>0</v>
      </c>
      <c r="N89" t="n">
        <v>0</v>
      </c>
      <c r="O89" t="n">
        <v>1</v>
      </c>
      <c r="P89" t="n">
        <v>0</v>
      </c>
      <c r="Q89" t="n">
        <v>1</v>
      </c>
      <c r="R89" s="2" t="inlineStr">
        <is>
          <t>Spillkråka</t>
        </is>
      </c>
      <c r="S89">
        <f>HYPERLINK("https://klasma.github.io/Logging_2326/artfynd/A 34271-2022 artfynd.xlsx", "A 34271-2022")</f>
        <v/>
      </c>
      <c r="T89">
        <f>HYPERLINK("https://klasma.github.io/Logging_2326/kartor/A 34271-2022 karta.png", "A 34271-2022")</f>
        <v/>
      </c>
      <c r="V89">
        <f>HYPERLINK("https://klasma.github.io/Logging_2326/klagomål/A 34271-2022 FSC-klagomål.docx", "A 34271-2022")</f>
        <v/>
      </c>
      <c r="W89">
        <f>HYPERLINK("https://klasma.github.io/Logging_2326/klagomålsmail/A 34271-2022 FSC-klagomål mail.docx", "A 34271-2022")</f>
        <v/>
      </c>
      <c r="X89">
        <f>HYPERLINK("https://klasma.github.io/Logging_2326/tillsyn/A 34271-2022 tillsynsbegäran.docx", "A 34271-2022")</f>
        <v/>
      </c>
      <c r="Y89">
        <f>HYPERLINK("https://klasma.github.io/Logging_2326/tillsynsmail/A 34271-2022 tillsynsbegäran mail.docx", "A 34271-2022")</f>
        <v/>
      </c>
      <c r="Z89">
        <f>HYPERLINK("https://klasma.github.io/Logging_2326/fåglar/A 34271-2022 prioriterade fågelarter.docx", "A 34271-2022")</f>
        <v/>
      </c>
    </row>
    <row r="90" ht="15" customHeight="1">
      <c r="A90" t="inlineStr">
        <is>
          <t>A 34274-2022</t>
        </is>
      </c>
      <c r="B90" s="1" t="n">
        <v>44791</v>
      </c>
      <c r="C90" s="1" t="n">
        <v>45344</v>
      </c>
      <c r="D90" t="inlineStr">
        <is>
          <t>JÄMTLANDS LÄN</t>
        </is>
      </c>
      <c r="E90" t="inlineStr">
        <is>
          <t>BERG</t>
        </is>
      </c>
      <c r="F90" t="inlineStr">
        <is>
          <t>SCA</t>
        </is>
      </c>
      <c r="G90" t="n">
        <v>6.1</v>
      </c>
      <c r="H90" t="n">
        <v>0</v>
      </c>
      <c r="I90" t="n">
        <v>0</v>
      </c>
      <c r="J90" t="n">
        <v>1</v>
      </c>
      <c r="K90" t="n">
        <v>0</v>
      </c>
      <c r="L90" t="n">
        <v>0</v>
      </c>
      <c r="M90" t="n">
        <v>0</v>
      </c>
      <c r="N90" t="n">
        <v>0</v>
      </c>
      <c r="O90" t="n">
        <v>1</v>
      </c>
      <c r="P90" t="n">
        <v>0</v>
      </c>
      <c r="Q90" t="n">
        <v>1</v>
      </c>
      <c r="R90" s="2" t="inlineStr">
        <is>
          <t>Rosenticka</t>
        </is>
      </c>
      <c r="S90">
        <f>HYPERLINK("https://klasma.github.io/Logging_2326/artfynd/A 34274-2022 artfynd.xlsx", "A 34274-2022")</f>
        <v/>
      </c>
      <c r="T90">
        <f>HYPERLINK("https://klasma.github.io/Logging_2326/kartor/A 34274-2022 karta.png", "A 34274-2022")</f>
        <v/>
      </c>
      <c r="V90">
        <f>HYPERLINK("https://klasma.github.io/Logging_2326/klagomål/A 34274-2022 FSC-klagomål.docx", "A 34274-2022")</f>
        <v/>
      </c>
      <c r="W90">
        <f>HYPERLINK("https://klasma.github.io/Logging_2326/klagomålsmail/A 34274-2022 FSC-klagomål mail.docx", "A 34274-2022")</f>
        <v/>
      </c>
      <c r="X90">
        <f>HYPERLINK("https://klasma.github.io/Logging_2326/tillsyn/A 34274-2022 tillsynsbegäran.docx", "A 34274-2022")</f>
        <v/>
      </c>
      <c r="Y90">
        <f>HYPERLINK("https://klasma.github.io/Logging_2326/tillsynsmail/A 34274-2022 tillsynsbegäran mail.docx", "A 34274-2022")</f>
        <v/>
      </c>
    </row>
    <row r="91" ht="15" customHeight="1">
      <c r="A91" t="inlineStr">
        <is>
          <t>A 41317-2022</t>
        </is>
      </c>
      <c r="B91" s="1" t="n">
        <v>44826</v>
      </c>
      <c r="C91" s="1" t="n">
        <v>45344</v>
      </c>
      <c r="D91" t="inlineStr">
        <is>
          <t>JÄMTLANDS LÄN</t>
        </is>
      </c>
      <c r="E91" t="inlineStr">
        <is>
          <t>BERG</t>
        </is>
      </c>
      <c r="G91" t="n">
        <v>0.5</v>
      </c>
      <c r="H91" t="n">
        <v>1</v>
      </c>
      <c r="I91" t="n">
        <v>0</v>
      </c>
      <c r="J91" t="n">
        <v>0</v>
      </c>
      <c r="K91" t="n">
        <v>0</v>
      </c>
      <c r="L91" t="n">
        <v>0</v>
      </c>
      <c r="M91" t="n">
        <v>0</v>
      </c>
      <c r="N91" t="n">
        <v>0</v>
      </c>
      <c r="O91" t="n">
        <v>0</v>
      </c>
      <c r="P91" t="n">
        <v>0</v>
      </c>
      <c r="Q91" t="n">
        <v>1</v>
      </c>
      <c r="R91" s="2" t="inlineStr">
        <is>
          <t>Fläcknycklar</t>
        </is>
      </c>
      <c r="S91">
        <f>HYPERLINK("https://klasma.github.io/Logging_2326/artfynd/A 41317-2022 artfynd.xlsx", "A 41317-2022")</f>
        <v/>
      </c>
      <c r="T91">
        <f>HYPERLINK("https://klasma.github.io/Logging_2326/kartor/A 41317-2022 karta.png", "A 41317-2022")</f>
        <v/>
      </c>
      <c r="V91">
        <f>HYPERLINK("https://klasma.github.io/Logging_2326/klagomål/A 41317-2022 FSC-klagomål.docx", "A 41317-2022")</f>
        <v/>
      </c>
      <c r="W91">
        <f>HYPERLINK("https://klasma.github.io/Logging_2326/klagomålsmail/A 41317-2022 FSC-klagomål mail.docx", "A 41317-2022")</f>
        <v/>
      </c>
      <c r="X91">
        <f>HYPERLINK("https://klasma.github.io/Logging_2326/tillsyn/A 41317-2022 tillsynsbegäran.docx", "A 41317-2022")</f>
        <v/>
      </c>
      <c r="Y91">
        <f>HYPERLINK("https://klasma.github.io/Logging_2326/tillsynsmail/A 41317-2022 tillsynsbegäran mail.docx", "A 41317-2022")</f>
        <v/>
      </c>
    </row>
    <row r="92" ht="15" customHeight="1">
      <c r="A92" t="inlineStr">
        <is>
          <t>A 43132-2022</t>
        </is>
      </c>
      <c r="B92" s="1" t="n">
        <v>44833</v>
      </c>
      <c r="C92" s="1" t="n">
        <v>45344</v>
      </c>
      <c r="D92" t="inlineStr">
        <is>
          <t>JÄMTLANDS LÄN</t>
        </is>
      </c>
      <c r="E92" t="inlineStr">
        <is>
          <t>BERG</t>
        </is>
      </c>
      <c r="F92" t="inlineStr">
        <is>
          <t>SCA</t>
        </is>
      </c>
      <c r="G92" t="n">
        <v>11.5</v>
      </c>
      <c r="H92" t="n">
        <v>0</v>
      </c>
      <c r="I92" t="n">
        <v>0</v>
      </c>
      <c r="J92" t="n">
        <v>0</v>
      </c>
      <c r="K92" t="n">
        <v>1</v>
      </c>
      <c r="L92" t="n">
        <v>0</v>
      </c>
      <c r="M92" t="n">
        <v>0</v>
      </c>
      <c r="N92" t="n">
        <v>0</v>
      </c>
      <c r="O92" t="n">
        <v>1</v>
      </c>
      <c r="P92" t="n">
        <v>1</v>
      </c>
      <c r="Q92" t="n">
        <v>1</v>
      </c>
      <c r="R92" s="2" t="inlineStr">
        <is>
          <t>Gräddporing</t>
        </is>
      </c>
      <c r="S92">
        <f>HYPERLINK("https://klasma.github.io/Logging_2326/artfynd/A 43132-2022 artfynd.xlsx", "A 43132-2022")</f>
        <v/>
      </c>
      <c r="T92">
        <f>HYPERLINK("https://klasma.github.io/Logging_2326/kartor/A 43132-2022 karta.png", "A 43132-2022")</f>
        <v/>
      </c>
      <c r="V92">
        <f>HYPERLINK("https://klasma.github.io/Logging_2326/klagomål/A 43132-2022 FSC-klagomål.docx", "A 43132-2022")</f>
        <v/>
      </c>
      <c r="W92">
        <f>HYPERLINK("https://klasma.github.io/Logging_2326/klagomålsmail/A 43132-2022 FSC-klagomål mail.docx", "A 43132-2022")</f>
        <v/>
      </c>
      <c r="X92">
        <f>HYPERLINK("https://klasma.github.io/Logging_2326/tillsyn/A 43132-2022 tillsynsbegäran.docx", "A 43132-2022")</f>
        <v/>
      </c>
      <c r="Y92">
        <f>HYPERLINK("https://klasma.github.io/Logging_2326/tillsynsmail/A 43132-2022 tillsynsbegäran mail.docx", "A 43132-2022")</f>
        <v/>
      </c>
    </row>
    <row r="93" ht="15" customHeight="1">
      <c r="A93" t="inlineStr">
        <is>
          <t>A 43166-2022</t>
        </is>
      </c>
      <c r="B93" s="1" t="n">
        <v>44833</v>
      </c>
      <c r="C93" s="1" t="n">
        <v>45344</v>
      </c>
      <c r="D93" t="inlineStr">
        <is>
          <t>JÄMTLANDS LÄN</t>
        </is>
      </c>
      <c r="E93" t="inlineStr">
        <is>
          <t>BERG</t>
        </is>
      </c>
      <c r="F93" t="inlineStr">
        <is>
          <t>SCA</t>
        </is>
      </c>
      <c r="G93" t="n">
        <v>22.3</v>
      </c>
      <c r="H93" t="n">
        <v>0</v>
      </c>
      <c r="I93" t="n">
        <v>0</v>
      </c>
      <c r="J93" t="n">
        <v>1</v>
      </c>
      <c r="K93" t="n">
        <v>0</v>
      </c>
      <c r="L93" t="n">
        <v>0</v>
      </c>
      <c r="M93" t="n">
        <v>0</v>
      </c>
      <c r="N93" t="n">
        <v>0</v>
      </c>
      <c r="O93" t="n">
        <v>1</v>
      </c>
      <c r="P93" t="n">
        <v>0</v>
      </c>
      <c r="Q93" t="n">
        <v>1</v>
      </c>
      <c r="R93" s="2" t="inlineStr">
        <is>
          <t>Skrovellav</t>
        </is>
      </c>
      <c r="S93">
        <f>HYPERLINK("https://klasma.github.io/Logging_2326/artfynd/A 43166-2022 artfynd.xlsx", "A 43166-2022")</f>
        <v/>
      </c>
      <c r="T93">
        <f>HYPERLINK("https://klasma.github.io/Logging_2326/kartor/A 43166-2022 karta.png", "A 43166-2022")</f>
        <v/>
      </c>
      <c r="V93">
        <f>HYPERLINK("https://klasma.github.io/Logging_2326/klagomål/A 43166-2022 FSC-klagomål.docx", "A 43166-2022")</f>
        <v/>
      </c>
      <c r="W93">
        <f>HYPERLINK("https://klasma.github.io/Logging_2326/klagomålsmail/A 43166-2022 FSC-klagomål mail.docx", "A 43166-2022")</f>
        <v/>
      </c>
      <c r="X93">
        <f>HYPERLINK("https://klasma.github.io/Logging_2326/tillsyn/A 43166-2022 tillsynsbegäran.docx", "A 43166-2022")</f>
        <v/>
      </c>
      <c r="Y93">
        <f>HYPERLINK("https://klasma.github.io/Logging_2326/tillsynsmail/A 43166-2022 tillsynsbegäran mail.docx", "A 43166-2022")</f>
        <v/>
      </c>
    </row>
    <row r="94" ht="15" customHeight="1">
      <c r="A94" t="inlineStr">
        <is>
          <t>A 45082-2022</t>
        </is>
      </c>
      <c r="B94" s="1" t="n">
        <v>44842</v>
      </c>
      <c r="C94" s="1" t="n">
        <v>45344</v>
      </c>
      <c r="D94" t="inlineStr">
        <is>
          <t>JÄMTLANDS LÄN</t>
        </is>
      </c>
      <c r="E94" t="inlineStr">
        <is>
          <t>BERG</t>
        </is>
      </c>
      <c r="F94" t="inlineStr">
        <is>
          <t>SCA</t>
        </is>
      </c>
      <c r="G94" t="n">
        <v>10.8</v>
      </c>
      <c r="H94" t="n">
        <v>1</v>
      </c>
      <c r="I94" t="n">
        <v>0</v>
      </c>
      <c r="J94" t="n">
        <v>1</v>
      </c>
      <c r="K94" t="n">
        <v>0</v>
      </c>
      <c r="L94" t="n">
        <v>0</v>
      </c>
      <c r="M94" t="n">
        <v>0</v>
      </c>
      <c r="N94" t="n">
        <v>0</v>
      </c>
      <c r="O94" t="n">
        <v>1</v>
      </c>
      <c r="P94" t="n">
        <v>0</v>
      </c>
      <c r="Q94" t="n">
        <v>1</v>
      </c>
      <c r="R94" s="2" t="inlineStr">
        <is>
          <t>Fjällvråk</t>
        </is>
      </c>
      <c r="S94">
        <f>HYPERLINK("https://klasma.github.io/Logging_2326/artfynd/A 45082-2022 artfynd.xlsx", "A 45082-2022")</f>
        <v/>
      </c>
      <c r="T94">
        <f>HYPERLINK("https://klasma.github.io/Logging_2326/kartor/A 45082-2022 karta.png", "A 45082-2022")</f>
        <v/>
      </c>
      <c r="V94">
        <f>HYPERLINK("https://klasma.github.io/Logging_2326/klagomål/A 45082-2022 FSC-klagomål.docx", "A 45082-2022")</f>
        <v/>
      </c>
      <c r="W94">
        <f>HYPERLINK("https://klasma.github.io/Logging_2326/klagomålsmail/A 45082-2022 FSC-klagomål mail.docx", "A 45082-2022")</f>
        <v/>
      </c>
      <c r="X94">
        <f>HYPERLINK("https://klasma.github.io/Logging_2326/tillsyn/A 45082-2022 tillsynsbegäran.docx", "A 45082-2022")</f>
        <v/>
      </c>
      <c r="Y94">
        <f>HYPERLINK("https://klasma.github.io/Logging_2326/tillsynsmail/A 45082-2022 tillsynsbegäran mail.docx", "A 45082-2022")</f>
        <v/>
      </c>
      <c r="Z94">
        <f>HYPERLINK("https://klasma.github.io/Logging_2326/fåglar/A 45082-2022 prioriterade fågelarter.docx", "A 45082-2022")</f>
        <v/>
      </c>
    </row>
    <row r="95" ht="15" customHeight="1">
      <c r="A95" t="inlineStr">
        <is>
          <t>A 49532-2022</t>
        </is>
      </c>
      <c r="B95" s="1" t="n">
        <v>44861</v>
      </c>
      <c r="C95" s="1" t="n">
        <v>45344</v>
      </c>
      <c r="D95" t="inlineStr">
        <is>
          <t>JÄMTLANDS LÄN</t>
        </is>
      </c>
      <c r="E95" t="inlineStr">
        <is>
          <t>BERG</t>
        </is>
      </c>
      <c r="F95" t="inlineStr">
        <is>
          <t>SCA</t>
        </is>
      </c>
      <c r="G95" t="n">
        <v>12.7</v>
      </c>
      <c r="H95" t="n">
        <v>0</v>
      </c>
      <c r="I95" t="n">
        <v>0</v>
      </c>
      <c r="J95" t="n">
        <v>1</v>
      </c>
      <c r="K95" t="n">
        <v>0</v>
      </c>
      <c r="L95" t="n">
        <v>0</v>
      </c>
      <c r="M95" t="n">
        <v>0</v>
      </c>
      <c r="N95" t="n">
        <v>0</v>
      </c>
      <c r="O95" t="n">
        <v>1</v>
      </c>
      <c r="P95" t="n">
        <v>0</v>
      </c>
      <c r="Q95" t="n">
        <v>1</v>
      </c>
      <c r="R95" s="2" t="inlineStr">
        <is>
          <t>Dvärgbägarlav</t>
        </is>
      </c>
      <c r="S95">
        <f>HYPERLINK("https://klasma.github.io/Logging_2326/artfynd/A 49532-2022 artfynd.xlsx", "A 49532-2022")</f>
        <v/>
      </c>
      <c r="T95">
        <f>HYPERLINK("https://klasma.github.io/Logging_2326/kartor/A 49532-2022 karta.png", "A 49532-2022")</f>
        <v/>
      </c>
      <c r="V95">
        <f>HYPERLINK("https://klasma.github.io/Logging_2326/klagomål/A 49532-2022 FSC-klagomål.docx", "A 49532-2022")</f>
        <v/>
      </c>
      <c r="W95">
        <f>HYPERLINK("https://klasma.github.io/Logging_2326/klagomålsmail/A 49532-2022 FSC-klagomål mail.docx", "A 49532-2022")</f>
        <v/>
      </c>
      <c r="X95">
        <f>HYPERLINK("https://klasma.github.io/Logging_2326/tillsyn/A 49532-2022 tillsynsbegäran.docx", "A 49532-2022")</f>
        <v/>
      </c>
      <c r="Y95">
        <f>HYPERLINK("https://klasma.github.io/Logging_2326/tillsynsmail/A 49532-2022 tillsynsbegäran mail.docx", "A 49532-2022")</f>
        <v/>
      </c>
    </row>
    <row r="96" ht="15" customHeight="1">
      <c r="A96" t="inlineStr">
        <is>
          <t>A 53014-2022</t>
        </is>
      </c>
      <c r="B96" s="1" t="n">
        <v>44875</v>
      </c>
      <c r="C96" s="1" t="n">
        <v>45344</v>
      </c>
      <c r="D96" t="inlineStr">
        <is>
          <t>JÄMTLANDS LÄN</t>
        </is>
      </c>
      <c r="E96" t="inlineStr">
        <is>
          <t>BERG</t>
        </is>
      </c>
      <c r="F96" t="inlineStr">
        <is>
          <t>SCA</t>
        </is>
      </c>
      <c r="G96" t="n">
        <v>13</v>
      </c>
      <c r="H96" t="n">
        <v>0</v>
      </c>
      <c r="I96" t="n">
        <v>0</v>
      </c>
      <c r="J96" t="n">
        <v>0</v>
      </c>
      <c r="K96" t="n">
        <v>1</v>
      </c>
      <c r="L96" t="n">
        <v>0</v>
      </c>
      <c r="M96" t="n">
        <v>0</v>
      </c>
      <c r="N96" t="n">
        <v>0</v>
      </c>
      <c r="O96" t="n">
        <v>1</v>
      </c>
      <c r="P96" t="n">
        <v>1</v>
      </c>
      <c r="Q96" t="n">
        <v>1</v>
      </c>
      <c r="R96" s="2" t="inlineStr">
        <is>
          <t>Gräddporing</t>
        </is>
      </c>
      <c r="S96">
        <f>HYPERLINK("https://klasma.github.io/Logging_2326/artfynd/A 53014-2022 artfynd.xlsx", "A 53014-2022")</f>
        <v/>
      </c>
      <c r="T96">
        <f>HYPERLINK("https://klasma.github.io/Logging_2326/kartor/A 53014-2022 karta.png", "A 53014-2022")</f>
        <v/>
      </c>
      <c r="V96">
        <f>HYPERLINK("https://klasma.github.io/Logging_2326/klagomål/A 53014-2022 FSC-klagomål.docx", "A 53014-2022")</f>
        <v/>
      </c>
      <c r="W96">
        <f>HYPERLINK("https://klasma.github.io/Logging_2326/klagomålsmail/A 53014-2022 FSC-klagomål mail.docx", "A 53014-2022")</f>
        <v/>
      </c>
      <c r="X96">
        <f>HYPERLINK("https://klasma.github.io/Logging_2326/tillsyn/A 53014-2022 tillsynsbegäran.docx", "A 53014-2022")</f>
        <v/>
      </c>
      <c r="Y96">
        <f>HYPERLINK("https://klasma.github.io/Logging_2326/tillsynsmail/A 53014-2022 tillsynsbegäran mail.docx", "A 53014-2022")</f>
        <v/>
      </c>
    </row>
    <row r="97" ht="15" customHeight="1">
      <c r="A97" t="inlineStr">
        <is>
          <t>A 59823-2022</t>
        </is>
      </c>
      <c r="B97" s="1" t="n">
        <v>44900</v>
      </c>
      <c r="C97" s="1" t="n">
        <v>45344</v>
      </c>
      <c r="D97" t="inlineStr">
        <is>
          <t>JÄMTLANDS LÄN</t>
        </is>
      </c>
      <c r="E97" t="inlineStr">
        <is>
          <t>BERG</t>
        </is>
      </c>
      <c r="G97" t="n">
        <v>14.8</v>
      </c>
      <c r="H97" t="n">
        <v>0</v>
      </c>
      <c r="I97" t="n">
        <v>0</v>
      </c>
      <c r="J97" t="n">
        <v>1</v>
      </c>
      <c r="K97" t="n">
        <v>0</v>
      </c>
      <c r="L97" t="n">
        <v>0</v>
      </c>
      <c r="M97" t="n">
        <v>0</v>
      </c>
      <c r="N97" t="n">
        <v>0</v>
      </c>
      <c r="O97" t="n">
        <v>1</v>
      </c>
      <c r="P97" t="n">
        <v>0</v>
      </c>
      <c r="Q97" t="n">
        <v>1</v>
      </c>
      <c r="R97" s="2" t="inlineStr">
        <is>
          <t>Granticka</t>
        </is>
      </c>
      <c r="S97">
        <f>HYPERLINK("https://klasma.github.io/Logging_2326/artfynd/A 59823-2022 artfynd.xlsx", "A 59823-2022")</f>
        <v/>
      </c>
      <c r="T97">
        <f>HYPERLINK("https://klasma.github.io/Logging_2326/kartor/A 59823-2022 karta.png", "A 59823-2022")</f>
        <v/>
      </c>
      <c r="V97">
        <f>HYPERLINK("https://klasma.github.io/Logging_2326/klagomål/A 59823-2022 FSC-klagomål.docx", "A 59823-2022")</f>
        <v/>
      </c>
      <c r="W97">
        <f>HYPERLINK("https://klasma.github.io/Logging_2326/klagomålsmail/A 59823-2022 FSC-klagomål mail.docx", "A 59823-2022")</f>
        <v/>
      </c>
      <c r="X97">
        <f>HYPERLINK("https://klasma.github.io/Logging_2326/tillsyn/A 59823-2022 tillsynsbegäran.docx", "A 59823-2022")</f>
        <v/>
      </c>
      <c r="Y97">
        <f>HYPERLINK("https://klasma.github.io/Logging_2326/tillsynsmail/A 59823-2022 tillsynsbegäran mail.docx", "A 59823-2022")</f>
        <v/>
      </c>
    </row>
    <row r="98" ht="15" customHeight="1">
      <c r="A98" t="inlineStr">
        <is>
          <t>A 24309-2023</t>
        </is>
      </c>
      <c r="B98" s="1" t="n">
        <v>45079</v>
      </c>
      <c r="C98" s="1" t="n">
        <v>45344</v>
      </c>
      <c r="D98" t="inlineStr">
        <is>
          <t>JÄMTLANDS LÄN</t>
        </is>
      </c>
      <c r="E98" t="inlineStr">
        <is>
          <t>BERG</t>
        </is>
      </c>
      <c r="F98" t="inlineStr">
        <is>
          <t>SCA</t>
        </is>
      </c>
      <c r="G98" t="n">
        <v>3.3</v>
      </c>
      <c r="H98" t="n">
        <v>1</v>
      </c>
      <c r="I98" t="n">
        <v>0</v>
      </c>
      <c r="J98" t="n">
        <v>0</v>
      </c>
      <c r="K98" t="n">
        <v>0</v>
      </c>
      <c r="L98" t="n">
        <v>0</v>
      </c>
      <c r="M98" t="n">
        <v>0</v>
      </c>
      <c r="N98" t="n">
        <v>0</v>
      </c>
      <c r="O98" t="n">
        <v>0</v>
      </c>
      <c r="P98" t="n">
        <v>0</v>
      </c>
      <c r="Q98" t="n">
        <v>1</v>
      </c>
      <c r="R98" s="2" t="inlineStr">
        <is>
          <t>Vanlig groda</t>
        </is>
      </c>
      <c r="S98">
        <f>HYPERLINK("https://klasma.github.io/Logging_2326/artfynd/A 24309-2023 artfynd.xlsx", "A 24309-2023")</f>
        <v/>
      </c>
      <c r="T98">
        <f>HYPERLINK("https://klasma.github.io/Logging_2326/kartor/A 24309-2023 karta.png", "A 24309-2023")</f>
        <v/>
      </c>
      <c r="V98">
        <f>HYPERLINK("https://klasma.github.io/Logging_2326/klagomål/A 24309-2023 FSC-klagomål.docx", "A 24309-2023")</f>
        <v/>
      </c>
      <c r="W98">
        <f>HYPERLINK("https://klasma.github.io/Logging_2326/klagomålsmail/A 24309-2023 FSC-klagomål mail.docx", "A 24309-2023")</f>
        <v/>
      </c>
      <c r="X98">
        <f>HYPERLINK("https://klasma.github.io/Logging_2326/tillsyn/A 24309-2023 tillsynsbegäran.docx", "A 24309-2023")</f>
        <v/>
      </c>
      <c r="Y98">
        <f>HYPERLINK("https://klasma.github.io/Logging_2326/tillsynsmail/A 24309-2023 tillsynsbegäran mail.docx", "A 24309-2023")</f>
        <v/>
      </c>
    </row>
    <row r="99" ht="15" customHeight="1">
      <c r="A99" t="inlineStr">
        <is>
          <t>A 33124-2023</t>
        </is>
      </c>
      <c r="B99" s="1" t="n">
        <v>45126</v>
      </c>
      <c r="C99" s="1" t="n">
        <v>45344</v>
      </c>
      <c r="D99" t="inlineStr">
        <is>
          <t>JÄMTLANDS LÄN</t>
        </is>
      </c>
      <c r="E99" t="inlineStr">
        <is>
          <t>BERG</t>
        </is>
      </c>
      <c r="F99" t="inlineStr">
        <is>
          <t>Sveaskog</t>
        </is>
      </c>
      <c r="G99" t="n">
        <v>4.2</v>
      </c>
      <c r="H99" t="n">
        <v>0</v>
      </c>
      <c r="I99" t="n">
        <v>0</v>
      </c>
      <c r="J99" t="n">
        <v>1</v>
      </c>
      <c r="K99" t="n">
        <v>0</v>
      </c>
      <c r="L99" t="n">
        <v>0</v>
      </c>
      <c r="M99" t="n">
        <v>0</v>
      </c>
      <c r="N99" t="n">
        <v>0</v>
      </c>
      <c r="O99" t="n">
        <v>1</v>
      </c>
      <c r="P99" t="n">
        <v>0</v>
      </c>
      <c r="Q99" t="n">
        <v>1</v>
      </c>
      <c r="R99" s="2" t="inlineStr">
        <is>
          <t>Lunglav</t>
        </is>
      </c>
      <c r="S99">
        <f>HYPERLINK("https://klasma.github.io/Logging_2326/artfynd/A 33124-2023 artfynd.xlsx", "A 33124-2023")</f>
        <v/>
      </c>
      <c r="T99">
        <f>HYPERLINK("https://klasma.github.io/Logging_2326/kartor/A 33124-2023 karta.png", "A 33124-2023")</f>
        <v/>
      </c>
      <c r="V99">
        <f>HYPERLINK("https://klasma.github.io/Logging_2326/klagomål/A 33124-2023 FSC-klagomål.docx", "A 33124-2023")</f>
        <v/>
      </c>
      <c r="W99">
        <f>HYPERLINK("https://klasma.github.io/Logging_2326/klagomålsmail/A 33124-2023 FSC-klagomål mail.docx", "A 33124-2023")</f>
        <v/>
      </c>
      <c r="X99">
        <f>HYPERLINK("https://klasma.github.io/Logging_2326/tillsyn/A 33124-2023 tillsynsbegäran.docx", "A 33124-2023")</f>
        <v/>
      </c>
      <c r="Y99">
        <f>HYPERLINK("https://klasma.github.io/Logging_2326/tillsynsmail/A 33124-2023 tillsynsbegäran mail.docx", "A 33124-2023")</f>
        <v/>
      </c>
    </row>
    <row r="100" ht="15" customHeight="1">
      <c r="A100" t="inlineStr">
        <is>
          <t>A 35275-2023</t>
        </is>
      </c>
      <c r="B100" s="1" t="n">
        <v>45145</v>
      </c>
      <c r="C100" s="1" t="n">
        <v>45344</v>
      </c>
      <c r="D100" t="inlineStr">
        <is>
          <t>JÄMTLANDS LÄN</t>
        </is>
      </c>
      <c r="E100" t="inlineStr">
        <is>
          <t>BERG</t>
        </is>
      </c>
      <c r="F100" t="inlineStr">
        <is>
          <t>SCA</t>
        </is>
      </c>
      <c r="G100" t="n">
        <v>8.5</v>
      </c>
      <c r="H100" t="n">
        <v>0</v>
      </c>
      <c r="I100" t="n">
        <v>0</v>
      </c>
      <c r="J100" t="n">
        <v>1</v>
      </c>
      <c r="K100" t="n">
        <v>0</v>
      </c>
      <c r="L100" t="n">
        <v>0</v>
      </c>
      <c r="M100" t="n">
        <v>0</v>
      </c>
      <c r="N100" t="n">
        <v>0</v>
      </c>
      <c r="O100" t="n">
        <v>1</v>
      </c>
      <c r="P100" t="n">
        <v>0</v>
      </c>
      <c r="Q100" t="n">
        <v>1</v>
      </c>
      <c r="R100" s="2" t="inlineStr">
        <is>
          <t>Motaggsvamp</t>
        </is>
      </c>
      <c r="S100">
        <f>HYPERLINK("https://klasma.github.io/Logging_2326/artfynd/A 35275-2023 artfynd.xlsx", "A 35275-2023")</f>
        <v/>
      </c>
      <c r="T100">
        <f>HYPERLINK("https://klasma.github.io/Logging_2326/kartor/A 35275-2023 karta.png", "A 35275-2023")</f>
        <v/>
      </c>
      <c r="V100">
        <f>HYPERLINK("https://klasma.github.io/Logging_2326/klagomål/A 35275-2023 FSC-klagomål.docx", "A 35275-2023")</f>
        <v/>
      </c>
      <c r="W100">
        <f>HYPERLINK("https://klasma.github.io/Logging_2326/klagomålsmail/A 35275-2023 FSC-klagomål mail.docx", "A 35275-2023")</f>
        <v/>
      </c>
      <c r="X100">
        <f>HYPERLINK("https://klasma.github.io/Logging_2326/tillsyn/A 35275-2023 tillsynsbegäran.docx", "A 35275-2023")</f>
        <v/>
      </c>
      <c r="Y100">
        <f>HYPERLINK("https://klasma.github.io/Logging_2326/tillsynsmail/A 35275-2023 tillsynsbegäran mail.docx", "A 35275-2023")</f>
        <v/>
      </c>
    </row>
    <row r="101" ht="15" customHeight="1">
      <c r="A101" t="inlineStr">
        <is>
          <t>A 50543-2023</t>
        </is>
      </c>
      <c r="B101" s="1" t="n">
        <v>45210</v>
      </c>
      <c r="C101" s="1" t="n">
        <v>45344</v>
      </c>
      <c r="D101" t="inlineStr">
        <is>
          <t>JÄMTLANDS LÄN</t>
        </is>
      </c>
      <c r="E101" t="inlineStr">
        <is>
          <t>BERG</t>
        </is>
      </c>
      <c r="F101" t="inlineStr">
        <is>
          <t>Övriga statliga verk och myndigheter</t>
        </is>
      </c>
      <c r="G101" t="n">
        <v>9.699999999999999</v>
      </c>
      <c r="H101" t="n">
        <v>1</v>
      </c>
      <c r="I101" t="n">
        <v>0</v>
      </c>
      <c r="J101" t="n">
        <v>1</v>
      </c>
      <c r="K101" t="n">
        <v>0</v>
      </c>
      <c r="L101" t="n">
        <v>0</v>
      </c>
      <c r="M101" t="n">
        <v>0</v>
      </c>
      <c r="N101" t="n">
        <v>0</v>
      </c>
      <c r="O101" t="n">
        <v>1</v>
      </c>
      <c r="P101" t="n">
        <v>0</v>
      </c>
      <c r="Q101" t="n">
        <v>1</v>
      </c>
      <c r="R101" s="2" t="inlineStr">
        <is>
          <t>Tretåig hackspett</t>
        </is>
      </c>
      <c r="S101">
        <f>HYPERLINK("https://klasma.github.io/Logging_2326/artfynd/A 50543-2023 artfynd.xlsx", "A 50543-2023")</f>
        <v/>
      </c>
      <c r="T101">
        <f>HYPERLINK("https://klasma.github.io/Logging_2326/kartor/A 50543-2023 karta.png", "A 50543-2023")</f>
        <v/>
      </c>
      <c r="V101">
        <f>HYPERLINK("https://klasma.github.io/Logging_2326/klagomål/A 50543-2023 FSC-klagomål.docx", "A 50543-2023")</f>
        <v/>
      </c>
      <c r="W101">
        <f>HYPERLINK("https://klasma.github.io/Logging_2326/klagomålsmail/A 50543-2023 FSC-klagomål mail.docx", "A 50543-2023")</f>
        <v/>
      </c>
      <c r="X101">
        <f>HYPERLINK("https://klasma.github.io/Logging_2326/tillsyn/A 50543-2023 tillsynsbegäran.docx", "A 50543-2023")</f>
        <v/>
      </c>
      <c r="Y101">
        <f>HYPERLINK("https://klasma.github.io/Logging_2326/tillsynsmail/A 50543-2023 tillsynsbegäran mail.docx", "A 50543-2023")</f>
        <v/>
      </c>
      <c r="Z101">
        <f>HYPERLINK("https://klasma.github.io/Logging_2326/fåglar/A 50543-2023 prioriterade fågelarter.docx", "A 50543-2023")</f>
        <v/>
      </c>
    </row>
    <row r="102" ht="15" customHeight="1">
      <c r="A102" t="inlineStr">
        <is>
          <t>A 50765-2023</t>
        </is>
      </c>
      <c r="B102" s="1" t="n">
        <v>45210</v>
      </c>
      <c r="C102" s="1" t="n">
        <v>45344</v>
      </c>
      <c r="D102" t="inlineStr">
        <is>
          <t>JÄMTLANDS LÄN</t>
        </is>
      </c>
      <c r="E102" t="inlineStr">
        <is>
          <t>BERG</t>
        </is>
      </c>
      <c r="G102" t="n">
        <v>9.4</v>
      </c>
      <c r="H102" t="n">
        <v>0</v>
      </c>
      <c r="I102" t="n">
        <v>0</v>
      </c>
      <c r="J102" t="n">
        <v>1</v>
      </c>
      <c r="K102" t="n">
        <v>0</v>
      </c>
      <c r="L102" t="n">
        <v>0</v>
      </c>
      <c r="M102" t="n">
        <v>0</v>
      </c>
      <c r="N102" t="n">
        <v>0</v>
      </c>
      <c r="O102" t="n">
        <v>1</v>
      </c>
      <c r="P102" t="n">
        <v>0</v>
      </c>
      <c r="Q102" t="n">
        <v>1</v>
      </c>
      <c r="R102" s="2" t="inlineStr">
        <is>
          <t>Äggvaxskivling</t>
        </is>
      </c>
      <c r="S102">
        <f>HYPERLINK("https://klasma.github.io/Logging_2326/artfynd/A 50765-2023 artfynd.xlsx", "A 50765-2023")</f>
        <v/>
      </c>
      <c r="T102">
        <f>HYPERLINK("https://klasma.github.io/Logging_2326/kartor/A 50765-2023 karta.png", "A 50765-2023")</f>
        <v/>
      </c>
      <c r="V102">
        <f>HYPERLINK("https://klasma.github.io/Logging_2326/klagomål/A 50765-2023 FSC-klagomål.docx", "A 50765-2023")</f>
        <v/>
      </c>
      <c r="W102">
        <f>HYPERLINK("https://klasma.github.io/Logging_2326/klagomålsmail/A 50765-2023 FSC-klagomål mail.docx", "A 50765-2023")</f>
        <v/>
      </c>
      <c r="X102">
        <f>HYPERLINK("https://klasma.github.io/Logging_2326/tillsyn/A 50765-2023 tillsynsbegäran.docx", "A 50765-2023")</f>
        <v/>
      </c>
      <c r="Y102">
        <f>HYPERLINK("https://klasma.github.io/Logging_2326/tillsynsmail/A 50765-2023 tillsynsbegäran mail.docx", "A 50765-2023")</f>
        <v/>
      </c>
    </row>
    <row r="103" ht="15" customHeight="1">
      <c r="A103" t="inlineStr">
        <is>
          <t>A 53443-2023</t>
        </is>
      </c>
      <c r="B103" s="1" t="n">
        <v>45210</v>
      </c>
      <c r="C103" s="1" t="n">
        <v>45344</v>
      </c>
      <c r="D103" t="inlineStr">
        <is>
          <t>JÄMTLANDS LÄN</t>
        </is>
      </c>
      <c r="E103" t="inlineStr">
        <is>
          <t>BERG</t>
        </is>
      </c>
      <c r="F103" t="inlineStr">
        <is>
          <t>Övriga statliga verk och myndigheter</t>
        </is>
      </c>
      <c r="G103" t="n">
        <v>3.4</v>
      </c>
      <c r="H103" t="n">
        <v>1</v>
      </c>
      <c r="I103" t="n">
        <v>0</v>
      </c>
      <c r="J103" t="n">
        <v>1</v>
      </c>
      <c r="K103" t="n">
        <v>0</v>
      </c>
      <c r="L103" t="n">
        <v>0</v>
      </c>
      <c r="M103" t="n">
        <v>0</v>
      </c>
      <c r="N103" t="n">
        <v>0</v>
      </c>
      <c r="O103" t="n">
        <v>1</v>
      </c>
      <c r="P103" t="n">
        <v>0</v>
      </c>
      <c r="Q103" t="n">
        <v>1</v>
      </c>
      <c r="R103" s="2" t="inlineStr">
        <is>
          <t>Tretåig hackspett</t>
        </is>
      </c>
      <c r="S103">
        <f>HYPERLINK("https://klasma.github.io/Logging_2326/artfynd/A 53443-2023 artfynd.xlsx", "A 53443-2023")</f>
        <v/>
      </c>
      <c r="T103">
        <f>HYPERLINK("https://klasma.github.io/Logging_2326/kartor/A 53443-2023 karta.png", "A 53443-2023")</f>
        <v/>
      </c>
      <c r="V103">
        <f>HYPERLINK("https://klasma.github.io/Logging_2326/klagomål/A 53443-2023 FSC-klagomål.docx", "A 53443-2023")</f>
        <v/>
      </c>
      <c r="W103">
        <f>HYPERLINK("https://klasma.github.io/Logging_2326/klagomålsmail/A 53443-2023 FSC-klagomål mail.docx", "A 53443-2023")</f>
        <v/>
      </c>
      <c r="X103">
        <f>HYPERLINK("https://klasma.github.io/Logging_2326/tillsyn/A 53443-2023 tillsynsbegäran.docx", "A 53443-2023")</f>
        <v/>
      </c>
      <c r="Y103">
        <f>HYPERLINK("https://klasma.github.io/Logging_2326/tillsynsmail/A 53443-2023 tillsynsbegäran mail.docx", "A 53443-2023")</f>
        <v/>
      </c>
      <c r="Z103">
        <f>HYPERLINK("https://klasma.github.io/Logging_2326/fåglar/A 53443-2023 prioriterade fågelarter.docx", "A 53443-2023")</f>
        <v/>
      </c>
    </row>
    <row r="104" ht="15" customHeight="1">
      <c r="A104" t="inlineStr">
        <is>
          <t>A 50225-2023</t>
        </is>
      </c>
      <c r="B104" s="1" t="n">
        <v>45215</v>
      </c>
      <c r="C104" s="1" t="n">
        <v>45344</v>
      </c>
      <c r="D104" t="inlineStr">
        <is>
          <t>JÄMTLANDS LÄN</t>
        </is>
      </c>
      <c r="E104" t="inlineStr">
        <is>
          <t>BERG</t>
        </is>
      </c>
      <c r="F104" t="inlineStr">
        <is>
          <t>SCA</t>
        </is>
      </c>
      <c r="G104" t="n">
        <v>4.3</v>
      </c>
      <c r="H104" t="n">
        <v>0</v>
      </c>
      <c r="I104" t="n">
        <v>0</v>
      </c>
      <c r="J104" t="n">
        <v>0</v>
      </c>
      <c r="K104" t="n">
        <v>1</v>
      </c>
      <c r="L104" t="n">
        <v>0</v>
      </c>
      <c r="M104" t="n">
        <v>0</v>
      </c>
      <c r="N104" t="n">
        <v>0</v>
      </c>
      <c r="O104" t="n">
        <v>1</v>
      </c>
      <c r="P104" t="n">
        <v>1</v>
      </c>
      <c r="Q104" t="n">
        <v>1</v>
      </c>
      <c r="R104" s="2" t="inlineStr">
        <is>
          <t>Rynkskinn</t>
        </is>
      </c>
      <c r="S104">
        <f>HYPERLINK("https://klasma.github.io/Logging_2326/artfynd/A 50225-2023 artfynd.xlsx", "A 50225-2023")</f>
        <v/>
      </c>
      <c r="T104">
        <f>HYPERLINK("https://klasma.github.io/Logging_2326/kartor/A 50225-2023 karta.png", "A 50225-2023")</f>
        <v/>
      </c>
      <c r="V104">
        <f>HYPERLINK("https://klasma.github.io/Logging_2326/klagomål/A 50225-2023 FSC-klagomål.docx", "A 50225-2023")</f>
        <v/>
      </c>
      <c r="W104">
        <f>HYPERLINK("https://klasma.github.io/Logging_2326/klagomålsmail/A 50225-2023 FSC-klagomål mail.docx", "A 50225-2023")</f>
        <v/>
      </c>
      <c r="X104">
        <f>HYPERLINK("https://klasma.github.io/Logging_2326/tillsyn/A 50225-2023 tillsynsbegäran.docx", "A 50225-2023")</f>
        <v/>
      </c>
      <c r="Y104">
        <f>HYPERLINK("https://klasma.github.io/Logging_2326/tillsynsmail/A 50225-2023 tillsynsbegäran mail.docx", "A 50225-2023")</f>
        <v/>
      </c>
    </row>
    <row r="105" ht="15" customHeight="1">
      <c r="A105" t="inlineStr">
        <is>
          <t>A 50224-2023</t>
        </is>
      </c>
      <c r="B105" s="1" t="n">
        <v>45215</v>
      </c>
      <c r="C105" s="1" t="n">
        <v>45344</v>
      </c>
      <c r="D105" t="inlineStr">
        <is>
          <t>JÄMTLANDS LÄN</t>
        </is>
      </c>
      <c r="E105" t="inlineStr">
        <is>
          <t>BERG</t>
        </is>
      </c>
      <c r="F105" t="inlineStr">
        <is>
          <t>SCA</t>
        </is>
      </c>
      <c r="G105" t="n">
        <v>10.3</v>
      </c>
      <c r="H105" t="n">
        <v>0</v>
      </c>
      <c r="I105" t="n">
        <v>0</v>
      </c>
      <c r="J105" t="n">
        <v>1</v>
      </c>
      <c r="K105" t="n">
        <v>0</v>
      </c>
      <c r="L105" t="n">
        <v>0</v>
      </c>
      <c r="M105" t="n">
        <v>0</v>
      </c>
      <c r="N105" t="n">
        <v>0</v>
      </c>
      <c r="O105" t="n">
        <v>1</v>
      </c>
      <c r="P105" t="n">
        <v>0</v>
      </c>
      <c r="Q105" t="n">
        <v>1</v>
      </c>
      <c r="R105" s="2" t="inlineStr">
        <is>
          <t>Kolflarnlav</t>
        </is>
      </c>
      <c r="S105">
        <f>HYPERLINK("https://klasma.github.io/Logging_2326/artfynd/A 50224-2023 artfynd.xlsx", "A 50224-2023")</f>
        <v/>
      </c>
      <c r="T105">
        <f>HYPERLINK("https://klasma.github.io/Logging_2326/kartor/A 50224-2023 karta.png", "A 50224-2023")</f>
        <v/>
      </c>
      <c r="V105">
        <f>HYPERLINK("https://klasma.github.io/Logging_2326/klagomål/A 50224-2023 FSC-klagomål.docx", "A 50224-2023")</f>
        <v/>
      </c>
      <c r="W105">
        <f>HYPERLINK("https://klasma.github.io/Logging_2326/klagomålsmail/A 50224-2023 FSC-klagomål mail.docx", "A 50224-2023")</f>
        <v/>
      </c>
      <c r="X105">
        <f>HYPERLINK("https://klasma.github.io/Logging_2326/tillsyn/A 50224-2023 tillsynsbegäran.docx", "A 50224-2023")</f>
        <v/>
      </c>
      <c r="Y105">
        <f>HYPERLINK("https://klasma.github.io/Logging_2326/tillsynsmail/A 50224-2023 tillsynsbegäran mail.docx", "A 50224-2023")</f>
        <v/>
      </c>
    </row>
    <row r="106" ht="15" customHeight="1">
      <c r="A106" t="inlineStr">
        <is>
          <t>A 50519-2023</t>
        </is>
      </c>
      <c r="B106" s="1" t="n">
        <v>45217</v>
      </c>
      <c r="C106" s="1" t="n">
        <v>45344</v>
      </c>
      <c r="D106" t="inlineStr">
        <is>
          <t>JÄMTLANDS LÄN</t>
        </is>
      </c>
      <c r="E106" t="inlineStr">
        <is>
          <t>BERG</t>
        </is>
      </c>
      <c r="F106" t="inlineStr">
        <is>
          <t>SCA</t>
        </is>
      </c>
      <c r="G106" t="n">
        <v>0.8</v>
      </c>
      <c r="H106" t="n">
        <v>0</v>
      </c>
      <c r="I106" t="n">
        <v>1</v>
      </c>
      <c r="J106" t="n">
        <v>0</v>
      </c>
      <c r="K106" t="n">
        <v>0</v>
      </c>
      <c r="L106" t="n">
        <v>0</v>
      </c>
      <c r="M106" t="n">
        <v>0</v>
      </c>
      <c r="N106" t="n">
        <v>0</v>
      </c>
      <c r="O106" t="n">
        <v>0</v>
      </c>
      <c r="P106" t="n">
        <v>0</v>
      </c>
      <c r="Q106" t="n">
        <v>1</v>
      </c>
      <c r="R106" s="2" t="inlineStr">
        <is>
          <t>Norrlandslav</t>
        </is>
      </c>
      <c r="S106">
        <f>HYPERLINK("https://klasma.github.io/Logging_2326/artfynd/A 50519-2023 artfynd.xlsx", "A 50519-2023")</f>
        <v/>
      </c>
      <c r="T106">
        <f>HYPERLINK("https://klasma.github.io/Logging_2326/kartor/A 50519-2023 karta.png", "A 50519-2023")</f>
        <v/>
      </c>
      <c r="V106">
        <f>HYPERLINK("https://klasma.github.io/Logging_2326/klagomål/A 50519-2023 FSC-klagomål.docx", "A 50519-2023")</f>
        <v/>
      </c>
      <c r="W106">
        <f>HYPERLINK("https://klasma.github.io/Logging_2326/klagomålsmail/A 50519-2023 FSC-klagomål mail.docx", "A 50519-2023")</f>
        <v/>
      </c>
      <c r="X106">
        <f>HYPERLINK("https://klasma.github.io/Logging_2326/tillsyn/A 50519-2023 tillsynsbegäran.docx", "A 50519-2023")</f>
        <v/>
      </c>
      <c r="Y106">
        <f>HYPERLINK("https://klasma.github.io/Logging_2326/tillsynsmail/A 50519-2023 tillsynsbegäran mail.docx", "A 50519-2023")</f>
        <v/>
      </c>
    </row>
    <row r="107" ht="15" customHeight="1">
      <c r="A107" t="inlineStr">
        <is>
          <t>A 51811-2023</t>
        </is>
      </c>
      <c r="B107" s="1" t="n">
        <v>45222</v>
      </c>
      <c r="C107" s="1" t="n">
        <v>45344</v>
      </c>
      <c r="D107" t="inlineStr">
        <is>
          <t>JÄMTLANDS LÄN</t>
        </is>
      </c>
      <c r="E107" t="inlineStr">
        <is>
          <t>BERG</t>
        </is>
      </c>
      <c r="F107" t="inlineStr">
        <is>
          <t>SCA</t>
        </is>
      </c>
      <c r="G107" t="n">
        <v>7.9</v>
      </c>
      <c r="H107" t="n">
        <v>0</v>
      </c>
      <c r="I107" t="n">
        <v>0</v>
      </c>
      <c r="J107" t="n">
        <v>0</v>
      </c>
      <c r="K107" t="n">
        <v>1</v>
      </c>
      <c r="L107" t="n">
        <v>0</v>
      </c>
      <c r="M107" t="n">
        <v>0</v>
      </c>
      <c r="N107" t="n">
        <v>0</v>
      </c>
      <c r="O107" t="n">
        <v>1</v>
      </c>
      <c r="P107" t="n">
        <v>1</v>
      </c>
      <c r="Q107" t="n">
        <v>1</v>
      </c>
      <c r="R107" s="2" t="inlineStr">
        <is>
          <t>Gräddporing</t>
        </is>
      </c>
      <c r="S107">
        <f>HYPERLINK("https://klasma.github.io/Logging_2326/artfynd/A 51811-2023 artfynd.xlsx", "A 51811-2023")</f>
        <v/>
      </c>
      <c r="T107">
        <f>HYPERLINK("https://klasma.github.io/Logging_2326/kartor/A 51811-2023 karta.png", "A 51811-2023")</f>
        <v/>
      </c>
      <c r="V107">
        <f>HYPERLINK("https://klasma.github.io/Logging_2326/klagomål/A 51811-2023 FSC-klagomål.docx", "A 51811-2023")</f>
        <v/>
      </c>
      <c r="W107">
        <f>HYPERLINK("https://klasma.github.io/Logging_2326/klagomålsmail/A 51811-2023 FSC-klagomål mail.docx", "A 51811-2023")</f>
        <v/>
      </c>
      <c r="X107">
        <f>HYPERLINK("https://klasma.github.io/Logging_2326/tillsyn/A 51811-2023 tillsynsbegäran.docx", "A 51811-2023")</f>
        <v/>
      </c>
      <c r="Y107">
        <f>HYPERLINK("https://klasma.github.io/Logging_2326/tillsynsmail/A 51811-2023 tillsynsbegäran mail.docx", "A 51811-2023")</f>
        <v/>
      </c>
    </row>
    <row r="108" ht="15" customHeight="1">
      <c r="A108" t="inlineStr">
        <is>
          <t>A 54337-2023</t>
        </is>
      </c>
      <c r="B108" s="1" t="n">
        <v>45233</v>
      </c>
      <c r="C108" s="1" t="n">
        <v>45344</v>
      </c>
      <c r="D108" t="inlineStr">
        <is>
          <t>JÄMTLANDS LÄN</t>
        </is>
      </c>
      <c r="E108" t="inlineStr">
        <is>
          <t>BERG</t>
        </is>
      </c>
      <c r="F108" t="inlineStr">
        <is>
          <t>SCA</t>
        </is>
      </c>
      <c r="G108" t="n">
        <v>18.7</v>
      </c>
      <c r="H108" t="n">
        <v>0</v>
      </c>
      <c r="I108" t="n">
        <v>1</v>
      </c>
      <c r="J108" t="n">
        <v>0</v>
      </c>
      <c r="K108" t="n">
        <v>0</v>
      </c>
      <c r="L108" t="n">
        <v>0</v>
      </c>
      <c r="M108" t="n">
        <v>0</v>
      </c>
      <c r="N108" t="n">
        <v>0</v>
      </c>
      <c r="O108" t="n">
        <v>0</v>
      </c>
      <c r="P108" t="n">
        <v>0</v>
      </c>
      <c r="Q108" t="n">
        <v>1</v>
      </c>
      <c r="R108" s="2" t="inlineStr">
        <is>
          <t>Dropptaggsvamp</t>
        </is>
      </c>
      <c r="S108">
        <f>HYPERLINK("https://klasma.github.io/Logging_2326/artfynd/A 54337-2023 artfynd.xlsx", "A 54337-2023")</f>
        <v/>
      </c>
      <c r="T108">
        <f>HYPERLINK("https://klasma.github.io/Logging_2326/kartor/A 54337-2023 karta.png", "A 54337-2023")</f>
        <v/>
      </c>
      <c r="V108">
        <f>HYPERLINK("https://klasma.github.io/Logging_2326/klagomål/A 54337-2023 FSC-klagomål.docx", "A 54337-2023")</f>
        <v/>
      </c>
      <c r="W108">
        <f>HYPERLINK("https://klasma.github.io/Logging_2326/klagomålsmail/A 54337-2023 FSC-klagomål mail.docx", "A 54337-2023")</f>
        <v/>
      </c>
      <c r="X108">
        <f>HYPERLINK("https://klasma.github.io/Logging_2326/tillsyn/A 54337-2023 tillsynsbegäran.docx", "A 54337-2023")</f>
        <v/>
      </c>
      <c r="Y108">
        <f>HYPERLINK("https://klasma.github.io/Logging_2326/tillsynsmail/A 54337-2023 tillsynsbegäran mail.docx", "A 54337-2023")</f>
        <v/>
      </c>
    </row>
    <row r="109" ht="15" customHeight="1">
      <c r="A109" t="inlineStr">
        <is>
          <t>A 54347-2023</t>
        </is>
      </c>
      <c r="B109" s="1" t="n">
        <v>45233</v>
      </c>
      <c r="C109" s="1" t="n">
        <v>45344</v>
      </c>
      <c r="D109" t="inlineStr">
        <is>
          <t>JÄMTLANDS LÄN</t>
        </is>
      </c>
      <c r="E109" t="inlineStr">
        <is>
          <t>BERG</t>
        </is>
      </c>
      <c r="F109" t="inlineStr">
        <is>
          <t>SCA</t>
        </is>
      </c>
      <c r="G109" t="n">
        <v>13.4</v>
      </c>
      <c r="H109" t="n">
        <v>0</v>
      </c>
      <c r="I109" t="n">
        <v>0</v>
      </c>
      <c r="J109" t="n">
        <v>1</v>
      </c>
      <c r="K109" t="n">
        <v>0</v>
      </c>
      <c r="L109" t="n">
        <v>0</v>
      </c>
      <c r="M109" t="n">
        <v>0</v>
      </c>
      <c r="N109" t="n">
        <v>0</v>
      </c>
      <c r="O109" t="n">
        <v>1</v>
      </c>
      <c r="P109" t="n">
        <v>0</v>
      </c>
      <c r="Q109" t="n">
        <v>1</v>
      </c>
      <c r="R109" s="2" t="inlineStr">
        <is>
          <t>Dvärgbägarlav</t>
        </is>
      </c>
      <c r="S109">
        <f>HYPERLINK("https://klasma.github.io/Logging_2326/artfynd/A 54347-2023 artfynd.xlsx", "A 54347-2023")</f>
        <v/>
      </c>
      <c r="T109">
        <f>HYPERLINK("https://klasma.github.io/Logging_2326/kartor/A 54347-2023 karta.png", "A 54347-2023")</f>
        <v/>
      </c>
      <c r="V109">
        <f>HYPERLINK("https://klasma.github.io/Logging_2326/klagomål/A 54347-2023 FSC-klagomål.docx", "A 54347-2023")</f>
        <v/>
      </c>
      <c r="W109">
        <f>HYPERLINK("https://klasma.github.io/Logging_2326/klagomålsmail/A 54347-2023 FSC-klagomål mail.docx", "A 54347-2023")</f>
        <v/>
      </c>
      <c r="X109">
        <f>HYPERLINK("https://klasma.github.io/Logging_2326/tillsyn/A 54347-2023 tillsynsbegäran.docx", "A 54347-2023")</f>
        <v/>
      </c>
      <c r="Y109">
        <f>HYPERLINK("https://klasma.github.io/Logging_2326/tillsynsmail/A 54347-2023 tillsynsbegäran mail.docx", "A 54347-2023")</f>
        <v/>
      </c>
    </row>
    <row r="110" ht="15" customHeight="1">
      <c r="A110" t="inlineStr">
        <is>
          <t>A 55000-2023</t>
        </is>
      </c>
      <c r="B110" s="1" t="n">
        <v>45237</v>
      </c>
      <c r="C110" s="1" t="n">
        <v>45344</v>
      </c>
      <c r="D110" t="inlineStr">
        <is>
          <t>JÄMTLANDS LÄN</t>
        </is>
      </c>
      <c r="E110" t="inlineStr">
        <is>
          <t>BERG</t>
        </is>
      </c>
      <c r="F110" t="inlineStr">
        <is>
          <t>SCA</t>
        </is>
      </c>
      <c r="G110" t="n">
        <v>1.2</v>
      </c>
      <c r="H110" t="n">
        <v>0</v>
      </c>
      <c r="I110" t="n">
        <v>0</v>
      </c>
      <c r="J110" t="n">
        <v>1</v>
      </c>
      <c r="K110" t="n">
        <v>0</v>
      </c>
      <c r="L110" t="n">
        <v>0</v>
      </c>
      <c r="M110" t="n">
        <v>0</v>
      </c>
      <c r="N110" t="n">
        <v>0</v>
      </c>
      <c r="O110" t="n">
        <v>1</v>
      </c>
      <c r="P110" t="n">
        <v>0</v>
      </c>
      <c r="Q110" t="n">
        <v>1</v>
      </c>
      <c r="R110" s="2" t="inlineStr">
        <is>
          <t>Blå taggsvamp</t>
        </is>
      </c>
      <c r="S110">
        <f>HYPERLINK("https://klasma.github.io/Logging_2326/artfynd/A 55000-2023 artfynd.xlsx", "A 55000-2023")</f>
        <v/>
      </c>
      <c r="T110">
        <f>HYPERLINK("https://klasma.github.io/Logging_2326/kartor/A 55000-2023 karta.png", "A 55000-2023")</f>
        <v/>
      </c>
      <c r="V110">
        <f>HYPERLINK("https://klasma.github.io/Logging_2326/klagomål/A 55000-2023 FSC-klagomål.docx", "A 55000-2023")</f>
        <v/>
      </c>
      <c r="W110">
        <f>HYPERLINK("https://klasma.github.io/Logging_2326/klagomålsmail/A 55000-2023 FSC-klagomål mail.docx", "A 55000-2023")</f>
        <v/>
      </c>
      <c r="X110">
        <f>HYPERLINK("https://klasma.github.io/Logging_2326/tillsyn/A 55000-2023 tillsynsbegäran.docx", "A 55000-2023")</f>
        <v/>
      </c>
      <c r="Y110">
        <f>HYPERLINK("https://klasma.github.io/Logging_2326/tillsynsmail/A 55000-2023 tillsynsbegäran mail.docx", "A 55000-2023")</f>
        <v/>
      </c>
    </row>
    <row r="111" ht="15" customHeight="1">
      <c r="A111" t="inlineStr">
        <is>
          <t>A 57421-2023</t>
        </is>
      </c>
      <c r="B111" s="1" t="n">
        <v>45245</v>
      </c>
      <c r="C111" s="1" t="n">
        <v>45344</v>
      </c>
      <c r="D111" t="inlineStr">
        <is>
          <t>JÄMTLANDS LÄN</t>
        </is>
      </c>
      <c r="E111" t="inlineStr">
        <is>
          <t>BERG</t>
        </is>
      </c>
      <c r="F111" t="inlineStr">
        <is>
          <t>SCA</t>
        </is>
      </c>
      <c r="G111" t="n">
        <v>5.4</v>
      </c>
      <c r="H111" t="n">
        <v>0</v>
      </c>
      <c r="I111" t="n">
        <v>0</v>
      </c>
      <c r="J111" t="n">
        <v>0</v>
      </c>
      <c r="K111" t="n">
        <v>1</v>
      </c>
      <c r="L111" t="n">
        <v>0</v>
      </c>
      <c r="M111" t="n">
        <v>0</v>
      </c>
      <c r="N111" t="n">
        <v>0</v>
      </c>
      <c r="O111" t="n">
        <v>1</v>
      </c>
      <c r="P111" t="n">
        <v>1</v>
      </c>
      <c r="Q111" t="n">
        <v>1</v>
      </c>
      <c r="R111" s="2" t="inlineStr">
        <is>
          <t>Gräddporing</t>
        </is>
      </c>
      <c r="S111">
        <f>HYPERLINK("https://klasma.github.io/Logging_2326/artfynd/A 57421-2023 artfynd.xlsx", "A 57421-2023")</f>
        <v/>
      </c>
      <c r="T111">
        <f>HYPERLINK("https://klasma.github.io/Logging_2326/kartor/A 57421-2023 karta.png", "A 57421-2023")</f>
        <v/>
      </c>
      <c r="V111">
        <f>HYPERLINK("https://klasma.github.io/Logging_2326/klagomål/A 57421-2023 FSC-klagomål.docx", "A 57421-2023")</f>
        <v/>
      </c>
      <c r="W111">
        <f>HYPERLINK("https://klasma.github.io/Logging_2326/klagomålsmail/A 57421-2023 FSC-klagomål mail.docx", "A 57421-2023")</f>
        <v/>
      </c>
      <c r="X111">
        <f>HYPERLINK("https://klasma.github.io/Logging_2326/tillsyn/A 57421-2023 tillsynsbegäran.docx", "A 57421-2023")</f>
        <v/>
      </c>
      <c r="Y111">
        <f>HYPERLINK("https://klasma.github.io/Logging_2326/tillsynsmail/A 57421-2023 tillsynsbegäran mail.docx", "A 57421-2023")</f>
        <v/>
      </c>
    </row>
    <row r="112" ht="15" customHeight="1">
      <c r="A112" t="inlineStr">
        <is>
          <t>A 37463-2018</t>
        </is>
      </c>
      <c r="B112" s="1" t="n">
        <v>43334</v>
      </c>
      <c r="C112" s="1" t="n">
        <v>45344</v>
      </c>
      <c r="D112" t="inlineStr">
        <is>
          <t>JÄMTLANDS LÄN</t>
        </is>
      </c>
      <c r="E112" t="inlineStr">
        <is>
          <t>BERG</t>
        </is>
      </c>
      <c r="G112" t="n">
        <v>64.8</v>
      </c>
      <c r="H112" t="n">
        <v>0</v>
      </c>
      <c r="I112" t="n">
        <v>0</v>
      </c>
      <c r="J112" t="n">
        <v>0</v>
      </c>
      <c r="K112" t="n">
        <v>0</v>
      </c>
      <c r="L112" t="n">
        <v>0</v>
      </c>
      <c r="M112" t="n">
        <v>0</v>
      </c>
      <c r="N112" t="n">
        <v>0</v>
      </c>
      <c r="O112" t="n">
        <v>0</v>
      </c>
      <c r="P112" t="n">
        <v>0</v>
      </c>
      <c r="Q112" t="n">
        <v>0</v>
      </c>
      <c r="R112" s="2" t="inlineStr"/>
    </row>
    <row r="113" ht="15" customHeight="1">
      <c r="A113" t="inlineStr">
        <is>
          <t>A 39883-2018</t>
        </is>
      </c>
      <c r="B113" s="1" t="n">
        <v>43342</v>
      </c>
      <c r="C113" s="1" t="n">
        <v>45344</v>
      </c>
      <c r="D113" t="inlineStr">
        <is>
          <t>JÄMTLANDS LÄN</t>
        </is>
      </c>
      <c r="E113" t="inlineStr">
        <is>
          <t>BERG</t>
        </is>
      </c>
      <c r="G113" t="n">
        <v>28.8</v>
      </c>
      <c r="H113" t="n">
        <v>0</v>
      </c>
      <c r="I113" t="n">
        <v>0</v>
      </c>
      <c r="J113" t="n">
        <v>0</v>
      </c>
      <c r="K113" t="n">
        <v>0</v>
      </c>
      <c r="L113" t="n">
        <v>0</v>
      </c>
      <c r="M113" t="n">
        <v>0</v>
      </c>
      <c r="N113" t="n">
        <v>0</v>
      </c>
      <c r="O113" t="n">
        <v>0</v>
      </c>
      <c r="P113" t="n">
        <v>0</v>
      </c>
      <c r="Q113" t="n">
        <v>0</v>
      </c>
      <c r="R113" s="2" t="inlineStr"/>
    </row>
    <row r="114" ht="15" customHeight="1">
      <c r="A114" t="inlineStr">
        <is>
          <t>A 45633-2018</t>
        </is>
      </c>
      <c r="B114" s="1" t="n">
        <v>43363</v>
      </c>
      <c r="C114" s="1" t="n">
        <v>45344</v>
      </c>
      <c r="D114" t="inlineStr">
        <is>
          <t>JÄMTLANDS LÄN</t>
        </is>
      </c>
      <c r="E114" t="inlineStr">
        <is>
          <t>BERG</t>
        </is>
      </c>
      <c r="F114" t="inlineStr">
        <is>
          <t>SCA</t>
        </is>
      </c>
      <c r="G114" t="n">
        <v>1.6</v>
      </c>
      <c r="H114" t="n">
        <v>0</v>
      </c>
      <c r="I114" t="n">
        <v>0</v>
      </c>
      <c r="J114" t="n">
        <v>0</v>
      </c>
      <c r="K114" t="n">
        <v>0</v>
      </c>
      <c r="L114" t="n">
        <v>0</v>
      </c>
      <c r="M114" t="n">
        <v>0</v>
      </c>
      <c r="N114" t="n">
        <v>0</v>
      </c>
      <c r="O114" t="n">
        <v>0</v>
      </c>
      <c r="P114" t="n">
        <v>0</v>
      </c>
      <c r="Q114" t="n">
        <v>0</v>
      </c>
      <c r="R114" s="2" t="inlineStr"/>
    </row>
    <row r="115" ht="15" customHeight="1">
      <c r="A115" t="inlineStr">
        <is>
          <t>A 54598-2018</t>
        </is>
      </c>
      <c r="B115" s="1" t="n">
        <v>43389</v>
      </c>
      <c r="C115" s="1" t="n">
        <v>45344</v>
      </c>
      <c r="D115" t="inlineStr">
        <is>
          <t>JÄMTLANDS LÄN</t>
        </is>
      </c>
      <c r="E115" t="inlineStr">
        <is>
          <t>BERG</t>
        </is>
      </c>
      <c r="F115" t="inlineStr">
        <is>
          <t>Övriga statliga verk och myndigheter</t>
        </is>
      </c>
      <c r="G115" t="n">
        <v>6.2</v>
      </c>
      <c r="H115" t="n">
        <v>0</v>
      </c>
      <c r="I115" t="n">
        <v>0</v>
      </c>
      <c r="J115" t="n">
        <v>0</v>
      </c>
      <c r="K115" t="n">
        <v>0</v>
      </c>
      <c r="L115" t="n">
        <v>0</v>
      </c>
      <c r="M115" t="n">
        <v>0</v>
      </c>
      <c r="N115" t="n">
        <v>0</v>
      </c>
      <c r="O115" t="n">
        <v>0</v>
      </c>
      <c r="P115" t="n">
        <v>0</v>
      </c>
      <c r="Q115" t="n">
        <v>0</v>
      </c>
      <c r="R115" s="2" t="inlineStr"/>
    </row>
    <row r="116" ht="15" customHeight="1">
      <c r="A116" t="inlineStr">
        <is>
          <t>A 56834-2018</t>
        </is>
      </c>
      <c r="B116" s="1" t="n">
        <v>43402</v>
      </c>
      <c r="C116" s="1" t="n">
        <v>45344</v>
      </c>
      <c r="D116" t="inlineStr">
        <is>
          <t>JÄMTLANDS LÄN</t>
        </is>
      </c>
      <c r="E116" t="inlineStr">
        <is>
          <t>BERG</t>
        </is>
      </c>
      <c r="F116" t="inlineStr">
        <is>
          <t>SCA</t>
        </is>
      </c>
      <c r="G116" t="n">
        <v>11.9</v>
      </c>
      <c r="H116" t="n">
        <v>0</v>
      </c>
      <c r="I116" t="n">
        <v>0</v>
      </c>
      <c r="J116" t="n">
        <v>0</v>
      </c>
      <c r="K116" t="n">
        <v>0</v>
      </c>
      <c r="L116" t="n">
        <v>0</v>
      </c>
      <c r="M116" t="n">
        <v>0</v>
      </c>
      <c r="N116" t="n">
        <v>0</v>
      </c>
      <c r="O116" t="n">
        <v>0</v>
      </c>
      <c r="P116" t="n">
        <v>0</v>
      </c>
      <c r="Q116" t="n">
        <v>0</v>
      </c>
      <c r="R116" s="2" t="inlineStr"/>
    </row>
    <row r="117" ht="15" customHeight="1">
      <c r="A117" t="inlineStr">
        <is>
          <t>A 56835-2018</t>
        </is>
      </c>
      <c r="B117" s="1" t="n">
        <v>43402</v>
      </c>
      <c r="C117" s="1" t="n">
        <v>45344</v>
      </c>
      <c r="D117" t="inlineStr">
        <is>
          <t>JÄMTLANDS LÄN</t>
        </is>
      </c>
      <c r="E117" t="inlineStr">
        <is>
          <t>BERG</t>
        </is>
      </c>
      <c r="F117" t="inlineStr">
        <is>
          <t>SCA</t>
        </is>
      </c>
      <c r="G117" t="n">
        <v>7</v>
      </c>
      <c r="H117" t="n">
        <v>0</v>
      </c>
      <c r="I117" t="n">
        <v>0</v>
      </c>
      <c r="J117" t="n">
        <v>0</v>
      </c>
      <c r="K117" t="n">
        <v>0</v>
      </c>
      <c r="L117" t="n">
        <v>0</v>
      </c>
      <c r="M117" t="n">
        <v>0</v>
      </c>
      <c r="N117" t="n">
        <v>0</v>
      </c>
      <c r="O117" t="n">
        <v>0</v>
      </c>
      <c r="P117" t="n">
        <v>0</v>
      </c>
      <c r="Q117" t="n">
        <v>0</v>
      </c>
      <c r="R117" s="2" t="inlineStr"/>
    </row>
    <row r="118" ht="15" customHeight="1">
      <c r="A118" t="inlineStr">
        <is>
          <t>A 57604-2018</t>
        </is>
      </c>
      <c r="B118" s="1" t="n">
        <v>43404</v>
      </c>
      <c r="C118" s="1" t="n">
        <v>45344</v>
      </c>
      <c r="D118" t="inlineStr">
        <is>
          <t>JÄMTLANDS LÄN</t>
        </is>
      </c>
      <c r="E118" t="inlineStr">
        <is>
          <t>BERG</t>
        </is>
      </c>
      <c r="F118" t="inlineStr">
        <is>
          <t>SCA</t>
        </is>
      </c>
      <c r="G118" t="n">
        <v>7</v>
      </c>
      <c r="H118" t="n">
        <v>0</v>
      </c>
      <c r="I118" t="n">
        <v>0</v>
      </c>
      <c r="J118" t="n">
        <v>0</v>
      </c>
      <c r="K118" t="n">
        <v>0</v>
      </c>
      <c r="L118" t="n">
        <v>0</v>
      </c>
      <c r="M118" t="n">
        <v>0</v>
      </c>
      <c r="N118" t="n">
        <v>0</v>
      </c>
      <c r="O118" t="n">
        <v>0</v>
      </c>
      <c r="P118" t="n">
        <v>0</v>
      </c>
      <c r="Q118" t="n">
        <v>0</v>
      </c>
      <c r="R118" s="2" t="inlineStr"/>
    </row>
    <row r="119" ht="15" customHeight="1">
      <c r="A119" t="inlineStr">
        <is>
          <t>A 58408-2018</t>
        </is>
      </c>
      <c r="B119" s="1" t="n">
        <v>43409</v>
      </c>
      <c r="C119" s="1" t="n">
        <v>45344</v>
      </c>
      <c r="D119" t="inlineStr">
        <is>
          <t>JÄMTLANDS LÄN</t>
        </is>
      </c>
      <c r="E119" t="inlineStr">
        <is>
          <t>BERG</t>
        </is>
      </c>
      <c r="G119" t="n">
        <v>11.7</v>
      </c>
      <c r="H119" t="n">
        <v>0</v>
      </c>
      <c r="I119" t="n">
        <v>0</v>
      </c>
      <c r="J119" t="n">
        <v>0</v>
      </c>
      <c r="K119" t="n">
        <v>0</v>
      </c>
      <c r="L119" t="n">
        <v>0</v>
      </c>
      <c r="M119" t="n">
        <v>0</v>
      </c>
      <c r="N119" t="n">
        <v>0</v>
      </c>
      <c r="O119" t="n">
        <v>0</v>
      </c>
      <c r="P119" t="n">
        <v>0</v>
      </c>
      <c r="Q119" t="n">
        <v>0</v>
      </c>
      <c r="R119" s="2" t="inlineStr"/>
    </row>
    <row r="120" ht="15" customHeight="1">
      <c r="A120" t="inlineStr">
        <is>
          <t>A 60544-2018</t>
        </is>
      </c>
      <c r="B120" s="1" t="n">
        <v>43409</v>
      </c>
      <c r="C120" s="1" t="n">
        <v>45344</v>
      </c>
      <c r="D120" t="inlineStr">
        <is>
          <t>JÄMTLANDS LÄN</t>
        </is>
      </c>
      <c r="E120" t="inlineStr">
        <is>
          <t>BERG</t>
        </is>
      </c>
      <c r="G120" t="n">
        <v>0.8</v>
      </c>
      <c r="H120" t="n">
        <v>0</v>
      </c>
      <c r="I120" t="n">
        <v>0</v>
      </c>
      <c r="J120" t="n">
        <v>0</v>
      </c>
      <c r="K120" t="n">
        <v>0</v>
      </c>
      <c r="L120" t="n">
        <v>0</v>
      </c>
      <c r="M120" t="n">
        <v>0</v>
      </c>
      <c r="N120" t="n">
        <v>0</v>
      </c>
      <c r="O120" t="n">
        <v>0</v>
      </c>
      <c r="P120" t="n">
        <v>0</v>
      </c>
      <c r="Q120" t="n">
        <v>0</v>
      </c>
      <c r="R120" s="2" t="inlineStr"/>
    </row>
    <row r="121" ht="15" customHeight="1">
      <c r="A121" t="inlineStr">
        <is>
          <t>A 59898-2018</t>
        </is>
      </c>
      <c r="B121" s="1" t="n">
        <v>43419</v>
      </c>
      <c r="C121" s="1" t="n">
        <v>45344</v>
      </c>
      <c r="D121" t="inlineStr">
        <is>
          <t>JÄMTLANDS LÄN</t>
        </is>
      </c>
      <c r="E121" t="inlineStr">
        <is>
          <t>BERG</t>
        </is>
      </c>
      <c r="G121" t="n">
        <v>7.2</v>
      </c>
      <c r="H121" t="n">
        <v>0</v>
      </c>
      <c r="I121" t="n">
        <v>0</v>
      </c>
      <c r="J121" t="n">
        <v>0</v>
      </c>
      <c r="K121" t="n">
        <v>0</v>
      </c>
      <c r="L121" t="n">
        <v>0</v>
      </c>
      <c r="M121" t="n">
        <v>0</v>
      </c>
      <c r="N121" t="n">
        <v>0</v>
      </c>
      <c r="O121" t="n">
        <v>0</v>
      </c>
      <c r="P121" t="n">
        <v>0</v>
      </c>
      <c r="Q121" t="n">
        <v>0</v>
      </c>
      <c r="R121" s="2" t="inlineStr"/>
    </row>
    <row r="122" ht="15" customHeight="1">
      <c r="A122" t="inlineStr">
        <is>
          <t>A 61223-2018</t>
        </is>
      </c>
      <c r="B122" s="1" t="n">
        <v>43423</v>
      </c>
      <c r="C122" s="1" t="n">
        <v>45344</v>
      </c>
      <c r="D122" t="inlineStr">
        <is>
          <t>JÄMTLANDS LÄN</t>
        </is>
      </c>
      <c r="E122" t="inlineStr">
        <is>
          <t>BERG</t>
        </is>
      </c>
      <c r="G122" t="n">
        <v>1.2</v>
      </c>
      <c r="H122" t="n">
        <v>0</v>
      </c>
      <c r="I122" t="n">
        <v>0</v>
      </c>
      <c r="J122" t="n">
        <v>0</v>
      </c>
      <c r="K122" t="n">
        <v>0</v>
      </c>
      <c r="L122" t="n">
        <v>0</v>
      </c>
      <c r="M122" t="n">
        <v>0</v>
      </c>
      <c r="N122" t="n">
        <v>0</v>
      </c>
      <c r="O122" t="n">
        <v>0</v>
      </c>
      <c r="P122" t="n">
        <v>0</v>
      </c>
      <c r="Q122" t="n">
        <v>0</v>
      </c>
      <c r="R122" s="2" t="inlineStr"/>
    </row>
    <row r="123" ht="15" customHeight="1">
      <c r="A123" t="inlineStr">
        <is>
          <t>A 63977-2018</t>
        </is>
      </c>
      <c r="B123" s="1" t="n">
        <v>43430</v>
      </c>
      <c r="C123" s="1" t="n">
        <v>45344</v>
      </c>
      <c r="D123" t="inlineStr">
        <is>
          <t>JÄMTLANDS LÄN</t>
        </is>
      </c>
      <c r="E123" t="inlineStr">
        <is>
          <t>BERG</t>
        </is>
      </c>
      <c r="G123" t="n">
        <v>0</v>
      </c>
      <c r="H123" t="n">
        <v>0</v>
      </c>
      <c r="I123" t="n">
        <v>0</v>
      </c>
      <c r="J123" t="n">
        <v>0</v>
      </c>
      <c r="K123" t="n">
        <v>0</v>
      </c>
      <c r="L123" t="n">
        <v>0</v>
      </c>
      <c r="M123" t="n">
        <v>0</v>
      </c>
      <c r="N123" t="n">
        <v>0</v>
      </c>
      <c r="O123" t="n">
        <v>0</v>
      </c>
      <c r="P123" t="n">
        <v>0</v>
      </c>
      <c r="Q123" t="n">
        <v>0</v>
      </c>
      <c r="R123" s="2" t="inlineStr"/>
    </row>
    <row r="124" ht="15" customHeight="1">
      <c r="A124" t="inlineStr">
        <is>
          <t>A 64786-2018</t>
        </is>
      </c>
      <c r="B124" s="1" t="n">
        <v>43431</v>
      </c>
      <c r="C124" s="1" t="n">
        <v>45344</v>
      </c>
      <c r="D124" t="inlineStr">
        <is>
          <t>JÄMTLANDS LÄN</t>
        </is>
      </c>
      <c r="E124" t="inlineStr">
        <is>
          <t>BERG</t>
        </is>
      </c>
      <c r="G124" t="n">
        <v>6.1</v>
      </c>
      <c r="H124" t="n">
        <v>0</v>
      </c>
      <c r="I124" t="n">
        <v>0</v>
      </c>
      <c r="J124" t="n">
        <v>0</v>
      </c>
      <c r="K124" t="n">
        <v>0</v>
      </c>
      <c r="L124" t="n">
        <v>0</v>
      </c>
      <c r="M124" t="n">
        <v>0</v>
      </c>
      <c r="N124" t="n">
        <v>0</v>
      </c>
      <c r="O124" t="n">
        <v>0</v>
      </c>
      <c r="P124" t="n">
        <v>0</v>
      </c>
      <c r="Q124" t="n">
        <v>0</v>
      </c>
      <c r="R124" s="2" t="inlineStr"/>
    </row>
    <row r="125" ht="15" customHeight="1">
      <c r="A125" t="inlineStr">
        <is>
          <t>A 67610-2018</t>
        </is>
      </c>
      <c r="B125" s="1" t="n">
        <v>43433</v>
      </c>
      <c r="C125" s="1" t="n">
        <v>45344</v>
      </c>
      <c r="D125" t="inlineStr">
        <is>
          <t>JÄMTLANDS LÄN</t>
        </is>
      </c>
      <c r="E125" t="inlineStr">
        <is>
          <t>BERG</t>
        </is>
      </c>
      <c r="G125" t="n">
        <v>1.7</v>
      </c>
      <c r="H125" t="n">
        <v>0</v>
      </c>
      <c r="I125" t="n">
        <v>0</v>
      </c>
      <c r="J125" t="n">
        <v>0</v>
      </c>
      <c r="K125" t="n">
        <v>0</v>
      </c>
      <c r="L125" t="n">
        <v>0</v>
      </c>
      <c r="M125" t="n">
        <v>0</v>
      </c>
      <c r="N125" t="n">
        <v>0</v>
      </c>
      <c r="O125" t="n">
        <v>0</v>
      </c>
      <c r="P125" t="n">
        <v>0</v>
      </c>
      <c r="Q125" t="n">
        <v>0</v>
      </c>
      <c r="R125" s="2" t="inlineStr"/>
    </row>
    <row r="126" ht="15" customHeight="1">
      <c r="A126" t="inlineStr">
        <is>
          <t>A 65709-2018</t>
        </is>
      </c>
      <c r="B126" s="1" t="n">
        <v>43433</v>
      </c>
      <c r="C126" s="1" t="n">
        <v>45344</v>
      </c>
      <c r="D126" t="inlineStr">
        <is>
          <t>JÄMTLANDS LÄN</t>
        </is>
      </c>
      <c r="E126" t="inlineStr">
        <is>
          <t>BERG</t>
        </is>
      </c>
      <c r="G126" t="n">
        <v>6.6</v>
      </c>
      <c r="H126" t="n">
        <v>0</v>
      </c>
      <c r="I126" t="n">
        <v>0</v>
      </c>
      <c r="J126" t="n">
        <v>0</v>
      </c>
      <c r="K126" t="n">
        <v>0</v>
      </c>
      <c r="L126" t="n">
        <v>0</v>
      </c>
      <c r="M126" t="n">
        <v>0</v>
      </c>
      <c r="N126" t="n">
        <v>0</v>
      </c>
      <c r="O126" t="n">
        <v>0</v>
      </c>
      <c r="P126" t="n">
        <v>0</v>
      </c>
      <c r="Q126" t="n">
        <v>0</v>
      </c>
      <c r="R126" s="2" t="inlineStr"/>
    </row>
    <row r="127" ht="15" customHeight="1">
      <c r="A127" t="inlineStr">
        <is>
          <t>A 66773-2018</t>
        </is>
      </c>
      <c r="B127" s="1" t="n">
        <v>43437</v>
      </c>
      <c r="C127" s="1" t="n">
        <v>45344</v>
      </c>
      <c r="D127" t="inlineStr">
        <is>
          <t>JÄMTLANDS LÄN</t>
        </is>
      </c>
      <c r="E127" t="inlineStr">
        <is>
          <t>BERG</t>
        </is>
      </c>
      <c r="G127" t="n">
        <v>0.6</v>
      </c>
      <c r="H127" t="n">
        <v>0</v>
      </c>
      <c r="I127" t="n">
        <v>0</v>
      </c>
      <c r="J127" t="n">
        <v>0</v>
      </c>
      <c r="K127" t="n">
        <v>0</v>
      </c>
      <c r="L127" t="n">
        <v>0</v>
      </c>
      <c r="M127" t="n">
        <v>0</v>
      </c>
      <c r="N127" t="n">
        <v>0</v>
      </c>
      <c r="O127" t="n">
        <v>0</v>
      </c>
      <c r="P127" t="n">
        <v>0</v>
      </c>
      <c r="Q127" t="n">
        <v>0</v>
      </c>
      <c r="R127" s="2" t="inlineStr"/>
    </row>
    <row r="128" ht="15" customHeight="1">
      <c r="A128" t="inlineStr">
        <is>
          <t>A 68713-2018</t>
        </is>
      </c>
      <c r="B128" s="1" t="n">
        <v>43444</v>
      </c>
      <c r="C128" s="1" t="n">
        <v>45344</v>
      </c>
      <c r="D128" t="inlineStr">
        <is>
          <t>JÄMTLANDS LÄN</t>
        </is>
      </c>
      <c r="E128" t="inlineStr">
        <is>
          <t>BERG</t>
        </is>
      </c>
      <c r="G128" t="n">
        <v>6.1</v>
      </c>
      <c r="H128" t="n">
        <v>0</v>
      </c>
      <c r="I128" t="n">
        <v>0</v>
      </c>
      <c r="J128" t="n">
        <v>0</v>
      </c>
      <c r="K128" t="n">
        <v>0</v>
      </c>
      <c r="L128" t="n">
        <v>0</v>
      </c>
      <c r="M128" t="n">
        <v>0</v>
      </c>
      <c r="N128" t="n">
        <v>0</v>
      </c>
      <c r="O128" t="n">
        <v>0</v>
      </c>
      <c r="P128" t="n">
        <v>0</v>
      </c>
      <c r="Q128" t="n">
        <v>0</v>
      </c>
      <c r="R128" s="2" t="inlineStr"/>
    </row>
    <row r="129" ht="15" customHeight="1">
      <c r="A129" t="inlineStr">
        <is>
          <t>A 69950-2018</t>
        </is>
      </c>
      <c r="B129" s="1" t="n">
        <v>43447</v>
      </c>
      <c r="C129" s="1" t="n">
        <v>45344</v>
      </c>
      <c r="D129" t="inlineStr">
        <is>
          <t>JÄMTLANDS LÄN</t>
        </is>
      </c>
      <c r="E129" t="inlineStr">
        <is>
          <t>BERG</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71079-2018</t>
        </is>
      </c>
      <c r="B130" s="1" t="n">
        <v>43448</v>
      </c>
      <c r="C130" s="1" t="n">
        <v>45344</v>
      </c>
      <c r="D130" t="inlineStr">
        <is>
          <t>JÄMTLANDS LÄN</t>
        </is>
      </c>
      <c r="E130" t="inlineStr">
        <is>
          <t>BERG</t>
        </is>
      </c>
      <c r="G130" t="n">
        <v>5</v>
      </c>
      <c r="H130" t="n">
        <v>0</v>
      </c>
      <c r="I130" t="n">
        <v>0</v>
      </c>
      <c r="J130" t="n">
        <v>0</v>
      </c>
      <c r="K130" t="n">
        <v>0</v>
      </c>
      <c r="L130" t="n">
        <v>0</v>
      </c>
      <c r="M130" t="n">
        <v>0</v>
      </c>
      <c r="N130" t="n">
        <v>0</v>
      </c>
      <c r="O130" t="n">
        <v>0</v>
      </c>
      <c r="P130" t="n">
        <v>0</v>
      </c>
      <c r="Q130" t="n">
        <v>0</v>
      </c>
      <c r="R130" s="2" t="inlineStr"/>
    </row>
    <row r="131" ht="15" customHeight="1">
      <c r="A131" t="inlineStr">
        <is>
          <t>A 71348-2018</t>
        </is>
      </c>
      <c r="B131" s="1" t="n">
        <v>43448</v>
      </c>
      <c r="C131" s="1" t="n">
        <v>45344</v>
      </c>
      <c r="D131" t="inlineStr">
        <is>
          <t>JÄMTLANDS LÄN</t>
        </is>
      </c>
      <c r="E131" t="inlineStr">
        <is>
          <t>BERG</t>
        </is>
      </c>
      <c r="G131" t="n">
        <v>22.1</v>
      </c>
      <c r="H131" t="n">
        <v>0</v>
      </c>
      <c r="I131" t="n">
        <v>0</v>
      </c>
      <c r="J131" t="n">
        <v>0</v>
      </c>
      <c r="K131" t="n">
        <v>0</v>
      </c>
      <c r="L131" t="n">
        <v>0</v>
      </c>
      <c r="M131" t="n">
        <v>0</v>
      </c>
      <c r="N131" t="n">
        <v>0</v>
      </c>
      <c r="O131" t="n">
        <v>0</v>
      </c>
      <c r="P131" t="n">
        <v>0</v>
      </c>
      <c r="Q131" t="n">
        <v>0</v>
      </c>
      <c r="R131" s="2" t="inlineStr"/>
    </row>
    <row r="132" ht="15" customHeight="1">
      <c r="A132" t="inlineStr">
        <is>
          <t>A 71074-2018</t>
        </is>
      </c>
      <c r="B132" s="1" t="n">
        <v>43448</v>
      </c>
      <c r="C132" s="1" t="n">
        <v>45344</v>
      </c>
      <c r="D132" t="inlineStr">
        <is>
          <t>JÄMTLANDS LÄN</t>
        </is>
      </c>
      <c r="E132" t="inlineStr">
        <is>
          <t>BERG</t>
        </is>
      </c>
      <c r="G132" t="n">
        <v>1</v>
      </c>
      <c r="H132" t="n">
        <v>0</v>
      </c>
      <c r="I132" t="n">
        <v>0</v>
      </c>
      <c r="J132" t="n">
        <v>0</v>
      </c>
      <c r="K132" t="n">
        <v>0</v>
      </c>
      <c r="L132" t="n">
        <v>0</v>
      </c>
      <c r="M132" t="n">
        <v>0</v>
      </c>
      <c r="N132" t="n">
        <v>0</v>
      </c>
      <c r="O132" t="n">
        <v>0</v>
      </c>
      <c r="P132" t="n">
        <v>0</v>
      </c>
      <c r="Q132" t="n">
        <v>0</v>
      </c>
      <c r="R132" s="2" t="inlineStr"/>
    </row>
    <row r="133" ht="15" customHeight="1">
      <c r="A133" t="inlineStr">
        <is>
          <t>A 71351-2018</t>
        </is>
      </c>
      <c r="B133" s="1" t="n">
        <v>43448</v>
      </c>
      <c r="C133" s="1" t="n">
        <v>45344</v>
      </c>
      <c r="D133" t="inlineStr">
        <is>
          <t>JÄMTLANDS LÄN</t>
        </is>
      </c>
      <c r="E133" t="inlineStr">
        <is>
          <t>BERG</t>
        </is>
      </c>
      <c r="G133" t="n">
        <v>1.7</v>
      </c>
      <c r="H133" t="n">
        <v>0</v>
      </c>
      <c r="I133" t="n">
        <v>0</v>
      </c>
      <c r="J133" t="n">
        <v>0</v>
      </c>
      <c r="K133" t="n">
        <v>0</v>
      </c>
      <c r="L133" t="n">
        <v>0</v>
      </c>
      <c r="M133" t="n">
        <v>0</v>
      </c>
      <c r="N133" t="n">
        <v>0</v>
      </c>
      <c r="O133" t="n">
        <v>0</v>
      </c>
      <c r="P133" t="n">
        <v>0</v>
      </c>
      <c r="Q133" t="n">
        <v>0</v>
      </c>
      <c r="R133" s="2" t="inlineStr"/>
    </row>
    <row r="134" ht="15" customHeight="1">
      <c r="A134" t="inlineStr">
        <is>
          <t>A 71357-2018</t>
        </is>
      </c>
      <c r="B134" s="1" t="n">
        <v>43448</v>
      </c>
      <c r="C134" s="1" t="n">
        <v>45344</v>
      </c>
      <c r="D134" t="inlineStr">
        <is>
          <t>JÄMTLANDS LÄN</t>
        </is>
      </c>
      <c r="E134" t="inlineStr">
        <is>
          <t>BERG</t>
        </is>
      </c>
      <c r="G134" t="n">
        <v>1.9</v>
      </c>
      <c r="H134" t="n">
        <v>0</v>
      </c>
      <c r="I134" t="n">
        <v>0</v>
      </c>
      <c r="J134" t="n">
        <v>0</v>
      </c>
      <c r="K134" t="n">
        <v>0</v>
      </c>
      <c r="L134" t="n">
        <v>0</v>
      </c>
      <c r="M134" t="n">
        <v>0</v>
      </c>
      <c r="N134" t="n">
        <v>0</v>
      </c>
      <c r="O134" t="n">
        <v>0</v>
      </c>
      <c r="P134" t="n">
        <v>0</v>
      </c>
      <c r="Q134" t="n">
        <v>0</v>
      </c>
      <c r="R134" s="2" t="inlineStr"/>
    </row>
    <row r="135" ht="15" customHeight="1">
      <c r="A135" t="inlineStr">
        <is>
          <t>A 71361-2018</t>
        </is>
      </c>
      <c r="B135" s="1" t="n">
        <v>43448</v>
      </c>
      <c r="C135" s="1" t="n">
        <v>45344</v>
      </c>
      <c r="D135" t="inlineStr">
        <is>
          <t>JÄMTLANDS LÄN</t>
        </is>
      </c>
      <c r="E135" t="inlineStr">
        <is>
          <t>BERG</t>
        </is>
      </c>
      <c r="G135" t="n">
        <v>1.9</v>
      </c>
      <c r="H135" t="n">
        <v>0</v>
      </c>
      <c r="I135" t="n">
        <v>0</v>
      </c>
      <c r="J135" t="n">
        <v>0</v>
      </c>
      <c r="K135" t="n">
        <v>0</v>
      </c>
      <c r="L135" t="n">
        <v>0</v>
      </c>
      <c r="M135" t="n">
        <v>0</v>
      </c>
      <c r="N135" t="n">
        <v>0</v>
      </c>
      <c r="O135" t="n">
        <v>0</v>
      </c>
      <c r="P135" t="n">
        <v>0</v>
      </c>
      <c r="Q135" t="n">
        <v>0</v>
      </c>
      <c r="R135" s="2" t="inlineStr"/>
    </row>
    <row r="136" ht="15" customHeight="1">
      <c r="A136" t="inlineStr">
        <is>
          <t>A 70805-2018</t>
        </is>
      </c>
      <c r="B136" s="1" t="n">
        <v>43451</v>
      </c>
      <c r="C136" s="1" t="n">
        <v>45344</v>
      </c>
      <c r="D136" t="inlineStr">
        <is>
          <t>JÄMTLANDS LÄN</t>
        </is>
      </c>
      <c r="E136" t="inlineStr">
        <is>
          <t>BERG</t>
        </is>
      </c>
      <c r="G136" t="n">
        <v>6.6</v>
      </c>
      <c r="H136" t="n">
        <v>0</v>
      </c>
      <c r="I136" t="n">
        <v>0</v>
      </c>
      <c r="J136" t="n">
        <v>0</v>
      </c>
      <c r="K136" t="n">
        <v>0</v>
      </c>
      <c r="L136" t="n">
        <v>0</v>
      </c>
      <c r="M136" t="n">
        <v>0</v>
      </c>
      <c r="N136" t="n">
        <v>0</v>
      </c>
      <c r="O136" t="n">
        <v>0</v>
      </c>
      <c r="P136" t="n">
        <v>0</v>
      </c>
      <c r="Q136" t="n">
        <v>0</v>
      </c>
      <c r="R136" s="2" t="inlineStr"/>
    </row>
    <row r="137" ht="15" customHeight="1">
      <c r="A137" t="inlineStr">
        <is>
          <t>A 71418-2018</t>
        </is>
      </c>
      <c r="B137" s="1" t="n">
        <v>43451</v>
      </c>
      <c r="C137" s="1" t="n">
        <v>45344</v>
      </c>
      <c r="D137" t="inlineStr">
        <is>
          <t>JÄMTLANDS LÄN</t>
        </is>
      </c>
      <c r="E137" t="inlineStr">
        <is>
          <t>BERG</t>
        </is>
      </c>
      <c r="G137" t="n">
        <v>3.7</v>
      </c>
      <c r="H137" t="n">
        <v>0</v>
      </c>
      <c r="I137" t="n">
        <v>0</v>
      </c>
      <c r="J137" t="n">
        <v>0</v>
      </c>
      <c r="K137" t="n">
        <v>0</v>
      </c>
      <c r="L137" t="n">
        <v>0</v>
      </c>
      <c r="M137" t="n">
        <v>0</v>
      </c>
      <c r="N137" t="n">
        <v>0</v>
      </c>
      <c r="O137" t="n">
        <v>0</v>
      </c>
      <c r="P137" t="n">
        <v>0</v>
      </c>
      <c r="Q137" t="n">
        <v>0</v>
      </c>
      <c r="R137" s="2" t="inlineStr"/>
    </row>
    <row r="138" ht="15" customHeight="1">
      <c r="A138" t="inlineStr">
        <is>
          <t>A 71726-2018</t>
        </is>
      </c>
      <c r="B138" s="1" t="n">
        <v>43453</v>
      </c>
      <c r="C138" s="1" t="n">
        <v>45344</v>
      </c>
      <c r="D138" t="inlineStr">
        <is>
          <t>JÄMTLANDS LÄN</t>
        </is>
      </c>
      <c r="E138" t="inlineStr">
        <is>
          <t>BERG</t>
        </is>
      </c>
      <c r="G138" t="n">
        <v>6.8</v>
      </c>
      <c r="H138" t="n">
        <v>0</v>
      </c>
      <c r="I138" t="n">
        <v>0</v>
      </c>
      <c r="J138" t="n">
        <v>0</v>
      </c>
      <c r="K138" t="n">
        <v>0</v>
      </c>
      <c r="L138" t="n">
        <v>0</v>
      </c>
      <c r="M138" t="n">
        <v>0</v>
      </c>
      <c r="N138" t="n">
        <v>0</v>
      </c>
      <c r="O138" t="n">
        <v>0</v>
      </c>
      <c r="P138" t="n">
        <v>0</v>
      </c>
      <c r="Q138" t="n">
        <v>0</v>
      </c>
      <c r="R138" s="2" t="inlineStr"/>
    </row>
    <row r="139" ht="15" customHeight="1">
      <c r="A139" t="inlineStr">
        <is>
          <t>A 72394-2018</t>
        </is>
      </c>
      <c r="B139" s="1" t="n">
        <v>43453</v>
      </c>
      <c r="C139" s="1" t="n">
        <v>45344</v>
      </c>
      <c r="D139" t="inlineStr">
        <is>
          <t>JÄMTLANDS LÄN</t>
        </is>
      </c>
      <c r="E139" t="inlineStr">
        <is>
          <t>BERG</t>
        </is>
      </c>
      <c r="G139" t="n">
        <v>3</v>
      </c>
      <c r="H139" t="n">
        <v>0</v>
      </c>
      <c r="I139" t="n">
        <v>0</v>
      </c>
      <c r="J139" t="n">
        <v>0</v>
      </c>
      <c r="K139" t="n">
        <v>0</v>
      </c>
      <c r="L139" t="n">
        <v>0</v>
      </c>
      <c r="M139" t="n">
        <v>0</v>
      </c>
      <c r="N139" t="n">
        <v>0</v>
      </c>
      <c r="O139" t="n">
        <v>0</v>
      </c>
      <c r="P139" t="n">
        <v>0</v>
      </c>
      <c r="Q139" t="n">
        <v>0</v>
      </c>
      <c r="R139" s="2" t="inlineStr"/>
    </row>
    <row r="140" ht="15" customHeight="1">
      <c r="A140" t="inlineStr">
        <is>
          <t>A 72412-2018</t>
        </is>
      </c>
      <c r="B140" s="1" t="n">
        <v>43453</v>
      </c>
      <c r="C140" s="1" t="n">
        <v>45344</v>
      </c>
      <c r="D140" t="inlineStr">
        <is>
          <t>JÄMTLANDS LÄN</t>
        </is>
      </c>
      <c r="E140" t="inlineStr">
        <is>
          <t>BERG</t>
        </is>
      </c>
      <c r="G140" t="n">
        <v>9.9</v>
      </c>
      <c r="H140" t="n">
        <v>0</v>
      </c>
      <c r="I140" t="n">
        <v>0</v>
      </c>
      <c r="J140" t="n">
        <v>0</v>
      </c>
      <c r="K140" t="n">
        <v>0</v>
      </c>
      <c r="L140" t="n">
        <v>0</v>
      </c>
      <c r="M140" t="n">
        <v>0</v>
      </c>
      <c r="N140" t="n">
        <v>0</v>
      </c>
      <c r="O140" t="n">
        <v>0</v>
      </c>
      <c r="P140" t="n">
        <v>0</v>
      </c>
      <c r="Q140" t="n">
        <v>0</v>
      </c>
      <c r="R140" s="2" t="inlineStr"/>
    </row>
    <row r="141" ht="15" customHeight="1">
      <c r="A141" t="inlineStr">
        <is>
          <t>A 72380-2018</t>
        </is>
      </c>
      <c r="B141" s="1" t="n">
        <v>43453</v>
      </c>
      <c r="C141" s="1" t="n">
        <v>45344</v>
      </c>
      <c r="D141" t="inlineStr">
        <is>
          <t>JÄMTLANDS LÄN</t>
        </is>
      </c>
      <c r="E141" t="inlineStr">
        <is>
          <t>BERG</t>
        </is>
      </c>
      <c r="G141" t="n">
        <v>4.4</v>
      </c>
      <c r="H141" t="n">
        <v>0</v>
      </c>
      <c r="I141" t="n">
        <v>0</v>
      </c>
      <c r="J141" t="n">
        <v>0</v>
      </c>
      <c r="K141" t="n">
        <v>0</v>
      </c>
      <c r="L141" t="n">
        <v>0</v>
      </c>
      <c r="M141" t="n">
        <v>0</v>
      </c>
      <c r="N141" t="n">
        <v>0</v>
      </c>
      <c r="O141" t="n">
        <v>0</v>
      </c>
      <c r="P141" t="n">
        <v>0</v>
      </c>
      <c r="Q141" t="n">
        <v>0</v>
      </c>
      <c r="R141" s="2" t="inlineStr"/>
    </row>
    <row r="142" ht="15" customHeight="1">
      <c r="A142" t="inlineStr">
        <is>
          <t>A 71850-2018</t>
        </is>
      </c>
      <c r="B142" s="1" t="n">
        <v>43454</v>
      </c>
      <c r="C142" s="1" t="n">
        <v>45344</v>
      </c>
      <c r="D142" t="inlineStr">
        <is>
          <t>JÄMTLANDS LÄN</t>
        </is>
      </c>
      <c r="E142" t="inlineStr">
        <is>
          <t>BERG</t>
        </is>
      </c>
      <c r="F142" t="inlineStr">
        <is>
          <t>SCA</t>
        </is>
      </c>
      <c r="G142" t="n">
        <v>7.5</v>
      </c>
      <c r="H142" t="n">
        <v>0</v>
      </c>
      <c r="I142" t="n">
        <v>0</v>
      </c>
      <c r="J142" t="n">
        <v>0</v>
      </c>
      <c r="K142" t="n">
        <v>0</v>
      </c>
      <c r="L142" t="n">
        <v>0</v>
      </c>
      <c r="M142" t="n">
        <v>0</v>
      </c>
      <c r="N142" t="n">
        <v>0</v>
      </c>
      <c r="O142" t="n">
        <v>0</v>
      </c>
      <c r="P142" t="n">
        <v>0</v>
      </c>
      <c r="Q142" t="n">
        <v>0</v>
      </c>
      <c r="R142" s="2" t="inlineStr"/>
    </row>
    <row r="143" ht="15" customHeight="1">
      <c r="A143" t="inlineStr">
        <is>
          <t>A 71851-2018</t>
        </is>
      </c>
      <c r="B143" s="1" t="n">
        <v>43454</v>
      </c>
      <c r="C143" s="1" t="n">
        <v>45344</v>
      </c>
      <c r="D143" t="inlineStr">
        <is>
          <t>JÄMTLANDS LÄN</t>
        </is>
      </c>
      <c r="E143" t="inlineStr">
        <is>
          <t>BERG</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71881-2018</t>
        </is>
      </c>
      <c r="B144" s="1" t="n">
        <v>43454</v>
      </c>
      <c r="C144" s="1" t="n">
        <v>45344</v>
      </c>
      <c r="D144" t="inlineStr">
        <is>
          <t>JÄMTLANDS LÄN</t>
        </is>
      </c>
      <c r="E144" t="inlineStr">
        <is>
          <t>BERG</t>
        </is>
      </c>
      <c r="G144" t="n">
        <v>2</v>
      </c>
      <c r="H144" t="n">
        <v>0</v>
      </c>
      <c r="I144" t="n">
        <v>0</v>
      </c>
      <c r="J144" t="n">
        <v>0</v>
      </c>
      <c r="K144" t="n">
        <v>0</v>
      </c>
      <c r="L144" t="n">
        <v>0</v>
      </c>
      <c r="M144" t="n">
        <v>0</v>
      </c>
      <c r="N144" t="n">
        <v>0</v>
      </c>
      <c r="O144" t="n">
        <v>0</v>
      </c>
      <c r="P144" t="n">
        <v>0</v>
      </c>
      <c r="Q144" t="n">
        <v>0</v>
      </c>
      <c r="R144" s="2" t="inlineStr"/>
    </row>
    <row r="145" ht="15" customHeight="1">
      <c r="A145" t="inlineStr">
        <is>
          <t>A 71895-2018</t>
        </is>
      </c>
      <c r="B145" s="1" t="n">
        <v>43455</v>
      </c>
      <c r="C145" s="1" t="n">
        <v>45344</v>
      </c>
      <c r="D145" t="inlineStr">
        <is>
          <t>JÄMTLANDS LÄN</t>
        </is>
      </c>
      <c r="E145" t="inlineStr">
        <is>
          <t>BERG</t>
        </is>
      </c>
      <c r="G145" t="n">
        <v>5.4</v>
      </c>
      <c r="H145" t="n">
        <v>0</v>
      </c>
      <c r="I145" t="n">
        <v>0</v>
      </c>
      <c r="J145" t="n">
        <v>0</v>
      </c>
      <c r="K145" t="n">
        <v>0</v>
      </c>
      <c r="L145" t="n">
        <v>0</v>
      </c>
      <c r="M145" t="n">
        <v>0</v>
      </c>
      <c r="N145" t="n">
        <v>0</v>
      </c>
      <c r="O145" t="n">
        <v>0</v>
      </c>
      <c r="P145" t="n">
        <v>0</v>
      </c>
      <c r="Q145" t="n">
        <v>0</v>
      </c>
      <c r="R145" s="2" t="inlineStr"/>
    </row>
    <row r="146" ht="15" customHeight="1">
      <c r="A146" t="inlineStr">
        <is>
          <t>A 957-2019</t>
        </is>
      </c>
      <c r="B146" s="1" t="n">
        <v>43455</v>
      </c>
      <c r="C146" s="1" t="n">
        <v>45344</v>
      </c>
      <c r="D146" t="inlineStr">
        <is>
          <t>JÄMTLANDS LÄN</t>
        </is>
      </c>
      <c r="E146" t="inlineStr">
        <is>
          <t>BERG</t>
        </is>
      </c>
      <c r="F146" t="inlineStr">
        <is>
          <t>Övriga Aktiebolag</t>
        </is>
      </c>
      <c r="G146" t="n">
        <v>11.2</v>
      </c>
      <c r="H146" t="n">
        <v>0</v>
      </c>
      <c r="I146" t="n">
        <v>0</v>
      </c>
      <c r="J146" t="n">
        <v>0</v>
      </c>
      <c r="K146" t="n">
        <v>0</v>
      </c>
      <c r="L146" t="n">
        <v>0</v>
      </c>
      <c r="M146" t="n">
        <v>0</v>
      </c>
      <c r="N146" t="n">
        <v>0</v>
      </c>
      <c r="O146" t="n">
        <v>0</v>
      </c>
      <c r="P146" t="n">
        <v>0</v>
      </c>
      <c r="Q146" t="n">
        <v>0</v>
      </c>
      <c r="R146" s="2" t="inlineStr"/>
    </row>
    <row r="147" ht="15" customHeight="1">
      <c r="A147" t="inlineStr">
        <is>
          <t>A 882-2019</t>
        </is>
      </c>
      <c r="B147" s="1" t="n">
        <v>43472</v>
      </c>
      <c r="C147" s="1" t="n">
        <v>45344</v>
      </c>
      <c r="D147" t="inlineStr">
        <is>
          <t>JÄMTLANDS LÄN</t>
        </is>
      </c>
      <c r="E147" t="inlineStr">
        <is>
          <t>BERG</t>
        </is>
      </c>
      <c r="G147" t="n">
        <v>2.3</v>
      </c>
      <c r="H147" t="n">
        <v>0</v>
      </c>
      <c r="I147" t="n">
        <v>0</v>
      </c>
      <c r="J147" t="n">
        <v>0</v>
      </c>
      <c r="K147" t="n">
        <v>0</v>
      </c>
      <c r="L147" t="n">
        <v>0</v>
      </c>
      <c r="M147" t="n">
        <v>0</v>
      </c>
      <c r="N147" t="n">
        <v>0</v>
      </c>
      <c r="O147" t="n">
        <v>0</v>
      </c>
      <c r="P147" t="n">
        <v>0</v>
      </c>
      <c r="Q147" t="n">
        <v>0</v>
      </c>
      <c r="R147" s="2" t="inlineStr"/>
    </row>
    <row r="148" ht="15" customHeight="1">
      <c r="A148" t="inlineStr">
        <is>
          <t>A 2530-2019</t>
        </is>
      </c>
      <c r="B148" s="1" t="n">
        <v>43476</v>
      </c>
      <c r="C148" s="1" t="n">
        <v>45344</v>
      </c>
      <c r="D148" t="inlineStr">
        <is>
          <t>JÄMTLANDS LÄN</t>
        </is>
      </c>
      <c r="E148" t="inlineStr">
        <is>
          <t>BERG</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7370-2019</t>
        </is>
      </c>
      <c r="B149" s="1" t="n">
        <v>43490</v>
      </c>
      <c r="C149" s="1" t="n">
        <v>45344</v>
      </c>
      <c r="D149" t="inlineStr">
        <is>
          <t>JÄMTLANDS LÄN</t>
        </is>
      </c>
      <c r="E149" t="inlineStr">
        <is>
          <t>BERG</t>
        </is>
      </c>
      <c r="G149" t="n">
        <v>5.5</v>
      </c>
      <c r="H149" t="n">
        <v>0</v>
      </c>
      <c r="I149" t="n">
        <v>0</v>
      </c>
      <c r="J149" t="n">
        <v>0</v>
      </c>
      <c r="K149" t="n">
        <v>0</v>
      </c>
      <c r="L149" t="n">
        <v>0</v>
      </c>
      <c r="M149" t="n">
        <v>0</v>
      </c>
      <c r="N149" t="n">
        <v>0</v>
      </c>
      <c r="O149" t="n">
        <v>0</v>
      </c>
      <c r="P149" t="n">
        <v>0</v>
      </c>
      <c r="Q149" t="n">
        <v>0</v>
      </c>
      <c r="R149" s="2" t="inlineStr"/>
    </row>
    <row r="150" ht="15" customHeight="1">
      <c r="A150" t="inlineStr">
        <is>
          <t>A 7129-2019</t>
        </is>
      </c>
      <c r="B150" s="1" t="n">
        <v>43496</v>
      </c>
      <c r="C150" s="1" t="n">
        <v>45344</v>
      </c>
      <c r="D150" t="inlineStr">
        <is>
          <t>JÄMTLANDS LÄN</t>
        </is>
      </c>
      <c r="E150" t="inlineStr">
        <is>
          <t>BERG</t>
        </is>
      </c>
      <c r="F150" t="inlineStr">
        <is>
          <t>Kyrkan</t>
        </is>
      </c>
      <c r="G150" t="n">
        <v>21.7</v>
      </c>
      <c r="H150" t="n">
        <v>0</v>
      </c>
      <c r="I150" t="n">
        <v>0</v>
      </c>
      <c r="J150" t="n">
        <v>0</v>
      </c>
      <c r="K150" t="n">
        <v>0</v>
      </c>
      <c r="L150" t="n">
        <v>0</v>
      </c>
      <c r="M150" t="n">
        <v>0</v>
      </c>
      <c r="N150" t="n">
        <v>0</v>
      </c>
      <c r="O150" t="n">
        <v>0</v>
      </c>
      <c r="P150" t="n">
        <v>0</v>
      </c>
      <c r="Q150" t="n">
        <v>0</v>
      </c>
      <c r="R150" s="2" t="inlineStr"/>
    </row>
    <row r="151" ht="15" customHeight="1">
      <c r="A151" t="inlineStr">
        <is>
          <t>A 8215-2019</t>
        </is>
      </c>
      <c r="B151" s="1" t="n">
        <v>43501</v>
      </c>
      <c r="C151" s="1" t="n">
        <v>45344</v>
      </c>
      <c r="D151" t="inlineStr">
        <is>
          <t>JÄMTLANDS LÄN</t>
        </is>
      </c>
      <c r="E151" t="inlineStr">
        <is>
          <t>BERG</t>
        </is>
      </c>
      <c r="G151" t="n">
        <v>1.2</v>
      </c>
      <c r="H151" t="n">
        <v>0</v>
      </c>
      <c r="I151" t="n">
        <v>0</v>
      </c>
      <c r="J151" t="n">
        <v>0</v>
      </c>
      <c r="K151" t="n">
        <v>0</v>
      </c>
      <c r="L151" t="n">
        <v>0</v>
      </c>
      <c r="M151" t="n">
        <v>0</v>
      </c>
      <c r="N151" t="n">
        <v>0</v>
      </c>
      <c r="O151" t="n">
        <v>0</v>
      </c>
      <c r="P151" t="n">
        <v>0</v>
      </c>
      <c r="Q151" t="n">
        <v>0</v>
      </c>
      <c r="R151" s="2" t="inlineStr"/>
    </row>
    <row r="152" ht="15" customHeight="1">
      <c r="A152" t="inlineStr">
        <is>
          <t>A 11824-2019</t>
        </is>
      </c>
      <c r="B152" s="1" t="n">
        <v>43521</v>
      </c>
      <c r="C152" s="1" t="n">
        <v>45344</v>
      </c>
      <c r="D152" t="inlineStr">
        <is>
          <t>JÄMTLANDS LÄN</t>
        </is>
      </c>
      <c r="E152" t="inlineStr">
        <is>
          <t>BERG</t>
        </is>
      </c>
      <c r="G152" t="n">
        <v>4.2</v>
      </c>
      <c r="H152" t="n">
        <v>0</v>
      </c>
      <c r="I152" t="n">
        <v>0</v>
      </c>
      <c r="J152" t="n">
        <v>0</v>
      </c>
      <c r="K152" t="n">
        <v>0</v>
      </c>
      <c r="L152" t="n">
        <v>0</v>
      </c>
      <c r="M152" t="n">
        <v>0</v>
      </c>
      <c r="N152" t="n">
        <v>0</v>
      </c>
      <c r="O152" t="n">
        <v>0</v>
      </c>
      <c r="P152" t="n">
        <v>0</v>
      </c>
      <c r="Q152" t="n">
        <v>0</v>
      </c>
      <c r="R152" s="2" t="inlineStr"/>
    </row>
    <row r="153" ht="15" customHeight="1">
      <c r="A153" t="inlineStr">
        <is>
          <t>A 12310-2019</t>
        </is>
      </c>
      <c r="B153" s="1" t="n">
        <v>43523</v>
      </c>
      <c r="C153" s="1" t="n">
        <v>45344</v>
      </c>
      <c r="D153" t="inlineStr">
        <is>
          <t>JÄMTLANDS LÄN</t>
        </is>
      </c>
      <c r="E153" t="inlineStr">
        <is>
          <t>BERG</t>
        </is>
      </c>
      <c r="G153" t="n">
        <v>1.9</v>
      </c>
      <c r="H153" t="n">
        <v>0</v>
      </c>
      <c r="I153" t="n">
        <v>0</v>
      </c>
      <c r="J153" t="n">
        <v>0</v>
      </c>
      <c r="K153" t="n">
        <v>0</v>
      </c>
      <c r="L153" t="n">
        <v>0</v>
      </c>
      <c r="M153" t="n">
        <v>0</v>
      </c>
      <c r="N153" t="n">
        <v>0</v>
      </c>
      <c r="O153" t="n">
        <v>0</v>
      </c>
      <c r="P153" t="n">
        <v>0</v>
      </c>
      <c r="Q153" t="n">
        <v>0</v>
      </c>
      <c r="R153" s="2" t="inlineStr"/>
    </row>
    <row r="154" ht="15" customHeight="1">
      <c r="A154" t="inlineStr">
        <is>
          <t>A 13243-2019</t>
        </is>
      </c>
      <c r="B154" s="1" t="n">
        <v>43529</v>
      </c>
      <c r="C154" s="1" t="n">
        <v>45344</v>
      </c>
      <c r="D154" t="inlineStr">
        <is>
          <t>JÄMTLANDS LÄN</t>
        </is>
      </c>
      <c r="E154" t="inlineStr">
        <is>
          <t>BERG</t>
        </is>
      </c>
      <c r="G154" t="n">
        <v>2.2</v>
      </c>
      <c r="H154" t="n">
        <v>0</v>
      </c>
      <c r="I154" t="n">
        <v>0</v>
      </c>
      <c r="J154" t="n">
        <v>0</v>
      </c>
      <c r="K154" t="n">
        <v>0</v>
      </c>
      <c r="L154" t="n">
        <v>0</v>
      </c>
      <c r="M154" t="n">
        <v>0</v>
      </c>
      <c r="N154" t="n">
        <v>0</v>
      </c>
      <c r="O154" t="n">
        <v>0</v>
      </c>
      <c r="P154" t="n">
        <v>0</v>
      </c>
      <c r="Q154" t="n">
        <v>0</v>
      </c>
      <c r="R154" s="2" t="inlineStr"/>
    </row>
    <row r="155" ht="15" customHeight="1">
      <c r="A155" t="inlineStr">
        <is>
          <t>A 14787-2019</t>
        </is>
      </c>
      <c r="B155" s="1" t="n">
        <v>43537</v>
      </c>
      <c r="C155" s="1" t="n">
        <v>45344</v>
      </c>
      <c r="D155" t="inlineStr">
        <is>
          <t>JÄMTLANDS LÄN</t>
        </is>
      </c>
      <c r="E155" t="inlineStr">
        <is>
          <t>BERG</t>
        </is>
      </c>
      <c r="G155" t="n">
        <v>3.1</v>
      </c>
      <c r="H155" t="n">
        <v>0</v>
      </c>
      <c r="I155" t="n">
        <v>0</v>
      </c>
      <c r="J155" t="n">
        <v>0</v>
      </c>
      <c r="K155" t="n">
        <v>0</v>
      </c>
      <c r="L155" t="n">
        <v>0</v>
      </c>
      <c r="M155" t="n">
        <v>0</v>
      </c>
      <c r="N155" t="n">
        <v>0</v>
      </c>
      <c r="O155" t="n">
        <v>0</v>
      </c>
      <c r="P155" t="n">
        <v>0</v>
      </c>
      <c r="Q155" t="n">
        <v>0</v>
      </c>
      <c r="R155" s="2" t="inlineStr"/>
    </row>
    <row r="156" ht="15" customHeight="1">
      <c r="A156" t="inlineStr">
        <is>
          <t>A 17791-2019</t>
        </is>
      </c>
      <c r="B156" s="1" t="n">
        <v>43556</v>
      </c>
      <c r="C156" s="1" t="n">
        <v>45344</v>
      </c>
      <c r="D156" t="inlineStr">
        <is>
          <t>JÄMTLANDS LÄN</t>
        </is>
      </c>
      <c r="E156" t="inlineStr">
        <is>
          <t>BERG</t>
        </is>
      </c>
      <c r="G156" t="n">
        <v>14.3</v>
      </c>
      <c r="H156" t="n">
        <v>0</v>
      </c>
      <c r="I156" t="n">
        <v>0</v>
      </c>
      <c r="J156" t="n">
        <v>0</v>
      </c>
      <c r="K156" t="n">
        <v>0</v>
      </c>
      <c r="L156" t="n">
        <v>0</v>
      </c>
      <c r="M156" t="n">
        <v>0</v>
      </c>
      <c r="N156" t="n">
        <v>0</v>
      </c>
      <c r="O156" t="n">
        <v>0</v>
      </c>
      <c r="P156" t="n">
        <v>0</v>
      </c>
      <c r="Q156" t="n">
        <v>0</v>
      </c>
      <c r="R156" s="2" t="inlineStr"/>
    </row>
    <row r="157" ht="15" customHeight="1">
      <c r="A157" t="inlineStr">
        <is>
          <t>A 21225-2019</t>
        </is>
      </c>
      <c r="B157" s="1" t="n">
        <v>43579</v>
      </c>
      <c r="C157" s="1" t="n">
        <v>45344</v>
      </c>
      <c r="D157" t="inlineStr">
        <is>
          <t>JÄMTLANDS LÄN</t>
        </is>
      </c>
      <c r="E157" t="inlineStr">
        <is>
          <t>BERG</t>
        </is>
      </c>
      <c r="G157" t="n">
        <v>6.3</v>
      </c>
      <c r="H157" t="n">
        <v>0</v>
      </c>
      <c r="I157" t="n">
        <v>0</v>
      </c>
      <c r="J157" t="n">
        <v>0</v>
      </c>
      <c r="K157" t="n">
        <v>0</v>
      </c>
      <c r="L157" t="n">
        <v>0</v>
      </c>
      <c r="M157" t="n">
        <v>0</v>
      </c>
      <c r="N157" t="n">
        <v>0</v>
      </c>
      <c r="O157" t="n">
        <v>0</v>
      </c>
      <c r="P157" t="n">
        <v>0</v>
      </c>
      <c r="Q157" t="n">
        <v>0</v>
      </c>
      <c r="R157" s="2" t="inlineStr"/>
    </row>
    <row r="158" ht="15" customHeight="1">
      <c r="A158" t="inlineStr">
        <is>
          <t>A 24710-2019</t>
        </is>
      </c>
      <c r="B158" s="1" t="n">
        <v>43601</v>
      </c>
      <c r="C158" s="1" t="n">
        <v>45344</v>
      </c>
      <c r="D158" t="inlineStr">
        <is>
          <t>JÄMTLANDS LÄN</t>
        </is>
      </c>
      <c r="E158" t="inlineStr">
        <is>
          <t>BERG</t>
        </is>
      </c>
      <c r="G158" t="n">
        <v>3.2</v>
      </c>
      <c r="H158" t="n">
        <v>0</v>
      </c>
      <c r="I158" t="n">
        <v>0</v>
      </c>
      <c r="J158" t="n">
        <v>0</v>
      </c>
      <c r="K158" t="n">
        <v>0</v>
      </c>
      <c r="L158" t="n">
        <v>0</v>
      </c>
      <c r="M158" t="n">
        <v>0</v>
      </c>
      <c r="N158" t="n">
        <v>0</v>
      </c>
      <c r="O158" t="n">
        <v>0</v>
      </c>
      <c r="P158" t="n">
        <v>0</v>
      </c>
      <c r="Q158" t="n">
        <v>0</v>
      </c>
      <c r="R158" s="2" t="inlineStr"/>
    </row>
    <row r="159" ht="15" customHeight="1">
      <c r="A159" t="inlineStr">
        <is>
          <t>A 24839-2019</t>
        </is>
      </c>
      <c r="B159" s="1" t="n">
        <v>43602</v>
      </c>
      <c r="C159" s="1" t="n">
        <v>45344</v>
      </c>
      <c r="D159" t="inlineStr">
        <is>
          <t>JÄMTLANDS LÄN</t>
        </is>
      </c>
      <c r="E159" t="inlineStr">
        <is>
          <t>BERG</t>
        </is>
      </c>
      <c r="G159" t="n">
        <v>5.9</v>
      </c>
      <c r="H159" t="n">
        <v>0</v>
      </c>
      <c r="I159" t="n">
        <v>0</v>
      </c>
      <c r="J159" t="n">
        <v>0</v>
      </c>
      <c r="K159" t="n">
        <v>0</v>
      </c>
      <c r="L159" t="n">
        <v>0</v>
      </c>
      <c r="M159" t="n">
        <v>0</v>
      </c>
      <c r="N159" t="n">
        <v>0</v>
      </c>
      <c r="O159" t="n">
        <v>0</v>
      </c>
      <c r="P159" t="n">
        <v>0</v>
      </c>
      <c r="Q159" t="n">
        <v>0</v>
      </c>
      <c r="R159" s="2" t="inlineStr"/>
    </row>
    <row r="160" ht="15" customHeight="1">
      <c r="A160" t="inlineStr">
        <is>
          <t>A 25844-2019</t>
        </is>
      </c>
      <c r="B160" s="1" t="n">
        <v>43605</v>
      </c>
      <c r="C160" s="1" t="n">
        <v>45344</v>
      </c>
      <c r="D160" t="inlineStr">
        <is>
          <t>JÄMTLANDS LÄN</t>
        </is>
      </c>
      <c r="E160" t="inlineStr">
        <is>
          <t>BERG</t>
        </is>
      </c>
      <c r="G160" t="n">
        <v>1.2</v>
      </c>
      <c r="H160" t="n">
        <v>0</v>
      </c>
      <c r="I160" t="n">
        <v>0</v>
      </c>
      <c r="J160" t="n">
        <v>0</v>
      </c>
      <c r="K160" t="n">
        <v>0</v>
      </c>
      <c r="L160" t="n">
        <v>0</v>
      </c>
      <c r="M160" t="n">
        <v>0</v>
      </c>
      <c r="N160" t="n">
        <v>0</v>
      </c>
      <c r="O160" t="n">
        <v>0</v>
      </c>
      <c r="P160" t="n">
        <v>0</v>
      </c>
      <c r="Q160" t="n">
        <v>0</v>
      </c>
      <c r="R160" s="2" t="inlineStr"/>
    </row>
    <row r="161" ht="15" customHeight="1">
      <c r="A161" t="inlineStr">
        <is>
          <t>A 25588-2019</t>
        </is>
      </c>
      <c r="B161" s="1" t="n">
        <v>43607</v>
      </c>
      <c r="C161" s="1" t="n">
        <v>45344</v>
      </c>
      <c r="D161" t="inlineStr">
        <is>
          <t>JÄMTLANDS LÄN</t>
        </is>
      </c>
      <c r="E161" t="inlineStr">
        <is>
          <t>BERG</t>
        </is>
      </c>
      <c r="G161" t="n">
        <v>1.8</v>
      </c>
      <c r="H161" t="n">
        <v>0</v>
      </c>
      <c r="I161" t="n">
        <v>0</v>
      </c>
      <c r="J161" t="n">
        <v>0</v>
      </c>
      <c r="K161" t="n">
        <v>0</v>
      </c>
      <c r="L161" t="n">
        <v>0</v>
      </c>
      <c r="M161" t="n">
        <v>0</v>
      </c>
      <c r="N161" t="n">
        <v>0</v>
      </c>
      <c r="O161" t="n">
        <v>0</v>
      </c>
      <c r="P161" t="n">
        <v>0</v>
      </c>
      <c r="Q161" t="n">
        <v>0</v>
      </c>
      <c r="R161" s="2" t="inlineStr"/>
    </row>
    <row r="162" ht="15" customHeight="1">
      <c r="A162" t="inlineStr">
        <is>
          <t>A 25969-2019</t>
        </is>
      </c>
      <c r="B162" s="1" t="n">
        <v>43608</v>
      </c>
      <c r="C162" s="1" t="n">
        <v>45344</v>
      </c>
      <c r="D162" t="inlineStr">
        <is>
          <t>JÄMTLANDS LÄN</t>
        </is>
      </c>
      <c r="E162" t="inlineStr">
        <is>
          <t>BERG</t>
        </is>
      </c>
      <c r="F162" t="inlineStr">
        <is>
          <t>SCA</t>
        </is>
      </c>
      <c r="G162" t="n">
        <v>3.3</v>
      </c>
      <c r="H162" t="n">
        <v>0</v>
      </c>
      <c r="I162" t="n">
        <v>0</v>
      </c>
      <c r="J162" t="n">
        <v>0</v>
      </c>
      <c r="K162" t="n">
        <v>0</v>
      </c>
      <c r="L162" t="n">
        <v>0</v>
      </c>
      <c r="M162" t="n">
        <v>0</v>
      </c>
      <c r="N162" t="n">
        <v>0</v>
      </c>
      <c r="O162" t="n">
        <v>0</v>
      </c>
      <c r="P162" t="n">
        <v>0</v>
      </c>
      <c r="Q162" t="n">
        <v>0</v>
      </c>
      <c r="R162" s="2" t="inlineStr"/>
    </row>
    <row r="163" ht="15" customHeight="1">
      <c r="A163" t="inlineStr">
        <is>
          <t>A 28788-2019</t>
        </is>
      </c>
      <c r="B163" s="1" t="n">
        <v>43616</v>
      </c>
      <c r="C163" s="1" t="n">
        <v>45344</v>
      </c>
      <c r="D163" t="inlineStr">
        <is>
          <t>JÄMTLANDS LÄN</t>
        </is>
      </c>
      <c r="E163" t="inlineStr">
        <is>
          <t>BERG</t>
        </is>
      </c>
      <c r="G163" t="n">
        <v>0.7</v>
      </c>
      <c r="H163" t="n">
        <v>0</v>
      </c>
      <c r="I163" t="n">
        <v>0</v>
      </c>
      <c r="J163" t="n">
        <v>0</v>
      </c>
      <c r="K163" t="n">
        <v>0</v>
      </c>
      <c r="L163" t="n">
        <v>0</v>
      </c>
      <c r="M163" t="n">
        <v>0</v>
      </c>
      <c r="N163" t="n">
        <v>0</v>
      </c>
      <c r="O163" t="n">
        <v>0</v>
      </c>
      <c r="P163" t="n">
        <v>0</v>
      </c>
      <c r="Q163" t="n">
        <v>0</v>
      </c>
      <c r="R163" s="2" t="inlineStr"/>
    </row>
    <row r="164" ht="15" customHeight="1">
      <c r="A164" t="inlineStr">
        <is>
          <t>A 27540-2019</t>
        </is>
      </c>
      <c r="B164" s="1" t="n">
        <v>43619</v>
      </c>
      <c r="C164" s="1" t="n">
        <v>45344</v>
      </c>
      <c r="D164" t="inlineStr">
        <is>
          <t>JÄMTLANDS LÄN</t>
        </is>
      </c>
      <c r="E164" t="inlineStr">
        <is>
          <t>BERG</t>
        </is>
      </c>
      <c r="G164" t="n">
        <v>2.1</v>
      </c>
      <c r="H164" t="n">
        <v>0</v>
      </c>
      <c r="I164" t="n">
        <v>0</v>
      </c>
      <c r="J164" t="n">
        <v>0</v>
      </c>
      <c r="K164" t="n">
        <v>0</v>
      </c>
      <c r="L164" t="n">
        <v>0</v>
      </c>
      <c r="M164" t="n">
        <v>0</v>
      </c>
      <c r="N164" t="n">
        <v>0</v>
      </c>
      <c r="O164" t="n">
        <v>0</v>
      </c>
      <c r="P164" t="n">
        <v>0</v>
      </c>
      <c r="Q164" t="n">
        <v>0</v>
      </c>
      <c r="R164" s="2" t="inlineStr"/>
    </row>
    <row r="165" ht="15" customHeight="1">
      <c r="A165" t="inlineStr">
        <is>
          <t>A 28250-2019</t>
        </is>
      </c>
      <c r="B165" s="1" t="n">
        <v>43622</v>
      </c>
      <c r="C165" s="1" t="n">
        <v>45344</v>
      </c>
      <c r="D165" t="inlineStr">
        <is>
          <t>JÄMTLANDS LÄN</t>
        </is>
      </c>
      <c r="E165" t="inlineStr">
        <is>
          <t>BERG</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29339-2019</t>
        </is>
      </c>
      <c r="B166" s="1" t="n">
        <v>43626</v>
      </c>
      <c r="C166" s="1" t="n">
        <v>45344</v>
      </c>
      <c r="D166" t="inlineStr">
        <is>
          <t>JÄMTLANDS LÄN</t>
        </is>
      </c>
      <c r="E166" t="inlineStr">
        <is>
          <t>BERG</t>
        </is>
      </c>
      <c r="G166" t="n">
        <v>1.4</v>
      </c>
      <c r="H166" t="n">
        <v>0</v>
      </c>
      <c r="I166" t="n">
        <v>0</v>
      </c>
      <c r="J166" t="n">
        <v>0</v>
      </c>
      <c r="K166" t="n">
        <v>0</v>
      </c>
      <c r="L166" t="n">
        <v>0</v>
      </c>
      <c r="M166" t="n">
        <v>0</v>
      </c>
      <c r="N166" t="n">
        <v>0</v>
      </c>
      <c r="O166" t="n">
        <v>0</v>
      </c>
      <c r="P166" t="n">
        <v>0</v>
      </c>
      <c r="Q166" t="n">
        <v>0</v>
      </c>
      <c r="R166" s="2" t="inlineStr"/>
    </row>
    <row r="167" ht="15" customHeight="1">
      <c r="A167" t="inlineStr">
        <is>
          <t>A 29202-2019</t>
        </is>
      </c>
      <c r="B167" s="1" t="n">
        <v>43629</v>
      </c>
      <c r="C167" s="1" t="n">
        <v>45344</v>
      </c>
      <c r="D167" t="inlineStr">
        <is>
          <t>JÄMTLANDS LÄN</t>
        </is>
      </c>
      <c r="E167" t="inlineStr">
        <is>
          <t>BERG</t>
        </is>
      </c>
      <c r="F167" t="inlineStr">
        <is>
          <t>Sveaskog</t>
        </is>
      </c>
      <c r="G167" t="n">
        <v>6.6</v>
      </c>
      <c r="H167" t="n">
        <v>0</v>
      </c>
      <c r="I167" t="n">
        <v>0</v>
      </c>
      <c r="J167" t="n">
        <v>0</v>
      </c>
      <c r="K167" t="n">
        <v>0</v>
      </c>
      <c r="L167" t="n">
        <v>0</v>
      </c>
      <c r="M167" t="n">
        <v>0</v>
      </c>
      <c r="N167" t="n">
        <v>0</v>
      </c>
      <c r="O167" t="n">
        <v>0</v>
      </c>
      <c r="P167" t="n">
        <v>0</v>
      </c>
      <c r="Q167" t="n">
        <v>0</v>
      </c>
      <c r="R167" s="2" t="inlineStr"/>
    </row>
    <row r="168" ht="15" customHeight="1">
      <c r="A168" t="inlineStr">
        <is>
          <t>A 29728-2019</t>
        </is>
      </c>
      <c r="B168" s="1" t="n">
        <v>43630</v>
      </c>
      <c r="C168" s="1" t="n">
        <v>45344</v>
      </c>
      <c r="D168" t="inlineStr">
        <is>
          <t>JÄMTLANDS LÄN</t>
        </is>
      </c>
      <c r="E168" t="inlineStr">
        <is>
          <t>BERG</t>
        </is>
      </c>
      <c r="G168" t="n">
        <v>8.1</v>
      </c>
      <c r="H168" t="n">
        <v>0</v>
      </c>
      <c r="I168" t="n">
        <v>0</v>
      </c>
      <c r="J168" t="n">
        <v>0</v>
      </c>
      <c r="K168" t="n">
        <v>0</v>
      </c>
      <c r="L168" t="n">
        <v>0</v>
      </c>
      <c r="M168" t="n">
        <v>0</v>
      </c>
      <c r="N168" t="n">
        <v>0</v>
      </c>
      <c r="O168" t="n">
        <v>0</v>
      </c>
      <c r="P168" t="n">
        <v>0</v>
      </c>
      <c r="Q168" t="n">
        <v>0</v>
      </c>
      <c r="R168" s="2" t="inlineStr"/>
    </row>
    <row r="169" ht="15" customHeight="1">
      <c r="A169" t="inlineStr">
        <is>
          <t>A 31238-2019</t>
        </is>
      </c>
      <c r="B169" s="1" t="n">
        <v>43640</v>
      </c>
      <c r="C169" s="1" t="n">
        <v>45344</v>
      </c>
      <c r="D169" t="inlineStr">
        <is>
          <t>JÄMTLANDS LÄN</t>
        </is>
      </c>
      <c r="E169" t="inlineStr">
        <is>
          <t>BERG</t>
        </is>
      </c>
      <c r="F169" t="inlineStr">
        <is>
          <t>Sveaskog</t>
        </is>
      </c>
      <c r="G169" t="n">
        <v>9.6</v>
      </c>
      <c r="H169" t="n">
        <v>0</v>
      </c>
      <c r="I169" t="n">
        <v>0</v>
      </c>
      <c r="J169" t="n">
        <v>0</v>
      </c>
      <c r="K169" t="n">
        <v>0</v>
      </c>
      <c r="L169" t="n">
        <v>0</v>
      </c>
      <c r="M169" t="n">
        <v>0</v>
      </c>
      <c r="N169" t="n">
        <v>0</v>
      </c>
      <c r="O169" t="n">
        <v>0</v>
      </c>
      <c r="P169" t="n">
        <v>0</v>
      </c>
      <c r="Q169" t="n">
        <v>0</v>
      </c>
      <c r="R169" s="2" t="inlineStr"/>
    </row>
    <row r="170" ht="15" customHeight="1">
      <c r="A170" t="inlineStr">
        <is>
          <t>A 31206-2019</t>
        </is>
      </c>
      <c r="B170" s="1" t="n">
        <v>43640</v>
      </c>
      <c r="C170" s="1" t="n">
        <v>45344</v>
      </c>
      <c r="D170" t="inlineStr">
        <is>
          <t>JÄMTLANDS LÄN</t>
        </is>
      </c>
      <c r="E170" t="inlineStr">
        <is>
          <t>BERG</t>
        </is>
      </c>
      <c r="F170" t="inlineStr">
        <is>
          <t>Sveaskog</t>
        </is>
      </c>
      <c r="G170" t="n">
        <v>10.1</v>
      </c>
      <c r="H170" t="n">
        <v>0</v>
      </c>
      <c r="I170" t="n">
        <v>0</v>
      </c>
      <c r="J170" t="n">
        <v>0</v>
      </c>
      <c r="K170" t="n">
        <v>0</v>
      </c>
      <c r="L170" t="n">
        <v>0</v>
      </c>
      <c r="M170" t="n">
        <v>0</v>
      </c>
      <c r="N170" t="n">
        <v>0</v>
      </c>
      <c r="O170" t="n">
        <v>0</v>
      </c>
      <c r="P170" t="n">
        <v>0</v>
      </c>
      <c r="Q170" t="n">
        <v>0</v>
      </c>
      <c r="R170" s="2" t="inlineStr"/>
    </row>
    <row r="171" ht="15" customHeight="1">
      <c r="A171" t="inlineStr">
        <is>
          <t>A 31568-2019</t>
        </is>
      </c>
      <c r="B171" s="1" t="n">
        <v>43641</v>
      </c>
      <c r="C171" s="1" t="n">
        <v>45344</v>
      </c>
      <c r="D171" t="inlineStr">
        <is>
          <t>JÄMTLANDS LÄN</t>
        </is>
      </c>
      <c r="E171" t="inlineStr">
        <is>
          <t>BERG</t>
        </is>
      </c>
      <c r="F171" t="inlineStr">
        <is>
          <t>SCA</t>
        </is>
      </c>
      <c r="G171" t="n">
        <v>16.4</v>
      </c>
      <c r="H171" t="n">
        <v>0</v>
      </c>
      <c r="I171" t="n">
        <v>0</v>
      </c>
      <c r="J171" t="n">
        <v>0</v>
      </c>
      <c r="K171" t="n">
        <v>0</v>
      </c>
      <c r="L171" t="n">
        <v>0</v>
      </c>
      <c r="M171" t="n">
        <v>0</v>
      </c>
      <c r="N171" t="n">
        <v>0</v>
      </c>
      <c r="O171" t="n">
        <v>0</v>
      </c>
      <c r="P171" t="n">
        <v>0</v>
      </c>
      <c r="Q171" t="n">
        <v>0</v>
      </c>
      <c r="R171" s="2" t="inlineStr"/>
    </row>
    <row r="172" ht="15" customHeight="1">
      <c r="A172" t="inlineStr">
        <is>
          <t>A 32054-2019</t>
        </is>
      </c>
      <c r="B172" s="1" t="n">
        <v>43643</v>
      </c>
      <c r="C172" s="1" t="n">
        <v>45344</v>
      </c>
      <c r="D172" t="inlineStr">
        <is>
          <t>JÄMTLANDS LÄN</t>
        </is>
      </c>
      <c r="E172" t="inlineStr">
        <is>
          <t>BERG</t>
        </is>
      </c>
      <c r="G172" t="n">
        <v>0.6</v>
      </c>
      <c r="H172" t="n">
        <v>0</v>
      </c>
      <c r="I172" t="n">
        <v>0</v>
      </c>
      <c r="J172" t="n">
        <v>0</v>
      </c>
      <c r="K172" t="n">
        <v>0</v>
      </c>
      <c r="L172" t="n">
        <v>0</v>
      </c>
      <c r="M172" t="n">
        <v>0</v>
      </c>
      <c r="N172" t="n">
        <v>0</v>
      </c>
      <c r="O172" t="n">
        <v>0</v>
      </c>
      <c r="P172" t="n">
        <v>0</v>
      </c>
      <c r="Q172" t="n">
        <v>0</v>
      </c>
      <c r="R172" s="2" t="inlineStr"/>
    </row>
    <row r="173" ht="15" customHeight="1">
      <c r="A173" t="inlineStr">
        <is>
          <t>A 32123-2019</t>
        </is>
      </c>
      <c r="B173" s="1" t="n">
        <v>43643</v>
      </c>
      <c r="C173" s="1" t="n">
        <v>45344</v>
      </c>
      <c r="D173" t="inlineStr">
        <is>
          <t>JÄMTLANDS LÄN</t>
        </is>
      </c>
      <c r="E173" t="inlineStr">
        <is>
          <t>BERG</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32121-2019</t>
        </is>
      </c>
      <c r="B174" s="1" t="n">
        <v>43643</v>
      </c>
      <c r="C174" s="1" t="n">
        <v>45344</v>
      </c>
      <c r="D174" t="inlineStr">
        <is>
          <t>JÄMTLANDS LÄN</t>
        </is>
      </c>
      <c r="E174" t="inlineStr">
        <is>
          <t>BERG</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32156-2019</t>
        </is>
      </c>
      <c r="B175" s="1" t="n">
        <v>43643</v>
      </c>
      <c r="C175" s="1" t="n">
        <v>45344</v>
      </c>
      <c r="D175" t="inlineStr">
        <is>
          <t>JÄMTLANDS LÄN</t>
        </is>
      </c>
      <c r="E175" t="inlineStr">
        <is>
          <t>BERG</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34469-2019</t>
        </is>
      </c>
      <c r="B176" s="1" t="n">
        <v>43656</v>
      </c>
      <c r="C176" s="1" t="n">
        <v>45344</v>
      </c>
      <c r="D176" t="inlineStr">
        <is>
          <t>JÄMTLANDS LÄN</t>
        </is>
      </c>
      <c r="E176" t="inlineStr">
        <is>
          <t>BERG</t>
        </is>
      </c>
      <c r="G176" t="n">
        <v>6.3</v>
      </c>
      <c r="H176" t="n">
        <v>0</v>
      </c>
      <c r="I176" t="n">
        <v>0</v>
      </c>
      <c r="J176" t="n">
        <v>0</v>
      </c>
      <c r="K176" t="n">
        <v>0</v>
      </c>
      <c r="L176" t="n">
        <v>0</v>
      </c>
      <c r="M176" t="n">
        <v>0</v>
      </c>
      <c r="N176" t="n">
        <v>0</v>
      </c>
      <c r="O176" t="n">
        <v>0</v>
      </c>
      <c r="P176" t="n">
        <v>0</v>
      </c>
      <c r="Q176" t="n">
        <v>0</v>
      </c>
      <c r="R176" s="2" t="inlineStr"/>
    </row>
    <row r="177" ht="15" customHeight="1">
      <c r="A177" t="inlineStr">
        <is>
          <t>A 34468-2019</t>
        </is>
      </c>
      <c r="B177" s="1" t="n">
        <v>43656</v>
      </c>
      <c r="C177" s="1" t="n">
        <v>45344</v>
      </c>
      <c r="D177" t="inlineStr">
        <is>
          <t>JÄMTLANDS LÄN</t>
        </is>
      </c>
      <c r="E177" t="inlineStr">
        <is>
          <t>BERG</t>
        </is>
      </c>
      <c r="G177" t="n">
        <v>2</v>
      </c>
      <c r="H177" t="n">
        <v>0</v>
      </c>
      <c r="I177" t="n">
        <v>0</v>
      </c>
      <c r="J177" t="n">
        <v>0</v>
      </c>
      <c r="K177" t="n">
        <v>0</v>
      </c>
      <c r="L177" t="n">
        <v>0</v>
      </c>
      <c r="M177" t="n">
        <v>0</v>
      </c>
      <c r="N177" t="n">
        <v>0</v>
      </c>
      <c r="O177" t="n">
        <v>0</v>
      </c>
      <c r="P177" t="n">
        <v>0</v>
      </c>
      <c r="Q177" t="n">
        <v>0</v>
      </c>
      <c r="R177" s="2" t="inlineStr"/>
    </row>
    <row r="178" ht="15" customHeight="1">
      <c r="A178" t="inlineStr">
        <is>
          <t>A 34663-2019</t>
        </is>
      </c>
      <c r="B178" s="1" t="n">
        <v>43657</v>
      </c>
      <c r="C178" s="1" t="n">
        <v>45344</v>
      </c>
      <c r="D178" t="inlineStr">
        <is>
          <t>JÄMTLANDS LÄN</t>
        </is>
      </c>
      <c r="E178" t="inlineStr">
        <is>
          <t>BERG</t>
        </is>
      </c>
      <c r="G178" t="n">
        <v>0.5</v>
      </c>
      <c r="H178" t="n">
        <v>0</v>
      </c>
      <c r="I178" t="n">
        <v>0</v>
      </c>
      <c r="J178" t="n">
        <v>0</v>
      </c>
      <c r="K178" t="n">
        <v>0</v>
      </c>
      <c r="L178" t="n">
        <v>0</v>
      </c>
      <c r="M178" t="n">
        <v>0</v>
      </c>
      <c r="N178" t="n">
        <v>0</v>
      </c>
      <c r="O178" t="n">
        <v>0</v>
      </c>
      <c r="P178" t="n">
        <v>0</v>
      </c>
      <c r="Q178" t="n">
        <v>0</v>
      </c>
      <c r="R178" s="2" t="inlineStr"/>
    </row>
    <row r="179" ht="15" customHeight="1">
      <c r="A179" t="inlineStr">
        <is>
          <t>A 35043-2019</t>
        </is>
      </c>
      <c r="B179" s="1" t="n">
        <v>43661</v>
      </c>
      <c r="C179" s="1" t="n">
        <v>45344</v>
      </c>
      <c r="D179" t="inlineStr">
        <is>
          <t>JÄMTLANDS LÄN</t>
        </is>
      </c>
      <c r="E179" t="inlineStr">
        <is>
          <t>BERG</t>
        </is>
      </c>
      <c r="G179" t="n">
        <v>4</v>
      </c>
      <c r="H179" t="n">
        <v>0</v>
      </c>
      <c r="I179" t="n">
        <v>0</v>
      </c>
      <c r="J179" t="n">
        <v>0</v>
      </c>
      <c r="K179" t="n">
        <v>0</v>
      </c>
      <c r="L179" t="n">
        <v>0</v>
      </c>
      <c r="M179" t="n">
        <v>0</v>
      </c>
      <c r="N179" t="n">
        <v>0</v>
      </c>
      <c r="O179" t="n">
        <v>0</v>
      </c>
      <c r="P179" t="n">
        <v>0</v>
      </c>
      <c r="Q179" t="n">
        <v>0</v>
      </c>
      <c r="R179" s="2" t="inlineStr"/>
    </row>
    <row r="180" ht="15" customHeight="1">
      <c r="A180" t="inlineStr">
        <is>
          <t>A 36375-2019</t>
        </is>
      </c>
      <c r="B180" s="1" t="n">
        <v>43662</v>
      </c>
      <c r="C180" s="1" t="n">
        <v>45344</v>
      </c>
      <c r="D180" t="inlineStr">
        <is>
          <t>JÄMTLANDS LÄN</t>
        </is>
      </c>
      <c r="E180" t="inlineStr">
        <is>
          <t>BERG</t>
        </is>
      </c>
      <c r="G180" t="n">
        <v>1.5</v>
      </c>
      <c r="H180" t="n">
        <v>0</v>
      </c>
      <c r="I180" t="n">
        <v>0</v>
      </c>
      <c r="J180" t="n">
        <v>0</v>
      </c>
      <c r="K180" t="n">
        <v>0</v>
      </c>
      <c r="L180" t="n">
        <v>0</v>
      </c>
      <c r="M180" t="n">
        <v>0</v>
      </c>
      <c r="N180" t="n">
        <v>0</v>
      </c>
      <c r="O180" t="n">
        <v>0</v>
      </c>
      <c r="P180" t="n">
        <v>0</v>
      </c>
      <c r="Q180" t="n">
        <v>0</v>
      </c>
      <c r="R180" s="2" t="inlineStr"/>
    </row>
    <row r="181" ht="15" customHeight="1">
      <c r="A181" t="inlineStr">
        <is>
          <t>A 36702-2019</t>
        </is>
      </c>
      <c r="B181" s="1" t="n">
        <v>43671</v>
      </c>
      <c r="C181" s="1" t="n">
        <v>45344</v>
      </c>
      <c r="D181" t="inlineStr">
        <is>
          <t>JÄMTLANDS LÄN</t>
        </is>
      </c>
      <c r="E181" t="inlineStr">
        <is>
          <t>BERG</t>
        </is>
      </c>
      <c r="F181" t="inlineStr">
        <is>
          <t>SCA</t>
        </is>
      </c>
      <c r="G181" t="n">
        <v>16.6</v>
      </c>
      <c r="H181" t="n">
        <v>0</v>
      </c>
      <c r="I181" t="n">
        <v>0</v>
      </c>
      <c r="J181" t="n">
        <v>0</v>
      </c>
      <c r="K181" t="n">
        <v>0</v>
      </c>
      <c r="L181" t="n">
        <v>0</v>
      </c>
      <c r="M181" t="n">
        <v>0</v>
      </c>
      <c r="N181" t="n">
        <v>0</v>
      </c>
      <c r="O181" t="n">
        <v>0</v>
      </c>
      <c r="P181" t="n">
        <v>0</v>
      </c>
      <c r="Q181" t="n">
        <v>0</v>
      </c>
      <c r="R181" s="2" t="inlineStr"/>
    </row>
    <row r="182" ht="15" customHeight="1">
      <c r="A182" t="inlineStr">
        <is>
          <t>A 37426-2019</t>
        </is>
      </c>
      <c r="B182" s="1" t="n">
        <v>43678</v>
      </c>
      <c r="C182" s="1" t="n">
        <v>45344</v>
      </c>
      <c r="D182" t="inlineStr">
        <is>
          <t>JÄMTLANDS LÄN</t>
        </is>
      </c>
      <c r="E182" t="inlineStr">
        <is>
          <t>BERG</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37890-2019</t>
        </is>
      </c>
      <c r="B183" s="1" t="n">
        <v>43682</v>
      </c>
      <c r="C183" s="1" t="n">
        <v>45344</v>
      </c>
      <c r="D183" t="inlineStr">
        <is>
          <t>JÄMTLANDS LÄN</t>
        </is>
      </c>
      <c r="E183" t="inlineStr">
        <is>
          <t>BERG</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38319-2019</t>
        </is>
      </c>
      <c r="B184" s="1" t="n">
        <v>43684</v>
      </c>
      <c r="C184" s="1" t="n">
        <v>45344</v>
      </c>
      <c r="D184" t="inlineStr">
        <is>
          <t>JÄMTLANDS LÄN</t>
        </is>
      </c>
      <c r="E184" t="inlineStr">
        <is>
          <t>BERG</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39128-2019</t>
        </is>
      </c>
      <c r="B185" s="1" t="n">
        <v>43689</v>
      </c>
      <c r="C185" s="1" t="n">
        <v>45344</v>
      </c>
      <c r="D185" t="inlineStr">
        <is>
          <t>JÄMTLANDS LÄN</t>
        </is>
      </c>
      <c r="E185" t="inlineStr">
        <is>
          <t>BERG</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39127-2019</t>
        </is>
      </c>
      <c r="B186" s="1" t="n">
        <v>43689</v>
      </c>
      <c r="C186" s="1" t="n">
        <v>45344</v>
      </c>
      <c r="D186" t="inlineStr">
        <is>
          <t>JÄMTLANDS LÄN</t>
        </is>
      </c>
      <c r="E186" t="inlineStr">
        <is>
          <t>BERG</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39130-2019</t>
        </is>
      </c>
      <c r="B187" s="1" t="n">
        <v>43689</v>
      </c>
      <c r="C187" s="1" t="n">
        <v>45344</v>
      </c>
      <c r="D187" t="inlineStr">
        <is>
          <t>JÄMTLANDS LÄN</t>
        </is>
      </c>
      <c r="E187" t="inlineStr">
        <is>
          <t>BERG</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40478-2019</t>
        </is>
      </c>
      <c r="B188" s="1" t="n">
        <v>43696</v>
      </c>
      <c r="C188" s="1" t="n">
        <v>45344</v>
      </c>
      <c r="D188" t="inlineStr">
        <is>
          <t>JÄMTLANDS LÄN</t>
        </is>
      </c>
      <c r="E188" t="inlineStr">
        <is>
          <t>BERG</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40529-2019</t>
        </is>
      </c>
      <c r="B189" s="1" t="n">
        <v>43696</v>
      </c>
      <c r="C189" s="1" t="n">
        <v>45344</v>
      </c>
      <c r="D189" t="inlineStr">
        <is>
          <t>JÄMTLANDS LÄN</t>
        </is>
      </c>
      <c r="E189" t="inlineStr">
        <is>
          <t>BERG</t>
        </is>
      </c>
      <c r="F189" t="inlineStr">
        <is>
          <t>SCA</t>
        </is>
      </c>
      <c r="G189" t="n">
        <v>0.4</v>
      </c>
      <c r="H189" t="n">
        <v>0</v>
      </c>
      <c r="I189" t="n">
        <v>0</v>
      </c>
      <c r="J189" t="n">
        <v>0</v>
      </c>
      <c r="K189" t="n">
        <v>0</v>
      </c>
      <c r="L189" t="n">
        <v>0</v>
      </c>
      <c r="M189" t="n">
        <v>0</v>
      </c>
      <c r="N189" t="n">
        <v>0</v>
      </c>
      <c r="O189" t="n">
        <v>0</v>
      </c>
      <c r="P189" t="n">
        <v>0</v>
      </c>
      <c r="Q189" t="n">
        <v>0</v>
      </c>
      <c r="R189" s="2" t="inlineStr"/>
    </row>
    <row r="190" ht="15" customHeight="1">
      <c r="A190" t="inlineStr">
        <is>
          <t>A 40479-2019</t>
        </is>
      </c>
      <c r="B190" s="1" t="n">
        <v>43696</v>
      </c>
      <c r="C190" s="1" t="n">
        <v>45344</v>
      </c>
      <c r="D190" t="inlineStr">
        <is>
          <t>JÄMTLANDS LÄN</t>
        </is>
      </c>
      <c r="E190" t="inlineStr">
        <is>
          <t>BERG</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40584-2019</t>
        </is>
      </c>
      <c r="B191" s="1" t="n">
        <v>43696</v>
      </c>
      <c r="C191" s="1" t="n">
        <v>45344</v>
      </c>
      <c r="D191" t="inlineStr">
        <is>
          <t>JÄMTLANDS LÄN</t>
        </is>
      </c>
      <c r="E191" t="inlineStr">
        <is>
          <t>BERG</t>
        </is>
      </c>
      <c r="G191" t="n">
        <v>7.1</v>
      </c>
      <c r="H191" t="n">
        <v>0</v>
      </c>
      <c r="I191" t="n">
        <v>0</v>
      </c>
      <c r="J191" t="n">
        <v>0</v>
      </c>
      <c r="K191" t="n">
        <v>0</v>
      </c>
      <c r="L191" t="n">
        <v>0</v>
      </c>
      <c r="M191" t="n">
        <v>0</v>
      </c>
      <c r="N191" t="n">
        <v>0</v>
      </c>
      <c r="O191" t="n">
        <v>0</v>
      </c>
      <c r="P191" t="n">
        <v>0</v>
      </c>
      <c r="Q191" t="n">
        <v>0</v>
      </c>
      <c r="R191" s="2" t="inlineStr"/>
    </row>
    <row r="192" ht="15" customHeight="1">
      <c r="A192" t="inlineStr">
        <is>
          <t>A 41452-2019</t>
        </is>
      </c>
      <c r="B192" s="1" t="n">
        <v>43699</v>
      </c>
      <c r="C192" s="1" t="n">
        <v>45344</v>
      </c>
      <c r="D192" t="inlineStr">
        <is>
          <t>JÄMTLANDS LÄN</t>
        </is>
      </c>
      <c r="E192" t="inlineStr">
        <is>
          <t>BERG</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43210-2019</t>
        </is>
      </c>
      <c r="B193" s="1" t="n">
        <v>43705</v>
      </c>
      <c r="C193" s="1" t="n">
        <v>45344</v>
      </c>
      <c r="D193" t="inlineStr">
        <is>
          <t>JÄMTLANDS LÄN</t>
        </is>
      </c>
      <c r="E193" t="inlineStr">
        <is>
          <t>BERG</t>
        </is>
      </c>
      <c r="F193" t="inlineStr">
        <is>
          <t>SCA</t>
        </is>
      </c>
      <c r="G193" t="n">
        <v>11.7</v>
      </c>
      <c r="H193" t="n">
        <v>0</v>
      </c>
      <c r="I193" t="n">
        <v>0</v>
      </c>
      <c r="J193" t="n">
        <v>0</v>
      </c>
      <c r="K193" t="n">
        <v>0</v>
      </c>
      <c r="L193" t="n">
        <v>0</v>
      </c>
      <c r="M193" t="n">
        <v>0</v>
      </c>
      <c r="N193" t="n">
        <v>0</v>
      </c>
      <c r="O193" t="n">
        <v>0</v>
      </c>
      <c r="P193" t="n">
        <v>0</v>
      </c>
      <c r="Q193" t="n">
        <v>0</v>
      </c>
      <c r="R193" s="2" t="inlineStr"/>
    </row>
    <row r="194" ht="15" customHeight="1">
      <c r="A194" t="inlineStr">
        <is>
          <t>A 43942-2019</t>
        </is>
      </c>
      <c r="B194" s="1" t="n">
        <v>43707</v>
      </c>
      <c r="C194" s="1" t="n">
        <v>45344</v>
      </c>
      <c r="D194" t="inlineStr">
        <is>
          <t>JÄMTLANDS LÄN</t>
        </is>
      </c>
      <c r="E194" t="inlineStr">
        <is>
          <t>BERG</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44810-2019</t>
        </is>
      </c>
      <c r="B195" s="1" t="n">
        <v>43712</v>
      </c>
      <c r="C195" s="1" t="n">
        <v>45344</v>
      </c>
      <c r="D195" t="inlineStr">
        <is>
          <t>JÄMTLANDS LÄN</t>
        </is>
      </c>
      <c r="E195" t="inlineStr">
        <is>
          <t>BERG</t>
        </is>
      </c>
      <c r="G195" t="n">
        <v>3.3</v>
      </c>
      <c r="H195" t="n">
        <v>0</v>
      </c>
      <c r="I195" t="n">
        <v>0</v>
      </c>
      <c r="J195" t="n">
        <v>0</v>
      </c>
      <c r="K195" t="n">
        <v>0</v>
      </c>
      <c r="L195" t="n">
        <v>0</v>
      </c>
      <c r="M195" t="n">
        <v>0</v>
      </c>
      <c r="N195" t="n">
        <v>0</v>
      </c>
      <c r="O195" t="n">
        <v>0</v>
      </c>
      <c r="P195" t="n">
        <v>0</v>
      </c>
      <c r="Q195" t="n">
        <v>0</v>
      </c>
      <c r="R195" s="2" t="inlineStr"/>
    </row>
    <row r="196" ht="15" customHeight="1">
      <c r="A196" t="inlineStr">
        <is>
          <t>A 44631-2019</t>
        </is>
      </c>
      <c r="B196" s="1" t="n">
        <v>43712</v>
      </c>
      <c r="C196" s="1" t="n">
        <v>45344</v>
      </c>
      <c r="D196" t="inlineStr">
        <is>
          <t>JÄMTLANDS LÄN</t>
        </is>
      </c>
      <c r="E196" t="inlineStr">
        <is>
          <t>BERG</t>
        </is>
      </c>
      <c r="G196" t="n">
        <v>5.7</v>
      </c>
      <c r="H196" t="n">
        <v>0</v>
      </c>
      <c r="I196" t="n">
        <v>0</v>
      </c>
      <c r="J196" t="n">
        <v>0</v>
      </c>
      <c r="K196" t="n">
        <v>0</v>
      </c>
      <c r="L196" t="n">
        <v>0</v>
      </c>
      <c r="M196" t="n">
        <v>0</v>
      </c>
      <c r="N196" t="n">
        <v>0</v>
      </c>
      <c r="O196" t="n">
        <v>0</v>
      </c>
      <c r="P196" t="n">
        <v>0</v>
      </c>
      <c r="Q196" t="n">
        <v>0</v>
      </c>
      <c r="R196" s="2" t="inlineStr"/>
    </row>
    <row r="197" ht="15" customHeight="1">
      <c r="A197" t="inlineStr">
        <is>
          <t>A 45623-2019</t>
        </is>
      </c>
      <c r="B197" s="1" t="n">
        <v>43717</v>
      </c>
      <c r="C197" s="1" t="n">
        <v>45344</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47918-2019</t>
        </is>
      </c>
      <c r="B198" s="1" t="n">
        <v>43725</v>
      </c>
      <c r="C198" s="1" t="n">
        <v>45344</v>
      </c>
      <c r="D198" t="inlineStr">
        <is>
          <t>JÄMTLANDS LÄN</t>
        </is>
      </c>
      <c r="E198" t="inlineStr">
        <is>
          <t>BERG</t>
        </is>
      </c>
      <c r="G198" t="n">
        <v>0.5</v>
      </c>
      <c r="H198" t="n">
        <v>0</v>
      </c>
      <c r="I198" t="n">
        <v>0</v>
      </c>
      <c r="J198" t="n">
        <v>0</v>
      </c>
      <c r="K198" t="n">
        <v>0</v>
      </c>
      <c r="L198" t="n">
        <v>0</v>
      </c>
      <c r="M198" t="n">
        <v>0</v>
      </c>
      <c r="N198" t="n">
        <v>0</v>
      </c>
      <c r="O198" t="n">
        <v>0</v>
      </c>
      <c r="P198" t="n">
        <v>0</v>
      </c>
      <c r="Q198" t="n">
        <v>0</v>
      </c>
      <c r="R198" s="2" t="inlineStr"/>
    </row>
    <row r="199" ht="15" customHeight="1">
      <c r="A199" t="inlineStr">
        <is>
          <t>A 50896-2019</t>
        </is>
      </c>
      <c r="B199" s="1" t="n">
        <v>43738</v>
      </c>
      <c r="C199" s="1" t="n">
        <v>45344</v>
      </c>
      <c r="D199" t="inlineStr">
        <is>
          <t>JÄMTLANDS LÄN</t>
        </is>
      </c>
      <c r="E199" t="inlineStr">
        <is>
          <t>BERG</t>
        </is>
      </c>
      <c r="G199" t="n">
        <v>1.1</v>
      </c>
      <c r="H199" t="n">
        <v>0</v>
      </c>
      <c r="I199" t="n">
        <v>0</v>
      </c>
      <c r="J199" t="n">
        <v>0</v>
      </c>
      <c r="K199" t="n">
        <v>0</v>
      </c>
      <c r="L199" t="n">
        <v>0</v>
      </c>
      <c r="M199" t="n">
        <v>0</v>
      </c>
      <c r="N199" t="n">
        <v>0</v>
      </c>
      <c r="O199" t="n">
        <v>0</v>
      </c>
      <c r="P199" t="n">
        <v>0</v>
      </c>
      <c r="Q199" t="n">
        <v>0</v>
      </c>
      <c r="R199" s="2" t="inlineStr"/>
    </row>
    <row r="200" ht="15" customHeight="1">
      <c r="A200" t="inlineStr">
        <is>
          <t>A 50969-2019</t>
        </is>
      </c>
      <c r="B200" s="1" t="n">
        <v>43738</v>
      </c>
      <c r="C200" s="1" t="n">
        <v>45344</v>
      </c>
      <c r="D200" t="inlineStr">
        <is>
          <t>JÄMTLANDS LÄN</t>
        </is>
      </c>
      <c r="E200" t="inlineStr">
        <is>
          <t>BERG</t>
        </is>
      </c>
      <c r="F200" t="inlineStr">
        <is>
          <t>SCA</t>
        </is>
      </c>
      <c r="G200" t="n">
        <v>9.1</v>
      </c>
      <c r="H200" t="n">
        <v>0</v>
      </c>
      <c r="I200" t="n">
        <v>0</v>
      </c>
      <c r="J200" t="n">
        <v>0</v>
      </c>
      <c r="K200" t="n">
        <v>0</v>
      </c>
      <c r="L200" t="n">
        <v>0</v>
      </c>
      <c r="M200" t="n">
        <v>0</v>
      </c>
      <c r="N200" t="n">
        <v>0</v>
      </c>
      <c r="O200" t="n">
        <v>0</v>
      </c>
      <c r="P200" t="n">
        <v>0</v>
      </c>
      <c r="Q200" t="n">
        <v>0</v>
      </c>
      <c r="R200" s="2" t="inlineStr"/>
    </row>
    <row r="201" ht="15" customHeight="1">
      <c r="A201" t="inlineStr">
        <is>
          <t>A 51206-2019</t>
        </is>
      </c>
      <c r="B201" s="1" t="n">
        <v>43739</v>
      </c>
      <c r="C201" s="1" t="n">
        <v>45344</v>
      </c>
      <c r="D201" t="inlineStr">
        <is>
          <t>JÄMTLANDS LÄN</t>
        </is>
      </c>
      <c r="E201" t="inlineStr">
        <is>
          <t>BERG</t>
        </is>
      </c>
      <c r="G201" t="n">
        <v>0.9</v>
      </c>
      <c r="H201" t="n">
        <v>0</v>
      </c>
      <c r="I201" t="n">
        <v>0</v>
      </c>
      <c r="J201" t="n">
        <v>0</v>
      </c>
      <c r="K201" t="n">
        <v>0</v>
      </c>
      <c r="L201" t="n">
        <v>0</v>
      </c>
      <c r="M201" t="n">
        <v>0</v>
      </c>
      <c r="N201" t="n">
        <v>0</v>
      </c>
      <c r="O201" t="n">
        <v>0</v>
      </c>
      <c r="P201" t="n">
        <v>0</v>
      </c>
      <c r="Q201" t="n">
        <v>0</v>
      </c>
      <c r="R201" s="2" t="inlineStr"/>
    </row>
    <row r="202" ht="15" customHeight="1">
      <c r="A202" t="inlineStr">
        <is>
          <t>A 53415-2019</t>
        </is>
      </c>
      <c r="B202" s="1" t="n">
        <v>43740</v>
      </c>
      <c r="C202" s="1" t="n">
        <v>45344</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52470-2019</t>
        </is>
      </c>
      <c r="B203" s="1" t="n">
        <v>43745</v>
      </c>
      <c r="C203" s="1" t="n">
        <v>45344</v>
      </c>
      <c r="D203" t="inlineStr">
        <is>
          <t>JÄMTLANDS LÄN</t>
        </is>
      </c>
      <c r="E203" t="inlineStr">
        <is>
          <t>BERG</t>
        </is>
      </c>
      <c r="G203" t="n">
        <v>5.4</v>
      </c>
      <c r="H203" t="n">
        <v>0</v>
      </c>
      <c r="I203" t="n">
        <v>0</v>
      </c>
      <c r="J203" t="n">
        <v>0</v>
      </c>
      <c r="K203" t="n">
        <v>0</v>
      </c>
      <c r="L203" t="n">
        <v>0</v>
      </c>
      <c r="M203" t="n">
        <v>0</v>
      </c>
      <c r="N203" t="n">
        <v>0</v>
      </c>
      <c r="O203" t="n">
        <v>0</v>
      </c>
      <c r="P203" t="n">
        <v>0</v>
      </c>
      <c r="Q203" t="n">
        <v>0</v>
      </c>
      <c r="R203" s="2" t="inlineStr"/>
    </row>
    <row r="204" ht="15" customHeight="1">
      <c r="A204" t="inlineStr">
        <is>
          <t>A 52985-2019</t>
        </is>
      </c>
      <c r="B204" s="1" t="n">
        <v>43747</v>
      </c>
      <c r="C204" s="1" t="n">
        <v>45344</v>
      </c>
      <c r="D204" t="inlineStr">
        <is>
          <t>JÄMTLANDS LÄN</t>
        </is>
      </c>
      <c r="E204" t="inlineStr">
        <is>
          <t>BERG</t>
        </is>
      </c>
      <c r="G204" t="n">
        <v>8.4</v>
      </c>
      <c r="H204" t="n">
        <v>0</v>
      </c>
      <c r="I204" t="n">
        <v>0</v>
      </c>
      <c r="J204" t="n">
        <v>0</v>
      </c>
      <c r="K204" t="n">
        <v>0</v>
      </c>
      <c r="L204" t="n">
        <v>0</v>
      </c>
      <c r="M204" t="n">
        <v>0</v>
      </c>
      <c r="N204" t="n">
        <v>0</v>
      </c>
      <c r="O204" t="n">
        <v>0</v>
      </c>
      <c r="P204" t="n">
        <v>0</v>
      </c>
      <c r="Q204" t="n">
        <v>0</v>
      </c>
      <c r="R204" s="2" t="inlineStr"/>
    </row>
    <row r="205" ht="15" customHeight="1">
      <c r="A205" t="inlineStr">
        <is>
          <t>A 54594-2019</t>
        </is>
      </c>
      <c r="B205" s="1" t="n">
        <v>43754</v>
      </c>
      <c r="C205" s="1" t="n">
        <v>45344</v>
      </c>
      <c r="D205" t="inlineStr">
        <is>
          <t>JÄMTLANDS LÄN</t>
        </is>
      </c>
      <c r="E205" t="inlineStr">
        <is>
          <t>BERG</t>
        </is>
      </c>
      <c r="G205" t="n">
        <v>3.9</v>
      </c>
      <c r="H205" t="n">
        <v>0</v>
      </c>
      <c r="I205" t="n">
        <v>0</v>
      </c>
      <c r="J205" t="n">
        <v>0</v>
      </c>
      <c r="K205" t="n">
        <v>0</v>
      </c>
      <c r="L205" t="n">
        <v>0</v>
      </c>
      <c r="M205" t="n">
        <v>0</v>
      </c>
      <c r="N205" t="n">
        <v>0</v>
      </c>
      <c r="O205" t="n">
        <v>0</v>
      </c>
      <c r="P205" t="n">
        <v>0</v>
      </c>
      <c r="Q205" t="n">
        <v>0</v>
      </c>
      <c r="R205" s="2" t="inlineStr"/>
    </row>
    <row r="206" ht="15" customHeight="1">
      <c r="A206" t="inlineStr">
        <is>
          <t>A 55611-2019</t>
        </is>
      </c>
      <c r="B206" s="1" t="n">
        <v>43760</v>
      </c>
      <c r="C206" s="1" t="n">
        <v>45344</v>
      </c>
      <c r="D206" t="inlineStr">
        <is>
          <t>JÄMTLANDS LÄN</t>
        </is>
      </c>
      <c r="E206" t="inlineStr">
        <is>
          <t>BERG</t>
        </is>
      </c>
      <c r="G206" t="n">
        <v>10</v>
      </c>
      <c r="H206" t="n">
        <v>0</v>
      </c>
      <c r="I206" t="n">
        <v>0</v>
      </c>
      <c r="J206" t="n">
        <v>0</v>
      </c>
      <c r="K206" t="n">
        <v>0</v>
      </c>
      <c r="L206" t="n">
        <v>0</v>
      </c>
      <c r="M206" t="n">
        <v>0</v>
      </c>
      <c r="N206" t="n">
        <v>0</v>
      </c>
      <c r="O206" t="n">
        <v>0</v>
      </c>
      <c r="P206" t="n">
        <v>0</v>
      </c>
      <c r="Q206" t="n">
        <v>0</v>
      </c>
      <c r="R206" s="2" t="inlineStr"/>
    </row>
    <row r="207" ht="15" customHeight="1">
      <c r="A207" t="inlineStr">
        <is>
          <t>A 55678-2019</t>
        </is>
      </c>
      <c r="B207" s="1" t="n">
        <v>43760</v>
      </c>
      <c r="C207" s="1" t="n">
        <v>45344</v>
      </c>
      <c r="D207" t="inlineStr">
        <is>
          <t>JÄMTLANDS LÄN</t>
        </is>
      </c>
      <c r="E207" t="inlineStr">
        <is>
          <t>BERG</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58364-2019</t>
        </is>
      </c>
      <c r="B208" s="1" t="n">
        <v>43770</v>
      </c>
      <c r="C208" s="1" t="n">
        <v>45344</v>
      </c>
      <c r="D208" t="inlineStr">
        <is>
          <t>JÄMTLANDS LÄN</t>
        </is>
      </c>
      <c r="E208" t="inlineStr">
        <is>
          <t>BERG</t>
        </is>
      </c>
      <c r="G208" t="n">
        <v>4.8</v>
      </c>
      <c r="H208" t="n">
        <v>0</v>
      </c>
      <c r="I208" t="n">
        <v>0</v>
      </c>
      <c r="J208" t="n">
        <v>0</v>
      </c>
      <c r="K208" t="n">
        <v>0</v>
      </c>
      <c r="L208" t="n">
        <v>0</v>
      </c>
      <c r="M208" t="n">
        <v>0</v>
      </c>
      <c r="N208" t="n">
        <v>0</v>
      </c>
      <c r="O208" t="n">
        <v>0</v>
      </c>
      <c r="P208" t="n">
        <v>0</v>
      </c>
      <c r="Q208" t="n">
        <v>0</v>
      </c>
      <c r="R208" s="2" t="inlineStr"/>
    </row>
    <row r="209" ht="15" customHeight="1">
      <c r="A209" t="inlineStr">
        <is>
          <t>A 58361-2019</t>
        </is>
      </c>
      <c r="B209" s="1" t="n">
        <v>43770</v>
      </c>
      <c r="C209" s="1" t="n">
        <v>45344</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62908-2019</t>
        </is>
      </c>
      <c r="B210" s="1" t="n">
        <v>43783</v>
      </c>
      <c r="C210" s="1" t="n">
        <v>45344</v>
      </c>
      <c r="D210" t="inlineStr">
        <is>
          <t>JÄMTLANDS LÄN</t>
        </is>
      </c>
      <c r="E210" t="inlineStr">
        <is>
          <t>BERG</t>
        </is>
      </c>
      <c r="G210" t="n">
        <v>1.7</v>
      </c>
      <c r="H210" t="n">
        <v>0</v>
      </c>
      <c r="I210" t="n">
        <v>0</v>
      </c>
      <c r="J210" t="n">
        <v>0</v>
      </c>
      <c r="K210" t="n">
        <v>0</v>
      </c>
      <c r="L210" t="n">
        <v>0</v>
      </c>
      <c r="M210" t="n">
        <v>0</v>
      </c>
      <c r="N210" t="n">
        <v>0</v>
      </c>
      <c r="O210" t="n">
        <v>0</v>
      </c>
      <c r="P210" t="n">
        <v>0</v>
      </c>
      <c r="Q210" t="n">
        <v>0</v>
      </c>
      <c r="R210" s="2" t="inlineStr"/>
    </row>
    <row r="211" ht="15" customHeight="1">
      <c r="A211" t="inlineStr">
        <is>
          <t>A 62943-2019</t>
        </is>
      </c>
      <c r="B211" s="1" t="n">
        <v>43783</v>
      </c>
      <c r="C211" s="1" t="n">
        <v>45344</v>
      </c>
      <c r="D211" t="inlineStr">
        <is>
          <t>JÄMTLANDS LÄN</t>
        </is>
      </c>
      <c r="E211" t="inlineStr">
        <is>
          <t>BERG</t>
        </is>
      </c>
      <c r="G211" t="n">
        <v>0.8</v>
      </c>
      <c r="H211" t="n">
        <v>0</v>
      </c>
      <c r="I211" t="n">
        <v>0</v>
      </c>
      <c r="J211" t="n">
        <v>0</v>
      </c>
      <c r="K211" t="n">
        <v>0</v>
      </c>
      <c r="L211" t="n">
        <v>0</v>
      </c>
      <c r="M211" t="n">
        <v>0</v>
      </c>
      <c r="N211" t="n">
        <v>0</v>
      </c>
      <c r="O211" t="n">
        <v>0</v>
      </c>
      <c r="P211" t="n">
        <v>0</v>
      </c>
      <c r="Q211" t="n">
        <v>0</v>
      </c>
      <c r="R211" s="2" t="inlineStr"/>
    </row>
    <row r="212" ht="15" customHeight="1">
      <c r="A212" t="inlineStr">
        <is>
          <t>A 62973-2019</t>
        </is>
      </c>
      <c r="B212" s="1" t="n">
        <v>43790</v>
      </c>
      <c r="C212" s="1" t="n">
        <v>45344</v>
      </c>
      <c r="D212" t="inlineStr">
        <is>
          <t>JÄMTLANDS LÄN</t>
        </is>
      </c>
      <c r="E212" t="inlineStr">
        <is>
          <t>BERG</t>
        </is>
      </c>
      <c r="G212" t="n">
        <v>1.6</v>
      </c>
      <c r="H212" t="n">
        <v>0</v>
      </c>
      <c r="I212" t="n">
        <v>0</v>
      </c>
      <c r="J212" t="n">
        <v>0</v>
      </c>
      <c r="K212" t="n">
        <v>0</v>
      </c>
      <c r="L212" t="n">
        <v>0</v>
      </c>
      <c r="M212" t="n">
        <v>0</v>
      </c>
      <c r="N212" t="n">
        <v>0</v>
      </c>
      <c r="O212" t="n">
        <v>0</v>
      </c>
      <c r="P212" t="n">
        <v>0</v>
      </c>
      <c r="Q212" t="n">
        <v>0</v>
      </c>
      <c r="R212" s="2" t="inlineStr"/>
    </row>
    <row r="213" ht="15" customHeight="1">
      <c r="A213" t="inlineStr">
        <is>
          <t>A 63144-2019</t>
        </is>
      </c>
      <c r="B213" s="1" t="n">
        <v>43791</v>
      </c>
      <c r="C213" s="1" t="n">
        <v>45344</v>
      </c>
      <c r="D213" t="inlineStr">
        <is>
          <t>JÄMTLANDS LÄN</t>
        </is>
      </c>
      <c r="E213" t="inlineStr">
        <is>
          <t>BERG</t>
        </is>
      </c>
      <c r="G213" t="n">
        <v>1.9</v>
      </c>
      <c r="H213" t="n">
        <v>0</v>
      </c>
      <c r="I213" t="n">
        <v>0</v>
      </c>
      <c r="J213" t="n">
        <v>0</v>
      </c>
      <c r="K213" t="n">
        <v>0</v>
      </c>
      <c r="L213" t="n">
        <v>0</v>
      </c>
      <c r="M213" t="n">
        <v>0</v>
      </c>
      <c r="N213" t="n">
        <v>0</v>
      </c>
      <c r="O213" t="n">
        <v>0</v>
      </c>
      <c r="P213" t="n">
        <v>0</v>
      </c>
      <c r="Q213" t="n">
        <v>0</v>
      </c>
      <c r="R213" s="2" t="inlineStr"/>
    </row>
    <row r="214" ht="15" customHeight="1">
      <c r="A214" t="inlineStr">
        <is>
          <t>A 65893-2019</t>
        </is>
      </c>
      <c r="B214" s="1" t="n">
        <v>43805</v>
      </c>
      <c r="C214" s="1" t="n">
        <v>45344</v>
      </c>
      <c r="D214" t="inlineStr">
        <is>
          <t>JÄMTLANDS LÄN</t>
        </is>
      </c>
      <c r="E214" t="inlineStr">
        <is>
          <t>BERG</t>
        </is>
      </c>
      <c r="G214" t="n">
        <v>6.7</v>
      </c>
      <c r="H214" t="n">
        <v>0</v>
      </c>
      <c r="I214" t="n">
        <v>0</v>
      </c>
      <c r="J214" t="n">
        <v>0</v>
      </c>
      <c r="K214" t="n">
        <v>0</v>
      </c>
      <c r="L214" t="n">
        <v>0</v>
      </c>
      <c r="M214" t="n">
        <v>0</v>
      </c>
      <c r="N214" t="n">
        <v>0</v>
      </c>
      <c r="O214" t="n">
        <v>0</v>
      </c>
      <c r="P214" t="n">
        <v>0</v>
      </c>
      <c r="Q214" t="n">
        <v>0</v>
      </c>
      <c r="R214" s="2" t="inlineStr"/>
    </row>
    <row r="215" ht="15" customHeight="1">
      <c r="A215" t="inlineStr">
        <is>
          <t>A 66275-2019</t>
        </is>
      </c>
      <c r="B215" s="1" t="n">
        <v>43808</v>
      </c>
      <c r="C215" s="1" t="n">
        <v>45344</v>
      </c>
      <c r="D215" t="inlineStr">
        <is>
          <t>JÄMTLANDS LÄN</t>
        </is>
      </c>
      <c r="E215" t="inlineStr">
        <is>
          <t>BERG</t>
        </is>
      </c>
      <c r="G215" t="n">
        <v>4.5</v>
      </c>
      <c r="H215" t="n">
        <v>0</v>
      </c>
      <c r="I215" t="n">
        <v>0</v>
      </c>
      <c r="J215" t="n">
        <v>0</v>
      </c>
      <c r="K215" t="n">
        <v>0</v>
      </c>
      <c r="L215" t="n">
        <v>0</v>
      </c>
      <c r="M215" t="n">
        <v>0</v>
      </c>
      <c r="N215" t="n">
        <v>0</v>
      </c>
      <c r="O215" t="n">
        <v>0</v>
      </c>
      <c r="P215" t="n">
        <v>0</v>
      </c>
      <c r="Q215" t="n">
        <v>0</v>
      </c>
      <c r="R215" s="2" t="inlineStr"/>
    </row>
    <row r="216" ht="15" customHeight="1">
      <c r="A216" t="inlineStr">
        <is>
          <t>A 67556-2019</t>
        </is>
      </c>
      <c r="B216" s="1" t="n">
        <v>43808</v>
      </c>
      <c r="C216" s="1" t="n">
        <v>45344</v>
      </c>
      <c r="D216" t="inlineStr">
        <is>
          <t>JÄMTLANDS LÄN</t>
        </is>
      </c>
      <c r="E216" t="inlineStr">
        <is>
          <t>BERG</t>
        </is>
      </c>
      <c r="G216" t="n">
        <v>1</v>
      </c>
      <c r="H216" t="n">
        <v>0</v>
      </c>
      <c r="I216" t="n">
        <v>0</v>
      </c>
      <c r="J216" t="n">
        <v>0</v>
      </c>
      <c r="K216" t="n">
        <v>0</v>
      </c>
      <c r="L216" t="n">
        <v>0</v>
      </c>
      <c r="M216" t="n">
        <v>0</v>
      </c>
      <c r="N216" t="n">
        <v>0</v>
      </c>
      <c r="O216" t="n">
        <v>0</v>
      </c>
      <c r="P216" t="n">
        <v>0</v>
      </c>
      <c r="Q216" t="n">
        <v>0</v>
      </c>
      <c r="R216" s="2" t="inlineStr"/>
    </row>
    <row r="217" ht="15" customHeight="1">
      <c r="A217" t="inlineStr">
        <is>
          <t>A 67898-2019</t>
        </is>
      </c>
      <c r="B217" s="1" t="n">
        <v>43811</v>
      </c>
      <c r="C217" s="1" t="n">
        <v>45344</v>
      </c>
      <c r="D217" t="inlineStr">
        <is>
          <t>JÄMTLANDS LÄN</t>
        </is>
      </c>
      <c r="E217" t="inlineStr">
        <is>
          <t>BERG</t>
        </is>
      </c>
      <c r="G217" t="n">
        <v>3.2</v>
      </c>
      <c r="H217" t="n">
        <v>0</v>
      </c>
      <c r="I217" t="n">
        <v>0</v>
      </c>
      <c r="J217" t="n">
        <v>0</v>
      </c>
      <c r="K217" t="n">
        <v>0</v>
      </c>
      <c r="L217" t="n">
        <v>0</v>
      </c>
      <c r="M217" t="n">
        <v>0</v>
      </c>
      <c r="N217" t="n">
        <v>0</v>
      </c>
      <c r="O217" t="n">
        <v>0</v>
      </c>
      <c r="P217" t="n">
        <v>0</v>
      </c>
      <c r="Q217" t="n">
        <v>0</v>
      </c>
      <c r="R217" s="2" t="inlineStr"/>
    </row>
    <row r="218" ht="15" customHeight="1">
      <c r="A218" t="inlineStr">
        <is>
          <t>A 67225-2019</t>
        </is>
      </c>
      <c r="B218" s="1" t="n">
        <v>43811</v>
      </c>
      <c r="C218" s="1" t="n">
        <v>45344</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67255-2019</t>
        </is>
      </c>
      <c r="B219" s="1" t="n">
        <v>43812</v>
      </c>
      <c r="C219" s="1" t="n">
        <v>45344</v>
      </c>
      <c r="D219" t="inlineStr">
        <is>
          <t>JÄMTLANDS LÄN</t>
        </is>
      </c>
      <c r="E219" t="inlineStr">
        <is>
          <t>BERG</t>
        </is>
      </c>
      <c r="G219" t="n">
        <v>14.7</v>
      </c>
      <c r="H219" t="n">
        <v>0</v>
      </c>
      <c r="I219" t="n">
        <v>0</v>
      </c>
      <c r="J219" t="n">
        <v>0</v>
      </c>
      <c r="K219" t="n">
        <v>0</v>
      </c>
      <c r="L219" t="n">
        <v>0</v>
      </c>
      <c r="M219" t="n">
        <v>0</v>
      </c>
      <c r="N219" t="n">
        <v>0</v>
      </c>
      <c r="O219" t="n">
        <v>0</v>
      </c>
      <c r="P219" t="n">
        <v>0</v>
      </c>
      <c r="Q219" t="n">
        <v>0</v>
      </c>
      <c r="R219" s="2" t="inlineStr"/>
    </row>
    <row r="220" ht="15" customHeight="1">
      <c r="A220" t="inlineStr">
        <is>
          <t>A 152-2020</t>
        </is>
      </c>
      <c r="B220" s="1" t="n">
        <v>43833</v>
      </c>
      <c r="C220" s="1" t="n">
        <v>45344</v>
      </c>
      <c r="D220" t="inlineStr">
        <is>
          <t>JÄMTLANDS LÄN</t>
        </is>
      </c>
      <c r="E220" t="inlineStr">
        <is>
          <t>BERG</t>
        </is>
      </c>
      <c r="G220" t="n">
        <v>1.9</v>
      </c>
      <c r="H220" t="n">
        <v>0</v>
      </c>
      <c r="I220" t="n">
        <v>0</v>
      </c>
      <c r="J220" t="n">
        <v>0</v>
      </c>
      <c r="K220" t="n">
        <v>0</v>
      </c>
      <c r="L220" t="n">
        <v>0</v>
      </c>
      <c r="M220" t="n">
        <v>0</v>
      </c>
      <c r="N220" t="n">
        <v>0</v>
      </c>
      <c r="O220" t="n">
        <v>0</v>
      </c>
      <c r="P220" t="n">
        <v>0</v>
      </c>
      <c r="Q220" t="n">
        <v>0</v>
      </c>
      <c r="R220" s="2" t="inlineStr"/>
    </row>
    <row r="221" ht="15" customHeight="1">
      <c r="A221" t="inlineStr">
        <is>
          <t>A 3389-2020</t>
        </is>
      </c>
      <c r="B221" s="1" t="n">
        <v>43844</v>
      </c>
      <c r="C221" s="1" t="n">
        <v>45344</v>
      </c>
      <c r="D221" t="inlineStr">
        <is>
          <t>JÄMTLANDS LÄN</t>
        </is>
      </c>
      <c r="E221" t="inlineStr">
        <is>
          <t>BERG</t>
        </is>
      </c>
      <c r="G221" t="n">
        <v>0.7</v>
      </c>
      <c r="H221" t="n">
        <v>0</v>
      </c>
      <c r="I221" t="n">
        <v>0</v>
      </c>
      <c r="J221" t="n">
        <v>0</v>
      </c>
      <c r="K221" t="n">
        <v>0</v>
      </c>
      <c r="L221" t="n">
        <v>0</v>
      </c>
      <c r="M221" t="n">
        <v>0</v>
      </c>
      <c r="N221" t="n">
        <v>0</v>
      </c>
      <c r="O221" t="n">
        <v>0</v>
      </c>
      <c r="P221" t="n">
        <v>0</v>
      </c>
      <c r="Q221" t="n">
        <v>0</v>
      </c>
      <c r="R221" s="2" t="inlineStr"/>
    </row>
    <row r="222" ht="15" customHeight="1">
      <c r="A222" t="inlineStr">
        <is>
          <t>A 3321-2020</t>
        </is>
      </c>
      <c r="B222" s="1" t="n">
        <v>43844</v>
      </c>
      <c r="C222" s="1" t="n">
        <v>45344</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5556-2020</t>
        </is>
      </c>
      <c r="B223" s="1" t="n">
        <v>43860</v>
      </c>
      <c r="C223" s="1" t="n">
        <v>45344</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6333-2020</t>
        </is>
      </c>
      <c r="B224" s="1" t="n">
        <v>43866</v>
      </c>
      <c r="C224" s="1" t="n">
        <v>45344</v>
      </c>
      <c r="D224" t="inlineStr">
        <is>
          <t>JÄMTLANDS LÄN</t>
        </is>
      </c>
      <c r="E224" t="inlineStr">
        <is>
          <t>BERG</t>
        </is>
      </c>
      <c r="G224" t="n">
        <v>7.8</v>
      </c>
      <c r="H224" t="n">
        <v>0</v>
      </c>
      <c r="I224" t="n">
        <v>0</v>
      </c>
      <c r="J224" t="n">
        <v>0</v>
      </c>
      <c r="K224" t="n">
        <v>0</v>
      </c>
      <c r="L224" t="n">
        <v>0</v>
      </c>
      <c r="M224" t="n">
        <v>0</v>
      </c>
      <c r="N224" t="n">
        <v>0</v>
      </c>
      <c r="O224" t="n">
        <v>0</v>
      </c>
      <c r="P224" t="n">
        <v>0</v>
      </c>
      <c r="Q224" t="n">
        <v>0</v>
      </c>
      <c r="R224" s="2" t="inlineStr"/>
    </row>
    <row r="225" ht="15" customHeight="1">
      <c r="A225" t="inlineStr">
        <is>
          <t>A 7228-2020</t>
        </is>
      </c>
      <c r="B225" s="1" t="n">
        <v>43871</v>
      </c>
      <c r="C225" s="1" t="n">
        <v>45344</v>
      </c>
      <c r="D225" t="inlineStr">
        <is>
          <t>JÄMTLANDS LÄN</t>
        </is>
      </c>
      <c r="E225" t="inlineStr">
        <is>
          <t>BERG</t>
        </is>
      </c>
      <c r="G225" t="n">
        <v>1</v>
      </c>
      <c r="H225" t="n">
        <v>0</v>
      </c>
      <c r="I225" t="n">
        <v>0</v>
      </c>
      <c r="J225" t="n">
        <v>0</v>
      </c>
      <c r="K225" t="n">
        <v>0</v>
      </c>
      <c r="L225" t="n">
        <v>0</v>
      </c>
      <c r="M225" t="n">
        <v>0</v>
      </c>
      <c r="N225" t="n">
        <v>0</v>
      </c>
      <c r="O225" t="n">
        <v>0</v>
      </c>
      <c r="P225" t="n">
        <v>0</v>
      </c>
      <c r="Q225" t="n">
        <v>0</v>
      </c>
      <c r="R225" s="2" t="inlineStr"/>
    </row>
    <row r="226" ht="15" customHeight="1">
      <c r="A226" t="inlineStr">
        <is>
          <t>A 8715-2020</t>
        </is>
      </c>
      <c r="B226" s="1" t="n">
        <v>43878</v>
      </c>
      <c r="C226" s="1" t="n">
        <v>45344</v>
      </c>
      <c r="D226" t="inlineStr">
        <is>
          <t>JÄMTLANDS LÄN</t>
        </is>
      </c>
      <c r="E226" t="inlineStr">
        <is>
          <t>BERG</t>
        </is>
      </c>
      <c r="G226" t="n">
        <v>11.1</v>
      </c>
      <c r="H226" t="n">
        <v>0</v>
      </c>
      <c r="I226" t="n">
        <v>0</v>
      </c>
      <c r="J226" t="n">
        <v>0</v>
      </c>
      <c r="K226" t="n">
        <v>0</v>
      </c>
      <c r="L226" t="n">
        <v>0</v>
      </c>
      <c r="M226" t="n">
        <v>0</v>
      </c>
      <c r="N226" t="n">
        <v>0</v>
      </c>
      <c r="O226" t="n">
        <v>0</v>
      </c>
      <c r="P226" t="n">
        <v>0</v>
      </c>
      <c r="Q226" t="n">
        <v>0</v>
      </c>
      <c r="R226" s="2" t="inlineStr"/>
    </row>
    <row r="227" ht="15" customHeight="1">
      <c r="A227" t="inlineStr">
        <is>
          <t>A 9627-2020</t>
        </is>
      </c>
      <c r="B227" s="1" t="n">
        <v>43881</v>
      </c>
      <c r="C227" s="1" t="n">
        <v>45344</v>
      </c>
      <c r="D227" t="inlineStr">
        <is>
          <t>JÄMTLANDS LÄN</t>
        </is>
      </c>
      <c r="E227" t="inlineStr">
        <is>
          <t>BERG</t>
        </is>
      </c>
      <c r="G227" t="n">
        <v>3.3</v>
      </c>
      <c r="H227" t="n">
        <v>0</v>
      </c>
      <c r="I227" t="n">
        <v>0</v>
      </c>
      <c r="J227" t="n">
        <v>0</v>
      </c>
      <c r="K227" t="n">
        <v>0</v>
      </c>
      <c r="L227" t="n">
        <v>0</v>
      </c>
      <c r="M227" t="n">
        <v>0</v>
      </c>
      <c r="N227" t="n">
        <v>0</v>
      </c>
      <c r="O227" t="n">
        <v>0</v>
      </c>
      <c r="P227" t="n">
        <v>0</v>
      </c>
      <c r="Q227" t="n">
        <v>0</v>
      </c>
      <c r="R227" s="2" t="inlineStr"/>
    </row>
    <row r="228" ht="15" customHeight="1">
      <c r="A228" t="inlineStr">
        <is>
          <t>A 9670-2020</t>
        </is>
      </c>
      <c r="B228" s="1" t="n">
        <v>43881</v>
      </c>
      <c r="C228" s="1" t="n">
        <v>45344</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10715-2020</t>
        </is>
      </c>
      <c r="B229" s="1" t="n">
        <v>43888</v>
      </c>
      <c r="C229" s="1" t="n">
        <v>45344</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11788-2020</t>
        </is>
      </c>
      <c r="B230" s="1" t="n">
        <v>43894</v>
      </c>
      <c r="C230" s="1" t="n">
        <v>45344</v>
      </c>
      <c r="D230" t="inlineStr">
        <is>
          <t>JÄMTLANDS LÄN</t>
        </is>
      </c>
      <c r="E230" t="inlineStr">
        <is>
          <t>BERG</t>
        </is>
      </c>
      <c r="F230" t="inlineStr">
        <is>
          <t>Holmen skog AB</t>
        </is>
      </c>
      <c r="G230" t="n">
        <v>1.2</v>
      </c>
      <c r="H230" t="n">
        <v>0</v>
      </c>
      <c r="I230" t="n">
        <v>0</v>
      </c>
      <c r="J230" t="n">
        <v>0</v>
      </c>
      <c r="K230" t="n">
        <v>0</v>
      </c>
      <c r="L230" t="n">
        <v>0</v>
      </c>
      <c r="M230" t="n">
        <v>0</v>
      </c>
      <c r="N230" t="n">
        <v>0</v>
      </c>
      <c r="O230" t="n">
        <v>0</v>
      </c>
      <c r="P230" t="n">
        <v>0</v>
      </c>
      <c r="Q230" t="n">
        <v>0</v>
      </c>
      <c r="R230" s="2" t="inlineStr"/>
    </row>
    <row r="231" ht="15" customHeight="1">
      <c r="A231" t="inlineStr">
        <is>
          <t>A 11825-2020</t>
        </is>
      </c>
      <c r="B231" s="1" t="n">
        <v>43894</v>
      </c>
      <c r="C231" s="1" t="n">
        <v>45344</v>
      </c>
      <c r="D231" t="inlineStr">
        <is>
          <t>JÄMTLANDS LÄN</t>
        </is>
      </c>
      <c r="E231" t="inlineStr">
        <is>
          <t>BERG</t>
        </is>
      </c>
      <c r="F231" t="inlineStr">
        <is>
          <t>Holmen skog AB</t>
        </is>
      </c>
      <c r="G231" t="n">
        <v>17.7</v>
      </c>
      <c r="H231" t="n">
        <v>0</v>
      </c>
      <c r="I231" t="n">
        <v>0</v>
      </c>
      <c r="J231" t="n">
        <v>0</v>
      </c>
      <c r="K231" t="n">
        <v>0</v>
      </c>
      <c r="L231" t="n">
        <v>0</v>
      </c>
      <c r="M231" t="n">
        <v>0</v>
      </c>
      <c r="N231" t="n">
        <v>0</v>
      </c>
      <c r="O231" t="n">
        <v>0</v>
      </c>
      <c r="P231" t="n">
        <v>0</v>
      </c>
      <c r="Q231" t="n">
        <v>0</v>
      </c>
      <c r="R231" s="2" t="inlineStr"/>
    </row>
    <row r="232" ht="15" customHeight="1">
      <c r="A232" t="inlineStr">
        <is>
          <t>A 11890-2020</t>
        </is>
      </c>
      <c r="B232" s="1" t="n">
        <v>43894</v>
      </c>
      <c r="C232" s="1" t="n">
        <v>45344</v>
      </c>
      <c r="D232" t="inlineStr">
        <is>
          <t>JÄMTLANDS LÄN</t>
        </is>
      </c>
      <c r="E232" t="inlineStr">
        <is>
          <t>BERG</t>
        </is>
      </c>
      <c r="F232" t="inlineStr">
        <is>
          <t>Holmen skog AB</t>
        </is>
      </c>
      <c r="G232" t="n">
        <v>15.3</v>
      </c>
      <c r="H232" t="n">
        <v>0</v>
      </c>
      <c r="I232" t="n">
        <v>0</v>
      </c>
      <c r="J232" t="n">
        <v>0</v>
      </c>
      <c r="K232" t="n">
        <v>0</v>
      </c>
      <c r="L232" t="n">
        <v>0</v>
      </c>
      <c r="M232" t="n">
        <v>0</v>
      </c>
      <c r="N232" t="n">
        <v>0</v>
      </c>
      <c r="O232" t="n">
        <v>0</v>
      </c>
      <c r="P232" t="n">
        <v>0</v>
      </c>
      <c r="Q232" t="n">
        <v>0</v>
      </c>
      <c r="R232" s="2" t="inlineStr"/>
    </row>
    <row r="233" ht="15" customHeight="1">
      <c r="A233" t="inlineStr">
        <is>
          <t>A 11785-2020</t>
        </is>
      </c>
      <c r="B233" s="1" t="n">
        <v>43894</v>
      </c>
      <c r="C233" s="1" t="n">
        <v>45344</v>
      </c>
      <c r="D233" t="inlineStr">
        <is>
          <t>JÄMTLANDS LÄN</t>
        </is>
      </c>
      <c r="E233" t="inlineStr">
        <is>
          <t>BERG</t>
        </is>
      </c>
      <c r="F233" t="inlineStr">
        <is>
          <t>Holmen skog AB</t>
        </is>
      </c>
      <c r="G233" t="n">
        <v>0.7</v>
      </c>
      <c r="H233" t="n">
        <v>0</v>
      </c>
      <c r="I233" t="n">
        <v>0</v>
      </c>
      <c r="J233" t="n">
        <v>0</v>
      </c>
      <c r="K233" t="n">
        <v>0</v>
      </c>
      <c r="L233" t="n">
        <v>0</v>
      </c>
      <c r="M233" t="n">
        <v>0</v>
      </c>
      <c r="N233" t="n">
        <v>0</v>
      </c>
      <c r="O233" t="n">
        <v>0</v>
      </c>
      <c r="P233" t="n">
        <v>0</v>
      </c>
      <c r="Q233" t="n">
        <v>0</v>
      </c>
      <c r="R233" s="2" t="inlineStr"/>
    </row>
    <row r="234" ht="15" customHeight="1">
      <c r="A234" t="inlineStr">
        <is>
          <t>A 14854-2020</t>
        </is>
      </c>
      <c r="B234" s="1" t="n">
        <v>43909</v>
      </c>
      <c r="C234" s="1" t="n">
        <v>45344</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18047-2020</t>
        </is>
      </c>
      <c r="B235" s="1" t="n">
        <v>43927</v>
      </c>
      <c r="C235" s="1" t="n">
        <v>45344</v>
      </c>
      <c r="D235" t="inlineStr">
        <is>
          <t>JÄMTLANDS LÄN</t>
        </is>
      </c>
      <c r="E235" t="inlineStr">
        <is>
          <t>BERG</t>
        </is>
      </c>
      <c r="G235" t="n">
        <v>15.8</v>
      </c>
      <c r="H235" t="n">
        <v>0</v>
      </c>
      <c r="I235" t="n">
        <v>0</v>
      </c>
      <c r="J235" t="n">
        <v>0</v>
      </c>
      <c r="K235" t="n">
        <v>0</v>
      </c>
      <c r="L235" t="n">
        <v>0</v>
      </c>
      <c r="M235" t="n">
        <v>0</v>
      </c>
      <c r="N235" t="n">
        <v>0</v>
      </c>
      <c r="O235" t="n">
        <v>0</v>
      </c>
      <c r="P235" t="n">
        <v>0</v>
      </c>
      <c r="Q235" t="n">
        <v>0</v>
      </c>
      <c r="R235" s="2" t="inlineStr"/>
    </row>
    <row r="236" ht="15" customHeight="1">
      <c r="A236" t="inlineStr">
        <is>
          <t>A 18613-2020</t>
        </is>
      </c>
      <c r="B236" s="1" t="n">
        <v>43929</v>
      </c>
      <c r="C236" s="1" t="n">
        <v>45344</v>
      </c>
      <c r="D236" t="inlineStr">
        <is>
          <t>JÄMTLANDS LÄN</t>
        </is>
      </c>
      <c r="E236" t="inlineStr">
        <is>
          <t>BERG</t>
        </is>
      </c>
      <c r="G236" t="n">
        <v>2.6</v>
      </c>
      <c r="H236" t="n">
        <v>0</v>
      </c>
      <c r="I236" t="n">
        <v>0</v>
      </c>
      <c r="J236" t="n">
        <v>0</v>
      </c>
      <c r="K236" t="n">
        <v>0</v>
      </c>
      <c r="L236" t="n">
        <v>0</v>
      </c>
      <c r="M236" t="n">
        <v>0</v>
      </c>
      <c r="N236" t="n">
        <v>0</v>
      </c>
      <c r="O236" t="n">
        <v>0</v>
      </c>
      <c r="P236" t="n">
        <v>0</v>
      </c>
      <c r="Q236" t="n">
        <v>0</v>
      </c>
      <c r="R236" s="2" t="inlineStr"/>
    </row>
    <row r="237" ht="15" customHeight="1">
      <c r="A237" t="inlineStr">
        <is>
          <t>A 19531-2020</t>
        </is>
      </c>
      <c r="B237" s="1" t="n">
        <v>43940</v>
      </c>
      <c r="C237" s="1" t="n">
        <v>45344</v>
      </c>
      <c r="D237" t="inlineStr">
        <is>
          <t>JÄMTLANDS LÄN</t>
        </is>
      </c>
      <c r="E237" t="inlineStr">
        <is>
          <t>BERG</t>
        </is>
      </c>
      <c r="G237" t="n">
        <v>4.2</v>
      </c>
      <c r="H237" t="n">
        <v>0</v>
      </c>
      <c r="I237" t="n">
        <v>0</v>
      </c>
      <c r="J237" t="n">
        <v>0</v>
      </c>
      <c r="K237" t="n">
        <v>0</v>
      </c>
      <c r="L237" t="n">
        <v>0</v>
      </c>
      <c r="M237" t="n">
        <v>0</v>
      </c>
      <c r="N237" t="n">
        <v>0</v>
      </c>
      <c r="O237" t="n">
        <v>0</v>
      </c>
      <c r="P237" t="n">
        <v>0</v>
      </c>
      <c r="Q237" t="n">
        <v>0</v>
      </c>
      <c r="R237" s="2" t="inlineStr"/>
    </row>
    <row r="238" ht="15" customHeight="1">
      <c r="A238" t="inlineStr">
        <is>
          <t>A 19532-2020</t>
        </is>
      </c>
      <c r="B238" s="1" t="n">
        <v>43941</v>
      </c>
      <c r="C238" s="1" t="n">
        <v>45344</v>
      </c>
      <c r="D238" t="inlineStr">
        <is>
          <t>JÄMTLANDS LÄN</t>
        </is>
      </c>
      <c r="E238" t="inlineStr">
        <is>
          <t>BERG</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20745-2020</t>
        </is>
      </c>
      <c r="B239" s="1" t="n">
        <v>43949</v>
      </c>
      <c r="C239" s="1" t="n">
        <v>45344</v>
      </c>
      <c r="D239" t="inlineStr">
        <is>
          <t>JÄMTLANDS LÄN</t>
        </is>
      </c>
      <c r="E239" t="inlineStr">
        <is>
          <t>BERG</t>
        </is>
      </c>
      <c r="G239" t="n">
        <v>9.1</v>
      </c>
      <c r="H239" t="n">
        <v>0</v>
      </c>
      <c r="I239" t="n">
        <v>0</v>
      </c>
      <c r="J239" t="n">
        <v>0</v>
      </c>
      <c r="K239" t="n">
        <v>0</v>
      </c>
      <c r="L239" t="n">
        <v>0</v>
      </c>
      <c r="M239" t="n">
        <v>0</v>
      </c>
      <c r="N239" t="n">
        <v>0</v>
      </c>
      <c r="O239" t="n">
        <v>0</v>
      </c>
      <c r="P239" t="n">
        <v>0</v>
      </c>
      <c r="Q239" t="n">
        <v>0</v>
      </c>
      <c r="R239" s="2" t="inlineStr"/>
    </row>
    <row r="240" ht="15" customHeight="1">
      <c r="A240" t="inlineStr">
        <is>
          <t>A 23490-2020</t>
        </is>
      </c>
      <c r="B240" s="1" t="n">
        <v>43966</v>
      </c>
      <c r="C240" s="1" t="n">
        <v>45344</v>
      </c>
      <c r="D240" t="inlineStr">
        <is>
          <t>JÄMTLANDS LÄN</t>
        </is>
      </c>
      <c r="E240" t="inlineStr">
        <is>
          <t>BERG</t>
        </is>
      </c>
      <c r="G240" t="n">
        <v>8.6</v>
      </c>
      <c r="H240" t="n">
        <v>0</v>
      </c>
      <c r="I240" t="n">
        <v>0</v>
      </c>
      <c r="J240" t="n">
        <v>0</v>
      </c>
      <c r="K240" t="n">
        <v>0</v>
      </c>
      <c r="L240" t="n">
        <v>0</v>
      </c>
      <c r="M240" t="n">
        <v>0</v>
      </c>
      <c r="N240" t="n">
        <v>0</v>
      </c>
      <c r="O240" t="n">
        <v>0</v>
      </c>
      <c r="P240" t="n">
        <v>0</v>
      </c>
      <c r="Q240" t="n">
        <v>0</v>
      </c>
      <c r="R240" s="2" t="inlineStr"/>
    </row>
    <row r="241" ht="15" customHeight="1">
      <c r="A241" t="inlineStr">
        <is>
          <t>A 24292-2020</t>
        </is>
      </c>
      <c r="B241" s="1" t="n">
        <v>43976</v>
      </c>
      <c r="C241" s="1" t="n">
        <v>45344</v>
      </c>
      <c r="D241" t="inlineStr">
        <is>
          <t>JÄMTLANDS LÄN</t>
        </is>
      </c>
      <c r="E241" t="inlineStr">
        <is>
          <t>BERG</t>
        </is>
      </c>
      <c r="F241" t="inlineStr">
        <is>
          <t>Kyrkan</t>
        </is>
      </c>
      <c r="G241" t="n">
        <v>11</v>
      </c>
      <c r="H241" t="n">
        <v>0</v>
      </c>
      <c r="I241" t="n">
        <v>0</v>
      </c>
      <c r="J241" t="n">
        <v>0</v>
      </c>
      <c r="K241" t="n">
        <v>0</v>
      </c>
      <c r="L241" t="n">
        <v>0</v>
      </c>
      <c r="M241" t="n">
        <v>0</v>
      </c>
      <c r="N241" t="n">
        <v>0</v>
      </c>
      <c r="O241" t="n">
        <v>0</v>
      </c>
      <c r="P241" t="n">
        <v>0</v>
      </c>
      <c r="Q241" t="n">
        <v>0</v>
      </c>
      <c r="R241" s="2" t="inlineStr"/>
    </row>
    <row r="242" ht="15" customHeight="1">
      <c r="A242" t="inlineStr">
        <is>
          <t>A 24932-2020</t>
        </is>
      </c>
      <c r="B242" s="1" t="n">
        <v>43979</v>
      </c>
      <c r="C242" s="1" t="n">
        <v>45344</v>
      </c>
      <c r="D242" t="inlineStr">
        <is>
          <t>JÄMTLANDS LÄN</t>
        </is>
      </c>
      <c r="E242" t="inlineStr">
        <is>
          <t>BERG</t>
        </is>
      </c>
      <c r="F242" t="inlineStr">
        <is>
          <t>Kyrkan</t>
        </is>
      </c>
      <c r="G242" t="n">
        <v>0.5</v>
      </c>
      <c r="H242" t="n">
        <v>0</v>
      </c>
      <c r="I242" t="n">
        <v>0</v>
      </c>
      <c r="J242" t="n">
        <v>0</v>
      </c>
      <c r="K242" t="n">
        <v>0</v>
      </c>
      <c r="L242" t="n">
        <v>0</v>
      </c>
      <c r="M242" t="n">
        <v>0</v>
      </c>
      <c r="N242" t="n">
        <v>0</v>
      </c>
      <c r="O242" t="n">
        <v>0</v>
      </c>
      <c r="P242" t="n">
        <v>0</v>
      </c>
      <c r="Q242" t="n">
        <v>0</v>
      </c>
      <c r="R242" s="2" t="inlineStr"/>
    </row>
    <row r="243" ht="15" customHeight="1">
      <c r="A243" t="inlineStr">
        <is>
          <t>A 25017-2020</t>
        </is>
      </c>
      <c r="B243" s="1" t="n">
        <v>43979</v>
      </c>
      <c r="C243" s="1" t="n">
        <v>45344</v>
      </c>
      <c r="D243" t="inlineStr">
        <is>
          <t>JÄMTLANDS LÄN</t>
        </is>
      </c>
      <c r="E243" t="inlineStr">
        <is>
          <t>BERG</t>
        </is>
      </c>
      <c r="G243" t="n">
        <v>6.3</v>
      </c>
      <c r="H243" t="n">
        <v>0</v>
      </c>
      <c r="I243" t="n">
        <v>0</v>
      </c>
      <c r="J243" t="n">
        <v>0</v>
      </c>
      <c r="K243" t="n">
        <v>0</v>
      </c>
      <c r="L243" t="n">
        <v>0</v>
      </c>
      <c r="M243" t="n">
        <v>0</v>
      </c>
      <c r="N243" t="n">
        <v>0</v>
      </c>
      <c r="O243" t="n">
        <v>0</v>
      </c>
      <c r="P243" t="n">
        <v>0</v>
      </c>
      <c r="Q243" t="n">
        <v>0</v>
      </c>
      <c r="R243" s="2" t="inlineStr"/>
    </row>
    <row r="244" ht="15" customHeight="1">
      <c r="A244" t="inlineStr">
        <is>
          <t>A 25978-2020</t>
        </is>
      </c>
      <c r="B244" s="1" t="n">
        <v>43985</v>
      </c>
      <c r="C244" s="1" t="n">
        <v>45344</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25993-2020</t>
        </is>
      </c>
      <c r="B245" s="1" t="n">
        <v>43985</v>
      </c>
      <c r="C245" s="1" t="n">
        <v>45344</v>
      </c>
      <c r="D245" t="inlineStr">
        <is>
          <t>JÄMTLANDS LÄN</t>
        </is>
      </c>
      <c r="E245" t="inlineStr">
        <is>
          <t>BERG</t>
        </is>
      </c>
      <c r="G245" t="n">
        <v>0.3</v>
      </c>
      <c r="H245" t="n">
        <v>0</v>
      </c>
      <c r="I245" t="n">
        <v>0</v>
      </c>
      <c r="J245" t="n">
        <v>0</v>
      </c>
      <c r="K245" t="n">
        <v>0</v>
      </c>
      <c r="L245" t="n">
        <v>0</v>
      </c>
      <c r="M245" t="n">
        <v>0</v>
      </c>
      <c r="N245" t="n">
        <v>0</v>
      </c>
      <c r="O245" t="n">
        <v>0</v>
      </c>
      <c r="P245" t="n">
        <v>0</v>
      </c>
      <c r="Q245" t="n">
        <v>0</v>
      </c>
      <c r="R245" s="2" t="inlineStr"/>
    </row>
    <row r="246" ht="15" customHeight="1">
      <c r="A246" t="inlineStr">
        <is>
          <t>A 25984-2020</t>
        </is>
      </c>
      <c r="B246" s="1" t="n">
        <v>43985</v>
      </c>
      <c r="C246" s="1" t="n">
        <v>45344</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26175-2020</t>
        </is>
      </c>
      <c r="B247" s="1" t="n">
        <v>43985</v>
      </c>
      <c r="C247" s="1" t="n">
        <v>45344</v>
      </c>
      <c r="D247" t="inlineStr">
        <is>
          <t>JÄMTLANDS LÄN</t>
        </is>
      </c>
      <c r="E247" t="inlineStr">
        <is>
          <t>BERG</t>
        </is>
      </c>
      <c r="F247" t="inlineStr">
        <is>
          <t>SCA</t>
        </is>
      </c>
      <c r="G247" t="n">
        <v>4.1</v>
      </c>
      <c r="H247" t="n">
        <v>0</v>
      </c>
      <c r="I247" t="n">
        <v>0</v>
      </c>
      <c r="J247" t="n">
        <v>0</v>
      </c>
      <c r="K247" t="n">
        <v>0</v>
      </c>
      <c r="L247" t="n">
        <v>0</v>
      </c>
      <c r="M247" t="n">
        <v>0</v>
      </c>
      <c r="N247" t="n">
        <v>0</v>
      </c>
      <c r="O247" t="n">
        <v>0</v>
      </c>
      <c r="P247" t="n">
        <v>0</v>
      </c>
      <c r="Q247" t="n">
        <v>0</v>
      </c>
      <c r="R247" s="2" t="inlineStr"/>
    </row>
    <row r="248" ht="15" customHeight="1">
      <c r="A248" t="inlineStr">
        <is>
          <t>A 25975-2020</t>
        </is>
      </c>
      <c r="B248" s="1" t="n">
        <v>43985</v>
      </c>
      <c r="C248" s="1" t="n">
        <v>45344</v>
      </c>
      <c r="D248" t="inlineStr">
        <is>
          <t>JÄMTLANDS LÄN</t>
        </is>
      </c>
      <c r="E248" t="inlineStr">
        <is>
          <t>BERG</t>
        </is>
      </c>
      <c r="G248" t="n">
        <v>5.4</v>
      </c>
      <c r="H248" t="n">
        <v>0</v>
      </c>
      <c r="I248" t="n">
        <v>0</v>
      </c>
      <c r="J248" t="n">
        <v>0</v>
      </c>
      <c r="K248" t="n">
        <v>0</v>
      </c>
      <c r="L248" t="n">
        <v>0</v>
      </c>
      <c r="M248" t="n">
        <v>0</v>
      </c>
      <c r="N248" t="n">
        <v>0</v>
      </c>
      <c r="O248" t="n">
        <v>0</v>
      </c>
      <c r="P248" t="n">
        <v>0</v>
      </c>
      <c r="Q248" t="n">
        <v>0</v>
      </c>
      <c r="R248" s="2" t="inlineStr"/>
    </row>
    <row r="249" ht="15" customHeight="1">
      <c r="A249" t="inlineStr">
        <is>
          <t>A 28767-2020</t>
        </is>
      </c>
      <c r="B249" s="1" t="n">
        <v>44000</v>
      </c>
      <c r="C249" s="1" t="n">
        <v>45344</v>
      </c>
      <c r="D249" t="inlineStr">
        <is>
          <t>JÄMTLANDS LÄN</t>
        </is>
      </c>
      <c r="E249" t="inlineStr">
        <is>
          <t>BERG</t>
        </is>
      </c>
      <c r="F249" t="inlineStr">
        <is>
          <t>SCA</t>
        </is>
      </c>
      <c r="G249" t="n">
        <v>4.6</v>
      </c>
      <c r="H249" t="n">
        <v>0</v>
      </c>
      <c r="I249" t="n">
        <v>0</v>
      </c>
      <c r="J249" t="n">
        <v>0</v>
      </c>
      <c r="K249" t="n">
        <v>0</v>
      </c>
      <c r="L249" t="n">
        <v>0</v>
      </c>
      <c r="M249" t="n">
        <v>0</v>
      </c>
      <c r="N249" t="n">
        <v>0</v>
      </c>
      <c r="O249" t="n">
        <v>0</v>
      </c>
      <c r="P249" t="n">
        <v>0</v>
      </c>
      <c r="Q249" t="n">
        <v>0</v>
      </c>
      <c r="R249" s="2" t="inlineStr"/>
    </row>
    <row r="250" ht="15" customHeight="1">
      <c r="A250" t="inlineStr">
        <is>
          <t>A 28961-2020</t>
        </is>
      </c>
      <c r="B250" s="1" t="n">
        <v>44000</v>
      </c>
      <c r="C250" s="1" t="n">
        <v>45344</v>
      </c>
      <c r="D250" t="inlineStr">
        <is>
          <t>JÄMTLANDS LÄN</t>
        </is>
      </c>
      <c r="E250" t="inlineStr">
        <is>
          <t>BERG</t>
        </is>
      </c>
      <c r="G250" t="n">
        <v>7.6</v>
      </c>
      <c r="H250" t="n">
        <v>0</v>
      </c>
      <c r="I250" t="n">
        <v>0</v>
      </c>
      <c r="J250" t="n">
        <v>0</v>
      </c>
      <c r="K250" t="n">
        <v>0</v>
      </c>
      <c r="L250" t="n">
        <v>0</v>
      </c>
      <c r="M250" t="n">
        <v>0</v>
      </c>
      <c r="N250" t="n">
        <v>0</v>
      </c>
      <c r="O250" t="n">
        <v>0</v>
      </c>
      <c r="P250" t="n">
        <v>0</v>
      </c>
      <c r="Q250" t="n">
        <v>0</v>
      </c>
      <c r="R250" s="2" t="inlineStr"/>
    </row>
    <row r="251" ht="15" customHeight="1">
      <c r="A251" t="inlineStr">
        <is>
          <t>A 29004-2020</t>
        </is>
      </c>
      <c r="B251" s="1" t="n">
        <v>44000</v>
      </c>
      <c r="C251" s="1" t="n">
        <v>45344</v>
      </c>
      <c r="D251" t="inlineStr">
        <is>
          <t>JÄMTLANDS LÄN</t>
        </is>
      </c>
      <c r="E251" t="inlineStr">
        <is>
          <t>BERG</t>
        </is>
      </c>
      <c r="G251" t="n">
        <v>6.4</v>
      </c>
      <c r="H251" t="n">
        <v>0</v>
      </c>
      <c r="I251" t="n">
        <v>0</v>
      </c>
      <c r="J251" t="n">
        <v>0</v>
      </c>
      <c r="K251" t="n">
        <v>0</v>
      </c>
      <c r="L251" t="n">
        <v>0</v>
      </c>
      <c r="M251" t="n">
        <v>0</v>
      </c>
      <c r="N251" t="n">
        <v>0</v>
      </c>
      <c r="O251" t="n">
        <v>0</v>
      </c>
      <c r="P251" t="n">
        <v>0</v>
      </c>
      <c r="Q251" t="n">
        <v>0</v>
      </c>
      <c r="R251" s="2" t="inlineStr"/>
    </row>
    <row r="252" ht="15" customHeight="1">
      <c r="A252" t="inlineStr">
        <is>
          <t>A 29052-2020</t>
        </is>
      </c>
      <c r="B252" s="1" t="n">
        <v>44000</v>
      </c>
      <c r="C252" s="1" t="n">
        <v>45344</v>
      </c>
      <c r="D252" t="inlineStr">
        <is>
          <t>JÄMTLANDS LÄN</t>
        </is>
      </c>
      <c r="E252" t="inlineStr">
        <is>
          <t>BERG</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29788-2020</t>
        </is>
      </c>
      <c r="B253" s="1" t="n">
        <v>44005</v>
      </c>
      <c r="C253" s="1" t="n">
        <v>45344</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30477-2020</t>
        </is>
      </c>
      <c r="B254" s="1" t="n">
        <v>44007</v>
      </c>
      <c r="C254" s="1" t="n">
        <v>45344</v>
      </c>
      <c r="D254" t="inlineStr">
        <is>
          <t>JÄMTLANDS LÄN</t>
        </is>
      </c>
      <c r="E254" t="inlineStr">
        <is>
          <t>BERG</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31970-2020</t>
        </is>
      </c>
      <c r="B255" s="1" t="n">
        <v>44015</v>
      </c>
      <c r="C255" s="1" t="n">
        <v>45344</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32744-2020</t>
        </is>
      </c>
      <c r="B256" s="1" t="n">
        <v>44019</v>
      </c>
      <c r="C256" s="1" t="n">
        <v>45344</v>
      </c>
      <c r="D256" t="inlineStr">
        <is>
          <t>JÄMTLANDS LÄN</t>
        </is>
      </c>
      <c r="E256" t="inlineStr">
        <is>
          <t>BERG</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33885-2020</t>
        </is>
      </c>
      <c r="B257" s="1" t="n">
        <v>44027</v>
      </c>
      <c r="C257" s="1" t="n">
        <v>45344</v>
      </c>
      <c r="D257" t="inlineStr">
        <is>
          <t>JÄMTLANDS LÄN</t>
        </is>
      </c>
      <c r="E257" t="inlineStr">
        <is>
          <t>BERG</t>
        </is>
      </c>
      <c r="G257" t="n">
        <v>7.2</v>
      </c>
      <c r="H257" t="n">
        <v>0</v>
      </c>
      <c r="I257" t="n">
        <v>0</v>
      </c>
      <c r="J257" t="n">
        <v>0</v>
      </c>
      <c r="K257" t="n">
        <v>0</v>
      </c>
      <c r="L257" t="n">
        <v>0</v>
      </c>
      <c r="M257" t="n">
        <v>0</v>
      </c>
      <c r="N257" t="n">
        <v>0</v>
      </c>
      <c r="O257" t="n">
        <v>0</v>
      </c>
      <c r="P257" t="n">
        <v>0</v>
      </c>
      <c r="Q257" t="n">
        <v>0</v>
      </c>
      <c r="R257" s="2" t="inlineStr"/>
    </row>
    <row r="258" ht="15" customHeight="1">
      <c r="A258" t="inlineStr">
        <is>
          <t>A 34584-2020</t>
        </is>
      </c>
      <c r="B258" s="1" t="n">
        <v>44033</v>
      </c>
      <c r="C258" s="1" t="n">
        <v>45344</v>
      </c>
      <c r="D258" t="inlineStr">
        <is>
          <t>JÄMTLANDS LÄN</t>
        </is>
      </c>
      <c r="E258" t="inlineStr">
        <is>
          <t>BERG</t>
        </is>
      </c>
      <c r="F258" t="inlineStr">
        <is>
          <t>SCA</t>
        </is>
      </c>
      <c r="G258" t="n">
        <v>12.3</v>
      </c>
      <c r="H258" t="n">
        <v>0</v>
      </c>
      <c r="I258" t="n">
        <v>0</v>
      </c>
      <c r="J258" t="n">
        <v>0</v>
      </c>
      <c r="K258" t="n">
        <v>0</v>
      </c>
      <c r="L258" t="n">
        <v>0</v>
      </c>
      <c r="M258" t="n">
        <v>0</v>
      </c>
      <c r="N258" t="n">
        <v>0</v>
      </c>
      <c r="O258" t="n">
        <v>0</v>
      </c>
      <c r="P258" t="n">
        <v>0</v>
      </c>
      <c r="Q258" t="n">
        <v>0</v>
      </c>
      <c r="R258" s="2" t="inlineStr"/>
    </row>
    <row r="259" ht="15" customHeight="1">
      <c r="A259" t="inlineStr">
        <is>
          <t>A 34581-2020</t>
        </is>
      </c>
      <c r="B259" s="1" t="n">
        <v>44033</v>
      </c>
      <c r="C259" s="1" t="n">
        <v>45344</v>
      </c>
      <c r="D259" t="inlineStr">
        <is>
          <t>JÄMTLANDS LÄN</t>
        </is>
      </c>
      <c r="E259" t="inlineStr">
        <is>
          <t>BERG</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34738-2020</t>
        </is>
      </c>
      <c r="B260" s="1" t="n">
        <v>44035</v>
      </c>
      <c r="C260" s="1" t="n">
        <v>45344</v>
      </c>
      <c r="D260" t="inlineStr">
        <is>
          <t>JÄMTLANDS LÄN</t>
        </is>
      </c>
      <c r="E260" t="inlineStr">
        <is>
          <t>BERG</t>
        </is>
      </c>
      <c r="G260" t="n">
        <v>0.8</v>
      </c>
      <c r="H260" t="n">
        <v>0</v>
      </c>
      <c r="I260" t="n">
        <v>0</v>
      </c>
      <c r="J260" t="n">
        <v>0</v>
      </c>
      <c r="K260" t="n">
        <v>0</v>
      </c>
      <c r="L260" t="n">
        <v>0</v>
      </c>
      <c r="M260" t="n">
        <v>0</v>
      </c>
      <c r="N260" t="n">
        <v>0</v>
      </c>
      <c r="O260" t="n">
        <v>0</v>
      </c>
      <c r="P260" t="n">
        <v>0</v>
      </c>
      <c r="Q260" t="n">
        <v>0</v>
      </c>
      <c r="R260" s="2" t="inlineStr"/>
    </row>
    <row r="261" ht="15" customHeight="1">
      <c r="A261" t="inlineStr">
        <is>
          <t>A 34804-2020</t>
        </is>
      </c>
      <c r="B261" s="1" t="n">
        <v>44036</v>
      </c>
      <c r="C261" s="1" t="n">
        <v>45344</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35620-2020</t>
        </is>
      </c>
      <c r="B262" s="1" t="n">
        <v>44045</v>
      </c>
      <c r="C262" s="1" t="n">
        <v>45344</v>
      </c>
      <c r="D262" t="inlineStr">
        <is>
          <t>JÄMTLANDS LÄN</t>
        </is>
      </c>
      <c r="E262" t="inlineStr">
        <is>
          <t>BERG</t>
        </is>
      </c>
      <c r="F262" t="inlineStr">
        <is>
          <t>SCA</t>
        </is>
      </c>
      <c r="G262" t="n">
        <v>5</v>
      </c>
      <c r="H262" t="n">
        <v>0</v>
      </c>
      <c r="I262" t="n">
        <v>0</v>
      </c>
      <c r="J262" t="n">
        <v>0</v>
      </c>
      <c r="K262" t="n">
        <v>0</v>
      </c>
      <c r="L262" t="n">
        <v>0</v>
      </c>
      <c r="M262" t="n">
        <v>0</v>
      </c>
      <c r="N262" t="n">
        <v>0</v>
      </c>
      <c r="O262" t="n">
        <v>0</v>
      </c>
      <c r="P262" t="n">
        <v>0</v>
      </c>
      <c r="Q262" t="n">
        <v>0</v>
      </c>
      <c r="R262" s="2" t="inlineStr"/>
    </row>
    <row r="263" ht="15" customHeight="1">
      <c r="A263" t="inlineStr">
        <is>
          <t>A 38077-2020</t>
        </is>
      </c>
      <c r="B263" s="1" t="n">
        <v>44057</v>
      </c>
      <c r="C263" s="1" t="n">
        <v>45344</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39137-2020</t>
        </is>
      </c>
      <c r="B264" s="1" t="n">
        <v>44062</v>
      </c>
      <c r="C264" s="1" t="n">
        <v>45344</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39220-2020</t>
        </is>
      </c>
      <c r="B265" s="1" t="n">
        <v>44063</v>
      </c>
      <c r="C265" s="1" t="n">
        <v>45344</v>
      </c>
      <c r="D265" t="inlineStr">
        <is>
          <t>JÄMTLANDS LÄN</t>
        </is>
      </c>
      <c r="E265" t="inlineStr">
        <is>
          <t>BERG</t>
        </is>
      </c>
      <c r="G265" t="n">
        <v>1.9</v>
      </c>
      <c r="H265" t="n">
        <v>0</v>
      </c>
      <c r="I265" t="n">
        <v>0</v>
      </c>
      <c r="J265" t="n">
        <v>0</v>
      </c>
      <c r="K265" t="n">
        <v>0</v>
      </c>
      <c r="L265" t="n">
        <v>0</v>
      </c>
      <c r="M265" t="n">
        <v>0</v>
      </c>
      <c r="N265" t="n">
        <v>0</v>
      </c>
      <c r="O265" t="n">
        <v>0</v>
      </c>
      <c r="P265" t="n">
        <v>0</v>
      </c>
      <c r="Q265" t="n">
        <v>0</v>
      </c>
      <c r="R265" s="2" t="inlineStr"/>
    </row>
    <row r="266" ht="15" customHeight="1">
      <c r="A266" t="inlineStr">
        <is>
          <t>A 39200-2020</t>
        </is>
      </c>
      <c r="B266" s="1" t="n">
        <v>44063</v>
      </c>
      <c r="C266" s="1" t="n">
        <v>45344</v>
      </c>
      <c r="D266" t="inlineStr">
        <is>
          <t>JÄMTLANDS LÄN</t>
        </is>
      </c>
      <c r="E266" t="inlineStr">
        <is>
          <t>BERG</t>
        </is>
      </c>
      <c r="G266" t="n">
        <v>1.6</v>
      </c>
      <c r="H266" t="n">
        <v>0</v>
      </c>
      <c r="I266" t="n">
        <v>0</v>
      </c>
      <c r="J266" t="n">
        <v>0</v>
      </c>
      <c r="K266" t="n">
        <v>0</v>
      </c>
      <c r="L266" t="n">
        <v>0</v>
      </c>
      <c r="M266" t="n">
        <v>0</v>
      </c>
      <c r="N266" t="n">
        <v>0</v>
      </c>
      <c r="O266" t="n">
        <v>0</v>
      </c>
      <c r="P266" t="n">
        <v>0</v>
      </c>
      <c r="Q266" t="n">
        <v>0</v>
      </c>
      <c r="R266" s="2" t="inlineStr"/>
    </row>
    <row r="267" ht="15" customHeight="1">
      <c r="A267" t="inlineStr">
        <is>
          <t>A 39212-2020</t>
        </is>
      </c>
      <c r="B267" s="1" t="n">
        <v>44063</v>
      </c>
      <c r="C267" s="1" t="n">
        <v>45344</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39228-2020</t>
        </is>
      </c>
      <c r="B268" s="1" t="n">
        <v>44063</v>
      </c>
      <c r="C268" s="1" t="n">
        <v>45344</v>
      </c>
      <c r="D268" t="inlineStr">
        <is>
          <t>JÄMTLANDS LÄN</t>
        </is>
      </c>
      <c r="E268" t="inlineStr">
        <is>
          <t>BERG</t>
        </is>
      </c>
      <c r="G268" t="n">
        <v>3.6</v>
      </c>
      <c r="H268" t="n">
        <v>0</v>
      </c>
      <c r="I268" t="n">
        <v>0</v>
      </c>
      <c r="J268" t="n">
        <v>0</v>
      </c>
      <c r="K268" t="n">
        <v>0</v>
      </c>
      <c r="L268" t="n">
        <v>0</v>
      </c>
      <c r="M268" t="n">
        <v>0</v>
      </c>
      <c r="N268" t="n">
        <v>0</v>
      </c>
      <c r="O268" t="n">
        <v>0</v>
      </c>
      <c r="P268" t="n">
        <v>0</v>
      </c>
      <c r="Q268" t="n">
        <v>0</v>
      </c>
      <c r="R268" s="2" t="inlineStr"/>
    </row>
    <row r="269" ht="15" customHeight="1">
      <c r="A269" t="inlineStr">
        <is>
          <t>A 39205-2020</t>
        </is>
      </c>
      <c r="B269" s="1" t="n">
        <v>44063</v>
      </c>
      <c r="C269" s="1" t="n">
        <v>45344</v>
      </c>
      <c r="D269" t="inlineStr">
        <is>
          <t>JÄMTLANDS LÄN</t>
        </is>
      </c>
      <c r="E269" t="inlineStr">
        <is>
          <t>BERG</t>
        </is>
      </c>
      <c r="G269" t="n">
        <v>5.3</v>
      </c>
      <c r="H269" t="n">
        <v>0</v>
      </c>
      <c r="I269" t="n">
        <v>0</v>
      </c>
      <c r="J269" t="n">
        <v>0</v>
      </c>
      <c r="K269" t="n">
        <v>0</v>
      </c>
      <c r="L269" t="n">
        <v>0</v>
      </c>
      <c r="M269" t="n">
        <v>0</v>
      </c>
      <c r="N269" t="n">
        <v>0</v>
      </c>
      <c r="O269" t="n">
        <v>0</v>
      </c>
      <c r="P269" t="n">
        <v>0</v>
      </c>
      <c r="Q269" t="n">
        <v>0</v>
      </c>
      <c r="R269" s="2" t="inlineStr"/>
    </row>
    <row r="270" ht="15" customHeight="1">
      <c r="A270" t="inlineStr">
        <is>
          <t>A 40333-2020</t>
        </is>
      </c>
      <c r="B270" s="1" t="n">
        <v>44068</v>
      </c>
      <c r="C270" s="1" t="n">
        <v>45344</v>
      </c>
      <c r="D270" t="inlineStr">
        <is>
          <t>JÄMTLANDS LÄN</t>
        </is>
      </c>
      <c r="E270" t="inlineStr">
        <is>
          <t>BERG</t>
        </is>
      </c>
      <c r="G270" t="n">
        <v>1.1</v>
      </c>
      <c r="H270" t="n">
        <v>0</v>
      </c>
      <c r="I270" t="n">
        <v>0</v>
      </c>
      <c r="J270" t="n">
        <v>0</v>
      </c>
      <c r="K270" t="n">
        <v>0</v>
      </c>
      <c r="L270" t="n">
        <v>0</v>
      </c>
      <c r="M270" t="n">
        <v>0</v>
      </c>
      <c r="N270" t="n">
        <v>0</v>
      </c>
      <c r="O270" t="n">
        <v>0</v>
      </c>
      <c r="P270" t="n">
        <v>0</v>
      </c>
      <c r="Q270" t="n">
        <v>0</v>
      </c>
      <c r="R270" s="2" t="inlineStr"/>
    </row>
    <row r="271" ht="15" customHeight="1">
      <c r="A271" t="inlineStr">
        <is>
          <t>A 44003-2020</t>
        </is>
      </c>
      <c r="B271" s="1" t="n">
        <v>44083</v>
      </c>
      <c r="C271" s="1" t="n">
        <v>45344</v>
      </c>
      <c r="D271" t="inlineStr">
        <is>
          <t>JÄMTLANDS LÄN</t>
        </is>
      </c>
      <c r="E271" t="inlineStr">
        <is>
          <t>BERG</t>
        </is>
      </c>
      <c r="G271" t="n">
        <v>5.3</v>
      </c>
      <c r="H271" t="n">
        <v>0</v>
      </c>
      <c r="I271" t="n">
        <v>0</v>
      </c>
      <c r="J271" t="n">
        <v>0</v>
      </c>
      <c r="K271" t="n">
        <v>0</v>
      </c>
      <c r="L271" t="n">
        <v>0</v>
      </c>
      <c r="M271" t="n">
        <v>0</v>
      </c>
      <c r="N271" t="n">
        <v>0</v>
      </c>
      <c r="O271" t="n">
        <v>0</v>
      </c>
      <c r="P271" t="n">
        <v>0</v>
      </c>
      <c r="Q271" t="n">
        <v>0</v>
      </c>
      <c r="R271" s="2" t="inlineStr"/>
    </row>
    <row r="272" ht="15" customHeight="1">
      <c r="A272" t="inlineStr">
        <is>
          <t>A 44422-2020</t>
        </is>
      </c>
      <c r="B272" s="1" t="n">
        <v>44084</v>
      </c>
      <c r="C272" s="1" t="n">
        <v>45344</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46657-2020</t>
        </is>
      </c>
      <c r="B273" s="1" t="n">
        <v>44095</v>
      </c>
      <c r="C273" s="1" t="n">
        <v>45344</v>
      </c>
      <c r="D273" t="inlineStr">
        <is>
          <t>JÄMTLANDS LÄN</t>
        </is>
      </c>
      <c r="E273" t="inlineStr">
        <is>
          <t>BERG</t>
        </is>
      </c>
      <c r="F273" t="inlineStr">
        <is>
          <t>Kommuner</t>
        </is>
      </c>
      <c r="G273" t="n">
        <v>3.8</v>
      </c>
      <c r="H273" t="n">
        <v>0</v>
      </c>
      <c r="I273" t="n">
        <v>0</v>
      </c>
      <c r="J273" t="n">
        <v>0</v>
      </c>
      <c r="K273" t="n">
        <v>0</v>
      </c>
      <c r="L273" t="n">
        <v>0</v>
      </c>
      <c r="M273" t="n">
        <v>0</v>
      </c>
      <c r="N273" t="n">
        <v>0</v>
      </c>
      <c r="O273" t="n">
        <v>0</v>
      </c>
      <c r="P273" t="n">
        <v>0</v>
      </c>
      <c r="Q273" t="n">
        <v>0</v>
      </c>
      <c r="R273" s="2" t="inlineStr"/>
    </row>
    <row r="274" ht="15" customHeight="1">
      <c r="A274" t="inlineStr">
        <is>
          <t>A 46616-2020</t>
        </is>
      </c>
      <c r="B274" s="1" t="n">
        <v>44095</v>
      </c>
      <c r="C274" s="1" t="n">
        <v>45344</v>
      </c>
      <c r="D274" t="inlineStr">
        <is>
          <t>JÄMTLANDS LÄN</t>
        </is>
      </c>
      <c r="E274" t="inlineStr">
        <is>
          <t>BERG</t>
        </is>
      </c>
      <c r="F274" t="inlineStr">
        <is>
          <t>Kommuner</t>
        </is>
      </c>
      <c r="G274" t="n">
        <v>42.8</v>
      </c>
      <c r="H274" t="n">
        <v>0</v>
      </c>
      <c r="I274" t="n">
        <v>0</v>
      </c>
      <c r="J274" t="n">
        <v>0</v>
      </c>
      <c r="K274" t="n">
        <v>0</v>
      </c>
      <c r="L274" t="n">
        <v>0</v>
      </c>
      <c r="M274" t="n">
        <v>0</v>
      </c>
      <c r="N274" t="n">
        <v>0</v>
      </c>
      <c r="O274" t="n">
        <v>0</v>
      </c>
      <c r="P274" t="n">
        <v>0</v>
      </c>
      <c r="Q274" t="n">
        <v>0</v>
      </c>
      <c r="R274" s="2" t="inlineStr"/>
    </row>
    <row r="275" ht="15" customHeight="1">
      <c r="A275" t="inlineStr">
        <is>
          <t>A 46635-2020</t>
        </is>
      </c>
      <c r="B275" s="1" t="n">
        <v>44095</v>
      </c>
      <c r="C275" s="1" t="n">
        <v>45344</v>
      </c>
      <c r="D275" t="inlineStr">
        <is>
          <t>JÄMTLANDS LÄN</t>
        </is>
      </c>
      <c r="E275" t="inlineStr">
        <is>
          <t>BERG</t>
        </is>
      </c>
      <c r="F275" t="inlineStr">
        <is>
          <t>Kommuner</t>
        </is>
      </c>
      <c r="G275" t="n">
        <v>14.5</v>
      </c>
      <c r="H275" t="n">
        <v>0</v>
      </c>
      <c r="I275" t="n">
        <v>0</v>
      </c>
      <c r="J275" t="n">
        <v>0</v>
      </c>
      <c r="K275" t="n">
        <v>0</v>
      </c>
      <c r="L275" t="n">
        <v>0</v>
      </c>
      <c r="M275" t="n">
        <v>0</v>
      </c>
      <c r="N275" t="n">
        <v>0</v>
      </c>
      <c r="O275" t="n">
        <v>0</v>
      </c>
      <c r="P275" t="n">
        <v>0</v>
      </c>
      <c r="Q275" t="n">
        <v>0</v>
      </c>
      <c r="R275" s="2" t="inlineStr"/>
    </row>
    <row r="276" ht="15" customHeight="1">
      <c r="A276" t="inlineStr">
        <is>
          <t>A 46660-2020</t>
        </is>
      </c>
      <c r="B276" s="1" t="n">
        <v>44095</v>
      </c>
      <c r="C276" s="1" t="n">
        <v>45344</v>
      </c>
      <c r="D276" t="inlineStr">
        <is>
          <t>JÄMTLANDS LÄN</t>
        </is>
      </c>
      <c r="E276" t="inlineStr">
        <is>
          <t>BERG</t>
        </is>
      </c>
      <c r="F276" t="inlineStr">
        <is>
          <t>Kommuner</t>
        </is>
      </c>
      <c r="G276" t="n">
        <v>2.1</v>
      </c>
      <c r="H276" t="n">
        <v>0</v>
      </c>
      <c r="I276" t="n">
        <v>0</v>
      </c>
      <c r="J276" t="n">
        <v>0</v>
      </c>
      <c r="K276" t="n">
        <v>0</v>
      </c>
      <c r="L276" t="n">
        <v>0</v>
      </c>
      <c r="M276" t="n">
        <v>0</v>
      </c>
      <c r="N276" t="n">
        <v>0</v>
      </c>
      <c r="O276" t="n">
        <v>0</v>
      </c>
      <c r="P276" t="n">
        <v>0</v>
      </c>
      <c r="Q276" t="n">
        <v>0</v>
      </c>
      <c r="R276" s="2" t="inlineStr"/>
    </row>
    <row r="277" ht="15" customHeight="1">
      <c r="A277" t="inlineStr">
        <is>
          <t>A 48801-2020</t>
        </is>
      </c>
      <c r="B277" s="1" t="n">
        <v>44103</v>
      </c>
      <c r="C277" s="1" t="n">
        <v>45344</v>
      </c>
      <c r="D277" t="inlineStr">
        <is>
          <t>JÄMTLANDS LÄN</t>
        </is>
      </c>
      <c r="E277" t="inlineStr">
        <is>
          <t>BERG</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49174-2020</t>
        </is>
      </c>
      <c r="B278" s="1" t="n">
        <v>44104</v>
      </c>
      <c r="C278" s="1" t="n">
        <v>45344</v>
      </c>
      <c r="D278" t="inlineStr">
        <is>
          <t>JÄMTLANDS LÄN</t>
        </is>
      </c>
      <c r="E278" t="inlineStr">
        <is>
          <t>BERG</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53958-2020</t>
        </is>
      </c>
      <c r="B279" s="1" t="n">
        <v>44123</v>
      </c>
      <c r="C279" s="1" t="n">
        <v>45344</v>
      </c>
      <c r="D279" t="inlineStr">
        <is>
          <t>JÄMTLANDS LÄN</t>
        </is>
      </c>
      <c r="E279" t="inlineStr">
        <is>
          <t>BERG</t>
        </is>
      </c>
      <c r="G279" t="n">
        <v>27.9</v>
      </c>
      <c r="H279" t="n">
        <v>0</v>
      </c>
      <c r="I279" t="n">
        <v>0</v>
      </c>
      <c r="J279" t="n">
        <v>0</v>
      </c>
      <c r="K279" t="n">
        <v>0</v>
      </c>
      <c r="L279" t="n">
        <v>0</v>
      </c>
      <c r="M279" t="n">
        <v>0</v>
      </c>
      <c r="N279" t="n">
        <v>0</v>
      </c>
      <c r="O279" t="n">
        <v>0</v>
      </c>
      <c r="P279" t="n">
        <v>0</v>
      </c>
      <c r="Q279" t="n">
        <v>0</v>
      </c>
      <c r="R279" s="2" t="inlineStr"/>
    </row>
    <row r="280" ht="15" customHeight="1">
      <c r="A280" t="inlineStr">
        <is>
          <t>A 53950-2020</t>
        </is>
      </c>
      <c r="B280" s="1" t="n">
        <v>44123</v>
      </c>
      <c r="C280" s="1" t="n">
        <v>45344</v>
      </c>
      <c r="D280" t="inlineStr">
        <is>
          <t>JÄMTLANDS LÄN</t>
        </is>
      </c>
      <c r="E280" t="inlineStr">
        <is>
          <t>BERG</t>
        </is>
      </c>
      <c r="G280" t="n">
        <v>11.8</v>
      </c>
      <c r="H280" t="n">
        <v>0</v>
      </c>
      <c r="I280" t="n">
        <v>0</v>
      </c>
      <c r="J280" t="n">
        <v>0</v>
      </c>
      <c r="K280" t="n">
        <v>0</v>
      </c>
      <c r="L280" t="n">
        <v>0</v>
      </c>
      <c r="M280" t="n">
        <v>0</v>
      </c>
      <c r="N280" t="n">
        <v>0</v>
      </c>
      <c r="O280" t="n">
        <v>0</v>
      </c>
      <c r="P280" t="n">
        <v>0</v>
      </c>
      <c r="Q280" t="n">
        <v>0</v>
      </c>
      <c r="R280" s="2" t="inlineStr"/>
    </row>
    <row r="281" ht="15" customHeight="1">
      <c r="A281" t="inlineStr">
        <is>
          <t>A 53877-2020</t>
        </is>
      </c>
      <c r="B281" s="1" t="n">
        <v>44123</v>
      </c>
      <c r="C281" s="1" t="n">
        <v>45344</v>
      </c>
      <c r="D281" t="inlineStr">
        <is>
          <t>JÄMTLANDS LÄN</t>
        </is>
      </c>
      <c r="E281" t="inlineStr">
        <is>
          <t>BERG</t>
        </is>
      </c>
      <c r="G281" t="n">
        <v>32.8</v>
      </c>
      <c r="H281" t="n">
        <v>0</v>
      </c>
      <c r="I281" t="n">
        <v>0</v>
      </c>
      <c r="J281" t="n">
        <v>0</v>
      </c>
      <c r="K281" t="n">
        <v>0</v>
      </c>
      <c r="L281" t="n">
        <v>0</v>
      </c>
      <c r="M281" t="n">
        <v>0</v>
      </c>
      <c r="N281" t="n">
        <v>0</v>
      </c>
      <c r="O281" t="n">
        <v>0</v>
      </c>
      <c r="P281" t="n">
        <v>0</v>
      </c>
      <c r="Q281" t="n">
        <v>0</v>
      </c>
      <c r="R281" s="2" t="inlineStr"/>
    </row>
    <row r="282" ht="15" customHeight="1">
      <c r="A282" t="inlineStr">
        <is>
          <t>A 53886-2020</t>
        </is>
      </c>
      <c r="B282" s="1" t="n">
        <v>44123</v>
      </c>
      <c r="C282" s="1" t="n">
        <v>45344</v>
      </c>
      <c r="D282" t="inlineStr">
        <is>
          <t>JÄMTLANDS LÄN</t>
        </is>
      </c>
      <c r="E282" t="inlineStr">
        <is>
          <t>BERG</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45344</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54511-2020</t>
        </is>
      </c>
      <c r="B284" s="1" t="n">
        <v>44126</v>
      </c>
      <c r="C284" s="1" t="n">
        <v>45344</v>
      </c>
      <c r="D284" t="inlineStr">
        <is>
          <t>JÄMTLANDS LÄN</t>
        </is>
      </c>
      <c r="E284" t="inlineStr">
        <is>
          <t>BERG</t>
        </is>
      </c>
      <c r="G284" t="n">
        <v>0.8</v>
      </c>
      <c r="H284" t="n">
        <v>0</v>
      </c>
      <c r="I284" t="n">
        <v>0</v>
      </c>
      <c r="J284" t="n">
        <v>0</v>
      </c>
      <c r="K284" t="n">
        <v>0</v>
      </c>
      <c r="L284" t="n">
        <v>0</v>
      </c>
      <c r="M284" t="n">
        <v>0</v>
      </c>
      <c r="N284" t="n">
        <v>0</v>
      </c>
      <c r="O284" t="n">
        <v>0</v>
      </c>
      <c r="P284" t="n">
        <v>0</v>
      </c>
      <c r="Q284" t="n">
        <v>0</v>
      </c>
      <c r="R284" s="2" t="inlineStr"/>
    </row>
    <row r="285" ht="15" customHeight="1">
      <c r="A285" t="inlineStr">
        <is>
          <t>A 55311-2020</t>
        </is>
      </c>
      <c r="B285" s="1" t="n">
        <v>44130</v>
      </c>
      <c r="C285" s="1" t="n">
        <v>45344</v>
      </c>
      <c r="D285" t="inlineStr">
        <is>
          <t>JÄMTLANDS LÄN</t>
        </is>
      </c>
      <c r="E285" t="inlineStr">
        <is>
          <t>BERG</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62340-2020</t>
        </is>
      </c>
      <c r="B286" s="1" t="n">
        <v>44158</v>
      </c>
      <c r="C286" s="1" t="n">
        <v>45344</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62490-2020</t>
        </is>
      </c>
      <c r="B287" s="1" t="n">
        <v>44160</v>
      </c>
      <c r="C287" s="1" t="n">
        <v>45344</v>
      </c>
      <c r="D287" t="inlineStr">
        <is>
          <t>JÄMTLANDS LÄN</t>
        </is>
      </c>
      <c r="E287" t="inlineStr">
        <is>
          <t>BERG</t>
        </is>
      </c>
      <c r="G287" t="n">
        <v>18</v>
      </c>
      <c r="H287" t="n">
        <v>0</v>
      </c>
      <c r="I287" t="n">
        <v>0</v>
      </c>
      <c r="J287" t="n">
        <v>0</v>
      </c>
      <c r="K287" t="n">
        <v>0</v>
      </c>
      <c r="L287" t="n">
        <v>0</v>
      </c>
      <c r="M287" t="n">
        <v>0</v>
      </c>
      <c r="N287" t="n">
        <v>0</v>
      </c>
      <c r="O287" t="n">
        <v>0</v>
      </c>
      <c r="P287" t="n">
        <v>0</v>
      </c>
      <c r="Q287" t="n">
        <v>0</v>
      </c>
      <c r="R287" s="2" t="inlineStr"/>
    </row>
    <row r="288" ht="15" customHeight="1">
      <c r="A288" t="inlineStr">
        <is>
          <t>A 62494-2020</t>
        </is>
      </c>
      <c r="B288" s="1" t="n">
        <v>44160</v>
      </c>
      <c r="C288" s="1" t="n">
        <v>45344</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63009-2020</t>
        </is>
      </c>
      <c r="B289" s="1" t="n">
        <v>44162</v>
      </c>
      <c r="C289" s="1" t="n">
        <v>45344</v>
      </c>
      <c r="D289" t="inlineStr">
        <is>
          <t>JÄMTLANDS LÄN</t>
        </is>
      </c>
      <c r="E289" t="inlineStr">
        <is>
          <t>BERG</t>
        </is>
      </c>
      <c r="G289" t="n">
        <v>4.9</v>
      </c>
      <c r="H289" t="n">
        <v>0</v>
      </c>
      <c r="I289" t="n">
        <v>0</v>
      </c>
      <c r="J289" t="n">
        <v>0</v>
      </c>
      <c r="K289" t="n">
        <v>0</v>
      </c>
      <c r="L289" t="n">
        <v>0</v>
      </c>
      <c r="M289" t="n">
        <v>0</v>
      </c>
      <c r="N289" t="n">
        <v>0</v>
      </c>
      <c r="O289" t="n">
        <v>0</v>
      </c>
      <c r="P289" t="n">
        <v>0</v>
      </c>
      <c r="Q289" t="n">
        <v>0</v>
      </c>
      <c r="R289" s="2" t="inlineStr"/>
    </row>
    <row r="290" ht="15" customHeight="1">
      <c r="A290" t="inlineStr">
        <is>
          <t>A 63002-2020</t>
        </is>
      </c>
      <c r="B290" s="1" t="n">
        <v>44162</v>
      </c>
      <c r="C290" s="1" t="n">
        <v>45344</v>
      </c>
      <c r="D290" t="inlineStr">
        <is>
          <t>JÄMTLANDS LÄN</t>
        </is>
      </c>
      <c r="E290" t="inlineStr">
        <is>
          <t>BERG</t>
        </is>
      </c>
      <c r="G290" t="n">
        <v>6.6</v>
      </c>
      <c r="H290" t="n">
        <v>0</v>
      </c>
      <c r="I290" t="n">
        <v>0</v>
      </c>
      <c r="J290" t="n">
        <v>0</v>
      </c>
      <c r="K290" t="n">
        <v>0</v>
      </c>
      <c r="L290" t="n">
        <v>0</v>
      </c>
      <c r="M290" t="n">
        <v>0</v>
      </c>
      <c r="N290" t="n">
        <v>0</v>
      </c>
      <c r="O290" t="n">
        <v>0</v>
      </c>
      <c r="P290" t="n">
        <v>0</v>
      </c>
      <c r="Q290" t="n">
        <v>0</v>
      </c>
      <c r="R290" s="2" t="inlineStr"/>
    </row>
    <row r="291" ht="15" customHeight="1">
      <c r="A291" t="inlineStr">
        <is>
          <t>A 63522-2020</t>
        </is>
      </c>
      <c r="B291" s="1" t="n">
        <v>44165</v>
      </c>
      <c r="C291" s="1" t="n">
        <v>45344</v>
      </c>
      <c r="D291" t="inlineStr">
        <is>
          <t>JÄMTLANDS LÄN</t>
        </is>
      </c>
      <c r="E291" t="inlineStr">
        <is>
          <t>BERG</t>
        </is>
      </c>
      <c r="G291" t="n">
        <v>2.4</v>
      </c>
      <c r="H291" t="n">
        <v>0</v>
      </c>
      <c r="I291" t="n">
        <v>0</v>
      </c>
      <c r="J291" t="n">
        <v>0</v>
      </c>
      <c r="K291" t="n">
        <v>0</v>
      </c>
      <c r="L291" t="n">
        <v>0</v>
      </c>
      <c r="M291" t="n">
        <v>0</v>
      </c>
      <c r="N291" t="n">
        <v>0</v>
      </c>
      <c r="O291" t="n">
        <v>0</v>
      </c>
      <c r="P291" t="n">
        <v>0</v>
      </c>
      <c r="Q291" t="n">
        <v>0</v>
      </c>
      <c r="R291" s="2" t="inlineStr"/>
    </row>
    <row r="292" ht="15" customHeight="1">
      <c r="A292" t="inlineStr">
        <is>
          <t>A 64492-2020</t>
        </is>
      </c>
      <c r="B292" s="1" t="n">
        <v>44168</v>
      </c>
      <c r="C292" s="1" t="n">
        <v>45344</v>
      </c>
      <c r="D292" t="inlineStr">
        <is>
          <t>JÄMTLANDS LÄN</t>
        </is>
      </c>
      <c r="E292" t="inlineStr">
        <is>
          <t>BERG</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64490-2020</t>
        </is>
      </c>
      <c r="B293" s="1" t="n">
        <v>44168</v>
      </c>
      <c r="C293" s="1" t="n">
        <v>45344</v>
      </c>
      <c r="D293" t="inlineStr">
        <is>
          <t>JÄMTLANDS LÄN</t>
        </is>
      </c>
      <c r="E293" t="inlineStr">
        <is>
          <t>BERG</t>
        </is>
      </c>
      <c r="F293" t="inlineStr">
        <is>
          <t>SCA</t>
        </is>
      </c>
      <c r="G293" t="n">
        <v>0.4</v>
      </c>
      <c r="H293" t="n">
        <v>0</v>
      </c>
      <c r="I293" t="n">
        <v>0</v>
      </c>
      <c r="J293" t="n">
        <v>0</v>
      </c>
      <c r="K293" t="n">
        <v>0</v>
      </c>
      <c r="L293" t="n">
        <v>0</v>
      </c>
      <c r="M293" t="n">
        <v>0</v>
      </c>
      <c r="N293" t="n">
        <v>0</v>
      </c>
      <c r="O293" t="n">
        <v>0</v>
      </c>
      <c r="P293" t="n">
        <v>0</v>
      </c>
      <c r="Q293" t="n">
        <v>0</v>
      </c>
      <c r="R293" s="2" t="inlineStr"/>
    </row>
    <row r="294" ht="15" customHeight="1">
      <c r="A294" t="inlineStr">
        <is>
          <t>A 68770-2020</t>
        </is>
      </c>
      <c r="B294" s="1" t="n">
        <v>44187</v>
      </c>
      <c r="C294" s="1" t="n">
        <v>45344</v>
      </c>
      <c r="D294" t="inlineStr">
        <is>
          <t>JÄMTLANDS LÄN</t>
        </is>
      </c>
      <c r="E294" t="inlineStr">
        <is>
          <t>BERG</t>
        </is>
      </c>
      <c r="G294" t="n">
        <v>1.8</v>
      </c>
      <c r="H294" t="n">
        <v>0</v>
      </c>
      <c r="I294" t="n">
        <v>0</v>
      </c>
      <c r="J294" t="n">
        <v>0</v>
      </c>
      <c r="K294" t="n">
        <v>0</v>
      </c>
      <c r="L294" t="n">
        <v>0</v>
      </c>
      <c r="M294" t="n">
        <v>0</v>
      </c>
      <c r="N294" t="n">
        <v>0</v>
      </c>
      <c r="O294" t="n">
        <v>0</v>
      </c>
      <c r="P294" t="n">
        <v>0</v>
      </c>
      <c r="Q294" t="n">
        <v>0</v>
      </c>
      <c r="R294" s="2" t="inlineStr"/>
    </row>
    <row r="295" ht="15" customHeight="1">
      <c r="A295" t="inlineStr">
        <is>
          <t>A 68896-2020</t>
        </is>
      </c>
      <c r="B295" s="1" t="n">
        <v>44187</v>
      </c>
      <c r="C295" s="1" t="n">
        <v>45344</v>
      </c>
      <c r="D295" t="inlineStr">
        <is>
          <t>JÄMTLANDS LÄN</t>
        </is>
      </c>
      <c r="E295" t="inlineStr">
        <is>
          <t>BERG</t>
        </is>
      </c>
      <c r="G295" t="n">
        <v>9.6</v>
      </c>
      <c r="H295" t="n">
        <v>0</v>
      </c>
      <c r="I295" t="n">
        <v>0</v>
      </c>
      <c r="J295" t="n">
        <v>0</v>
      </c>
      <c r="K295" t="n">
        <v>0</v>
      </c>
      <c r="L295" t="n">
        <v>0</v>
      </c>
      <c r="M295" t="n">
        <v>0</v>
      </c>
      <c r="N295" t="n">
        <v>0</v>
      </c>
      <c r="O295" t="n">
        <v>0</v>
      </c>
      <c r="P295" t="n">
        <v>0</v>
      </c>
      <c r="Q295" t="n">
        <v>0</v>
      </c>
      <c r="R295" s="2" t="inlineStr"/>
    </row>
    <row r="296" ht="15" customHeight="1">
      <c r="A296" t="inlineStr">
        <is>
          <t>A 592-2021</t>
        </is>
      </c>
      <c r="B296" s="1" t="n">
        <v>44201</v>
      </c>
      <c r="C296" s="1" t="n">
        <v>45344</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702-2021</t>
        </is>
      </c>
      <c r="B297" s="1" t="n">
        <v>44203</v>
      </c>
      <c r="C297" s="1" t="n">
        <v>45344</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692-2021</t>
        </is>
      </c>
      <c r="B298" s="1" t="n">
        <v>44203</v>
      </c>
      <c r="C298" s="1" t="n">
        <v>45344</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1032-2021</t>
        </is>
      </c>
      <c r="B299" s="1" t="n">
        <v>44207</v>
      </c>
      <c r="C299" s="1" t="n">
        <v>45344</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1640-2021</t>
        </is>
      </c>
      <c r="B300" s="1" t="n">
        <v>44209</v>
      </c>
      <c r="C300" s="1" t="n">
        <v>45344</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1651-2021</t>
        </is>
      </c>
      <c r="B301" s="1" t="n">
        <v>44209</v>
      </c>
      <c r="C301" s="1" t="n">
        <v>45344</v>
      </c>
      <c r="D301" t="inlineStr">
        <is>
          <t>JÄMTLANDS LÄN</t>
        </is>
      </c>
      <c r="E301" t="inlineStr">
        <is>
          <t>BERG</t>
        </is>
      </c>
      <c r="G301" t="n">
        <v>0.1</v>
      </c>
      <c r="H301" t="n">
        <v>0</v>
      </c>
      <c r="I301" t="n">
        <v>0</v>
      </c>
      <c r="J301" t="n">
        <v>0</v>
      </c>
      <c r="K301" t="n">
        <v>0</v>
      </c>
      <c r="L301" t="n">
        <v>0</v>
      </c>
      <c r="M301" t="n">
        <v>0</v>
      </c>
      <c r="N301" t="n">
        <v>0</v>
      </c>
      <c r="O301" t="n">
        <v>0</v>
      </c>
      <c r="P301" t="n">
        <v>0</v>
      </c>
      <c r="Q301" t="n">
        <v>0</v>
      </c>
      <c r="R301" s="2" t="inlineStr"/>
    </row>
    <row r="302" ht="15" customHeight="1">
      <c r="A302" t="inlineStr">
        <is>
          <t>A 1646-2021</t>
        </is>
      </c>
      <c r="B302" s="1" t="n">
        <v>44209</v>
      </c>
      <c r="C302" s="1" t="n">
        <v>45344</v>
      </c>
      <c r="D302" t="inlineStr">
        <is>
          <t>JÄMTLANDS LÄN</t>
        </is>
      </c>
      <c r="E302" t="inlineStr">
        <is>
          <t>BERG</t>
        </is>
      </c>
      <c r="G302" t="n">
        <v>0.1</v>
      </c>
      <c r="H302" t="n">
        <v>0</v>
      </c>
      <c r="I302" t="n">
        <v>0</v>
      </c>
      <c r="J302" t="n">
        <v>0</v>
      </c>
      <c r="K302" t="n">
        <v>0</v>
      </c>
      <c r="L302" t="n">
        <v>0</v>
      </c>
      <c r="M302" t="n">
        <v>0</v>
      </c>
      <c r="N302" t="n">
        <v>0</v>
      </c>
      <c r="O302" t="n">
        <v>0</v>
      </c>
      <c r="P302" t="n">
        <v>0</v>
      </c>
      <c r="Q302" t="n">
        <v>0</v>
      </c>
      <c r="R302" s="2" t="inlineStr"/>
    </row>
    <row r="303" ht="15" customHeight="1">
      <c r="A303" t="inlineStr">
        <is>
          <t>A 1657-2021</t>
        </is>
      </c>
      <c r="B303" s="1" t="n">
        <v>44209</v>
      </c>
      <c r="C303" s="1" t="n">
        <v>45344</v>
      </c>
      <c r="D303" t="inlineStr">
        <is>
          <t>JÄMTLANDS LÄN</t>
        </is>
      </c>
      <c r="E303" t="inlineStr">
        <is>
          <t>BERG</t>
        </is>
      </c>
      <c r="G303" t="n">
        <v>0.1</v>
      </c>
      <c r="H303" t="n">
        <v>0</v>
      </c>
      <c r="I303" t="n">
        <v>0</v>
      </c>
      <c r="J303" t="n">
        <v>0</v>
      </c>
      <c r="K303" t="n">
        <v>0</v>
      </c>
      <c r="L303" t="n">
        <v>0</v>
      </c>
      <c r="M303" t="n">
        <v>0</v>
      </c>
      <c r="N303" t="n">
        <v>0</v>
      </c>
      <c r="O303" t="n">
        <v>0</v>
      </c>
      <c r="P303" t="n">
        <v>0</v>
      </c>
      <c r="Q303" t="n">
        <v>0</v>
      </c>
      <c r="R303" s="2" t="inlineStr"/>
    </row>
    <row r="304" ht="15" customHeight="1">
      <c r="A304" t="inlineStr">
        <is>
          <t>A 3511-2021</t>
        </is>
      </c>
      <c r="B304" s="1" t="n">
        <v>44218</v>
      </c>
      <c r="C304" s="1" t="n">
        <v>45344</v>
      </c>
      <c r="D304" t="inlineStr">
        <is>
          <t>JÄMTLANDS LÄN</t>
        </is>
      </c>
      <c r="E304" t="inlineStr">
        <is>
          <t>BERG</t>
        </is>
      </c>
      <c r="G304" t="n">
        <v>3.9</v>
      </c>
      <c r="H304" t="n">
        <v>0</v>
      </c>
      <c r="I304" t="n">
        <v>0</v>
      </c>
      <c r="J304" t="n">
        <v>0</v>
      </c>
      <c r="K304" t="n">
        <v>0</v>
      </c>
      <c r="L304" t="n">
        <v>0</v>
      </c>
      <c r="M304" t="n">
        <v>0</v>
      </c>
      <c r="N304" t="n">
        <v>0</v>
      </c>
      <c r="O304" t="n">
        <v>0</v>
      </c>
      <c r="P304" t="n">
        <v>0</v>
      </c>
      <c r="Q304" t="n">
        <v>0</v>
      </c>
      <c r="R304" s="2" t="inlineStr"/>
    </row>
    <row r="305" ht="15" customHeight="1">
      <c r="A305" t="inlineStr">
        <is>
          <t>A 4651-2021</t>
        </is>
      </c>
      <c r="B305" s="1" t="n">
        <v>44224</v>
      </c>
      <c r="C305" s="1" t="n">
        <v>45344</v>
      </c>
      <c r="D305" t="inlineStr">
        <is>
          <t>JÄMTLANDS LÄN</t>
        </is>
      </c>
      <c r="E305" t="inlineStr">
        <is>
          <t>BERG</t>
        </is>
      </c>
      <c r="G305" t="n">
        <v>5.2</v>
      </c>
      <c r="H305" t="n">
        <v>0</v>
      </c>
      <c r="I305" t="n">
        <v>0</v>
      </c>
      <c r="J305" t="n">
        <v>0</v>
      </c>
      <c r="K305" t="n">
        <v>0</v>
      </c>
      <c r="L305" t="n">
        <v>0</v>
      </c>
      <c r="M305" t="n">
        <v>0</v>
      </c>
      <c r="N305" t="n">
        <v>0</v>
      </c>
      <c r="O305" t="n">
        <v>0</v>
      </c>
      <c r="P305" t="n">
        <v>0</v>
      </c>
      <c r="Q305" t="n">
        <v>0</v>
      </c>
      <c r="R305" s="2" t="inlineStr"/>
    </row>
    <row r="306" ht="15" customHeight="1">
      <c r="A306" t="inlineStr">
        <is>
          <t>A 8639-2021</t>
        </is>
      </c>
      <c r="B306" s="1" t="n">
        <v>44245</v>
      </c>
      <c r="C306" s="1" t="n">
        <v>45344</v>
      </c>
      <c r="D306" t="inlineStr">
        <is>
          <t>JÄMTLANDS LÄN</t>
        </is>
      </c>
      <c r="E306" t="inlineStr">
        <is>
          <t>BERG</t>
        </is>
      </c>
      <c r="F306" t="inlineStr">
        <is>
          <t>Naturvårdsverket</t>
        </is>
      </c>
      <c r="G306" t="n">
        <v>1.5</v>
      </c>
      <c r="H306" t="n">
        <v>0</v>
      </c>
      <c r="I306" t="n">
        <v>0</v>
      </c>
      <c r="J306" t="n">
        <v>0</v>
      </c>
      <c r="K306" t="n">
        <v>0</v>
      </c>
      <c r="L306" t="n">
        <v>0</v>
      </c>
      <c r="M306" t="n">
        <v>0</v>
      </c>
      <c r="N306" t="n">
        <v>0</v>
      </c>
      <c r="O306" t="n">
        <v>0</v>
      </c>
      <c r="P306" t="n">
        <v>0</v>
      </c>
      <c r="Q306" t="n">
        <v>0</v>
      </c>
      <c r="R306" s="2" t="inlineStr"/>
    </row>
    <row r="307" ht="15" customHeight="1">
      <c r="A307" t="inlineStr">
        <is>
          <t>A 9629-2021</t>
        </is>
      </c>
      <c r="B307" s="1" t="n">
        <v>44251</v>
      </c>
      <c r="C307" s="1" t="n">
        <v>45344</v>
      </c>
      <c r="D307" t="inlineStr">
        <is>
          <t>JÄMTLANDS LÄN</t>
        </is>
      </c>
      <c r="E307" t="inlineStr">
        <is>
          <t>BERG</t>
        </is>
      </c>
      <c r="F307" t="inlineStr">
        <is>
          <t>SCA</t>
        </is>
      </c>
      <c r="G307" t="n">
        <v>6.4</v>
      </c>
      <c r="H307" t="n">
        <v>0</v>
      </c>
      <c r="I307" t="n">
        <v>0</v>
      </c>
      <c r="J307" t="n">
        <v>0</v>
      </c>
      <c r="K307" t="n">
        <v>0</v>
      </c>
      <c r="L307" t="n">
        <v>0</v>
      </c>
      <c r="M307" t="n">
        <v>0</v>
      </c>
      <c r="N307" t="n">
        <v>0</v>
      </c>
      <c r="O307" t="n">
        <v>0</v>
      </c>
      <c r="P307" t="n">
        <v>0</v>
      </c>
      <c r="Q307" t="n">
        <v>0</v>
      </c>
      <c r="R307" s="2" t="inlineStr"/>
    </row>
    <row r="308" ht="15" customHeight="1">
      <c r="A308" t="inlineStr">
        <is>
          <t>A 9920-2021</t>
        </is>
      </c>
      <c r="B308" s="1" t="n">
        <v>44253</v>
      </c>
      <c r="C308" s="1" t="n">
        <v>45344</v>
      </c>
      <c r="D308" t="inlineStr">
        <is>
          <t>JÄMTLANDS LÄN</t>
        </is>
      </c>
      <c r="E308" t="inlineStr">
        <is>
          <t>BERG</t>
        </is>
      </c>
      <c r="G308" t="n">
        <v>3.5</v>
      </c>
      <c r="H308" t="n">
        <v>0</v>
      </c>
      <c r="I308" t="n">
        <v>0</v>
      </c>
      <c r="J308" t="n">
        <v>0</v>
      </c>
      <c r="K308" t="n">
        <v>0</v>
      </c>
      <c r="L308" t="n">
        <v>0</v>
      </c>
      <c r="M308" t="n">
        <v>0</v>
      </c>
      <c r="N308" t="n">
        <v>0</v>
      </c>
      <c r="O308" t="n">
        <v>0</v>
      </c>
      <c r="P308" t="n">
        <v>0</v>
      </c>
      <c r="Q308" t="n">
        <v>0</v>
      </c>
      <c r="R308" s="2" t="inlineStr"/>
    </row>
    <row r="309" ht="15" customHeight="1">
      <c r="A309" t="inlineStr">
        <is>
          <t>A 12499-2021</t>
        </is>
      </c>
      <c r="B309" s="1" t="n">
        <v>44267</v>
      </c>
      <c r="C309" s="1" t="n">
        <v>45344</v>
      </c>
      <c r="D309" t="inlineStr">
        <is>
          <t>JÄMTLANDS LÄN</t>
        </is>
      </c>
      <c r="E309" t="inlineStr">
        <is>
          <t>BERG</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14226-2021</t>
        </is>
      </c>
      <c r="B310" s="1" t="n">
        <v>44277</v>
      </c>
      <c r="C310" s="1" t="n">
        <v>45344</v>
      </c>
      <c r="D310" t="inlineStr">
        <is>
          <t>JÄMTLANDS LÄN</t>
        </is>
      </c>
      <c r="E310" t="inlineStr">
        <is>
          <t>BERG</t>
        </is>
      </c>
      <c r="G310" t="n">
        <v>23.7</v>
      </c>
      <c r="H310" t="n">
        <v>0</v>
      </c>
      <c r="I310" t="n">
        <v>0</v>
      </c>
      <c r="J310" t="n">
        <v>0</v>
      </c>
      <c r="K310" t="n">
        <v>0</v>
      </c>
      <c r="L310" t="n">
        <v>0</v>
      </c>
      <c r="M310" t="n">
        <v>0</v>
      </c>
      <c r="N310" t="n">
        <v>0</v>
      </c>
      <c r="O310" t="n">
        <v>0</v>
      </c>
      <c r="P310" t="n">
        <v>0</v>
      </c>
      <c r="Q310" t="n">
        <v>0</v>
      </c>
      <c r="R310" s="2" t="inlineStr"/>
    </row>
    <row r="311" ht="15" customHeight="1">
      <c r="A311" t="inlineStr">
        <is>
          <t>A 14218-2021</t>
        </is>
      </c>
      <c r="B311" s="1" t="n">
        <v>44277</v>
      </c>
      <c r="C311" s="1" t="n">
        <v>45344</v>
      </c>
      <c r="D311" t="inlineStr">
        <is>
          <t>JÄMTLANDS LÄN</t>
        </is>
      </c>
      <c r="E311" t="inlineStr">
        <is>
          <t>BERG</t>
        </is>
      </c>
      <c r="G311" t="n">
        <v>19.9</v>
      </c>
      <c r="H311" t="n">
        <v>0</v>
      </c>
      <c r="I311" t="n">
        <v>0</v>
      </c>
      <c r="J311" t="n">
        <v>0</v>
      </c>
      <c r="K311" t="n">
        <v>0</v>
      </c>
      <c r="L311" t="n">
        <v>0</v>
      </c>
      <c r="M311" t="n">
        <v>0</v>
      </c>
      <c r="N311" t="n">
        <v>0</v>
      </c>
      <c r="O311" t="n">
        <v>0</v>
      </c>
      <c r="P311" t="n">
        <v>0</v>
      </c>
      <c r="Q311" t="n">
        <v>0</v>
      </c>
      <c r="R311" s="2" t="inlineStr"/>
    </row>
    <row r="312" ht="15" customHeight="1">
      <c r="A312" t="inlineStr">
        <is>
          <t>A 14163-2021</t>
        </is>
      </c>
      <c r="B312" s="1" t="n">
        <v>44277</v>
      </c>
      <c r="C312" s="1" t="n">
        <v>45344</v>
      </c>
      <c r="D312" t="inlineStr">
        <is>
          <t>JÄMTLANDS LÄN</t>
        </is>
      </c>
      <c r="E312" t="inlineStr">
        <is>
          <t>BERG</t>
        </is>
      </c>
      <c r="G312" t="n">
        <v>8.1</v>
      </c>
      <c r="H312" t="n">
        <v>0</v>
      </c>
      <c r="I312" t="n">
        <v>0</v>
      </c>
      <c r="J312" t="n">
        <v>0</v>
      </c>
      <c r="K312" t="n">
        <v>0</v>
      </c>
      <c r="L312" t="n">
        <v>0</v>
      </c>
      <c r="M312" t="n">
        <v>0</v>
      </c>
      <c r="N312" t="n">
        <v>0</v>
      </c>
      <c r="O312" t="n">
        <v>0</v>
      </c>
      <c r="P312" t="n">
        <v>0</v>
      </c>
      <c r="Q312" t="n">
        <v>0</v>
      </c>
      <c r="R312" s="2" t="inlineStr"/>
    </row>
    <row r="313" ht="15" customHeight="1">
      <c r="A313" t="inlineStr">
        <is>
          <t>A 14224-2021</t>
        </is>
      </c>
      <c r="B313" s="1" t="n">
        <v>44277</v>
      </c>
      <c r="C313" s="1" t="n">
        <v>45344</v>
      </c>
      <c r="D313" t="inlineStr">
        <is>
          <t>JÄMTLANDS LÄN</t>
        </is>
      </c>
      <c r="E313" t="inlineStr">
        <is>
          <t>BERG</t>
        </is>
      </c>
      <c r="G313" t="n">
        <v>24.9</v>
      </c>
      <c r="H313" t="n">
        <v>0</v>
      </c>
      <c r="I313" t="n">
        <v>0</v>
      </c>
      <c r="J313" t="n">
        <v>0</v>
      </c>
      <c r="K313" t="n">
        <v>0</v>
      </c>
      <c r="L313" t="n">
        <v>0</v>
      </c>
      <c r="M313" t="n">
        <v>0</v>
      </c>
      <c r="N313" t="n">
        <v>0</v>
      </c>
      <c r="O313" t="n">
        <v>0</v>
      </c>
      <c r="P313" t="n">
        <v>0</v>
      </c>
      <c r="Q313" t="n">
        <v>0</v>
      </c>
      <c r="R313" s="2" t="inlineStr"/>
    </row>
    <row r="314" ht="15" customHeight="1">
      <c r="A314" t="inlineStr">
        <is>
          <t>A 14325-2021</t>
        </is>
      </c>
      <c r="B314" s="1" t="n">
        <v>44278</v>
      </c>
      <c r="C314" s="1" t="n">
        <v>45344</v>
      </c>
      <c r="D314" t="inlineStr">
        <is>
          <t>JÄMTLANDS LÄN</t>
        </is>
      </c>
      <c r="E314" t="inlineStr">
        <is>
          <t>BERG</t>
        </is>
      </c>
      <c r="G314" t="n">
        <v>27.3</v>
      </c>
      <c r="H314" t="n">
        <v>0</v>
      </c>
      <c r="I314" t="n">
        <v>0</v>
      </c>
      <c r="J314" t="n">
        <v>0</v>
      </c>
      <c r="K314" t="n">
        <v>0</v>
      </c>
      <c r="L314" t="n">
        <v>0</v>
      </c>
      <c r="M314" t="n">
        <v>0</v>
      </c>
      <c r="N314" t="n">
        <v>0</v>
      </c>
      <c r="O314" t="n">
        <v>0</v>
      </c>
      <c r="P314" t="n">
        <v>0</v>
      </c>
      <c r="Q314" t="n">
        <v>0</v>
      </c>
      <c r="R314" s="2" t="inlineStr"/>
    </row>
    <row r="315" ht="15" customHeight="1">
      <c r="A315" t="inlineStr">
        <is>
          <t>A 14772-2021</t>
        </is>
      </c>
      <c r="B315" s="1" t="n">
        <v>44280</v>
      </c>
      <c r="C315" s="1" t="n">
        <v>45344</v>
      </c>
      <c r="D315" t="inlineStr">
        <is>
          <t>JÄMTLANDS LÄN</t>
        </is>
      </c>
      <c r="E315" t="inlineStr">
        <is>
          <t>BERG</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15277-2021</t>
        </is>
      </c>
      <c r="B316" s="1" t="n">
        <v>44284</v>
      </c>
      <c r="C316" s="1" t="n">
        <v>45344</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15785-2021</t>
        </is>
      </c>
      <c r="B317" s="1" t="n">
        <v>44286</v>
      </c>
      <c r="C317" s="1" t="n">
        <v>45344</v>
      </c>
      <c r="D317" t="inlineStr">
        <is>
          <t>JÄMTLANDS LÄN</t>
        </is>
      </c>
      <c r="E317" t="inlineStr">
        <is>
          <t>BERG</t>
        </is>
      </c>
      <c r="G317" t="n">
        <v>3.2</v>
      </c>
      <c r="H317" t="n">
        <v>0</v>
      </c>
      <c r="I317" t="n">
        <v>0</v>
      </c>
      <c r="J317" t="n">
        <v>0</v>
      </c>
      <c r="K317" t="n">
        <v>0</v>
      </c>
      <c r="L317" t="n">
        <v>0</v>
      </c>
      <c r="M317" t="n">
        <v>0</v>
      </c>
      <c r="N317" t="n">
        <v>0</v>
      </c>
      <c r="O317" t="n">
        <v>0</v>
      </c>
      <c r="P317" t="n">
        <v>0</v>
      </c>
      <c r="Q317" t="n">
        <v>0</v>
      </c>
      <c r="R317" s="2" t="inlineStr"/>
    </row>
    <row r="318" ht="15" customHeight="1">
      <c r="A318" t="inlineStr">
        <is>
          <t>A 16819-2021</t>
        </is>
      </c>
      <c r="B318" s="1" t="n">
        <v>44293</v>
      </c>
      <c r="C318" s="1" t="n">
        <v>45344</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16822-2021</t>
        </is>
      </c>
      <c r="B319" s="1" t="n">
        <v>44293</v>
      </c>
      <c r="C319" s="1" t="n">
        <v>45344</v>
      </c>
      <c r="D319" t="inlineStr">
        <is>
          <t>JÄMTLANDS LÄN</t>
        </is>
      </c>
      <c r="E319" t="inlineStr">
        <is>
          <t>BERG</t>
        </is>
      </c>
      <c r="G319" t="n">
        <v>4.5</v>
      </c>
      <c r="H319" t="n">
        <v>0</v>
      </c>
      <c r="I319" t="n">
        <v>0</v>
      </c>
      <c r="J319" t="n">
        <v>0</v>
      </c>
      <c r="K319" t="n">
        <v>0</v>
      </c>
      <c r="L319" t="n">
        <v>0</v>
      </c>
      <c r="M319" t="n">
        <v>0</v>
      </c>
      <c r="N319" t="n">
        <v>0</v>
      </c>
      <c r="O319" t="n">
        <v>0</v>
      </c>
      <c r="P319" t="n">
        <v>0</v>
      </c>
      <c r="Q319" t="n">
        <v>0</v>
      </c>
      <c r="R319" s="2" t="inlineStr"/>
    </row>
    <row r="320" ht="15" customHeight="1">
      <c r="A320" t="inlineStr">
        <is>
          <t>A 16831-2021</t>
        </is>
      </c>
      <c r="B320" s="1" t="n">
        <v>44293</v>
      </c>
      <c r="C320" s="1" t="n">
        <v>45344</v>
      </c>
      <c r="D320" t="inlineStr">
        <is>
          <t>JÄMTLANDS LÄN</t>
        </is>
      </c>
      <c r="E320" t="inlineStr">
        <is>
          <t>BERG</t>
        </is>
      </c>
      <c r="G320" t="n">
        <v>13.7</v>
      </c>
      <c r="H320" t="n">
        <v>0</v>
      </c>
      <c r="I320" t="n">
        <v>0</v>
      </c>
      <c r="J320" t="n">
        <v>0</v>
      </c>
      <c r="K320" t="n">
        <v>0</v>
      </c>
      <c r="L320" t="n">
        <v>0</v>
      </c>
      <c r="M320" t="n">
        <v>0</v>
      </c>
      <c r="N320" t="n">
        <v>0</v>
      </c>
      <c r="O320" t="n">
        <v>0</v>
      </c>
      <c r="P320" t="n">
        <v>0</v>
      </c>
      <c r="Q320" t="n">
        <v>0</v>
      </c>
      <c r="R320" s="2" t="inlineStr"/>
    </row>
    <row r="321" ht="15" customHeight="1">
      <c r="A321" t="inlineStr">
        <is>
          <t>A 16828-2021</t>
        </is>
      </c>
      <c r="B321" s="1" t="n">
        <v>44293</v>
      </c>
      <c r="C321" s="1" t="n">
        <v>45344</v>
      </c>
      <c r="D321" t="inlineStr">
        <is>
          <t>JÄMTLANDS LÄN</t>
        </is>
      </c>
      <c r="E321" t="inlineStr">
        <is>
          <t>BERG</t>
        </is>
      </c>
      <c r="G321" t="n">
        <v>2.2</v>
      </c>
      <c r="H321" t="n">
        <v>0</v>
      </c>
      <c r="I321" t="n">
        <v>0</v>
      </c>
      <c r="J321" t="n">
        <v>0</v>
      </c>
      <c r="K321" t="n">
        <v>0</v>
      </c>
      <c r="L321" t="n">
        <v>0</v>
      </c>
      <c r="M321" t="n">
        <v>0</v>
      </c>
      <c r="N321" t="n">
        <v>0</v>
      </c>
      <c r="O321" t="n">
        <v>0</v>
      </c>
      <c r="P321" t="n">
        <v>0</v>
      </c>
      <c r="Q321" t="n">
        <v>0</v>
      </c>
      <c r="R321" s="2" t="inlineStr"/>
    </row>
    <row r="322" ht="15" customHeight="1">
      <c r="A322" t="inlineStr">
        <is>
          <t>A 16825-2021</t>
        </is>
      </c>
      <c r="B322" s="1" t="n">
        <v>44293</v>
      </c>
      <c r="C322" s="1" t="n">
        <v>45344</v>
      </c>
      <c r="D322" t="inlineStr">
        <is>
          <t>JÄMTLANDS LÄN</t>
        </is>
      </c>
      <c r="E322" t="inlineStr">
        <is>
          <t>BERG</t>
        </is>
      </c>
      <c r="G322" t="n">
        <v>20</v>
      </c>
      <c r="H322" t="n">
        <v>0</v>
      </c>
      <c r="I322" t="n">
        <v>0</v>
      </c>
      <c r="J322" t="n">
        <v>0</v>
      </c>
      <c r="K322" t="n">
        <v>0</v>
      </c>
      <c r="L322" t="n">
        <v>0</v>
      </c>
      <c r="M322" t="n">
        <v>0</v>
      </c>
      <c r="N322" t="n">
        <v>0</v>
      </c>
      <c r="O322" t="n">
        <v>0</v>
      </c>
      <c r="P322" t="n">
        <v>0</v>
      </c>
      <c r="Q322" t="n">
        <v>0</v>
      </c>
      <c r="R322" s="2" t="inlineStr"/>
    </row>
    <row r="323" ht="15" customHeight="1">
      <c r="A323" t="inlineStr">
        <is>
          <t>A 18569-2021</t>
        </is>
      </c>
      <c r="B323" s="1" t="n">
        <v>44306</v>
      </c>
      <c r="C323" s="1" t="n">
        <v>45344</v>
      </c>
      <c r="D323" t="inlineStr">
        <is>
          <t>JÄMTLANDS LÄN</t>
        </is>
      </c>
      <c r="E323" t="inlineStr">
        <is>
          <t>BERG</t>
        </is>
      </c>
      <c r="G323" t="n">
        <v>0.7</v>
      </c>
      <c r="H323" t="n">
        <v>0</v>
      </c>
      <c r="I323" t="n">
        <v>0</v>
      </c>
      <c r="J323" t="n">
        <v>0</v>
      </c>
      <c r="K323" t="n">
        <v>0</v>
      </c>
      <c r="L323" t="n">
        <v>0</v>
      </c>
      <c r="M323" t="n">
        <v>0</v>
      </c>
      <c r="N323" t="n">
        <v>0</v>
      </c>
      <c r="O323" t="n">
        <v>0</v>
      </c>
      <c r="P323" t="n">
        <v>0</v>
      </c>
      <c r="Q323" t="n">
        <v>0</v>
      </c>
      <c r="R323" s="2" t="inlineStr"/>
    </row>
    <row r="324" ht="15" customHeight="1">
      <c r="A324" t="inlineStr">
        <is>
          <t>A 18567-2021</t>
        </is>
      </c>
      <c r="B324" s="1" t="n">
        <v>44306</v>
      </c>
      <c r="C324" s="1" t="n">
        <v>45344</v>
      </c>
      <c r="D324" t="inlineStr">
        <is>
          <t>JÄMTLANDS LÄN</t>
        </is>
      </c>
      <c r="E324" t="inlineStr">
        <is>
          <t>BERG</t>
        </is>
      </c>
      <c r="G324" t="n">
        <v>3</v>
      </c>
      <c r="H324" t="n">
        <v>0</v>
      </c>
      <c r="I324" t="n">
        <v>0</v>
      </c>
      <c r="J324" t="n">
        <v>0</v>
      </c>
      <c r="K324" t="n">
        <v>0</v>
      </c>
      <c r="L324" t="n">
        <v>0</v>
      </c>
      <c r="M324" t="n">
        <v>0</v>
      </c>
      <c r="N324" t="n">
        <v>0</v>
      </c>
      <c r="O324" t="n">
        <v>0</v>
      </c>
      <c r="P324" t="n">
        <v>0</v>
      </c>
      <c r="Q324" t="n">
        <v>0</v>
      </c>
      <c r="R324" s="2" t="inlineStr"/>
    </row>
    <row r="325" ht="15" customHeight="1">
      <c r="A325" t="inlineStr">
        <is>
          <t>A 20179-2021</t>
        </is>
      </c>
      <c r="B325" s="1" t="n">
        <v>44314</v>
      </c>
      <c r="C325" s="1" t="n">
        <v>45344</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21629-2021</t>
        </is>
      </c>
      <c r="B326" s="1" t="n">
        <v>44321</v>
      </c>
      <c r="C326" s="1" t="n">
        <v>45344</v>
      </c>
      <c r="D326" t="inlineStr">
        <is>
          <t>JÄMTLANDS LÄN</t>
        </is>
      </c>
      <c r="E326" t="inlineStr">
        <is>
          <t>BERG</t>
        </is>
      </c>
      <c r="G326" t="n">
        <v>15.9</v>
      </c>
      <c r="H326" t="n">
        <v>0</v>
      </c>
      <c r="I326" t="n">
        <v>0</v>
      </c>
      <c r="J326" t="n">
        <v>0</v>
      </c>
      <c r="K326" t="n">
        <v>0</v>
      </c>
      <c r="L326" t="n">
        <v>0</v>
      </c>
      <c r="M326" t="n">
        <v>0</v>
      </c>
      <c r="N326" t="n">
        <v>0</v>
      </c>
      <c r="O326" t="n">
        <v>0</v>
      </c>
      <c r="P326" t="n">
        <v>0</v>
      </c>
      <c r="Q326" t="n">
        <v>0</v>
      </c>
      <c r="R326" s="2" t="inlineStr"/>
    </row>
    <row r="327" ht="15" customHeight="1">
      <c r="A327" t="inlineStr">
        <is>
          <t>A 21841-2021</t>
        </is>
      </c>
      <c r="B327" s="1" t="n">
        <v>44322</v>
      </c>
      <c r="C327" s="1" t="n">
        <v>45344</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21836-2021</t>
        </is>
      </c>
      <c r="B328" s="1" t="n">
        <v>44322</v>
      </c>
      <c r="C328" s="1" t="n">
        <v>45344</v>
      </c>
      <c r="D328" t="inlineStr">
        <is>
          <t>JÄMTLANDS LÄN</t>
        </is>
      </c>
      <c r="E328" t="inlineStr">
        <is>
          <t>BERG</t>
        </is>
      </c>
      <c r="G328" t="n">
        <v>2</v>
      </c>
      <c r="H328" t="n">
        <v>0</v>
      </c>
      <c r="I328" t="n">
        <v>0</v>
      </c>
      <c r="J328" t="n">
        <v>0</v>
      </c>
      <c r="K328" t="n">
        <v>0</v>
      </c>
      <c r="L328" t="n">
        <v>0</v>
      </c>
      <c r="M328" t="n">
        <v>0</v>
      </c>
      <c r="N328" t="n">
        <v>0</v>
      </c>
      <c r="O328" t="n">
        <v>0</v>
      </c>
      <c r="P328" t="n">
        <v>0</v>
      </c>
      <c r="Q328" t="n">
        <v>0</v>
      </c>
      <c r="R328" s="2" t="inlineStr"/>
    </row>
    <row r="329" ht="15" customHeight="1">
      <c r="A329" t="inlineStr">
        <is>
          <t>A 24136-2021</t>
        </is>
      </c>
      <c r="B329" s="1" t="n">
        <v>44336</v>
      </c>
      <c r="C329" s="1" t="n">
        <v>45344</v>
      </c>
      <c r="D329" t="inlineStr">
        <is>
          <t>JÄMTLANDS LÄN</t>
        </is>
      </c>
      <c r="E329" t="inlineStr">
        <is>
          <t>BERG</t>
        </is>
      </c>
      <c r="G329" t="n">
        <v>12.6</v>
      </c>
      <c r="H329" t="n">
        <v>0</v>
      </c>
      <c r="I329" t="n">
        <v>0</v>
      </c>
      <c r="J329" t="n">
        <v>0</v>
      </c>
      <c r="K329" t="n">
        <v>0</v>
      </c>
      <c r="L329" t="n">
        <v>0</v>
      </c>
      <c r="M329" t="n">
        <v>0</v>
      </c>
      <c r="N329" t="n">
        <v>0</v>
      </c>
      <c r="O329" t="n">
        <v>0</v>
      </c>
      <c r="P329" t="n">
        <v>0</v>
      </c>
      <c r="Q329" t="n">
        <v>0</v>
      </c>
      <c r="R329" s="2" t="inlineStr"/>
    </row>
    <row r="330" ht="15" customHeight="1">
      <c r="A330" t="inlineStr">
        <is>
          <t>A 24843-2021</t>
        </is>
      </c>
      <c r="B330" s="1" t="n">
        <v>44340</v>
      </c>
      <c r="C330" s="1" t="n">
        <v>45344</v>
      </c>
      <c r="D330" t="inlineStr">
        <is>
          <t>JÄMTLANDS LÄN</t>
        </is>
      </c>
      <c r="E330" t="inlineStr">
        <is>
          <t>BERG</t>
        </is>
      </c>
      <c r="G330" t="n">
        <v>3.8</v>
      </c>
      <c r="H330" t="n">
        <v>0</v>
      </c>
      <c r="I330" t="n">
        <v>0</v>
      </c>
      <c r="J330" t="n">
        <v>0</v>
      </c>
      <c r="K330" t="n">
        <v>0</v>
      </c>
      <c r="L330" t="n">
        <v>0</v>
      </c>
      <c r="M330" t="n">
        <v>0</v>
      </c>
      <c r="N330" t="n">
        <v>0</v>
      </c>
      <c r="O330" t="n">
        <v>0</v>
      </c>
      <c r="P330" t="n">
        <v>0</v>
      </c>
      <c r="Q330" t="n">
        <v>0</v>
      </c>
      <c r="R330" s="2" t="inlineStr"/>
    </row>
    <row r="331" ht="15" customHeight="1">
      <c r="A331" t="inlineStr">
        <is>
          <t>A 26721-2021</t>
        </is>
      </c>
      <c r="B331" s="1" t="n">
        <v>44349</v>
      </c>
      <c r="C331" s="1" t="n">
        <v>45344</v>
      </c>
      <c r="D331" t="inlineStr">
        <is>
          <t>JÄMTLANDS LÄN</t>
        </is>
      </c>
      <c r="E331" t="inlineStr">
        <is>
          <t>BERG</t>
        </is>
      </c>
      <c r="G331" t="n">
        <v>10.7</v>
      </c>
      <c r="H331" t="n">
        <v>0</v>
      </c>
      <c r="I331" t="n">
        <v>0</v>
      </c>
      <c r="J331" t="n">
        <v>0</v>
      </c>
      <c r="K331" t="n">
        <v>0</v>
      </c>
      <c r="L331" t="n">
        <v>0</v>
      </c>
      <c r="M331" t="n">
        <v>0</v>
      </c>
      <c r="N331" t="n">
        <v>0</v>
      </c>
      <c r="O331" t="n">
        <v>0</v>
      </c>
      <c r="P331" t="n">
        <v>0</v>
      </c>
      <c r="Q331" t="n">
        <v>0</v>
      </c>
      <c r="R331" s="2" t="inlineStr"/>
    </row>
    <row r="332" ht="15" customHeight="1">
      <c r="A332" t="inlineStr">
        <is>
          <t>A 26973-2021</t>
        </is>
      </c>
      <c r="B332" s="1" t="n">
        <v>44349</v>
      </c>
      <c r="C332" s="1" t="n">
        <v>45344</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27144-2021</t>
        </is>
      </c>
      <c r="B333" s="1" t="n">
        <v>44350</v>
      </c>
      <c r="C333" s="1" t="n">
        <v>45344</v>
      </c>
      <c r="D333" t="inlineStr">
        <is>
          <t>JÄMTLANDS LÄN</t>
        </is>
      </c>
      <c r="E333" t="inlineStr">
        <is>
          <t>BERG</t>
        </is>
      </c>
      <c r="F333" t="inlineStr">
        <is>
          <t>Sveaskog</t>
        </is>
      </c>
      <c r="G333" t="n">
        <v>10.2</v>
      </c>
      <c r="H333" t="n">
        <v>0</v>
      </c>
      <c r="I333" t="n">
        <v>0</v>
      </c>
      <c r="J333" t="n">
        <v>0</v>
      </c>
      <c r="K333" t="n">
        <v>0</v>
      </c>
      <c r="L333" t="n">
        <v>0</v>
      </c>
      <c r="M333" t="n">
        <v>0</v>
      </c>
      <c r="N333" t="n">
        <v>0</v>
      </c>
      <c r="O333" t="n">
        <v>0</v>
      </c>
      <c r="P333" t="n">
        <v>0</v>
      </c>
      <c r="Q333" t="n">
        <v>0</v>
      </c>
      <c r="R333" s="2" t="inlineStr"/>
    </row>
    <row r="334" ht="15" customHeight="1">
      <c r="A334" t="inlineStr">
        <is>
          <t>A 27395-2021</t>
        </is>
      </c>
      <c r="B334" s="1" t="n">
        <v>44350</v>
      </c>
      <c r="C334" s="1" t="n">
        <v>45344</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27772-2021</t>
        </is>
      </c>
      <c r="B335" s="1" t="n">
        <v>44354</v>
      </c>
      <c r="C335" s="1" t="n">
        <v>45344</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28883-2021</t>
        </is>
      </c>
      <c r="B336" s="1" t="n">
        <v>44357</v>
      </c>
      <c r="C336" s="1" t="n">
        <v>45344</v>
      </c>
      <c r="D336" t="inlineStr">
        <is>
          <t>JÄMTLANDS LÄN</t>
        </is>
      </c>
      <c r="E336" t="inlineStr">
        <is>
          <t>BERG</t>
        </is>
      </c>
      <c r="F336" t="inlineStr">
        <is>
          <t>Kyrkan</t>
        </is>
      </c>
      <c r="G336" t="n">
        <v>7.3</v>
      </c>
      <c r="H336" t="n">
        <v>0</v>
      </c>
      <c r="I336" t="n">
        <v>0</v>
      </c>
      <c r="J336" t="n">
        <v>0</v>
      </c>
      <c r="K336" t="n">
        <v>0</v>
      </c>
      <c r="L336" t="n">
        <v>0</v>
      </c>
      <c r="M336" t="n">
        <v>0</v>
      </c>
      <c r="N336" t="n">
        <v>0</v>
      </c>
      <c r="O336" t="n">
        <v>0</v>
      </c>
      <c r="P336" t="n">
        <v>0</v>
      </c>
      <c r="Q336" t="n">
        <v>0</v>
      </c>
      <c r="R336" s="2" t="inlineStr"/>
    </row>
    <row r="337" ht="15" customHeight="1">
      <c r="A337" t="inlineStr">
        <is>
          <t>A 29019-2021</t>
        </is>
      </c>
      <c r="B337" s="1" t="n">
        <v>44358</v>
      </c>
      <c r="C337" s="1" t="n">
        <v>45344</v>
      </c>
      <c r="D337" t="inlineStr">
        <is>
          <t>JÄMTLANDS LÄN</t>
        </is>
      </c>
      <c r="E337" t="inlineStr">
        <is>
          <t>BERG</t>
        </is>
      </c>
      <c r="F337" t="inlineStr">
        <is>
          <t>Sveaskog</t>
        </is>
      </c>
      <c r="G337" t="n">
        <v>27.1</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45344</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33878-2021</t>
        </is>
      </c>
      <c r="B339" s="1" t="n">
        <v>44378</v>
      </c>
      <c r="C339" s="1" t="n">
        <v>45344</v>
      </c>
      <c r="D339" t="inlineStr">
        <is>
          <t>JÄMTLANDS LÄN</t>
        </is>
      </c>
      <c r="E339" t="inlineStr">
        <is>
          <t>BERG</t>
        </is>
      </c>
      <c r="G339" t="n">
        <v>6.6</v>
      </c>
      <c r="H339" t="n">
        <v>0</v>
      </c>
      <c r="I339" t="n">
        <v>0</v>
      </c>
      <c r="J339" t="n">
        <v>0</v>
      </c>
      <c r="K339" t="n">
        <v>0</v>
      </c>
      <c r="L339" t="n">
        <v>0</v>
      </c>
      <c r="M339" t="n">
        <v>0</v>
      </c>
      <c r="N339" t="n">
        <v>0</v>
      </c>
      <c r="O339" t="n">
        <v>0</v>
      </c>
      <c r="P339" t="n">
        <v>0</v>
      </c>
      <c r="Q339" t="n">
        <v>0</v>
      </c>
      <c r="R339" s="2" t="inlineStr"/>
    </row>
    <row r="340" ht="15" customHeight="1">
      <c r="A340" t="inlineStr">
        <is>
          <t>A 35308-2021</t>
        </is>
      </c>
      <c r="B340" s="1" t="n">
        <v>44384</v>
      </c>
      <c r="C340" s="1" t="n">
        <v>45344</v>
      </c>
      <c r="D340" t="inlineStr">
        <is>
          <t>JÄMTLANDS LÄN</t>
        </is>
      </c>
      <c r="E340" t="inlineStr">
        <is>
          <t>BERG</t>
        </is>
      </c>
      <c r="G340" t="n">
        <v>2.9</v>
      </c>
      <c r="H340" t="n">
        <v>0</v>
      </c>
      <c r="I340" t="n">
        <v>0</v>
      </c>
      <c r="J340" t="n">
        <v>0</v>
      </c>
      <c r="K340" t="n">
        <v>0</v>
      </c>
      <c r="L340" t="n">
        <v>0</v>
      </c>
      <c r="M340" t="n">
        <v>0</v>
      </c>
      <c r="N340" t="n">
        <v>0</v>
      </c>
      <c r="O340" t="n">
        <v>0</v>
      </c>
      <c r="P340" t="n">
        <v>0</v>
      </c>
      <c r="Q340" t="n">
        <v>0</v>
      </c>
      <c r="R340" s="2" t="inlineStr"/>
      <c r="U340">
        <f>HYPERLINK("https://klasma.github.io/Logging_2326/knärot/A 35308-2021 karta knärot.png", "A 35308-2021")</f>
        <v/>
      </c>
      <c r="V340">
        <f>HYPERLINK("https://klasma.github.io/Logging_2326/klagomål/A 35308-2021 FSC-klagomål.docx", "A 35308-2021")</f>
        <v/>
      </c>
      <c r="W340">
        <f>HYPERLINK("https://klasma.github.io/Logging_2326/klagomålsmail/A 35308-2021 FSC-klagomål mail.docx", "A 35308-2021")</f>
        <v/>
      </c>
      <c r="X340">
        <f>HYPERLINK("https://klasma.github.io/Logging_2326/tillsyn/A 35308-2021 tillsynsbegäran.docx", "A 35308-2021")</f>
        <v/>
      </c>
      <c r="Y340">
        <f>HYPERLINK("https://klasma.github.io/Logging_2326/tillsynsmail/A 35308-2021 tillsynsbegäran mail.docx", "A 35308-2021")</f>
        <v/>
      </c>
    </row>
    <row r="341" ht="15" customHeight="1">
      <c r="A341" t="inlineStr">
        <is>
          <t>A 35867-2021</t>
        </is>
      </c>
      <c r="B341" s="1" t="n">
        <v>44387</v>
      </c>
      <c r="C341" s="1" t="n">
        <v>45344</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36031-2021</t>
        </is>
      </c>
      <c r="B342" s="1" t="n">
        <v>44389</v>
      </c>
      <c r="C342" s="1" t="n">
        <v>45344</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36033-2021</t>
        </is>
      </c>
      <c r="B343" s="1" t="n">
        <v>44389</v>
      </c>
      <c r="C343" s="1" t="n">
        <v>45344</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36720-2021</t>
        </is>
      </c>
      <c r="B344" s="1" t="n">
        <v>44392</v>
      </c>
      <c r="C344" s="1" t="n">
        <v>45344</v>
      </c>
      <c r="D344" t="inlineStr">
        <is>
          <t>JÄMTLANDS LÄN</t>
        </is>
      </c>
      <c r="E344" t="inlineStr">
        <is>
          <t>BERG</t>
        </is>
      </c>
      <c r="G344" t="n">
        <v>1.9</v>
      </c>
      <c r="H344" t="n">
        <v>0</v>
      </c>
      <c r="I344" t="n">
        <v>0</v>
      </c>
      <c r="J344" t="n">
        <v>0</v>
      </c>
      <c r="K344" t="n">
        <v>0</v>
      </c>
      <c r="L344" t="n">
        <v>0</v>
      </c>
      <c r="M344" t="n">
        <v>0</v>
      </c>
      <c r="N344" t="n">
        <v>0</v>
      </c>
      <c r="O344" t="n">
        <v>0</v>
      </c>
      <c r="P344" t="n">
        <v>0</v>
      </c>
      <c r="Q344" t="n">
        <v>0</v>
      </c>
      <c r="R344" s="2" t="inlineStr"/>
    </row>
    <row r="345" ht="15" customHeight="1">
      <c r="A345" t="inlineStr">
        <is>
          <t>A 37307-2021</t>
        </is>
      </c>
      <c r="B345" s="1" t="n">
        <v>44397</v>
      </c>
      <c r="C345" s="1" t="n">
        <v>45344</v>
      </c>
      <c r="D345" t="inlineStr">
        <is>
          <t>JÄMTLANDS LÄN</t>
        </is>
      </c>
      <c r="E345" t="inlineStr">
        <is>
          <t>BERG</t>
        </is>
      </c>
      <c r="G345" t="n">
        <v>5.4</v>
      </c>
      <c r="H345" t="n">
        <v>0</v>
      </c>
      <c r="I345" t="n">
        <v>0</v>
      </c>
      <c r="J345" t="n">
        <v>0</v>
      </c>
      <c r="K345" t="n">
        <v>0</v>
      </c>
      <c r="L345" t="n">
        <v>0</v>
      </c>
      <c r="M345" t="n">
        <v>0</v>
      </c>
      <c r="N345" t="n">
        <v>0</v>
      </c>
      <c r="O345" t="n">
        <v>0</v>
      </c>
      <c r="P345" t="n">
        <v>0</v>
      </c>
      <c r="Q345" t="n">
        <v>0</v>
      </c>
      <c r="R345" s="2" t="inlineStr"/>
    </row>
    <row r="346" ht="15" customHeight="1">
      <c r="A346" t="inlineStr">
        <is>
          <t>A 37591-2021</t>
        </is>
      </c>
      <c r="B346" s="1" t="n">
        <v>44399</v>
      </c>
      <c r="C346" s="1" t="n">
        <v>45344</v>
      </c>
      <c r="D346" t="inlineStr">
        <is>
          <t>JÄMTLANDS LÄN</t>
        </is>
      </c>
      <c r="E346" t="inlineStr">
        <is>
          <t>BERG</t>
        </is>
      </c>
      <c r="G346" t="n">
        <v>1.9</v>
      </c>
      <c r="H346" t="n">
        <v>0</v>
      </c>
      <c r="I346" t="n">
        <v>0</v>
      </c>
      <c r="J346" t="n">
        <v>0</v>
      </c>
      <c r="K346" t="n">
        <v>0</v>
      </c>
      <c r="L346" t="n">
        <v>0</v>
      </c>
      <c r="M346" t="n">
        <v>0</v>
      </c>
      <c r="N346" t="n">
        <v>0</v>
      </c>
      <c r="O346" t="n">
        <v>0</v>
      </c>
      <c r="P346" t="n">
        <v>0</v>
      </c>
      <c r="Q346" t="n">
        <v>0</v>
      </c>
      <c r="R346" s="2" t="inlineStr"/>
    </row>
    <row r="347" ht="15" customHeight="1">
      <c r="A347" t="inlineStr">
        <is>
          <t>A 37586-2021</t>
        </is>
      </c>
      <c r="B347" s="1" t="n">
        <v>44399</v>
      </c>
      <c r="C347" s="1" t="n">
        <v>45344</v>
      </c>
      <c r="D347" t="inlineStr">
        <is>
          <t>JÄMTLANDS LÄN</t>
        </is>
      </c>
      <c r="E347" t="inlineStr">
        <is>
          <t>BERG</t>
        </is>
      </c>
      <c r="G347" t="n">
        <v>15.4</v>
      </c>
      <c r="H347" t="n">
        <v>0</v>
      </c>
      <c r="I347" t="n">
        <v>0</v>
      </c>
      <c r="J347" t="n">
        <v>0</v>
      </c>
      <c r="K347" t="n">
        <v>0</v>
      </c>
      <c r="L347" t="n">
        <v>0</v>
      </c>
      <c r="M347" t="n">
        <v>0</v>
      </c>
      <c r="N347" t="n">
        <v>0</v>
      </c>
      <c r="O347" t="n">
        <v>0</v>
      </c>
      <c r="P347" t="n">
        <v>0</v>
      </c>
      <c r="Q347" t="n">
        <v>0</v>
      </c>
      <c r="R347" s="2" t="inlineStr"/>
    </row>
    <row r="348" ht="15" customHeight="1">
      <c r="A348" t="inlineStr">
        <is>
          <t>A 37589-2021</t>
        </is>
      </c>
      <c r="B348" s="1" t="n">
        <v>44399</v>
      </c>
      <c r="C348" s="1" t="n">
        <v>45344</v>
      </c>
      <c r="D348" t="inlineStr">
        <is>
          <t>JÄMTLANDS LÄN</t>
        </is>
      </c>
      <c r="E348" t="inlineStr">
        <is>
          <t>BERG</t>
        </is>
      </c>
      <c r="G348" t="n">
        <v>8.6</v>
      </c>
      <c r="H348" t="n">
        <v>0</v>
      </c>
      <c r="I348" t="n">
        <v>0</v>
      </c>
      <c r="J348" t="n">
        <v>0</v>
      </c>
      <c r="K348" t="n">
        <v>0</v>
      </c>
      <c r="L348" t="n">
        <v>0</v>
      </c>
      <c r="M348" t="n">
        <v>0</v>
      </c>
      <c r="N348" t="n">
        <v>0</v>
      </c>
      <c r="O348" t="n">
        <v>0</v>
      </c>
      <c r="P348" t="n">
        <v>0</v>
      </c>
      <c r="Q348" t="n">
        <v>0</v>
      </c>
      <c r="R348" s="2" t="inlineStr"/>
    </row>
    <row r="349" ht="15" customHeight="1">
      <c r="A349" t="inlineStr">
        <is>
          <t>A 37588-2021</t>
        </is>
      </c>
      <c r="B349" s="1" t="n">
        <v>44399</v>
      </c>
      <c r="C349" s="1" t="n">
        <v>45344</v>
      </c>
      <c r="D349" t="inlineStr">
        <is>
          <t>JÄMTLANDS LÄN</t>
        </is>
      </c>
      <c r="E349" t="inlineStr">
        <is>
          <t>BERG</t>
        </is>
      </c>
      <c r="G349" t="n">
        <v>4</v>
      </c>
      <c r="H349" t="n">
        <v>0</v>
      </c>
      <c r="I349" t="n">
        <v>0</v>
      </c>
      <c r="J349" t="n">
        <v>0</v>
      </c>
      <c r="K349" t="n">
        <v>0</v>
      </c>
      <c r="L349" t="n">
        <v>0</v>
      </c>
      <c r="M349" t="n">
        <v>0</v>
      </c>
      <c r="N349" t="n">
        <v>0</v>
      </c>
      <c r="O349" t="n">
        <v>0</v>
      </c>
      <c r="P349" t="n">
        <v>0</v>
      </c>
      <c r="Q349" t="n">
        <v>0</v>
      </c>
      <c r="R349" s="2" t="inlineStr"/>
    </row>
    <row r="350" ht="15" customHeight="1">
      <c r="A350" t="inlineStr">
        <is>
          <t>A 37687-2021</t>
        </is>
      </c>
      <c r="B350" s="1" t="n">
        <v>44400</v>
      </c>
      <c r="C350" s="1" t="n">
        <v>45344</v>
      </c>
      <c r="D350" t="inlineStr">
        <is>
          <t>JÄMTLANDS LÄN</t>
        </is>
      </c>
      <c r="E350" t="inlineStr">
        <is>
          <t>BERG</t>
        </is>
      </c>
      <c r="F350" t="inlineStr">
        <is>
          <t>Sveaskog</t>
        </is>
      </c>
      <c r="G350" t="n">
        <v>15.7</v>
      </c>
      <c r="H350" t="n">
        <v>0</v>
      </c>
      <c r="I350" t="n">
        <v>0</v>
      </c>
      <c r="J350" t="n">
        <v>0</v>
      </c>
      <c r="K350" t="n">
        <v>0</v>
      </c>
      <c r="L350" t="n">
        <v>0</v>
      </c>
      <c r="M350" t="n">
        <v>0</v>
      </c>
      <c r="N350" t="n">
        <v>0</v>
      </c>
      <c r="O350" t="n">
        <v>0</v>
      </c>
      <c r="P350" t="n">
        <v>0</v>
      </c>
      <c r="Q350" t="n">
        <v>0</v>
      </c>
      <c r="R350" s="2" t="inlineStr"/>
    </row>
    <row r="351" ht="15" customHeight="1">
      <c r="A351" t="inlineStr">
        <is>
          <t>A 39943-2021</t>
        </is>
      </c>
      <c r="B351" s="1" t="n">
        <v>44417</v>
      </c>
      <c r="C351" s="1" t="n">
        <v>45344</v>
      </c>
      <c r="D351" t="inlineStr">
        <is>
          <t>JÄMTLANDS LÄN</t>
        </is>
      </c>
      <c r="E351" t="inlineStr">
        <is>
          <t>BERG</t>
        </is>
      </c>
      <c r="F351" t="inlineStr">
        <is>
          <t>SCA</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44088-2021</t>
        </is>
      </c>
      <c r="B352" s="1" t="n">
        <v>44434</v>
      </c>
      <c r="C352" s="1" t="n">
        <v>45344</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44911-2021</t>
        </is>
      </c>
      <c r="B353" s="1" t="n">
        <v>44435</v>
      </c>
      <c r="C353" s="1" t="n">
        <v>45344</v>
      </c>
      <c r="D353" t="inlineStr">
        <is>
          <t>JÄMTLANDS LÄN</t>
        </is>
      </c>
      <c r="E353" t="inlineStr">
        <is>
          <t>BERG</t>
        </is>
      </c>
      <c r="G353" t="n">
        <v>1.3</v>
      </c>
      <c r="H353" t="n">
        <v>0</v>
      </c>
      <c r="I353" t="n">
        <v>0</v>
      </c>
      <c r="J353" t="n">
        <v>0</v>
      </c>
      <c r="K353" t="n">
        <v>0</v>
      </c>
      <c r="L353" t="n">
        <v>0</v>
      </c>
      <c r="M353" t="n">
        <v>0</v>
      </c>
      <c r="N353" t="n">
        <v>0</v>
      </c>
      <c r="O353" t="n">
        <v>0</v>
      </c>
      <c r="P353" t="n">
        <v>0</v>
      </c>
      <c r="Q353" t="n">
        <v>0</v>
      </c>
      <c r="R353" s="2" t="inlineStr"/>
    </row>
    <row r="354" ht="15" customHeight="1">
      <c r="A354" t="inlineStr">
        <is>
          <t>A 44997-2021</t>
        </is>
      </c>
      <c r="B354" s="1" t="n">
        <v>44438</v>
      </c>
      <c r="C354" s="1" t="n">
        <v>45344</v>
      </c>
      <c r="D354" t="inlineStr">
        <is>
          <t>JÄMTLANDS LÄN</t>
        </is>
      </c>
      <c r="E354" t="inlineStr">
        <is>
          <t>BERG</t>
        </is>
      </c>
      <c r="G354" t="n">
        <v>3.8</v>
      </c>
      <c r="H354" t="n">
        <v>0</v>
      </c>
      <c r="I354" t="n">
        <v>0</v>
      </c>
      <c r="J354" t="n">
        <v>0</v>
      </c>
      <c r="K354" t="n">
        <v>0</v>
      </c>
      <c r="L354" t="n">
        <v>0</v>
      </c>
      <c r="M354" t="n">
        <v>0</v>
      </c>
      <c r="N354" t="n">
        <v>0</v>
      </c>
      <c r="O354" t="n">
        <v>0</v>
      </c>
      <c r="P354" t="n">
        <v>0</v>
      </c>
      <c r="Q354" t="n">
        <v>0</v>
      </c>
      <c r="R354" s="2" t="inlineStr"/>
    </row>
    <row r="355" ht="15" customHeight="1">
      <c r="A355" t="inlineStr">
        <is>
          <t>A 45349-2021</t>
        </is>
      </c>
      <c r="B355" s="1" t="n">
        <v>44440</v>
      </c>
      <c r="C355" s="1" t="n">
        <v>45344</v>
      </c>
      <c r="D355" t="inlineStr">
        <is>
          <t>JÄMTLANDS LÄN</t>
        </is>
      </c>
      <c r="E355" t="inlineStr">
        <is>
          <t>BERG</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46115-2021</t>
        </is>
      </c>
      <c r="B356" s="1" t="n">
        <v>44441</v>
      </c>
      <c r="C356" s="1" t="n">
        <v>45344</v>
      </c>
      <c r="D356" t="inlineStr">
        <is>
          <t>JÄMTLANDS LÄN</t>
        </is>
      </c>
      <c r="E356" t="inlineStr">
        <is>
          <t>BERG</t>
        </is>
      </c>
      <c r="G356" t="n">
        <v>15.1</v>
      </c>
      <c r="H356" t="n">
        <v>0</v>
      </c>
      <c r="I356" t="n">
        <v>0</v>
      </c>
      <c r="J356" t="n">
        <v>0</v>
      </c>
      <c r="K356" t="n">
        <v>0</v>
      </c>
      <c r="L356" t="n">
        <v>0</v>
      </c>
      <c r="M356" t="n">
        <v>0</v>
      </c>
      <c r="N356" t="n">
        <v>0</v>
      </c>
      <c r="O356" t="n">
        <v>0</v>
      </c>
      <c r="P356" t="n">
        <v>0</v>
      </c>
      <c r="Q356" t="n">
        <v>0</v>
      </c>
      <c r="R356" s="2" t="inlineStr"/>
    </row>
    <row r="357" ht="15" customHeight="1">
      <c r="A357" t="inlineStr">
        <is>
          <t>A 46515-2021</t>
        </is>
      </c>
      <c r="B357" s="1" t="n">
        <v>44445</v>
      </c>
      <c r="C357" s="1" t="n">
        <v>45344</v>
      </c>
      <c r="D357" t="inlineStr">
        <is>
          <t>JÄMTLANDS LÄN</t>
        </is>
      </c>
      <c r="E357" t="inlineStr">
        <is>
          <t>BERG</t>
        </is>
      </c>
      <c r="G357" t="n">
        <v>1.1</v>
      </c>
      <c r="H357" t="n">
        <v>0</v>
      </c>
      <c r="I357" t="n">
        <v>0</v>
      </c>
      <c r="J357" t="n">
        <v>0</v>
      </c>
      <c r="K357" t="n">
        <v>0</v>
      </c>
      <c r="L357" t="n">
        <v>0</v>
      </c>
      <c r="M357" t="n">
        <v>0</v>
      </c>
      <c r="N357" t="n">
        <v>0</v>
      </c>
      <c r="O357" t="n">
        <v>0</v>
      </c>
      <c r="P357" t="n">
        <v>0</v>
      </c>
      <c r="Q357" t="n">
        <v>0</v>
      </c>
      <c r="R357" s="2" t="inlineStr"/>
    </row>
    <row r="358" ht="15" customHeight="1">
      <c r="A358" t="inlineStr">
        <is>
          <t>A 46853-2021</t>
        </is>
      </c>
      <c r="B358" s="1" t="n">
        <v>44446</v>
      </c>
      <c r="C358" s="1" t="n">
        <v>45344</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46937-2021</t>
        </is>
      </c>
      <c r="B359" s="1" t="n">
        <v>44446</v>
      </c>
      <c r="C359" s="1" t="n">
        <v>45344</v>
      </c>
      <c r="D359" t="inlineStr">
        <is>
          <t>JÄMTLANDS LÄN</t>
        </is>
      </c>
      <c r="E359" t="inlineStr">
        <is>
          <t>BERG</t>
        </is>
      </c>
      <c r="G359" t="n">
        <v>3</v>
      </c>
      <c r="H359" t="n">
        <v>0</v>
      </c>
      <c r="I359" t="n">
        <v>0</v>
      </c>
      <c r="J359" t="n">
        <v>0</v>
      </c>
      <c r="K359" t="n">
        <v>0</v>
      </c>
      <c r="L359" t="n">
        <v>0</v>
      </c>
      <c r="M359" t="n">
        <v>0</v>
      </c>
      <c r="N359" t="n">
        <v>0</v>
      </c>
      <c r="O359" t="n">
        <v>0</v>
      </c>
      <c r="P359" t="n">
        <v>0</v>
      </c>
      <c r="Q359" t="n">
        <v>0</v>
      </c>
      <c r="R359" s="2" t="inlineStr"/>
    </row>
    <row r="360" ht="15" customHeight="1">
      <c r="A360" t="inlineStr">
        <is>
          <t>A 50453-2021</t>
        </is>
      </c>
      <c r="B360" s="1" t="n">
        <v>44455</v>
      </c>
      <c r="C360" s="1" t="n">
        <v>45344</v>
      </c>
      <c r="D360" t="inlineStr">
        <is>
          <t>JÄMTLANDS LÄN</t>
        </is>
      </c>
      <c r="E360" t="inlineStr">
        <is>
          <t>BERG</t>
        </is>
      </c>
      <c r="G360" t="n">
        <v>3.9</v>
      </c>
      <c r="H360" t="n">
        <v>0</v>
      </c>
      <c r="I360" t="n">
        <v>0</v>
      </c>
      <c r="J360" t="n">
        <v>0</v>
      </c>
      <c r="K360" t="n">
        <v>0</v>
      </c>
      <c r="L360" t="n">
        <v>0</v>
      </c>
      <c r="M360" t="n">
        <v>0</v>
      </c>
      <c r="N360" t="n">
        <v>0</v>
      </c>
      <c r="O360" t="n">
        <v>0</v>
      </c>
      <c r="P360" t="n">
        <v>0</v>
      </c>
      <c r="Q360" t="n">
        <v>0</v>
      </c>
      <c r="R360" s="2" t="inlineStr"/>
    </row>
    <row r="361" ht="15" customHeight="1">
      <c r="A361" t="inlineStr">
        <is>
          <t>A 50780-2021</t>
        </is>
      </c>
      <c r="B361" s="1" t="n">
        <v>44459</v>
      </c>
      <c r="C361" s="1" t="n">
        <v>45344</v>
      </c>
      <c r="D361" t="inlineStr">
        <is>
          <t>JÄMTLANDS LÄN</t>
        </is>
      </c>
      <c r="E361" t="inlineStr">
        <is>
          <t>BERG</t>
        </is>
      </c>
      <c r="G361" t="n">
        <v>3.5</v>
      </c>
      <c r="H361" t="n">
        <v>0</v>
      </c>
      <c r="I361" t="n">
        <v>0</v>
      </c>
      <c r="J361" t="n">
        <v>0</v>
      </c>
      <c r="K361" t="n">
        <v>0</v>
      </c>
      <c r="L361" t="n">
        <v>0</v>
      </c>
      <c r="M361" t="n">
        <v>0</v>
      </c>
      <c r="N361" t="n">
        <v>0</v>
      </c>
      <c r="O361" t="n">
        <v>0</v>
      </c>
      <c r="P361" t="n">
        <v>0</v>
      </c>
      <c r="Q361" t="n">
        <v>0</v>
      </c>
      <c r="R361" s="2" t="inlineStr"/>
    </row>
    <row r="362" ht="15" customHeight="1">
      <c r="A362" t="inlineStr">
        <is>
          <t>A 51951-2021</t>
        </is>
      </c>
      <c r="B362" s="1" t="n">
        <v>44462</v>
      </c>
      <c r="C362" s="1" t="n">
        <v>45344</v>
      </c>
      <c r="D362" t="inlineStr">
        <is>
          <t>JÄMTLANDS LÄN</t>
        </is>
      </c>
      <c r="E362" t="inlineStr">
        <is>
          <t>BERG</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54766-2021</t>
        </is>
      </c>
      <c r="B363" s="1" t="n">
        <v>44473</v>
      </c>
      <c r="C363" s="1" t="n">
        <v>45344</v>
      </c>
      <c r="D363" t="inlineStr">
        <is>
          <t>JÄMTLANDS LÄN</t>
        </is>
      </c>
      <c r="E363" t="inlineStr">
        <is>
          <t>BERG</t>
        </is>
      </c>
      <c r="F363" t="inlineStr">
        <is>
          <t>SCA</t>
        </is>
      </c>
      <c r="G363" t="n">
        <v>7.9</v>
      </c>
      <c r="H363" t="n">
        <v>0</v>
      </c>
      <c r="I363" t="n">
        <v>0</v>
      </c>
      <c r="J363" t="n">
        <v>0</v>
      </c>
      <c r="K363" t="n">
        <v>0</v>
      </c>
      <c r="L363" t="n">
        <v>0</v>
      </c>
      <c r="M363" t="n">
        <v>0</v>
      </c>
      <c r="N363" t="n">
        <v>0</v>
      </c>
      <c r="O363" t="n">
        <v>0</v>
      </c>
      <c r="P363" t="n">
        <v>0</v>
      </c>
      <c r="Q363" t="n">
        <v>0</v>
      </c>
      <c r="R363" s="2" t="inlineStr"/>
    </row>
    <row r="364" ht="15" customHeight="1">
      <c r="A364" t="inlineStr">
        <is>
          <t>A 54799-2021</t>
        </is>
      </c>
      <c r="B364" s="1" t="n">
        <v>44473</v>
      </c>
      <c r="C364" s="1" t="n">
        <v>45344</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54802-2021</t>
        </is>
      </c>
      <c r="B365" s="1" t="n">
        <v>44473</v>
      </c>
      <c r="C365" s="1" t="n">
        <v>45344</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56220-2021</t>
        </is>
      </c>
      <c r="B366" s="1" t="n">
        <v>44477</v>
      </c>
      <c r="C366" s="1" t="n">
        <v>45344</v>
      </c>
      <c r="D366" t="inlineStr">
        <is>
          <t>JÄMTLANDS LÄN</t>
        </is>
      </c>
      <c r="E366" t="inlineStr">
        <is>
          <t>BERG</t>
        </is>
      </c>
      <c r="F366" t="inlineStr">
        <is>
          <t>SCA</t>
        </is>
      </c>
      <c r="G366" t="n">
        <v>12.8</v>
      </c>
      <c r="H366" t="n">
        <v>0</v>
      </c>
      <c r="I366" t="n">
        <v>0</v>
      </c>
      <c r="J366" t="n">
        <v>0</v>
      </c>
      <c r="K366" t="n">
        <v>0</v>
      </c>
      <c r="L366" t="n">
        <v>0</v>
      </c>
      <c r="M366" t="n">
        <v>0</v>
      </c>
      <c r="N366" t="n">
        <v>0</v>
      </c>
      <c r="O366" t="n">
        <v>0</v>
      </c>
      <c r="P366" t="n">
        <v>0</v>
      </c>
      <c r="Q366" t="n">
        <v>0</v>
      </c>
      <c r="R366" s="2" t="inlineStr"/>
    </row>
    <row r="367" ht="15" customHeight="1">
      <c r="A367" t="inlineStr">
        <is>
          <t>A 56202-2021</t>
        </is>
      </c>
      <c r="B367" s="1" t="n">
        <v>44477</v>
      </c>
      <c r="C367" s="1" t="n">
        <v>45344</v>
      </c>
      <c r="D367" t="inlineStr">
        <is>
          <t>JÄMTLANDS LÄN</t>
        </is>
      </c>
      <c r="E367" t="inlineStr">
        <is>
          <t>BERG</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57949-2021</t>
        </is>
      </c>
      <c r="B368" s="1" t="n">
        <v>44487</v>
      </c>
      <c r="C368" s="1" t="n">
        <v>45344</v>
      </c>
      <c r="D368" t="inlineStr">
        <is>
          <t>JÄMTLANDS LÄN</t>
        </is>
      </c>
      <c r="E368" t="inlineStr">
        <is>
          <t>BERG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58088-2021</t>
        </is>
      </c>
      <c r="B369" s="1" t="n">
        <v>44487</v>
      </c>
      <c r="C369" s="1" t="n">
        <v>45344</v>
      </c>
      <c r="D369" t="inlineStr">
        <is>
          <t>JÄMTLANDS LÄN</t>
        </is>
      </c>
      <c r="E369" t="inlineStr">
        <is>
          <t>BERG</t>
        </is>
      </c>
      <c r="F369" t="inlineStr">
        <is>
          <t>Sveaskog</t>
        </is>
      </c>
      <c r="G369" t="n">
        <v>10.7</v>
      </c>
      <c r="H369" t="n">
        <v>0</v>
      </c>
      <c r="I369" t="n">
        <v>0</v>
      </c>
      <c r="J369" t="n">
        <v>0</v>
      </c>
      <c r="K369" t="n">
        <v>0</v>
      </c>
      <c r="L369" t="n">
        <v>0</v>
      </c>
      <c r="M369" t="n">
        <v>0</v>
      </c>
      <c r="N369" t="n">
        <v>0</v>
      </c>
      <c r="O369" t="n">
        <v>0</v>
      </c>
      <c r="P369" t="n">
        <v>0</v>
      </c>
      <c r="Q369" t="n">
        <v>0</v>
      </c>
      <c r="R369" s="2" t="inlineStr"/>
    </row>
    <row r="370" ht="15" customHeight="1">
      <c r="A370" t="inlineStr">
        <is>
          <t>A 58157-2021</t>
        </is>
      </c>
      <c r="B370" s="1" t="n">
        <v>44487</v>
      </c>
      <c r="C370" s="1" t="n">
        <v>45344</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58151-2021</t>
        </is>
      </c>
      <c r="B371" s="1" t="n">
        <v>44487</v>
      </c>
      <c r="C371" s="1" t="n">
        <v>45344</v>
      </c>
      <c r="D371" t="inlineStr">
        <is>
          <t>JÄMTLANDS LÄN</t>
        </is>
      </c>
      <c r="E371" t="inlineStr">
        <is>
          <t>BERG</t>
        </is>
      </c>
      <c r="G371" t="n">
        <v>1.9</v>
      </c>
      <c r="H371" t="n">
        <v>0</v>
      </c>
      <c r="I371" t="n">
        <v>0</v>
      </c>
      <c r="J371" t="n">
        <v>0</v>
      </c>
      <c r="K371" t="n">
        <v>0</v>
      </c>
      <c r="L371" t="n">
        <v>0</v>
      </c>
      <c r="M371" t="n">
        <v>0</v>
      </c>
      <c r="N371" t="n">
        <v>0</v>
      </c>
      <c r="O371" t="n">
        <v>0</v>
      </c>
      <c r="P371" t="n">
        <v>0</v>
      </c>
      <c r="Q371" t="n">
        <v>0</v>
      </c>
      <c r="R371" s="2" t="inlineStr"/>
    </row>
    <row r="372" ht="15" customHeight="1">
      <c r="A372" t="inlineStr">
        <is>
          <t>A 59023-2021</t>
        </is>
      </c>
      <c r="B372" s="1" t="n">
        <v>44490</v>
      </c>
      <c r="C372" s="1" t="n">
        <v>45344</v>
      </c>
      <c r="D372" t="inlineStr">
        <is>
          <t>JÄMTLANDS LÄN</t>
        </is>
      </c>
      <c r="E372" t="inlineStr">
        <is>
          <t>BERG</t>
        </is>
      </c>
      <c r="F372" t="inlineStr">
        <is>
          <t>Kyrkan</t>
        </is>
      </c>
      <c r="G372" t="n">
        <v>9.1</v>
      </c>
      <c r="H372" t="n">
        <v>0</v>
      </c>
      <c r="I372" t="n">
        <v>0</v>
      </c>
      <c r="J372" t="n">
        <v>0</v>
      </c>
      <c r="K372" t="n">
        <v>0</v>
      </c>
      <c r="L372" t="n">
        <v>0</v>
      </c>
      <c r="M372" t="n">
        <v>0</v>
      </c>
      <c r="N372" t="n">
        <v>0</v>
      </c>
      <c r="O372" t="n">
        <v>0</v>
      </c>
      <c r="P372" t="n">
        <v>0</v>
      </c>
      <c r="Q372" t="n">
        <v>0</v>
      </c>
      <c r="R372" s="2" t="inlineStr"/>
    </row>
    <row r="373" ht="15" customHeight="1">
      <c r="A373" t="inlineStr">
        <is>
          <t>A 59245-2021</t>
        </is>
      </c>
      <c r="B373" s="1" t="n">
        <v>44490</v>
      </c>
      <c r="C373" s="1" t="n">
        <v>45344</v>
      </c>
      <c r="D373" t="inlineStr">
        <is>
          <t>JÄMTLANDS LÄN</t>
        </is>
      </c>
      <c r="E373" t="inlineStr">
        <is>
          <t>BERG</t>
        </is>
      </c>
      <c r="G373" t="n">
        <v>15.8</v>
      </c>
      <c r="H373" t="n">
        <v>0</v>
      </c>
      <c r="I373" t="n">
        <v>0</v>
      </c>
      <c r="J373" t="n">
        <v>0</v>
      </c>
      <c r="K373" t="n">
        <v>0</v>
      </c>
      <c r="L373" t="n">
        <v>0</v>
      </c>
      <c r="M373" t="n">
        <v>0</v>
      </c>
      <c r="N373" t="n">
        <v>0</v>
      </c>
      <c r="O373" t="n">
        <v>0</v>
      </c>
      <c r="P373" t="n">
        <v>0</v>
      </c>
      <c r="Q373" t="n">
        <v>0</v>
      </c>
      <c r="R373" s="2" t="inlineStr"/>
    </row>
    <row r="374" ht="15" customHeight="1">
      <c r="A374" t="inlineStr">
        <is>
          <t>A 62661-2021</t>
        </is>
      </c>
      <c r="B374" s="1" t="n">
        <v>44503</v>
      </c>
      <c r="C374" s="1" t="n">
        <v>45344</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64709-2021</t>
        </is>
      </c>
      <c r="B375" s="1" t="n">
        <v>44512</v>
      </c>
      <c r="C375" s="1" t="n">
        <v>45344</v>
      </c>
      <c r="D375" t="inlineStr">
        <is>
          <t>JÄMTLANDS LÄN</t>
        </is>
      </c>
      <c r="E375" t="inlineStr">
        <is>
          <t>BERG</t>
        </is>
      </c>
      <c r="G375" t="n">
        <v>1.1</v>
      </c>
      <c r="H375" t="n">
        <v>0</v>
      </c>
      <c r="I375" t="n">
        <v>0</v>
      </c>
      <c r="J375" t="n">
        <v>0</v>
      </c>
      <c r="K375" t="n">
        <v>0</v>
      </c>
      <c r="L375" t="n">
        <v>0</v>
      </c>
      <c r="M375" t="n">
        <v>0</v>
      </c>
      <c r="N375" t="n">
        <v>0</v>
      </c>
      <c r="O375" t="n">
        <v>0</v>
      </c>
      <c r="P375" t="n">
        <v>0</v>
      </c>
      <c r="Q375" t="n">
        <v>0</v>
      </c>
      <c r="R375" s="2" t="inlineStr"/>
    </row>
    <row r="376" ht="15" customHeight="1">
      <c r="A376" t="inlineStr">
        <is>
          <t>A 68441-2021</t>
        </is>
      </c>
      <c r="B376" s="1" t="n">
        <v>44529</v>
      </c>
      <c r="C376" s="1" t="n">
        <v>45344</v>
      </c>
      <c r="D376" t="inlineStr">
        <is>
          <t>JÄMTLANDS LÄN</t>
        </is>
      </c>
      <c r="E376" t="inlineStr">
        <is>
          <t>BERG</t>
        </is>
      </c>
      <c r="G376" t="n">
        <v>2.6</v>
      </c>
      <c r="H376" t="n">
        <v>0</v>
      </c>
      <c r="I376" t="n">
        <v>0</v>
      </c>
      <c r="J376" t="n">
        <v>0</v>
      </c>
      <c r="K376" t="n">
        <v>0</v>
      </c>
      <c r="L376" t="n">
        <v>0</v>
      </c>
      <c r="M376" t="n">
        <v>0</v>
      </c>
      <c r="N376" t="n">
        <v>0</v>
      </c>
      <c r="O376" t="n">
        <v>0</v>
      </c>
      <c r="P376" t="n">
        <v>0</v>
      </c>
      <c r="Q376" t="n">
        <v>0</v>
      </c>
      <c r="R376" s="2" t="inlineStr"/>
    </row>
    <row r="377" ht="15" customHeight="1">
      <c r="A377" t="inlineStr">
        <is>
          <t>A 68450-2021</t>
        </is>
      </c>
      <c r="B377" s="1" t="n">
        <v>44529</v>
      </c>
      <c r="C377" s="1" t="n">
        <v>45344</v>
      </c>
      <c r="D377" t="inlineStr">
        <is>
          <t>JÄMTLANDS LÄN</t>
        </is>
      </c>
      <c r="E377" t="inlineStr">
        <is>
          <t>BERG</t>
        </is>
      </c>
      <c r="G377" t="n">
        <v>7.3</v>
      </c>
      <c r="H377" t="n">
        <v>0</v>
      </c>
      <c r="I377" t="n">
        <v>0</v>
      </c>
      <c r="J377" t="n">
        <v>0</v>
      </c>
      <c r="K377" t="n">
        <v>0</v>
      </c>
      <c r="L377" t="n">
        <v>0</v>
      </c>
      <c r="M377" t="n">
        <v>0</v>
      </c>
      <c r="N377" t="n">
        <v>0</v>
      </c>
      <c r="O377" t="n">
        <v>0</v>
      </c>
      <c r="P377" t="n">
        <v>0</v>
      </c>
      <c r="Q377" t="n">
        <v>0</v>
      </c>
      <c r="R377" s="2" t="inlineStr"/>
    </row>
    <row r="378" ht="15" customHeight="1">
      <c r="A378" t="inlineStr">
        <is>
          <t>A 68468-2021</t>
        </is>
      </c>
      <c r="B378" s="1" t="n">
        <v>44529</v>
      </c>
      <c r="C378" s="1" t="n">
        <v>45344</v>
      </c>
      <c r="D378" t="inlineStr">
        <is>
          <t>JÄMTLANDS LÄN</t>
        </is>
      </c>
      <c r="E378" t="inlineStr">
        <is>
          <t>BERG</t>
        </is>
      </c>
      <c r="G378" t="n">
        <v>4.6</v>
      </c>
      <c r="H378" t="n">
        <v>0</v>
      </c>
      <c r="I378" t="n">
        <v>0</v>
      </c>
      <c r="J378" t="n">
        <v>0</v>
      </c>
      <c r="K378" t="n">
        <v>0</v>
      </c>
      <c r="L378" t="n">
        <v>0</v>
      </c>
      <c r="M378" t="n">
        <v>0</v>
      </c>
      <c r="N378" t="n">
        <v>0</v>
      </c>
      <c r="O378" t="n">
        <v>0</v>
      </c>
      <c r="P378" t="n">
        <v>0</v>
      </c>
      <c r="Q378" t="n">
        <v>0</v>
      </c>
      <c r="R378" s="2" t="inlineStr"/>
    </row>
    <row r="379" ht="15" customHeight="1">
      <c r="A379" t="inlineStr">
        <is>
          <t>A 68483-2021</t>
        </is>
      </c>
      <c r="B379" s="1" t="n">
        <v>44529</v>
      </c>
      <c r="C379" s="1" t="n">
        <v>45344</v>
      </c>
      <c r="D379" t="inlineStr">
        <is>
          <t>JÄMTLANDS LÄN</t>
        </is>
      </c>
      <c r="E379" t="inlineStr">
        <is>
          <t>BERG</t>
        </is>
      </c>
      <c r="G379" t="n">
        <v>1.2</v>
      </c>
      <c r="H379" t="n">
        <v>0</v>
      </c>
      <c r="I379" t="n">
        <v>0</v>
      </c>
      <c r="J379" t="n">
        <v>0</v>
      </c>
      <c r="K379" t="n">
        <v>0</v>
      </c>
      <c r="L379" t="n">
        <v>0</v>
      </c>
      <c r="M379" t="n">
        <v>0</v>
      </c>
      <c r="N379" t="n">
        <v>0</v>
      </c>
      <c r="O379" t="n">
        <v>0</v>
      </c>
      <c r="P379" t="n">
        <v>0</v>
      </c>
      <c r="Q379" t="n">
        <v>0</v>
      </c>
      <c r="R379" s="2" t="inlineStr"/>
    </row>
    <row r="380" ht="15" customHeight="1">
      <c r="A380" t="inlineStr">
        <is>
          <t>A 68854-2021</t>
        </is>
      </c>
      <c r="B380" s="1" t="n">
        <v>44530</v>
      </c>
      <c r="C380" s="1" t="n">
        <v>45344</v>
      </c>
      <c r="D380" t="inlineStr">
        <is>
          <t>JÄMTLANDS LÄN</t>
        </is>
      </c>
      <c r="E380" t="inlineStr">
        <is>
          <t>BERG</t>
        </is>
      </c>
      <c r="G380" t="n">
        <v>3.3</v>
      </c>
      <c r="H380" t="n">
        <v>0</v>
      </c>
      <c r="I380" t="n">
        <v>0</v>
      </c>
      <c r="J380" t="n">
        <v>0</v>
      </c>
      <c r="K380" t="n">
        <v>0</v>
      </c>
      <c r="L380" t="n">
        <v>0</v>
      </c>
      <c r="M380" t="n">
        <v>0</v>
      </c>
      <c r="N380" t="n">
        <v>0</v>
      </c>
      <c r="O380" t="n">
        <v>0</v>
      </c>
      <c r="P380" t="n">
        <v>0</v>
      </c>
      <c r="Q380" t="n">
        <v>0</v>
      </c>
      <c r="R380" s="2" t="inlineStr"/>
    </row>
    <row r="381" ht="15" customHeight="1">
      <c r="A381" t="inlineStr">
        <is>
          <t>A 70463-2021</t>
        </is>
      </c>
      <c r="B381" s="1" t="n">
        <v>44536</v>
      </c>
      <c r="C381" s="1" t="n">
        <v>45344</v>
      </c>
      <c r="D381" t="inlineStr">
        <is>
          <t>JÄMTLANDS LÄN</t>
        </is>
      </c>
      <c r="E381" t="inlineStr">
        <is>
          <t>BERG</t>
        </is>
      </c>
      <c r="G381" t="n">
        <v>10.8</v>
      </c>
      <c r="H381" t="n">
        <v>0</v>
      </c>
      <c r="I381" t="n">
        <v>0</v>
      </c>
      <c r="J381" t="n">
        <v>0</v>
      </c>
      <c r="K381" t="n">
        <v>0</v>
      </c>
      <c r="L381" t="n">
        <v>0</v>
      </c>
      <c r="M381" t="n">
        <v>0</v>
      </c>
      <c r="N381" t="n">
        <v>0</v>
      </c>
      <c r="O381" t="n">
        <v>0</v>
      </c>
      <c r="P381" t="n">
        <v>0</v>
      </c>
      <c r="Q381" t="n">
        <v>0</v>
      </c>
      <c r="R381" s="2" t="inlineStr"/>
    </row>
    <row r="382" ht="15" customHeight="1">
      <c r="A382" t="inlineStr">
        <is>
          <t>A 70570-2021</t>
        </is>
      </c>
      <c r="B382" s="1" t="n">
        <v>44536</v>
      </c>
      <c r="C382" s="1" t="n">
        <v>45344</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70468-2021</t>
        </is>
      </c>
      <c r="B383" s="1" t="n">
        <v>44536</v>
      </c>
      <c r="C383" s="1" t="n">
        <v>45344</v>
      </c>
      <c r="D383" t="inlineStr">
        <is>
          <t>JÄMTLANDS LÄN</t>
        </is>
      </c>
      <c r="E383" t="inlineStr">
        <is>
          <t>BERG</t>
        </is>
      </c>
      <c r="G383" t="n">
        <v>3.9</v>
      </c>
      <c r="H383" t="n">
        <v>0</v>
      </c>
      <c r="I383" t="n">
        <v>0</v>
      </c>
      <c r="J383" t="n">
        <v>0</v>
      </c>
      <c r="K383" t="n">
        <v>0</v>
      </c>
      <c r="L383" t="n">
        <v>0</v>
      </c>
      <c r="M383" t="n">
        <v>0</v>
      </c>
      <c r="N383" t="n">
        <v>0</v>
      </c>
      <c r="O383" t="n">
        <v>0</v>
      </c>
      <c r="P383" t="n">
        <v>0</v>
      </c>
      <c r="Q383" t="n">
        <v>0</v>
      </c>
      <c r="R383" s="2" t="inlineStr"/>
    </row>
    <row r="384" ht="15" customHeight="1">
      <c r="A384" t="inlineStr">
        <is>
          <t>A 71525-2021</t>
        </is>
      </c>
      <c r="B384" s="1" t="n">
        <v>44540</v>
      </c>
      <c r="C384" s="1" t="n">
        <v>45344</v>
      </c>
      <c r="D384" t="inlineStr">
        <is>
          <t>JÄMTLANDS LÄN</t>
        </is>
      </c>
      <c r="E384" t="inlineStr">
        <is>
          <t>BERG</t>
        </is>
      </c>
      <c r="G384" t="n">
        <v>3.2</v>
      </c>
      <c r="H384" t="n">
        <v>0</v>
      </c>
      <c r="I384" t="n">
        <v>0</v>
      </c>
      <c r="J384" t="n">
        <v>0</v>
      </c>
      <c r="K384" t="n">
        <v>0</v>
      </c>
      <c r="L384" t="n">
        <v>0</v>
      </c>
      <c r="M384" t="n">
        <v>0</v>
      </c>
      <c r="N384" t="n">
        <v>0</v>
      </c>
      <c r="O384" t="n">
        <v>0</v>
      </c>
      <c r="P384" t="n">
        <v>0</v>
      </c>
      <c r="Q384" t="n">
        <v>0</v>
      </c>
      <c r="R384" s="2" t="inlineStr"/>
    </row>
    <row r="385" ht="15" customHeight="1">
      <c r="A385" t="inlineStr">
        <is>
          <t>A 72265-2021</t>
        </is>
      </c>
      <c r="B385" s="1" t="n">
        <v>44543</v>
      </c>
      <c r="C385" s="1" t="n">
        <v>45344</v>
      </c>
      <c r="D385" t="inlineStr">
        <is>
          <t>JÄMTLANDS LÄN</t>
        </is>
      </c>
      <c r="E385" t="inlineStr">
        <is>
          <t>BERG</t>
        </is>
      </c>
      <c r="G385" t="n">
        <v>9.9</v>
      </c>
      <c r="H385" t="n">
        <v>0</v>
      </c>
      <c r="I385" t="n">
        <v>0</v>
      </c>
      <c r="J385" t="n">
        <v>0</v>
      </c>
      <c r="K385" t="n">
        <v>0</v>
      </c>
      <c r="L385" t="n">
        <v>0</v>
      </c>
      <c r="M385" t="n">
        <v>0</v>
      </c>
      <c r="N385" t="n">
        <v>0</v>
      </c>
      <c r="O385" t="n">
        <v>0</v>
      </c>
      <c r="P385" t="n">
        <v>0</v>
      </c>
      <c r="Q385" t="n">
        <v>0</v>
      </c>
      <c r="R385" s="2" t="inlineStr"/>
    </row>
    <row r="386" ht="15" customHeight="1">
      <c r="A386" t="inlineStr">
        <is>
          <t>A 72264-2021</t>
        </is>
      </c>
      <c r="B386" s="1" t="n">
        <v>44543</v>
      </c>
      <c r="C386" s="1" t="n">
        <v>45344</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72498-2021</t>
        </is>
      </c>
      <c r="B387" s="1" t="n">
        <v>44545</v>
      </c>
      <c r="C387" s="1" t="n">
        <v>45344</v>
      </c>
      <c r="D387" t="inlineStr">
        <is>
          <t>JÄMTLANDS LÄN</t>
        </is>
      </c>
      <c r="E387" t="inlineStr">
        <is>
          <t>BERG</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72926-2021</t>
        </is>
      </c>
      <c r="B388" s="1" t="n">
        <v>44546</v>
      </c>
      <c r="C388" s="1" t="n">
        <v>45344</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73586-2021</t>
        </is>
      </c>
      <c r="B389" s="1" t="n">
        <v>44551</v>
      </c>
      <c r="C389" s="1" t="n">
        <v>45344</v>
      </c>
      <c r="D389" t="inlineStr">
        <is>
          <t>JÄMTLANDS LÄN</t>
        </is>
      </c>
      <c r="E389" t="inlineStr">
        <is>
          <t>BERG</t>
        </is>
      </c>
      <c r="G389" t="n">
        <v>5.1</v>
      </c>
      <c r="H389" t="n">
        <v>0</v>
      </c>
      <c r="I389" t="n">
        <v>0</v>
      </c>
      <c r="J389" t="n">
        <v>0</v>
      </c>
      <c r="K389" t="n">
        <v>0</v>
      </c>
      <c r="L389" t="n">
        <v>0</v>
      </c>
      <c r="M389" t="n">
        <v>0</v>
      </c>
      <c r="N389" t="n">
        <v>0</v>
      </c>
      <c r="O389" t="n">
        <v>0</v>
      </c>
      <c r="P389" t="n">
        <v>0</v>
      </c>
      <c r="Q389" t="n">
        <v>0</v>
      </c>
      <c r="R389" s="2" t="inlineStr"/>
    </row>
    <row r="390" ht="15" customHeight="1">
      <c r="A390" t="inlineStr">
        <is>
          <t>A 164-2022</t>
        </is>
      </c>
      <c r="B390" s="1" t="n">
        <v>44564</v>
      </c>
      <c r="C390" s="1" t="n">
        <v>45344</v>
      </c>
      <c r="D390" t="inlineStr">
        <is>
          <t>JÄMTLANDS LÄN</t>
        </is>
      </c>
      <c r="E390" t="inlineStr">
        <is>
          <t>BERG</t>
        </is>
      </c>
      <c r="G390" t="n">
        <v>12.4</v>
      </c>
      <c r="H390" t="n">
        <v>0</v>
      </c>
      <c r="I390" t="n">
        <v>0</v>
      </c>
      <c r="J390" t="n">
        <v>0</v>
      </c>
      <c r="K390" t="n">
        <v>0</v>
      </c>
      <c r="L390" t="n">
        <v>0</v>
      </c>
      <c r="M390" t="n">
        <v>0</v>
      </c>
      <c r="N390" t="n">
        <v>0</v>
      </c>
      <c r="O390" t="n">
        <v>0</v>
      </c>
      <c r="P390" t="n">
        <v>0</v>
      </c>
      <c r="Q390" t="n">
        <v>0</v>
      </c>
      <c r="R390" s="2" t="inlineStr"/>
    </row>
    <row r="391" ht="15" customHeight="1">
      <c r="A391" t="inlineStr">
        <is>
          <t>A 171-2022</t>
        </is>
      </c>
      <c r="B391" s="1" t="n">
        <v>44564</v>
      </c>
      <c r="C391" s="1" t="n">
        <v>45344</v>
      </c>
      <c r="D391" t="inlineStr">
        <is>
          <t>JÄMTLANDS LÄN</t>
        </is>
      </c>
      <c r="E391" t="inlineStr">
        <is>
          <t>BERG</t>
        </is>
      </c>
      <c r="G391" t="n">
        <v>2.3</v>
      </c>
      <c r="H391" t="n">
        <v>0</v>
      </c>
      <c r="I391" t="n">
        <v>0</v>
      </c>
      <c r="J391" t="n">
        <v>0</v>
      </c>
      <c r="K391" t="n">
        <v>0</v>
      </c>
      <c r="L391" t="n">
        <v>0</v>
      </c>
      <c r="M391" t="n">
        <v>0</v>
      </c>
      <c r="N391" t="n">
        <v>0</v>
      </c>
      <c r="O391" t="n">
        <v>0</v>
      </c>
      <c r="P391" t="n">
        <v>0</v>
      </c>
      <c r="Q391" t="n">
        <v>0</v>
      </c>
      <c r="R391" s="2" t="inlineStr"/>
    </row>
    <row r="392" ht="15" customHeight="1">
      <c r="A392" t="inlineStr">
        <is>
          <t>A 1344-2022</t>
        </is>
      </c>
      <c r="B392" s="1" t="n">
        <v>44572</v>
      </c>
      <c r="C392" s="1" t="n">
        <v>45344</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1520-2022</t>
        </is>
      </c>
      <c r="B393" s="1" t="n">
        <v>44572</v>
      </c>
      <c r="C393" s="1" t="n">
        <v>45344</v>
      </c>
      <c r="D393" t="inlineStr">
        <is>
          <t>JÄMTLANDS LÄN</t>
        </is>
      </c>
      <c r="E393" t="inlineStr">
        <is>
          <t>BERG</t>
        </is>
      </c>
      <c r="G393" t="n">
        <v>7.7</v>
      </c>
      <c r="H393" t="n">
        <v>0</v>
      </c>
      <c r="I393" t="n">
        <v>0</v>
      </c>
      <c r="J393" t="n">
        <v>0</v>
      </c>
      <c r="K393" t="n">
        <v>0</v>
      </c>
      <c r="L393" t="n">
        <v>0</v>
      </c>
      <c r="M393" t="n">
        <v>0</v>
      </c>
      <c r="N393" t="n">
        <v>0</v>
      </c>
      <c r="O393" t="n">
        <v>0</v>
      </c>
      <c r="P393" t="n">
        <v>0</v>
      </c>
      <c r="Q393" t="n">
        <v>0</v>
      </c>
      <c r="R393" s="2" t="inlineStr"/>
    </row>
    <row r="394" ht="15" customHeight="1">
      <c r="A394" t="inlineStr">
        <is>
          <t>A 1559-2022</t>
        </is>
      </c>
      <c r="B394" s="1" t="n">
        <v>44573</v>
      </c>
      <c r="C394" s="1" t="n">
        <v>45344</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1983-2022</t>
        </is>
      </c>
      <c r="B395" s="1" t="n">
        <v>44575</v>
      </c>
      <c r="C395" s="1" t="n">
        <v>45344</v>
      </c>
      <c r="D395" t="inlineStr">
        <is>
          <t>JÄMTLANDS LÄN</t>
        </is>
      </c>
      <c r="E395" t="inlineStr">
        <is>
          <t>BERG</t>
        </is>
      </c>
      <c r="G395" t="n">
        <v>1.8</v>
      </c>
      <c r="H395" t="n">
        <v>0</v>
      </c>
      <c r="I395" t="n">
        <v>0</v>
      </c>
      <c r="J395" t="n">
        <v>0</v>
      </c>
      <c r="K395" t="n">
        <v>0</v>
      </c>
      <c r="L395" t="n">
        <v>0</v>
      </c>
      <c r="M395" t="n">
        <v>0</v>
      </c>
      <c r="N395" t="n">
        <v>0</v>
      </c>
      <c r="O395" t="n">
        <v>0</v>
      </c>
      <c r="P395" t="n">
        <v>0</v>
      </c>
      <c r="Q395" t="n">
        <v>0</v>
      </c>
      <c r="R395" s="2" t="inlineStr"/>
    </row>
    <row r="396" ht="15" customHeight="1">
      <c r="A396" t="inlineStr">
        <is>
          <t>A 2002-2022</t>
        </is>
      </c>
      <c r="B396" s="1" t="n">
        <v>44575</v>
      </c>
      <c r="C396" s="1" t="n">
        <v>45344</v>
      </c>
      <c r="D396" t="inlineStr">
        <is>
          <t>JÄMTLANDS LÄN</t>
        </is>
      </c>
      <c r="E396" t="inlineStr">
        <is>
          <t>BERG</t>
        </is>
      </c>
      <c r="G396" t="n">
        <v>11.3</v>
      </c>
      <c r="H396" t="n">
        <v>0</v>
      </c>
      <c r="I396" t="n">
        <v>0</v>
      </c>
      <c r="J396" t="n">
        <v>0</v>
      </c>
      <c r="K396" t="n">
        <v>0</v>
      </c>
      <c r="L396" t="n">
        <v>0</v>
      </c>
      <c r="M396" t="n">
        <v>0</v>
      </c>
      <c r="N396" t="n">
        <v>0</v>
      </c>
      <c r="O396" t="n">
        <v>0</v>
      </c>
      <c r="P396" t="n">
        <v>0</v>
      </c>
      <c r="Q396" t="n">
        <v>0</v>
      </c>
      <c r="R396" s="2" t="inlineStr"/>
    </row>
    <row r="397" ht="15" customHeight="1">
      <c r="A397" t="inlineStr">
        <is>
          <t>A 2009-2022</t>
        </is>
      </c>
      <c r="B397" s="1" t="n">
        <v>44575</v>
      </c>
      <c r="C397" s="1" t="n">
        <v>45344</v>
      </c>
      <c r="D397" t="inlineStr">
        <is>
          <t>JÄMTLANDS LÄN</t>
        </is>
      </c>
      <c r="E397" t="inlineStr">
        <is>
          <t>BERG</t>
        </is>
      </c>
      <c r="G397" t="n">
        <v>11.9</v>
      </c>
      <c r="H397" t="n">
        <v>0</v>
      </c>
      <c r="I397" t="n">
        <v>0</v>
      </c>
      <c r="J397" t="n">
        <v>0</v>
      </c>
      <c r="K397" t="n">
        <v>0</v>
      </c>
      <c r="L397" t="n">
        <v>0</v>
      </c>
      <c r="M397" t="n">
        <v>0</v>
      </c>
      <c r="N397" t="n">
        <v>0</v>
      </c>
      <c r="O397" t="n">
        <v>0</v>
      </c>
      <c r="P397" t="n">
        <v>0</v>
      </c>
      <c r="Q397" t="n">
        <v>0</v>
      </c>
      <c r="R397" s="2" t="inlineStr"/>
    </row>
    <row r="398" ht="15" customHeight="1">
      <c r="A398" t="inlineStr">
        <is>
          <t>A 2010-2022</t>
        </is>
      </c>
      <c r="B398" s="1" t="n">
        <v>44575</v>
      </c>
      <c r="C398" s="1" t="n">
        <v>45344</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1982-2022</t>
        </is>
      </c>
      <c r="B399" s="1" t="n">
        <v>44575</v>
      </c>
      <c r="C399" s="1" t="n">
        <v>45344</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2076-2022</t>
        </is>
      </c>
      <c r="B400" s="1" t="n">
        <v>44575</v>
      </c>
      <c r="C400" s="1" t="n">
        <v>45344</v>
      </c>
      <c r="D400" t="inlineStr">
        <is>
          <t>JÄMTLANDS LÄN</t>
        </is>
      </c>
      <c r="E400" t="inlineStr">
        <is>
          <t>BERG</t>
        </is>
      </c>
      <c r="G400" t="n">
        <v>7.7</v>
      </c>
      <c r="H400" t="n">
        <v>0</v>
      </c>
      <c r="I400" t="n">
        <v>0</v>
      </c>
      <c r="J400" t="n">
        <v>0</v>
      </c>
      <c r="K400" t="n">
        <v>0</v>
      </c>
      <c r="L400" t="n">
        <v>0</v>
      </c>
      <c r="M400" t="n">
        <v>0</v>
      </c>
      <c r="N400" t="n">
        <v>0</v>
      </c>
      <c r="O400" t="n">
        <v>0</v>
      </c>
      <c r="P400" t="n">
        <v>0</v>
      </c>
      <c r="Q400" t="n">
        <v>0</v>
      </c>
      <c r="R400" s="2" t="inlineStr"/>
    </row>
    <row r="401" ht="15" customHeight="1">
      <c r="A401" t="inlineStr">
        <is>
          <t>A 2539-2022</t>
        </is>
      </c>
      <c r="B401" s="1" t="n">
        <v>44580</v>
      </c>
      <c r="C401" s="1" t="n">
        <v>45344</v>
      </c>
      <c r="D401" t="inlineStr">
        <is>
          <t>JÄMTLANDS LÄN</t>
        </is>
      </c>
      <c r="E401" t="inlineStr">
        <is>
          <t>BERG</t>
        </is>
      </c>
      <c r="G401" t="n">
        <v>6.3</v>
      </c>
      <c r="H401" t="n">
        <v>0</v>
      </c>
      <c r="I401" t="n">
        <v>0</v>
      </c>
      <c r="J401" t="n">
        <v>0</v>
      </c>
      <c r="K401" t="n">
        <v>0</v>
      </c>
      <c r="L401" t="n">
        <v>0</v>
      </c>
      <c r="M401" t="n">
        <v>0</v>
      </c>
      <c r="N401" t="n">
        <v>0</v>
      </c>
      <c r="O401" t="n">
        <v>0</v>
      </c>
      <c r="P401" t="n">
        <v>0</v>
      </c>
      <c r="Q401" t="n">
        <v>0</v>
      </c>
      <c r="R401" s="2" t="inlineStr"/>
    </row>
    <row r="402" ht="15" customHeight="1">
      <c r="A402" t="inlineStr">
        <is>
          <t>A 2544-2022</t>
        </is>
      </c>
      <c r="B402" s="1" t="n">
        <v>44580</v>
      </c>
      <c r="C402" s="1" t="n">
        <v>45344</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3543-2022</t>
        </is>
      </c>
      <c r="B403" s="1" t="n">
        <v>44585</v>
      </c>
      <c r="C403" s="1" t="n">
        <v>45344</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3801-2022</t>
        </is>
      </c>
      <c r="B404" s="1" t="n">
        <v>44586</v>
      </c>
      <c r="C404" s="1" t="n">
        <v>45344</v>
      </c>
      <c r="D404" t="inlineStr">
        <is>
          <t>JÄMTLANDS LÄN</t>
        </is>
      </c>
      <c r="E404" t="inlineStr">
        <is>
          <t>BERG</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45344</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3891-2022</t>
        </is>
      </c>
      <c r="B406" s="1" t="n">
        <v>44587</v>
      </c>
      <c r="C406" s="1" t="n">
        <v>45344</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3870-2022</t>
        </is>
      </c>
      <c r="B407" s="1" t="n">
        <v>44587</v>
      </c>
      <c r="C407" s="1" t="n">
        <v>45344</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3983-2022</t>
        </is>
      </c>
      <c r="B408" s="1" t="n">
        <v>44587</v>
      </c>
      <c r="C408" s="1" t="n">
        <v>45344</v>
      </c>
      <c r="D408" t="inlineStr">
        <is>
          <t>JÄMTLANDS LÄN</t>
        </is>
      </c>
      <c r="E408" t="inlineStr">
        <is>
          <t>BERG</t>
        </is>
      </c>
      <c r="G408" t="n">
        <v>2.7</v>
      </c>
      <c r="H408" t="n">
        <v>0</v>
      </c>
      <c r="I408" t="n">
        <v>0</v>
      </c>
      <c r="J408" t="n">
        <v>0</v>
      </c>
      <c r="K408" t="n">
        <v>0</v>
      </c>
      <c r="L408" t="n">
        <v>0</v>
      </c>
      <c r="M408" t="n">
        <v>0</v>
      </c>
      <c r="N408" t="n">
        <v>0</v>
      </c>
      <c r="O408" t="n">
        <v>0</v>
      </c>
      <c r="P408" t="n">
        <v>0</v>
      </c>
      <c r="Q408" t="n">
        <v>0</v>
      </c>
      <c r="R408" s="2" t="inlineStr"/>
    </row>
    <row r="409" ht="15" customHeight="1">
      <c r="A409" t="inlineStr">
        <is>
          <t>A 5221-2022</t>
        </is>
      </c>
      <c r="B409" s="1" t="n">
        <v>44594</v>
      </c>
      <c r="C409" s="1" t="n">
        <v>45344</v>
      </c>
      <c r="D409" t="inlineStr">
        <is>
          <t>JÄMTLANDS LÄN</t>
        </is>
      </c>
      <c r="E409" t="inlineStr">
        <is>
          <t>BERG</t>
        </is>
      </c>
      <c r="G409" t="n">
        <v>4.9</v>
      </c>
      <c r="H409" t="n">
        <v>0</v>
      </c>
      <c r="I409" t="n">
        <v>0</v>
      </c>
      <c r="J409" t="n">
        <v>0</v>
      </c>
      <c r="K409" t="n">
        <v>0</v>
      </c>
      <c r="L409" t="n">
        <v>0</v>
      </c>
      <c r="M409" t="n">
        <v>0</v>
      </c>
      <c r="N409" t="n">
        <v>0</v>
      </c>
      <c r="O409" t="n">
        <v>0</v>
      </c>
      <c r="P409" t="n">
        <v>0</v>
      </c>
      <c r="Q409" t="n">
        <v>0</v>
      </c>
      <c r="R409" s="2" t="inlineStr"/>
    </row>
    <row r="410" ht="15" customHeight="1">
      <c r="A410" t="inlineStr">
        <is>
          <t>A 5219-2022</t>
        </is>
      </c>
      <c r="B410" s="1" t="n">
        <v>44594</v>
      </c>
      <c r="C410" s="1" t="n">
        <v>45344</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5222-2022</t>
        </is>
      </c>
      <c r="B411" s="1" t="n">
        <v>44594</v>
      </c>
      <c r="C411" s="1" t="n">
        <v>45344</v>
      </c>
      <c r="D411" t="inlineStr">
        <is>
          <t>JÄMTLANDS LÄN</t>
        </is>
      </c>
      <c r="E411" t="inlineStr">
        <is>
          <t>BERG</t>
        </is>
      </c>
      <c r="G411" t="n">
        <v>12.3</v>
      </c>
      <c r="H411" t="n">
        <v>0</v>
      </c>
      <c r="I411" t="n">
        <v>0</v>
      </c>
      <c r="J411" t="n">
        <v>0</v>
      </c>
      <c r="K411" t="n">
        <v>0</v>
      </c>
      <c r="L411" t="n">
        <v>0</v>
      </c>
      <c r="M411" t="n">
        <v>0</v>
      </c>
      <c r="N411" t="n">
        <v>0</v>
      </c>
      <c r="O411" t="n">
        <v>0</v>
      </c>
      <c r="P411" t="n">
        <v>0</v>
      </c>
      <c r="Q411" t="n">
        <v>0</v>
      </c>
      <c r="R411" s="2" t="inlineStr"/>
    </row>
    <row r="412" ht="15" customHeight="1">
      <c r="A412" t="inlineStr">
        <is>
          <t>A 5218-2022</t>
        </is>
      </c>
      <c r="B412" s="1" t="n">
        <v>44594</v>
      </c>
      <c r="C412" s="1" t="n">
        <v>45344</v>
      </c>
      <c r="D412" t="inlineStr">
        <is>
          <t>JÄMTLANDS LÄN</t>
        </is>
      </c>
      <c r="E412" t="inlineStr">
        <is>
          <t>BERG</t>
        </is>
      </c>
      <c r="G412" t="n">
        <v>2.5</v>
      </c>
      <c r="H412" t="n">
        <v>0</v>
      </c>
      <c r="I412" t="n">
        <v>0</v>
      </c>
      <c r="J412" t="n">
        <v>0</v>
      </c>
      <c r="K412" t="n">
        <v>0</v>
      </c>
      <c r="L412" t="n">
        <v>0</v>
      </c>
      <c r="M412" t="n">
        <v>0</v>
      </c>
      <c r="N412" t="n">
        <v>0</v>
      </c>
      <c r="O412" t="n">
        <v>0</v>
      </c>
      <c r="P412" t="n">
        <v>0</v>
      </c>
      <c r="Q412" t="n">
        <v>0</v>
      </c>
      <c r="R412" s="2" t="inlineStr"/>
    </row>
    <row r="413" ht="15" customHeight="1">
      <c r="A413" t="inlineStr">
        <is>
          <t>A 6090-2022</t>
        </is>
      </c>
      <c r="B413" s="1" t="n">
        <v>44599</v>
      </c>
      <c r="C413" s="1" t="n">
        <v>45344</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6919-2022</t>
        </is>
      </c>
      <c r="B414" s="1" t="n">
        <v>44602</v>
      </c>
      <c r="C414" s="1" t="n">
        <v>45344</v>
      </c>
      <c r="D414" t="inlineStr">
        <is>
          <t>JÄMTLANDS LÄN</t>
        </is>
      </c>
      <c r="E414" t="inlineStr">
        <is>
          <t>BERG</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6943-2022</t>
        </is>
      </c>
      <c r="B415" s="1" t="n">
        <v>44603</v>
      </c>
      <c r="C415" s="1" t="n">
        <v>45344</v>
      </c>
      <c r="D415" t="inlineStr">
        <is>
          <t>JÄMTLANDS LÄN</t>
        </is>
      </c>
      <c r="E415" t="inlineStr">
        <is>
          <t>BERG</t>
        </is>
      </c>
      <c r="F415" t="inlineStr">
        <is>
          <t>Holmen skog AB</t>
        </is>
      </c>
      <c r="G415" t="n">
        <v>7.1</v>
      </c>
      <c r="H415" t="n">
        <v>0</v>
      </c>
      <c r="I415" t="n">
        <v>0</v>
      </c>
      <c r="J415" t="n">
        <v>0</v>
      </c>
      <c r="K415" t="n">
        <v>0</v>
      </c>
      <c r="L415" t="n">
        <v>0</v>
      </c>
      <c r="M415" t="n">
        <v>0</v>
      </c>
      <c r="N415" t="n">
        <v>0</v>
      </c>
      <c r="O415" t="n">
        <v>0</v>
      </c>
      <c r="P415" t="n">
        <v>0</v>
      </c>
      <c r="Q415" t="n">
        <v>0</v>
      </c>
      <c r="R415" s="2" t="inlineStr"/>
    </row>
    <row r="416" ht="15" customHeight="1">
      <c r="A416" t="inlineStr">
        <is>
          <t>A 7482-2022</t>
        </is>
      </c>
      <c r="B416" s="1" t="n">
        <v>44606</v>
      </c>
      <c r="C416" s="1" t="n">
        <v>45344</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7447-2022</t>
        </is>
      </c>
      <c r="B417" s="1" t="n">
        <v>44606</v>
      </c>
      <c r="C417" s="1" t="n">
        <v>45344</v>
      </c>
      <c r="D417" t="inlineStr">
        <is>
          <t>JÄMTLANDS LÄN</t>
        </is>
      </c>
      <c r="E417" t="inlineStr">
        <is>
          <t>BERG</t>
        </is>
      </c>
      <c r="G417" t="n">
        <v>0.9</v>
      </c>
      <c r="H417" t="n">
        <v>0</v>
      </c>
      <c r="I417" t="n">
        <v>0</v>
      </c>
      <c r="J417" t="n">
        <v>0</v>
      </c>
      <c r="K417" t="n">
        <v>0</v>
      </c>
      <c r="L417" t="n">
        <v>0</v>
      </c>
      <c r="M417" t="n">
        <v>0</v>
      </c>
      <c r="N417" t="n">
        <v>0</v>
      </c>
      <c r="O417" t="n">
        <v>0</v>
      </c>
      <c r="P417" t="n">
        <v>0</v>
      </c>
      <c r="Q417" t="n">
        <v>0</v>
      </c>
      <c r="R417" s="2" t="inlineStr"/>
    </row>
    <row r="418" ht="15" customHeight="1">
      <c r="A418" t="inlineStr">
        <is>
          <t>A 8388-2022</t>
        </is>
      </c>
      <c r="B418" s="1" t="n">
        <v>44610</v>
      </c>
      <c r="C418" s="1" t="n">
        <v>45344</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8594-2022</t>
        </is>
      </c>
      <c r="B419" s="1" t="n">
        <v>44613</v>
      </c>
      <c r="C419" s="1" t="n">
        <v>45344</v>
      </c>
      <c r="D419" t="inlineStr">
        <is>
          <t>JÄMTLANDS LÄN</t>
        </is>
      </c>
      <c r="E419" t="inlineStr">
        <is>
          <t>BERG</t>
        </is>
      </c>
      <c r="G419" t="n">
        <v>4.2</v>
      </c>
      <c r="H419" t="n">
        <v>0</v>
      </c>
      <c r="I419" t="n">
        <v>0</v>
      </c>
      <c r="J419" t="n">
        <v>0</v>
      </c>
      <c r="K419" t="n">
        <v>0</v>
      </c>
      <c r="L419" t="n">
        <v>0</v>
      </c>
      <c r="M419" t="n">
        <v>0</v>
      </c>
      <c r="N419" t="n">
        <v>0</v>
      </c>
      <c r="O419" t="n">
        <v>0</v>
      </c>
      <c r="P419" t="n">
        <v>0</v>
      </c>
      <c r="Q419" t="n">
        <v>0</v>
      </c>
      <c r="R419" s="2" t="inlineStr"/>
    </row>
    <row r="420" ht="15" customHeight="1">
      <c r="A420" t="inlineStr">
        <is>
          <t>A 9114-2022</t>
        </is>
      </c>
      <c r="B420" s="1" t="n">
        <v>44615</v>
      </c>
      <c r="C420" s="1" t="n">
        <v>45344</v>
      </c>
      <c r="D420" t="inlineStr">
        <is>
          <t>JÄMTLANDS LÄN</t>
        </is>
      </c>
      <c r="E420" t="inlineStr">
        <is>
          <t>BERG</t>
        </is>
      </c>
      <c r="G420" t="n">
        <v>2.9</v>
      </c>
      <c r="H420" t="n">
        <v>0</v>
      </c>
      <c r="I420" t="n">
        <v>0</v>
      </c>
      <c r="J420" t="n">
        <v>0</v>
      </c>
      <c r="K420" t="n">
        <v>0</v>
      </c>
      <c r="L420" t="n">
        <v>0</v>
      </c>
      <c r="M420" t="n">
        <v>0</v>
      </c>
      <c r="N420" t="n">
        <v>0</v>
      </c>
      <c r="O420" t="n">
        <v>0</v>
      </c>
      <c r="P420" t="n">
        <v>0</v>
      </c>
      <c r="Q420" t="n">
        <v>0</v>
      </c>
      <c r="R420" s="2" t="inlineStr"/>
    </row>
    <row r="421" ht="15" customHeight="1">
      <c r="A421" t="inlineStr">
        <is>
          <t>A 12457-2022</t>
        </is>
      </c>
      <c r="B421" s="1" t="n">
        <v>44638</v>
      </c>
      <c r="C421" s="1" t="n">
        <v>45344</v>
      </c>
      <c r="D421" t="inlineStr">
        <is>
          <t>JÄMTLANDS LÄN</t>
        </is>
      </c>
      <c r="E421" t="inlineStr">
        <is>
          <t>BERG</t>
        </is>
      </c>
      <c r="G421" t="n">
        <v>11.7</v>
      </c>
      <c r="H421" t="n">
        <v>0</v>
      </c>
      <c r="I421" t="n">
        <v>0</v>
      </c>
      <c r="J421" t="n">
        <v>0</v>
      </c>
      <c r="K421" t="n">
        <v>0</v>
      </c>
      <c r="L421" t="n">
        <v>0</v>
      </c>
      <c r="M421" t="n">
        <v>0</v>
      </c>
      <c r="N421" t="n">
        <v>0</v>
      </c>
      <c r="O421" t="n">
        <v>0</v>
      </c>
      <c r="P421" t="n">
        <v>0</v>
      </c>
      <c r="Q421" t="n">
        <v>0</v>
      </c>
      <c r="R421" s="2" t="inlineStr"/>
    </row>
    <row r="422" ht="15" customHeight="1">
      <c r="A422" t="inlineStr">
        <is>
          <t>A 13634-2022</t>
        </is>
      </c>
      <c r="B422" s="1" t="n">
        <v>44648</v>
      </c>
      <c r="C422" s="1" t="n">
        <v>45344</v>
      </c>
      <c r="D422" t="inlineStr">
        <is>
          <t>JÄMTLANDS LÄN</t>
        </is>
      </c>
      <c r="E422" t="inlineStr">
        <is>
          <t>BERG</t>
        </is>
      </c>
      <c r="G422" t="n">
        <v>3.8</v>
      </c>
      <c r="H422" t="n">
        <v>0</v>
      </c>
      <c r="I422" t="n">
        <v>0</v>
      </c>
      <c r="J422" t="n">
        <v>0</v>
      </c>
      <c r="K422" t="n">
        <v>0</v>
      </c>
      <c r="L422" t="n">
        <v>0</v>
      </c>
      <c r="M422" t="n">
        <v>0</v>
      </c>
      <c r="N422" t="n">
        <v>0</v>
      </c>
      <c r="O422" t="n">
        <v>0</v>
      </c>
      <c r="P422" t="n">
        <v>0</v>
      </c>
      <c r="Q422" t="n">
        <v>0</v>
      </c>
      <c r="R422" s="2" t="inlineStr"/>
    </row>
    <row r="423" ht="15" customHeight="1">
      <c r="A423" t="inlineStr">
        <is>
          <t>A 13636-2022</t>
        </is>
      </c>
      <c r="B423" s="1" t="n">
        <v>44648</v>
      </c>
      <c r="C423" s="1" t="n">
        <v>45344</v>
      </c>
      <c r="D423" t="inlineStr">
        <is>
          <t>JÄMTLANDS LÄN</t>
        </is>
      </c>
      <c r="E423" t="inlineStr">
        <is>
          <t>BERG</t>
        </is>
      </c>
      <c r="G423" t="n">
        <v>1.2</v>
      </c>
      <c r="H423" t="n">
        <v>0</v>
      </c>
      <c r="I423" t="n">
        <v>0</v>
      </c>
      <c r="J423" t="n">
        <v>0</v>
      </c>
      <c r="K423" t="n">
        <v>0</v>
      </c>
      <c r="L423" t="n">
        <v>0</v>
      </c>
      <c r="M423" t="n">
        <v>0</v>
      </c>
      <c r="N423" t="n">
        <v>0</v>
      </c>
      <c r="O423" t="n">
        <v>0</v>
      </c>
      <c r="P423" t="n">
        <v>0</v>
      </c>
      <c r="Q423" t="n">
        <v>0</v>
      </c>
      <c r="R423" s="2" t="inlineStr"/>
    </row>
    <row r="424" ht="15" customHeight="1">
      <c r="A424" t="inlineStr">
        <is>
          <t>A 14506-2022</t>
        </is>
      </c>
      <c r="B424" s="1" t="n">
        <v>44655</v>
      </c>
      <c r="C424" s="1" t="n">
        <v>45344</v>
      </c>
      <c r="D424" t="inlineStr">
        <is>
          <t>JÄMTLANDS LÄN</t>
        </is>
      </c>
      <c r="E424" t="inlineStr">
        <is>
          <t>BERG</t>
        </is>
      </c>
      <c r="G424" t="n">
        <v>16.9</v>
      </c>
      <c r="H424" t="n">
        <v>0</v>
      </c>
      <c r="I424" t="n">
        <v>0</v>
      </c>
      <c r="J424" t="n">
        <v>0</v>
      </c>
      <c r="K424" t="n">
        <v>0</v>
      </c>
      <c r="L424" t="n">
        <v>0</v>
      </c>
      <c r="M424" t="n">
        <v>0</v>
      </c>
      <c r="N424" t="n">
        <v>0</v>
      </c>
      <c r="O424" t="n">
        <v>0</v>
      </c>
      <c r="P424" t="n">
        <v>0</v>
      </c>
      <c r="Q424" t="n">
        <v>0</v>
      </c>
      <c r="R424" s="2" t="inlineStr"/>
    </row>
    <row r="425" ht="15" customHeight="1">
      <c r="A425" t="inlineStr">
        <is>
          <t>A 17750-2022</t>
        </is>
      </c>
      <c r="B425" s="1" t="n">
        <v>44680</v>
      </c>
      <c r="C425" s="1" t="n">
        <v>45344</v>
      </c>
      <c r="D425" t="inlineStr">
        <is>
          <t>JÄMTLANDS LÄN</t>
        </is>
      </c>
      <c r="E425" t="inlineStr">
        <is>
          <t>BERG</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17746-2022</t>
        </is>
      </c>
      <c r="B426" s="1" t="n">
        <v>44681</v>
      </c>
      <c r="C426" s="1" t="n">
        <v>45344</v>
      </c>
      <c r="D426" t="inlineStr">
        <is>
          <t>JÄMTLANDS LÄN</t>
        </is>
      </c>
      <c r="E426" t="inlineStr">
        <is>
          <t>BERG</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18261-2022</t>
        </is>
      </c>
      <c r="B427" s="1" t="n">
        <v>44685</v>
      </c>
      <c r="C427" s="1" t="n">
        <v>45344</v>
      </c>
      <c r="D427" t="inlineStr">
        <is>
          <t>JÄMTLANDS LÄN</t>
        </is>
      </c>
      <c r="E427" t="inlineStr">
        <is>
          <t>BERG</t>
        </is>
      </c>
      <c r="G427" t="n">
        <v>3</v>
      </c>
      <c r="H427" t="n">
        <v>0</v>
      </c>
      <c r="I427" t="n">
        <v>0</v>
      </c>
      <c r="J427" t="n">
        <v>0</v>
      </c>
      <c r="K427" t="n">
        <v>0</v>
      </c>
      <c r="L427" t="n">
        <v>0</v>
      </c>
      <c r="M427" t="n">
        <v>0</v>
      </c>
      <c r="N427" t="n">
        <v>0</v>
      </c>
      <c r="O427" t="n">
        <v>0</v>
      </c>
      <c r="P427" t="n">
        <v>0</v>
      </c>
      <c r="Q427" t="n">
        <v>0</v>
      </c>
      <c r="R427" s="2" t="inlineStr"/>
    </row>
    <row r="428" ht="15" customHeight="1">
      <c r="A428" t="inlineStr">
        <is>
          <t>A 18629-2022</t>
        </is>
      </c>
      <c r="B428" s="1" t="n">
        <v>44687</v>
      </c>
      <c r="C428" s="1" t="n">
        <v>45344</v>
      </c>
      <c r="D428" t="inlineStr">
        <is>
          <t>JÄMTLANDS LÄN</t>
        </is>
      </c>
      <c r="E428" t="inlineStr">
        <is>
          <t>BERG</t>
        </is>
      </c>
      <c r="G428" t="n">
        <v>5.8</v>
      </c>
      <c r="H428" t="n">
        <v>0</v>
      </c>
      <c r="I428" t="n">
        <v>0</v>
      </c>
      <c r="J428" t="n">
        <v>0</v>
      </c>
      <c r="K428" t="n">
        <v>0</v>
      </c>
      <c r="L428" t="n">
        <v>0</v>
      </c>
      <c r="M428" t="n">
        <v>0</v>
      </c>
      <c r="N428" t="n">
        <v>0</v>
      </c>
      <c r="O428" t="n">
        <v>0</v>
      </c>
      <c r="P428" t="n">
        <v>0</v>
      </c>
      <c r="Q428" t="n">
        <v>0</v>
      </c>
      <c r="R428" s="2" t="inlineStr"/>
    </row>
    <row r="429" ht="15" customHeight="1">
      <c r="A429" t="inlineStr">
        <is>
          <t>A 19004-2022</t>
        </is>
      </c>
      <c r="B429" s="1" t="n">
        <v>44691</v>
      </c>
      <c r="C429" s="1" t="n">
        <v>45344</v>
      </c>
      <c r="D429" t="inlineStr">
        <is>
          <t>JÄMTLANDS LÄN</t>
        </is>
      </c>
      <c r="E429" t="inlineStr">
        <is>
          <t>BERG</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19807-2022</t>
        </is>
      </c>
      <c r="B430" s="1" t="n">
        <v>44694</v>
      </c>
      <c r="C430" s="1" t="n">
        <v>45344</v>
      </c>
      <c r="D430" t="inlineStr">
        <is>
          <t>JÄMTLANDS LÄN</t>
        </is>
      </c>
      <c r="E430" t="inlineStr">
        <is>
          <t>BERG</t>
        </is>
      </c>
      <c r="G430" t="n">
        <v>14.9</v>
      </c>
      <c r="H430" t="n">
        <v>0</v>
      </c>
      <c r="I430" t="n">
        <v>0</v>
      </c>
      <c r="J430" t="n">
        <v>0</v>
      </c>
      <c r="K430" t="n">
        <v>0</v>
      </c>
      <c r="L430" t="n">
        <v>0</v>
      </c>
      <c r="M430" t="n">
        <v>0</v>
      </c>
      <c r="N430" t="n">
        <v>0</v>
      </c>
      <c r="O430" t="n">
        <v>0</v>
      </c>
      <c r="P430" t="n">
        <v>0</v>
      </c>
      <c r="Q430" t="n">
        <v>0</v>
      </c>
      <c r="R430" s="2" t="inlineStr"/>
    </row>
    <row r="431" ht="15" customHeight="1">
      <c r="A431" t="inlineStr">
        <is>
          <t>A 19809-2022</t>
        </is>
      </c>
      <c r="B431" s="1" t="n">
        <v>44694</v>
      </c>
      <c r="C431" s="1" t="n">
        <v>45344</v>
      </c>
      <c r="D431" t="inlineStr">
        <is>
          <t>JÄMTLANDS LÄN</t>
        </is>
      </c>
      <c r="E431" t="inlineStr">
        <is>
          <t>BERG</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19818-2022</t>
        </is>
      </c>
      <c r="B432" s="1" t="n">
        <v>44695</v>
      </c>
      <c r="C432" s="1" t="n">
        <v>45344</v>
      </c>
      <c r="D432" t="inlineStr">
        <is>
          <t>JÄMTLANDS LÄN</t>
        </is>
      </c>
      <c r="E432" t="inlineStr">
        <is>
          <t>BERG</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20304-2022</t>
        </is>
      </c>
      <c r="B433" s="1" t="n">
        <v>44699</v>
      </c>
      <c r="C433" s="1" t="n">
        <v>45344</v>
      </c>
      <c r="D433" t="inlineStr">
        <is>
          <t>JÄMTLANDS LÄN</t>
        </is>
      </c>
      <c r="E433" t="inlineStr">
        <is>
          <t>BERG</t>
        </is>
      </c>
      <c r="F433" t="inlineStr">
        <is>
          <t>SCA</t>
        </is>
      </c>
      <c r="G433" t="n">
        <v>6.7</v>
      </c>
      <c r="H433" t="n">
        <v>0</v>
      </c>
      <c r="I433" t="n">
        <v>0</v>
      </c>
      <c r="J433" t="n">
        <v>0</v>
      </c>
      <c r="K433" t="n">
        <v>0</v>
      </c>
      <c r="L433" t="n">
        <v>0</v>
      </c>
      <c r="M433" t="n">
        <v>0</v>
      </c>
      <c r="N433" t="n">
        <v>0</v>
      </c>
      <c r="O433" t="n">
        <v>0</v>
      </c>
      <c r="P433" t="n">
        <v>0</v>
      </c>
      <c r="Q433" t="n">
        <v>0</v>
      </c>
      <c r="R433" s="2" t="inlineStr"/>
    </row>
    <row r="434" ht="15" customHeight="1">
      <c r="A434" t="inlineStr">
        <is>
          <t>A 21064-2022</t>
        </is>
      </c>
      <c r="B434" s="1" t="n">
        <v>44704</v>
      </c>
      <c r="C434" s="1" t="n">
        <v>45344</v>
      </c>
      <c r="D434" t="inlineStr">
        <is>
          <t>JÄMTLANDS LÄN</t>
        </is>
      </c>
      <c r="E434" t="inlineStr">
        <is>
          <t>BERG</t>
        </is>
      </c>
      <c r="G434" t="n">
        <v>0.8</v>
      </c>
      <c r="H434" t="n">
        <v>0</v>
      </c>
      <c r="I434" t="n">
        <v>0</v>
      </c>
      <c r="J434" t="n">
        <v>0</v>
      </c>
      <c r="K434" t="n">
        <v>0</v>
      </c>
      <c r="L434" t="n">
        <v>0</v>
      </c>
      <c r="M434" t="n">
        <v>0</v>
      </c>
      <c r="N434" t="n">
        <v>0</v>
      </c>
      <c r="O434" t="n">
        <v>0</v>
      </c>
      <c r="P434" t="n">
        <v>0</v>
      </c>
      <c r="Q434" t="n">
        <v>0</v>
      </c>
      <c r="R434" s="2" t="inlineStr"/>
    </row>
    <row r="435" ht="15" customHeight="1">
      <c r="A435" t="inlineStr">
        <is>
          <t>A 21080-2022</t>
        </is>
      </c>
      <c r="B435" s="1" t="n">
        <v>44704</v>
      </c>
      <c r="C435" s="1" t="n">
        <v>45344</v>
      </c>
      <c r="D435" t="inlineStr">
        <is>
          <t>JÄMTLANDS LÄN</t>
        </is>
      </c>
      <c r="E435" t="inlineStr">
        <is>
          <t>BERG</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21203-2022</t>
        </is>
      </c>
      <c r="B436" s="1" t="n">
        <v>44705</v>
      </c>
      <c r="C436" s="1" t="n">
        <v>45344</v>
      </c>
      <c r="D436" t="inlineStr">
        <is>
          <t>JÄMTLANDS LÄN</t>
        </is>
      </c>
      <c r="E436" t="inlineStr">
        <is>
          <t>BERG</t>
        </is>
      </c>
      <c r="G436" t="n">
        <v>7.3</v>
      </c>
      <c r="H436" t="n">
        <v>0</v>
      </c>
      <c r="I436" t="n">
        <v>0</v>
      </c>
      <c r="J436" t="n">
        <v>0</v>
      </c>
      <c r="K436" t="n">
        <v>0</v>
      </c>
      <c r="L436" t="n">
        <v>0</v>
      </c>
      <c r="M436" t="n">
        <v>0</v>
      </c>
      <c r="N436" t="n">
        <v>0</v>
      </c>
      <c r="O436" t="n">
        <v>0</v>
      </c>
      <c r="P436" t="n">
        <v>0</v>
      </c>
      <c r="Q436" t="n">
        <v>0</v>
      </c>
      <c r="R436" s="2" t="inlineStr"/>
    </row>
    <row r="437" ht="15" customHeight="1">
      <c r="A437" t="inlineStr">
        <is>
          <t>A 21201-2022</t>
        </is>
      </c>
      <c r="B437" s="1" t="n">
        <v>44705</v>
      </c>
      <c r="C437" s="1" t="n">
        <v>45344</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21202-2022</t>
        </is>
      </c>
      <c r="B438" s="1" t="n">
        <v>44705</v>
      </c>
      <c r="C438" s="1" t="n">
        <v>45344</v>
      </c>
      <c r="D438" t="inlineStr">
        <is>
          <t>JÄMTLANDS LÄN</t>
        </is>
      </c>
      <c r="E438" t="inlineStr">
        <is>
          <t>BERG</t>
        </is>
      </c>
      <c r="G438" t="n">
        <v>4.6</v>
      </c>
      <c r="H438" t="n">
        <v>0</v>
      </c>
      <c r="I438" t="n">
        <v>0</v>
      </c>
      <c r="J438" t="n">
        <v>0</v>
      </c>
      <c r="K438" t="n">
        <v>0</v>
      </c>
      <c r="L438" t="n">
        <v>0</v>
      </c>
      <c r="M438" t="n">
        <v>0</v>
      </c>
      <c r="N438" t="n">
        <v>0</v>
      </c>
      <c r="O438" t="n">
        <v>0</v>
      </c>
      <c r="P438" t="n">
        <v>0</v>
      </c>
      <c r="Q438" t="n">
        <v>0</v>
      </c>
      <c r="R438" s="2" t="inlineStr"/>
    </row>
    <row r="439" ht="15" customHeight="1">
      <c r="A439" t="inlineStr">
        <is>
          <t>A 21200-2022</t>
        </is>
      </c>
      <c r="B439" s="1" t="n">
        <v>44705</v>
      </c>
      <c r="C439" s="1" t="n">
        <v>45344</v>
      </c>
      <c r="D439" t="inlineStr">
        <is>
          <t>JÄMTLANDS LÄN</t>
        </is>
      </c>
      <c r="E439" t="inlineStr">
        <is>
          <t>BERG</t>
        </is>
      </c>
      <c r="G439" t="n">
        <v>0.6</v>
      </c>
      <c r="H439" t="n">
        <v>0</v>
      </c>
      <c r="I439" t="n">
        <v>0</v>
      </c>
      <c r="J439" t="n">
        <v>0</v>
      </c>
      <c r="K439" t="n">
        <v>0</v>
      </c>
      <c r="L439" t="n">
        <v>0</v>
      </c>
      <c r="M439" t="n">
        <v>0</v>
      </c>
      <c r="N439" t="n">
        <v>0</v>
      </c>
      <c r="O439" t="n">
        <v>0</v>
      </c>
      <c r="P439" t="n">
        <v>0</v>
      </c>
      <c r="Q439" t="n">
        <v>0</v>
      </c>
      <c r="R439" s="2" t="inlineStr"/>
    </row>
    <row r="440" ht="15" customHeight="1">
      <c r="A440" t="inlineStr">
        <is>
          <t>A 21403-2022</t>
        </is>
      </c>
      <c r="B440" s="1" t="n">
        <v>44706</v>
      </c>
      <c r="C440" s="1" t="n">
        <v>45344</v>
      </c>
      <c r="D440" t="inlineStr">
        <is>
          <t>JÄMTLANDS LÄN</t>
        </is>
      </c>
      <c r="E440" t="inlineStr">
        <is>
          <t>BERG</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21400-2022</t>
        </is>
      </c>
      <c r="B441" s="1" t="n">
        <v>44706</v>
      </c>
      <c r="C441" s="1" t="n">
        <v>45344</v>
      </c>
      <c r="D441" t="inlineStr">
        <is>
          <t>JÄMTLANDS LÄN</t>
        </is>
      </c>
      <c r="E441" t="inlineStr">
        <is>
          <t>BERG</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21401-2022</t>
        </is>
      </c>
      <c r="B442" s="1" t="n">
        <v>44706</v>
      </c>
      <c r="C442" s="1" t="n">
        <v>45344</v>
      </c>
      <c r="D442" t="inlineStr">
        <is>
          <t>JÄMTLANDS LÄN</t>
        </is>
      </c>
      <c r="E442" t="inlineStr">
        <is>
          <t>BERG</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22275-2022</t>
        </is>
      </c>
      <c r="B443" s="1" t="n">
        <v>44712</v>
      </c>
      <c r="C443" s="1" t="n">
        <v>45344</v>
      </c>
      <c r="D443" t="inlineStr">
        <is>
          <t>JÄMTLANDS LÄN</t>
        </is>
      </c>
      <c r="E443" t="inlineStr">
        <is>
          <t>BERG</t>
        </is>
      </c>
      <c r="G443" t="n">
        <v>2.1</v>
      </c>
      <c r="H443" t="n">
        <v>0</v>
      </c>
      <c r="I443" t="n">
        <v>0</v>
      </c>
      <c r="J443" t="n">
        <v>0</v>
      </c>
      <c r="K443" t="n">
        <v>0</v>
      </c>
      <c r="L443" t="n">
        <v>0</v>
      </c>
      <c r="M443" t="n">
        <v>0</v>
      </c>
      <c r="N443" t="n">
        <v>0</v>
      </c>
      <c r="O443" t="n">
        <v>0</v>
      </c>
      <c r="P443" t="n">
        <v>0</v>
      </c>
      <c r="Q443" t="n">
        <v>0</v>
      </c>
      <c r="R443" s="2" t="inlineStr"/>
    </row>
    <row r="444" ht="15" customHeight="1">
      <c r="A444" t="inlineStr">
        <is>
          <t>A 22297-2022</t>
        </is>
      </c>
      <c r="B444" s="1" t="n">
        <v>44712</v>
      </c>
      <c r="C444" s="1" t="n">
        <v>45344</v>
      </c>
      <c r="D444" t="inlineStr">
        <is>
          <t>JÄMTLANDS LÄN</t>
        </is>
      </c>
      <c r="E444" t="inlineStr">
        <is>
          <t>BERG</t>
        </is>
      </c>
      <c r="G444" t="n">
        <v>1</v>
      </c>
      <c r="H444" t="n">
        <v>0</v>
      </c>
      <c r="I444" t="n">
        <v>0</v>
      </c>
      <c r="J444" t="n">
        <v>0</v>
      </c>
      <c r="K444" t="n">
        <v>0</v>
      </c>
      <c r="L444" t="n">
        <v>0</v>
      </c>
      <c r="M444" t="n">
        <v>0</v>
      </c>
      <c r="N444" t="n">
        <v>0</v>
      </c>
      <c r="O444" t="n">
        <v>0</v>
      </c>
      <c r="P444" t="n">
        <v>0</v>
      </c>
      <c r="Q444" t="n">
        <v>0</v>
      </c>
      <c r="R444" s="2" t="inlineStr"/>
    </row>
    <row r="445" ht="15" customHeight="1">
      <c r="A445" t="inlineStr">
        <is>
          <t>A 22680-2022</t>
        </is>
      </c>
      <c r="B445" s="1" t="n">
        <v>44714</v>
      </c>
      <c r="C445" s="1" t="n">
        <v>45344</v>
      </c>
      <c r="D445" t="inlineStr">
        <is>
          <t>JÄMTLANDS LÄN</t>
        </is>
      </c>
      <c r="E445" t="inlineStr">
        <is>
          <t>BERG</t>
        </is>
      </c>
      <c r="G445" t="n">
        <v>15.4</v>
      </c>
      <c r="H445" t="n">
        <v>0</v>
      </c>
      <c r="I445" t="n">
        <v>0</v>
      </c>
      <c r="J445" t="n">
        <v>0</v>
      </c>
      <c r="K445" t="n">
        <v>0</v>
      </c>
      <c r="L445" t="n">
        <v>0</v>
      </c>
      <c r="M445" t="n">
        <v>0</v>
      </c>
      <c r="N445" t="n">
        <v>0</v>
      </c>
      <c r="O445" t="n">
        <v>0</v>
      </c>
      <c r="P445" t="n">
        <v>0</v>
      </c>
      <c r="Q445" t="n">
        <v>0</v>
      </c>
      <c r="R445" s="2" t="inlineStr"/>
    </row>
    <row r="446" ht="15" customHeight="1">
      <c r="A446" t="inlineStr">
        <is>
          <t>A 22947-2022</t>
        </is>
      </c>
      <c r="B446" s="1" t="n">
        <v>44716</v>
      </c>
      <c r="C446" s="1" t="n">
        <v>45344</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23451-2022</t>
        </is>
      </c>
      <c r="B447" s="1" t="n">
        <v>44721</v>
      </c>
      <c r="C447" s="1" t="n">
        <v>45344</v>
      </c>
      <c r="D447" t="inlineStr">
        <is>
          <t>JÄMTLANDS LÄN</t>
        </is>
      </c>
      <c r="E447" t="inlineStr">
        <is>
          <t>BERG</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24119-2022</t>
        </is>
      </c>
      <c r="B448" s="1" t="n">
        <v>44725</v>
      </c>
      <c r="C448" s="1" t="n">
        <v>45344</v>
      </c>
      <c r="D448" t="inlineStr">
        <is>
          <t>JÄMTLANDS LÄN</t>
        </is>
      </c>
      <c r="E448" t="inlineStr">
        <is>
          <t>BERG</t>
        </is>
      </c>
      <c r="G448" t="n">
        <v>3.6</v>
      </c>
      <c r="H448" t="n">
        <v>0</v>
      </c>
      <c r="I448" t="n">
        <v>0</v>
      </c>
      <c r="J448" t="n">
        <v>0</v>
      </c>
      <c r="K448" t="n">
        <v>0</v>
      </c>
      <c r="L448" t="n">
        <v>0</v>
      </c>
      <c r="M448" t="n">
        <v>0</v>
      </c>
      <c r="N448" t="n">
        <v>0</v>
      </c>
      <c r="O448" t="n">
        <v>0</v>
      </c>
      <c r="P448" t="n">
        <v>0</v>
      </c>
      <c r="Q448" t="n">
        <v>0</v>
      </c>
      <c r="R448" s="2" t="inlineStr"/>
    </row>
    <row r="449" ht="15" customHeight="1">
      <c r="A449" t="inlineStr">
        <is>
          <t>A 24378-2022</t>
        </is>
      </c>
      <c r="B449" s="1" t="n">
        <v>44726</v>
      </c>
      <c r="C449" s="1" t="n">
        <v>45344</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24661-2022</t>
        </is>
      </c>
      <c r="B450" s="1" t="n">
        <v>44727</v>
      </c>
      <c r="C450" s="1" t="n">
        <v>45344</v>
      </c>
      <c r="D450" t="inlineStr">
        <is>
          <t>JÄMTLANDS LÄN</t>
        </is>
      </c>
      <c r="E450" t="inlineStr">
        <is>
          <t>BERG</t>
        </is>
      </c>
      <c r="G450" t="n">
        <v>7.6</v>
      </c>
      <c r="H450" t="n">
        <v>0</v>
      </c>
      <c r="I450" t="n">
        <v>0</v>
      </c>
      <c r="J450" t="n">
        <v>0</v>
      </c>
      <c r="K450" t="n">
        <v>0</v>
      </c>
      <c r="L450" t="n">
        <v>0</v>
      </c>
      <c r="M450" t="n">
        <v>0</v>
      </c>
      <c r="N450" t="n">
        <v>0</v>
      </c>
      <c r="O450" t="n">
        <v>0</v>
      </c>
      <c r="P450" t="n">
        <v>0</v>
      </c>
      <c r="Q450" t="n">
        <v>0</v>
      </c>
      <c r="R450" s="2" t="inlineStr"/>
    </row>
    <row r="451" ht="15" customHeight="1">
      <c r="A451" t="inlineStr">
        <is>
          <t>A 25265-2022</t>
        </is>
      </c>
      <c r="B451" s="1" t="n">
        <v>44730</v>
      </c>
      <c r="C451" s="1" t="n">
        <v>45344</v>
      </c>
      <c r="D451" t="inlineStr">
        <is>
          <t>JÄMTLANDS LÄN</t>
        </is>
      </c>
      <c r="E451" t="inlineStr">
        <is>
          <t>BERG</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25264-2022</t>
        </is>
      </c>
      <c r="B452" s="1" t="n">
        <v>44730</v>
      </c>
      <c r="C452" s="1" t="n">
        <v>45344</v>
      </c>
      <c r="D452" t="inlineStr">
        <is>
          <t>JÄMTLANDS LÄN</t>
        </is>
      </c>
      <c r="E452" t="inlineStr">
        <is>
          <t>BERG</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25266-2022</t>
        </is>
      </c>
      <c r="B453" s="1" t="n">
        <v>44729</v>
      </c>
      <c r="C453" s="1" t="n">
        <v>45344</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25657-2022</t>
        </is>
      </c>
      <c r="B454" s="1" t="n">
        <v>44733</v>
      </c>
      <c r="C454" s="1" t="n">
        <v>45344</v>
      </c>
      <c r="D454" t="inlineStr">
        <is>
          <t>JÄMTLANDS LÄN</t>
        </is>
      </c>
      <c r="E454" t="inlineStr">
        <is>
          <t>BERG</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26062-2022</t>
        </is>
      </c>
      <c r="B455" s="1" t="n">
        <v>44734</v>
      </c>
      <c r="C455" s="1" t="n">
        <v>45344</v>
      </c>
      <c r="D455" t="inlineStr">
        <is>
          <t>JÄMTLANDS LÄN</t>
        </is>
      </c>
      <c r="E455" t="inlineStr">
        <is>
          <t>BERG</t>
        </is>
      </c>
      <c r="G455" t="n">
        <v>6.7</v>
      </c>
      <c r="H455" t="n">
        <v>0</v>
      </c>
      <c r="I455" t="n">
        <v>0</v>
      </c>
      <c r="J455" t="n">
        <v>0</v>
      </c>
      <c r="K455" t="n">
        <v>0</v>
      </c>
      <c r="L455" t="n">
        <v>0</v>
      </c>
      <c r="M455" t="n">
        <v>0</v>
      </c>
      <c r="N455" t="n">
        <v>0</v>
      </c>
      <c r="O455" t="n">
        <v>0</v>
      </c>
      <c r="P455" t="n">
        <v>0</v>
      </c>
      <c r="Q455" t="n">
        <v>0</v>
      </c>
      <c r="R455" s="2" t="inlineStr"/>
    </row>
    <row r="456" ht="15" customHeight="1">
      <c r="A456" t="inlineStr">
        <is>
          <t>A 26405-2022</t>
        </is>
      </c>
      <c r="B456" s="1" t="n">
        <v>44735</v>
      </c>
      <c r="C456" s="1" t="n">
        <v>45344</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26739-2022</t>
        </is>
      </c>
      <c r="B457" s="1" t="n">
        <v>44740</v>
      </c>
      <c r="C457" s="1" t="n">
        <v>45344</v>
      </c>
      <c r="D457" t="inlineStr">
        <is>
          <t>JÄMTLANDS LÄN</t>
        </is>
      </c>
      <c r="E457" t="inlineStr">
        <is>
          <t>BERG</t>
        </is>
      </c>
      <c r="F457" t="inlineStr">
        <is>
          <t>SCA</t>
        </is>
      </c>
      <c r="G457" t="n">
        <v>16.4</v>
      </c>
      <c r="H457" t="n">
        <v>0</v>
      </c>
      <c r="I457" t="n">
        <v>0</v>
      </c>
      <c r="J457" t="n">
        <v>0</v>
      </c>
      <c r="K457" t="n">
        <v>0</v>
      </c>
      <c r="L457" t="n">
        <v>0</v>
      </c>
      <c r="M457" t="n">
        <v>0</v>
      </c>
      <c r="N457" t="n">
        <v>0</v>
      </c>
      <c r="O457" t="n">
        <v>0</v>
      </c>
      <c r="P457" t="n">
        <v>0</v>
      </c>
      <c r="Q457" t="n">
        <v>0</v>
      </c>
      <c r="R457" s="2" t="inlineStr"/>
    </row>
    <row r="458" ht="15" customHeight="1">
      <c r="A458" t="inlineStr">
        <is>
          <t>A 26738-2022</t>
        </is>
      </c>
      <c r="B458" s="1" t="n">
        <v>44739</v>
      </c>
      <c r="C458" s="1" t="n">
        <v>45344</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26944-2022</t>
        </is>
      </c>
      <c r="B459" s="1" t="n">
        <v>44740</v>
      </c>
      <c r="C459" s="1" t="n">
        <v>45344</v>
      </c>
      <c r="D459" t="inlineStr">
        <is>
          <t>JÄMTLANDS LÄN</t>
        </is>
      </c>
      <c r="E459" t="inlineStr">
        <is>
          <t>BERG</t>
        </is>
      </c>
      <c r="G459" t="n">
        <v>3.3</v>
      </c>
      <c r="H459" t="n">
        <v>0</v>
      </c>
      <c r="I459" t="n">
        <v>0</v>
      </c>
      <c r="J459" t="n">
        <v>0</v>
      </c>
      <c r="K459" t="n">
        <v>0</v>
      </c>
      <c r="L459" t="n">
        <v>0</v>
      </c>
      <c r="M459" t="n">
        <v>0</v>
      </c>
      <c r="N459" t="n">
        <v>0</v>
      </c>
      <c r="O459" t="n">
        <v>0</v>
      </c>
      <c r="P459" t="n">
        <v>0</v>
      </c>
      <c r="Q459" t="n">
        <v>0</v>
      </c>
      <c r="R459" s="2" t="inlineStr"/>
    </row>
    <row r="460" ht="15" customHeight="1">
      <c r="A460" t="inlineStr">
        <is>
          <t>A 26959-2022</t>
        </is>
      </c>
      <c r="B460" s="1" t="n">
        <v>44740</v>
      </c>
      <c r="C460" s="1" t="n">
        <v>45344</v>
      </c>
      <c r="D460" t="inlineStr">
        <is>
          <t>JÄMTLANDS LÄN</t>
        </is>
      </c>
      <c r="E460" t="inlineStr">
        <is>
          <t>BERG</t>
        </is>
      </c>
      <c r="G460" t="n">
        <v>2.8</v>
      </c>
      <c r="H460" t="n">
        <v>0</v>
      </c>
      <c r="I460" t="n">
        <v>0</v>
      </c>
      <c r="J460" t="n">
        <v>0</v>
      </c>
      <c r="K460" t="n">
        <v>0</v>
      </c>
      <c r="L460" t="n">
        <v>0</v>
      </c>
      <c r="M460" t="n">
        <v>0</v>
      </c>
      <c r="N460" t="n">
        <v>0</v>
      </c>
      <c r="O460" t="n">
        <v>0</v>
      </c>
      <c r="P460" t="n">
        <v>0</v>
      </c>
      <c r="Q460" t="n">
        <v>0</v>
      </c>
      <c r="R460" s="2" t="inlineStr"/>
    </row>
    <row r="461" ht="15" customHeight="1">
      <c r="A461" t="inlineStr">
        <is>
          <t>A 27599-2022</t>
        </is>
      </c>
      <c r="B461" s="1" t="n">
        <v>44742</v>
      </c>
      <c r="C461" s="1" t="n">
        <v>45344</v>
      </c>
      <c r="D461" t="inlineStr">
        <is>
          <t>JÄMTLANDS LÄN</t>
        </is>
      </c>
      <c r="E461" t="inlineStr">
        <is>
          <t>BERG</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27598-2022</t>
        </is>
      </c>
      <c r="B462" s="1" t="n">
        <v>44743</v>
      </c>
      <c r="C462" s="1" t="n">
        <v>45344</v>
      </c>
      <c r="D462" t="inlineStr">
        <is>
          <t>JÄMTLANDS LÄN</t>
        </is>
      </c>
      <c r="E462" t="inlineStr">
        <is>
          <t>BERG</t>
        </is>
      </c>
      <c r="F462" t="inlineStr">
        <is>
          <t>SCA</t>
        </is>
      </c>
      <c r="G462" t="n">
        <v>6.4</v>
      </c>
      <c r="H462" t="n">
        <v>0</v>
      </c>
      <c r="I462" t="n">
        <v>0</v>
      </c>
      <c r="J462" t="n">
        <v>0</v>
      </c>
      <c r="K462" t="n">
        <v>0</v>
      </c>
      <c r="L462" t="n">
        <v>0</v>
      </c>
      <c r="M462" t="n">
        <v>0</v>
      </c>
      <c r="N462" t="n">
        <v>0</v>
      </c>
      <c r="O462" t="n">
        <v>0</v>
      </c>
      <c r="P462" t="n">
        <v>0</v>
      </c>
      <c r="Q462" t="n">
        <v>0</v>
      </c>
      <c r="R462" s="2" t="inlineStr"/>
    </row>
    <row r="463" ht="15" customHeight="1">
      <c r="A463" t="inlineStr">
        <is>
          <t>A 28500-2022</t>
        </is>
      </c>
      <c r="B463" s="1" t="n">
        <v>44747</v>
      </c>
      <c r="C463" s="1" t="n">
        <v>45344</v>
      </c>
      <c r="D463" t="inlineStr">
        <is>
          <t>JÄMTLANDS LÄN</t>
        </is>
      </c>
      <c r="E463" t="inlineStr">
        <is>
          <t>BERG</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28501-2022</t>
        </is>
      </c>
      <c r="B464" s="1" t="n">
        <v>44748</v>
      </c>
      <c r="C464" s="1" t="n">
        <v>45344</v>
      </c>
      <c r="D464" t="inlineStr">
        <is>
          <t>JÄMTLANDS LÄN</t>
        </is>
      </c>
      <c r="E464" t="inlineStr">
        <is>
          <t>BERG</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29498-2022</t>
        </is>
      </c>
      <c r="B465" s="1" t="n">
        <v>44753</v>
      </c>
      <c r="C465" s="1" t="n">
        <v>45344</v>
      </c>
      <c r="D465" t="inlineStr">
        <is>
          <t>JÄMTLANDS LÄN</t>
        </is>
      </c>
      <c r="E465" t="inlineStr">
        <is>
          <t>BERG</t>
        </is>
      </c>
      <c r="F465" t="inlineStr">
        <is>
          <t>Sveaskog</t>
        </is>
      </c>
      <c r="G465" t="n">
        <v>4.8</v>
      </c>
      <c r="H465" t="n">
        <v>0</v>
      </c>
      <c r="I465" t="n">
        <v>0</v>
      </c>
      <c r="J465" t="n">
        <v>0</v>
      </c>
      <c r="K465" t="n">
        <v>0</v>
      </c>
      <c r="L465" t="n">
        <v>0</v>
      </c>
      <c r="M465" t="n">
        <v>0</v>
      </c>
      <c r="N465" t="n">
        <v>0</v>
      </c>
      <c r="O465" t="n">
        <v>0</v>
      </c>
      <c r="P465" t="n">
        <v>0</v>
      </c>
      <c r="Q465" t="n">
        <v>0</v>
      </c>
      <c r="R465" s="2" t="inlineStr"/>
    </row>
    <row r="466" ht="15" customHeight="1">
      <c r="A466" t="inlineStr">
        <is>
          <t>A 30187-2022</t>
        </is>
      </c>
      <c r="B466" s="1" t="n">
        <v>44757</v>
      </c>
      <c r="C466" s="1" t="n">
        <v>45344</v>
      </c>
      <c r="D466" t="inlineStr">
        <is>
          <t>JÄMTLANDS LÄN</t>
        </is>
      </c>
      <c r="E466" t="inlineStr">
        <is>
          <t>BERG</t>
        </is>
      </c>
      <c r="G466" t="n">
        <v>0.6</v>
      </c>
      <c r="H466" t="n">
        <v>0</v>
      </c>
      <c r="I466" t="n">
        <v>0</v>
      </c>
      <c r="J466" t="n">
        <v>0</v>
      </c>
      <c r="K466" t="n">
        <v>0</v>
      </c>
      <c r="L466" t="n">
        <v>0</v>
      </c>
      <c r="M466" t="n">
        <v>0</v>
      </c>
      <c r="N466" t="n">
        <v>0</v>
      </c>
      <c r="O466" t="n">
        <v>0</v>
      </c>
      <c r="P466" t="n">
        <v>0</v>
      </c>
      <c r="Q466" t="n">
        <v>0</v>
      </c>
      <c r="R466" s="2" t="inlineStr"/>
    </row>
    <row r="467" ht="15" customHeight="1">
      <c r="A467" t="inlineStr">
        <is>
          <t>A 30765-2022</t>
        </is>
      </c>
      <c r="B467" s="1" t="n">
        <v>44764</v>
      </c>
      <c r="C467" s="1" t="n">
        <v>45344</v>
      </c>
      <c r="D467" t="inlineStr">
        <is>
          <t>JÄMTLANDS LÄN</t>
        </is>
      </c>
      <c r="E467" t="inlineStr">
        <is>
          <t>BERG</t>
        </is>
      </c>
      <c r="F467" t="inlineStr">
        <is>
          <t>Sveaskog</t>
        </is>
      </c>
      <c r="G467" t="n">
        <v>5.8</v>
      </c>
      <c r="H467" t="n">
        <v>0</v>
      </c>
      <c r="I467" t="n">
        <v>0</v>
      </c>
      <c r="J467" t="n">
        <v>0</v>
      </c>
      <c r="K467" t="n">
        <v>0</v>
      </c>
      <c r="L467" t="n">
        <v>0</v>
      </c>
      <c r="M467" t="n">
        <v>0</v>
      </c>
      <c r="N467" t="n">
        <v>0</v>
      </c>
      <c r="O467" t="n">
        <v>0</v>
      </c>
      <c r="P467" t="n">
        <v>0</v>
      </c>
      <c r="Q467" t="n">
        <v>0</v>
      </c>
      <c r="R467" s="2" t="inlineStr"/>
    </row>
    <row r="468" ht="15" customHeight="1">
      <c r="A468" t="inlineStr">
        <is>
          <t>A 31371-2022</t>
        </is>
      </c>
      <c r="B468" s="1" t="n">
        <v>44774</v>
      </c>
      <c r="C468" s="1" t="n">
        <v>45344</v>
      </c>
      <c r="D468" t="inlineStr">
        <is>
          <t>JÄMTLANDS LÄN</t>
        </is>
      </c>
      <c r="E468" t="inlineStr">
        <is>
          <t>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31375-2022</t>
        </is>
      </c>
      <c r="B469" s="1" t="n">
        <v>44774</v>
      </c>
      <c r="C469" s="1" t="n">
        <v>45344</v>
      </c>
      <c r="D469" t="inlineStr">
        <is>
          <t>JÄMTLANDS LÄN</t>
        </is>
      </c>
      <c r="E469" t="inlineStr">
        <is>
          <t>BERG</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31564-2022</t>
        </is>
      </c>
      <c r="B470" s="1" t="n">
        <v>44775</v>
      </c>
      <c r="C470" s="1" t="n">
        <v>45344</v>
      </c>
      <c r="D470" t="inlineStr">
        <is>
          <t>JÄMTLANDS LÄN</t>
        </is>
      </c>
      <c r="E470" t="inlineStr">
        <is>
          <t>BERG</t>
        </is>
      </c>
      <c r="G470" t="n">
        <v>2.3</v>
      </c>
      <c r="H470" t="n">
        <v>0</v>
      </c>
      <c r="I470" t="n">
        <v>0</v>
      </c>
      <c r="J470" t="n">
        <v>0</v>
      </c>
      <c r="K470" t="n">
        <v>0</v>
      </c>
      <c r="L470" t="n">
        <v>0</v>
      </c>
      <c r="M470" t="n">
        <v>0</v>
      </c>
      <c r="N470" t="n">
        <v>0</v>
      </c>
      <c r="O470" t="n">
        <v>0</v>
      </c>
      <c r="P470" t="n">
        <v>0</v>
      </c>
      <c r="Q470" t="n">
        <v>0</v>
      </c>
      <c r="R470" s="2" t="inlineStr"/>
    </row>
    <row r="471" ht="15" customHeight="1">
      <c r="A471" t="inlineStr">
        <is>
          <t>A 31641-2022</t>
        </is>
      </c>
      <c r="B471" s="1" t="n">
        <v>44776</v>
      </c>
      <c r="C471" s="1" t="n">
        <v>45344</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31638-2022</t>
        </is>
      </c>
      <c r="B472" s="1" t="n">
        <v>44775</v>
      </c>
      <c r="C472" s="1" t="n">
        <v>45344</v>
      </c>
      <c r="D472" t="inlineStr">
        <is>
          <t>JÄMTLANDS LÄN</t>
        </is>
      </c>
      <c r="E472" t="inlineStr">
        <is>
          <t>BERG</t>
        </is>
      </c>
      <c r="F472" t="inlineStr">
        <is>
          <t>SCA</t>
        </is>
      </c>
      <c r="G472" t="n">
        <v>15.3</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45344</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32703-2022</t>
        </is>
      </c>
      <c r="B474" s="1" t="n">
        <v>44776</v>
      </c>
      <c r="C474" s="1" t="n">
        <v>45344</v>
      </c>
      <c r="D474" t="inlineStr">
        <is>
          <t>JÄMTLANDS LÄN</t>
        </is>
      </c>
      <c r="E474" t="inlineStr">
        <is>
          <t>BERG</t>
        </is>
      </c>
      <c r="G474" t="n">
        <v>1.2</v>
      </c>
      <c r="H474" t="n">
        <v>0</v>
      </c>
      <c r="I474" t="n">
        <v>0</v>
      </c>
      <c r="J474" t="n">
        <v>0</v>
      </c>
      <c r="K474" t="n">
        <v>0</v>
      </c>
      <c r="L474" t="n">
        <v>0</v>
      </c>
      <c r="M474" t="n">
        <v>0</v>
      </c>
      <c r="N474" t="n">
        <v>0</v>
      </c>
      <c r="O474" t="n">
        <v>0</v>
      </c>
      <c r="P474" t="n">
        <v>0</v>
      </c>
      <c r="Q474" t="n">
        <v>0</v>
      </c>
      <c r="R474" s="2" t="inlineStr"/>
    </row>
    <row r="475" ht="15" customHeight="1">
      <c r="A475" t="inlineStr">
        <is>
          <t>A 32133-2022</t>
        </is>
      </c>
      <c r="B475" s="1" t="n">
        <v>44779</v>
      </c>
      <c r="C475" s="1" t="n">
        <v>45344</v>
      </c>
      <c r="D475" t="inlineStr">
        <is>
          <t>JÄMTLANDS LÄN</t>
        </is>
      </c>
      <c r="E475" t="inlineStr">
        <is>
          <t>BERG</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32307-2022</t>
        </is>
      </c>
      <c r="B476" s="1" t="n">
        <v>44781</v>
      </c>
      <c r="C476" s="1" t="n">
        <v>45344</v>
      </c>
      <c r="D476" t="inlineStr">
        <is>
          <t>JÄMTLANDS LÄN</t>
        </is>
      </c>
      <c r="E476" t="inlineStr">
        <is>
          <t>BERG</t>
        </is>
      </c>
      <c r="G476" t="n">
        <v>4.8</v>
      </c>
      <c r="H476" t="n">
        <v>0</v>
      </c>
      <c r="I476" t="n">
        <v>0</v>
      </c>
      <c r="J476" t="n">
        <v>0</v>
      </c>
      <c r="K476" t="n">
        <v>0</v>
      </c>
      <c r="L476" t="n">
        <v>0</v>
      </c>
      <c r="M476" t="n">
        <v>0</v>
      </c>
      <c r="N476" t="n">
        <v>0</v>
      </c>
      <c r="O476" t="n">
        <v>0</v>
      </c>
      <c r="P476" t="n">
        <v>0</v>
      </c>
      <c r="Q476" t="n">
        <v>0</v>
      </c>
      <c r="R476" s="2" t="inlineStr"/>
    </row>
    <row r="477" ht="15" customHeight="1">
      <c r="A477" t="inlineStr">
        <is>
          <t>A 32707-2022</t>
        </is>
      </c>
      <c r="B477" s="1" t="n">
        <v>44783</v>
      </c>
      <c r="C477" s="1" t="n">
        <v>45344</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33068-2022</t>
        </is>
      </c>
      <c r="B478" s="1" t="n">
        <v>44785</v>
      </c>
      <c r="C478" s="1" t="n">
        <v>45344</v>
      </c>
      <c r="D478" t="inlineStr">
        <is>
          <t>JÄMTLANDS LÄN</t>
        </is>
      </c>
      <c r="E478" t="inlineStr">
        <is>
          <t>BERG</t>
        </is>
      </c>
      <c r="G478" t="n">
        <v>6</v>
      </c>
      <c r="H478" t="n">
        <v>0</v>
      </c>
      <c r="I478" t="n">
        <v>0</v>
      </c>
      <c r="J478" t="n">
        <v>0</v>
      </c>
      <c r="K478" t="n">
        <v>0</v>
      </c>
      <c r="L478" t="n">
        <v>0</v>
      </c>
      <c r="M478" t="n">
        <v>0</v>
      </c>
      <c r="N478" t="n">
        <v>0</v>
      </c>
      <c r="O478" t="n">
        <v>0</v>
      </c>
      <c r="P478" t="n">
        <v>0</v>
      </c>
      <c r="Q478" t="n">
        <v>0</v>
      </c>
      <c r="R478" s="2" t="inlineStr"/>
    </row>
    <row r="479" ht="15" customHeight="1">
      <c r="A479" t="inlineStr">
        <is>
          <t>A 33232-2022</t>
        </is>
      </c>
      <c r="B479" s="1" t="n">
        <v>44786</v>
      </c>
      <c r="C479" s="1" t="n">
        <v>45344</v>
      </c>
      <c r="D479" t="inlineStr">
        <is>
          <t>JÄMTLANDS LÄN</t>
        </is>
      </c>
      <c r="E479" t="inlineStr">
        <is>
          <t>BERG</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34260-2022</t>
        </is>
      </c>
      <c r="B480" s="1" t="n">
        <v>44791</v>
      </c>
      <c r="C480" s="1" t="n">
        <v>45344</v>
      </c>
      <c r="D480" t="inlineStr">
        <is>
          <t>JÄMTLANDS LÄN</t>
        </is>
      </c>
      <c r="E480" t="inlineStr">
        <is>
          <t>BERG</t>
        </is>
      </c>
      <c r="F480" t="inlineStr">
        <is>
          <t>Övriga Aktiebolag</t>
        </is>
      </c>
      <c r="G480" t="n">
        <v>32.2</v>
      </c>
      <c r="H480" t="n">
        <v>0</v>
      </c>
      <c r="I480" t="n">
        <v>0</v>
      </c>
      <c r="J480" t="n">
        <v>0</v>
      </c>
      <c r="K480" t="n">
        <v>0</v>
      </c>
      <c r="L480" t="n">
        <v>0</v>
      </c>
      <c r="M480" t="n">
        <v>0</v>
      </c>
      <c r="N480" t="n">
        <v>0</v>
      </c>
      <c r="O480" t="n">
        <v>0</v>
      </c>
      <c r="P480" t="n">
        <v>0</v>
      </c>
      <c r="Q480" t="n">
        <v>0</v>
      </c>
      <c r="R480" s="2" t="inlineStr"/>
    </row>
    <row r="481" ht="15" customHeight="1">
      <c r="A481" t="inlineStr">
        <is>
          <t>A 34273-2022</t>
        </is>
      </c>
      <c r="B481" s="1" t="n">
        <v>44792</v>
      </c>
      <c r="C481" s="1" t="n">
        <v>45344</v>
      </c>
      <c r="D481" t="inlineStr">
        <is>
          <t>JÄMTLANDS LÄN</t>
        </is>
      </c>
      <c r="E481" t="inlineStr">
        <is>
          <t>BERG</t>
        </is>
      </c>
      <c r="F481" t="inlineStr">
        <is>
          <t>SCA</t>
        </is>
      </c>
      <c r="G481" t="n">
        <v>6.2</v>
      </c>
      <c r="H481" t="n">
        <v>0</v>
      </c>
      <c r="I481" t="n">
        <v>0</v>
      </c>
      <c r="J481" t="n">
        <v>0</v>
      </c>
      <c r="K481" t="n">
        <v>0</v>
      </c>
      <c r="L481" t="n">
        <v>0</v>
      </c>
      <c r="M481" t="n">
        <v>0</v>
      </c>
      <c r="N481" t="n">
        <v>0</v>
      </c>
      <c r="O481" t="n">
        <v>0</v>
      </c>
      <c r="P481" t="n">
        <v>0</v>
      </c>
      <c r="Q481" t="n">
        <v>0</v>
      </c>
      <c r="R481" s="2" t="inlineStr"/>
    </row>
    <row r="482" ht="15" customHeight="1">
      <c r="A482" t="inlineStr">
        <is>
          <t>A 34272-2022</t>
        </is>
      </c>
      <c r="B482" s="1" t="n">
        <v>44791</v>
      </c>
      <c r="C482" s="1" t="n">
        <v>45344</v>
      </c>
      <c r="D482" t="inlineStr">
        <is>
          <t>JÄMTLANDS LÄN</t>
        </is>
      </c>
      <c r="E482" t="inlineStr">
        <is>
          <t>BERG</t>
        </is>
      </c>
      <c r="F482" t="inlineStr">
        <is>
          <t>SCA</t>
        </is>
      </c>
      <c r="G482" t="n">
        <v>6.5</v>
      </c>
      <c r="H482" t="n">
        <v>0</v>
      </c>
      <c r="I482" t="n">
        <v>0</v>
      </c>
      <c r="J482" t="n">
        <v>0</v>
      </c>
      <c r="K482" t="n">
        <v>0</v>
      </c>
      <c r="L482" t="n">
        <v>0</v>
      </c>
      <c r="M482" t="n">
        <v>0</v>
      </c>
      <c r="N482" t="n">
        <v>0</v>
      </c>
      <c r="O482" t="n">
        <v>0</v>
      </c>
      <c r="P482" t="n">
        <v>0</v>
      </c>
      <c r="Q482" t="n">
        <v>0</v>
      </c>
      <c r="R482" s="2" t="inlineStr"/>
    </row>
    <row r="483" ht="15" customHeight="1">
      <c r="A483" t="inlineStr">
        <is>
          <t>A 34803-2022</t>
        </is>
      </c>
      <c r="B483" s="1" t="n">
        <v>44796</v>
      </c>
      <c r="C483" s="1" t="n">
        <v>45344</v>
      </c>
      <c r="D483" t="inlineStr">
        <is>
          <t>JÄMTLANDS LÄN</t>
        </is>
      </c>
      <c r="E483" t="inlineStr">
        <is>
          <t>BERG</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35126-2022</t>
        </is>
      </c>
      <c r="B484" s="1" t="n">
        <v>44797</v>
      </c>
      <c r="C484" s="1" t="n">
        <v>45344</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35740-2022</t>
        </is>
      </c>
      <c r="B485" s="1" t="n">
        <v>44800</v>
      </c>
      <c r="C485" s="1" t="n">
        <v>45344</v>
      </c>
      <c r="D485" t="inlineStr">
        <is>
          <t>JÄMTLANDS LÄN</t>
        </is>
      </c>
      <c r="E485" t="inlineStr">
        <is>
          <t>BERG</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36071-2022</t>
        </is>
      </c>
      <c r="B486" s="1" t="n">
        <v>44802</v>
      </c>
      <c r="C486" s="1" t="n">
        <v>45344</v>
      </c>
      <c r="D486" t="inlineStr">
        <is>
          <t>JÄMTLANDS LÄN</t>
        </is>
      </c>
      <c r="E486" t="inlineStr">
        <is>
          <t>BERG</t>
        </is>
      </c>
      <c r="G486" t="n">
        <v>1.6</v>
      </c>
      <c r="H486" t="n">
        <v>0</v>
      </c>
      <c r="I486" t="n">
        <v>0</v>
      </c>
      <c r="J486" t="n">
        <v>0</v>
      </c>
      <c r="K486" t="n">
        <v>0</v>
      </c>
      <c r="L486" t="n">
        <v>0</v>
      </c>
      <c r="M486" t="n">
        <v>0</v>
      </c>
      <c r="N486" t="n">
        <v>0</v>
      </c>
      <c r="O486" t="n">
        <v>0</v>
      </c>
      <c r="P486" t="n">
        <v>0</v>
      </c>
      <c r="Q486" t="n">
        <v>0</v>
      </c>
      <c r="R486" s="2" t="inlineStr"/>
    </row>
    <row r="487" ht="15" customHeight="1">
      <c r="A487" t="inlineStr">
        <is>
          <t>A 36373-2022</t>
        </is>
      </c>
      <c r="B487" s="1" t="n">
        <v>44803</v>
      </c>
      <c r="C487" s="1" t="n">
        <v>45344</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37333-2022</t>
        </is>
      </c>
      <c r="B488" s="1" t="n">
        <v>44806</v>
      </c>
      <c r="C488" s="1" t="n">
        <v>45344</v>
      </c>
      <c r="D488" t="inlineStr">
        <is>
          <t>JÄMTLANDS LÄN</t>
        </is>
      </c>
      <c r="E488" t="inlineStr">
        <is>
          <t>BERG</t>
        </is>
      </c>
      <c r="G488" t="n">
        <v>5.5</v>
      </c>
      <c r="H488" t="n">
        <v>0</v>
      </c>
      <c r="I488" t="n">
        <v>0</v>
      </c>
      <c r="J488" t="n">
        <v>0</v>
      </c>
      <c r="K488" t="n">
        <v>0</v>
      </c>
      <c r="L488" t="n">
        <v>0</v>
      </c>
      <c r="M488" t="n">
        <v>0</v>
      </c>
      <c r="N488" t="n">
        <v>0</v>
      </c>
      <c r="O488" t="n">
        <v>0</v>
      </c>
      <c r="P488" t="n">
        <v>0</v>
      </c>
      <c r="Q488" t="n">
        <v>0</v>
      </c>
      <c r="R488" s="2" t="inlineStr"/>
    </row>
    <row r="489" ht="15" customHeight="1">
      <c r="A489" t="inlineStr">
        <is>
          <t>A 37711-2022</t>
        </is>
      </c>
      <c r="B489" s="1" t="n">
        <v>44810</v>
      </c>
      <c r="C489" s="1" t="n">
        <v>45344</v>
      </c>
      <c r="D489" t="inlineStr">
        <is>
          <t>JÄMTLANDS LÄN</t>
        </is>
      </c>
      <c r="E489" t="inlineStr">
        <is>
          <t>BERG</t>
        </is>
      </c>
      <c r="G489" t="n">
        <v>0.6</v>
      </c>
      <c r="H489" t="n">
        <v>0</v>
      </c>
      <c r="I489" t="n">
        <v>0</v>
      </c>
      <c r="J489" t="n">
        <v>0</v>
      </c>
      <c r="K489" t="n">
        <v>0</v>
      </c>
      <c r="L489" t="n">
        <v>0</v>
      </c>
      <c r="M489" t="n">
        <v>0</v>
      </c>
      <c r="N489" t="n">
        <v>0</v>
      </c>
      <c r="O489" t="n">
        <v>0</v>
      </c>
      <c r="P489" t="n">
        <v>0</v>
      </c>
      <c r="Q489" t="n">
        <v>0</v>
      </c>
      <c r="R489" s="2" t="inlineStr"/>
    </row>
    <row r="490" ht="15" customHeight="1">
      <c r="A490" t="inlineStr">
        <is>
          <t>A 37726-2022</t>
        </is>
      </c>
      <c r="B490" s="1" t="n">
        <v>44810</v>
      </c>
      <c r="C490" s="1" t="n">
        <v>45344</v>
      </c>
      <c r="D490" t="inlineStr">
        <is>
          <t>JÄMTLANDS LÄN</t>
        </is>
      </c>
      <c r="E490" t="inlineStr">
        <is>
          <t>BERG</t>
        </is>
      </c>
      <c r="G490" t="n">
        <v>1.4</v>
      </c>
      <c r="H490" t="n">
        <v>0</v>
      </c>
      <c r="I490" t="n">
        <v>0</v>
      </c>
      <c r="J490" t="n">
        <v>0</v>
      </c>
      <c r="K490" t="n">
        <v>0</v>
      </c>
      <c r="L490" t="n">
        <v>0</v>
      </c>
      <c r="M490" t="n">
        <v>0</v>
      </c>
      <c r="N490" t="n">
        <v>0</v>
      </c>
      <c r="O490" t="n">
        <v>0</v>
      </c>
      <c r="P490" t="n">
        <v>0</v>
      </c>
      <c r="Q490" t="n">
        <v>0</v>
      </c>
      <c r="R490" s="2" t="inlineStr"/>
    </row>
    <row r="491" ht="15" customHeight="1">
      <c r="A491" t="inlineStr">
        <is>
          <t>A 40601-2022</t>
        </is>
      </c>
      <c r="B491" s="1" t="n">
        <v>44823</v>
      </c>
      <c r="C491" s="1" t="n">
        <v>45344</v>
      </c>
      <c r="D491" t="inlineStr">
        <is>
          <t>JÄMTLANDS LÄN</t>
        </is>
      </c>
      <c r="E491" t="inlineStr">
        <is>
          <t>BERG</t>
        </is>
      </c>
      <c r="G491" t="n">
        <v>4</v>
      </c>
      <c r="H491" t="n">
        <v>0</v>
      </c>
      <c r="I491" t="n">
        <v>0</v>
      </c>
      <c r="J491" t="n">
        <v>0</v>
      </c>
      <c r="K491" t="n">
        <v>0</v>
      </c>
      <c r="L491" t="n">
        <v>0</v>
      </c>
      <c r="M491" t="n">
        <v>0</v>
      </c>
      <c r="N491" t="n">
        <v>0</v>
      </c>
      <c r="O491" t="n">
        <v>0</v>
      </c>
      <c r="P491" t="n">
        <v>0</v>
      </c>
      <c r="Q491" t="n">
        <v>0</v>
      </c>
      <c r="R491" s="2" t="inlineStr"/>
    </row>
    <row r="492" ht="15" customHeight="1">
      <c r="A492" t="inlineStr">
        <is>
          <t>A 40990-2022</t>
        </is>
      </c>
      <c r="B492" s="1" t="n">
        <v>44823</v>
      </c>
      <c r="C492" s="1" t="n">
        <v>45344</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40847-2022</t>
        </is>
      </c>
      <c r="B493" s="1" t="n">
        <v>44824</v>
      </c>
      <c r="C493" s="1" t="n">
        <v>45344</v>
      </c>
      <c r="D493" t="inlineStr">
        <is>
          <t>JÄMTLANDS LÄN</t>
        </is>
      </c>
      <c r="E493" t="inlineStr">
        <is>
          <t>BERG</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41063-2022</t>
        </is>
      </c>
      <c r="B494" s="1" t="n">
        <v>44824</v>
      </c>
      <c r="C494" s="1" t="n">
        <v>45344</v>
      </c>
      <c r="D494" t="inlineStr">
        <is>
          <t>JÄMTLANDS LÄN</t>
        </is>
      </c>
      <c r="E494" t="inlineStr">
        <is>
          <t>BERG</t>
        </is>
      </c>
      <c r="G494" t="n">
        <v>13.6</v>
      </c>
      <c r="H494" t="n">
        <v>0</v>
      </c>
      <c r="I494" t="n">
        <v>0</v>
      </c>
      <c r="J494" t="n">
        <v>0</v>
      </c>
      <c r="K494" t="n">
        <v>0</v>
      </c>
      <c r="L494" t="n">
        <v>0</v>
      </c>
      <c r="M494" t="n">
        <v>0</v>
      </c>
      <c r="N494" t="n">
        <v>0</v>
      </c>
      <c r="O494" t="n">
        <v>0</v>
      </c>
      <c r="P494" t="n">
        <v>0</v>
      </c>
      <c r="Q494" t="n">
        <v>0</v>
      </c>
      <c r="R494" s="2" t="inlineStr"/>
    </row>
    <row r="495" ht="15" customHeight="1">
      <c r="A495" t="inlineStr">
        <is>
          <t>A 41069-2022</t>
        </is>
      </c>
      <c r="B495" s="1" t="n">
        <v>44825</v>
      </c>
      <c r="C495" s="1" t="n">
        <v>45344</v>
      </c>
      <c r="D495" t="inlineStr">
        <is>
          <t>JÄMTLANDS LÄN</t>
        </is>
      </c>
      <c r="E495" t="inlineStr">
        <is>
          <t>BERG</t>
        </is>
      </c>
      <c r="G495" t="n">
        <v>1.5</v>
      </c>
      <c r="H495" t="n">
        <v>0</v>
      </c>
      <c r="I495" t="n">
        <v>0</v>
      </c>
      <c r="J495" t="n">
        <v>0</v>
      </c>
      <c r="K495" t="n">
        <v>0</v>
      </c>
      <c r="L495" t="n">
        <v>0</v>
      </c>
      <c r="M495" t="n">
        <v>0</v>
      </c>
      <c r="N495" t="n">
        <v>0</v>
      </c>
      <c r="O495" t="n">
        <v>0</v>
      </c>
      <c r="P495" t="n">
        <v>0</v>
      </c>
      <c r="Q495" t="n">
        <v>0</v>
      </c>
      <c r="R495" s="2" t="inlineStr"/>
    </row>
    <row r="496" ht="15" customHeight="1">
      <c r="A496" t="inlineStr">
        <is>
          <t>A 43168-2022</t>
        </is>
      </c>
      <c r="B496" s="1" t="n">
        <v>44834</v>
      </c>
      <c r="C496" s="1" t="n">
        <v>45344</v>
      </c>
      <c r="D496" t="inlineStr">
        <is>
          <t>JÄMTLANDS LÄN</t>
        </is>
      </c>
      <c r="E496" t="inlineStr">
        <is>
          <t>BERG</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43296-2022</t>
        </is>
      </c>
      <c r="B497" s="1" t="n">
        <v>44834</v>
      </c>
      <c r="C497" s="1" t="n">
        <v>45344</v>
      </c>
      <c r="D497" t="inlineStr">
        <is>
          <t>JÄMTLANDS LÄN</t>
        </is>
      </c>
      <c r="E497" t="inlineStr">
        <is>
          <t>BERG</t>
        </is>
      </c>
      <c r="G497" t="n">
        <v>3.7</v>
      </c>
      <c r="H497" t="n">
        <v>0</v>
      </c>
      <c r="I497" t="n">
        <v>0</v>
      </c>
      <c r="J497" t="n">
        <v>0</v>
      </c>
      <c r="K497" t="n">
        <v>0</v>
      </c>
      <c r="L497" t="n">
        <v>0</v>
      </c>
      <c r="M497" t="n">
        <v>0</v>
      </c>
      <c r="N497" t="n">
        <v>0</v>
      </c>
      <c r="O497" t="n">
        <v>0</v>
      </c>
      <c r="P497" t="n">
        <v>0</v>
      </c>
      <c r="Q497" t="n">
        <v>0</v>
      </c>
      <c r="R497" s="2" t="inlineStr"/>
    </row>
    <row r="498" ht="15" customHeight="1">
      <c r="A498" t="inlineStr">
        <is>
          <t>A 43298-2022</t>
        </is>
      </c>
      <c r="B498" s="1" t="n">
        <v>44834</v>
      </c>
      <c r="C498" s="1" t="n">
        <v>45344</v>
      </c>
      <c r="D498" t="inlineStr">
        <is>
          <t>JÄMTLANDS LÄN</t>
        </is>
      </c>
      <c r="E498" t="inlineStr">
        <is>
          <t>BERG</t>
        </is>
      </c>
      <c r="G498" t="n">
        <v>2.1</v>
      </c>
      <c r="H498" t="n">
        <v>0</v>
      </c>
      <c r="I498" t="n">
        <v>0</v>
      </c>
      <c r="J498" t="n">
        <v>0</v>
      </c>
      <c r="K498" t="n">
        <v>0</v>
      </c>
      <c r="L498" t="n">
        <v>0</v>
      </c>
      <c r="M498" t="n">
        <v>0</v>
      </c>
      <c r="N498" t="n">
        <v>0</v>
      </c>
      <c r="O498" t="n">
        <v>0</v>
      </c>
      <c r="P498" t="n">
        <v>0</v>
      </c>
      <c r="Q498" t="n">
        <v>0</v>
      </c>
      <c r="R498" s="2" t="inlineStr"/>
    </row>
    <row r="499" ht="15" customHeight="1">
      <c r="A499" t="inlineStr">
        <is>
          <t>A 44110-2022</t>
        </is>
      </c>
      <c r="B499" s="1" t="n">
        <v>44837</v>
      </c>
      <c r="C499" s="1" t="n">
        <v>45344</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44443-2022</t>
        </is>
      </c>
      <c r="B500" s="1" t="n">
        <v>44840</v>
      </c>
      <c r="C500" s="1" t="n">
        <v>45344</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44442-2022</t>
        </is>
      </c>
      <c r="B501" s="1" t="n">
        <v>44839</v>
      </c>
      <c r="C501" s="1" t="n">
        <v>45344</v>
      </c>
      <c r="D501" t="inlineStr">
        <is>
          <t>JÄMTLANDS LÄN</t>
        </is>
      </c>
      <c r="E501" t="inlineStr">
        <is>
          <t>BERG</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45081-2022</t>
        </is>
      </c>
      <c r="B502" s="1" t="n">
        <v>44841</v>
      </c>
      <c r="C502" s="1" t="n">
        <v>45344</v>
      </c>
      <c r="D502" t="inlineStr">
        <is>
          <t>JÄMTLANDS LÄN</t>
        </is>
      </c>
      <c r="E502" t="inlineStr">
        <is>
          <t>BERG</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45487-2022</t>
        </is>
      </c>
      <c r="B503" s="1" t="n">
        <v>44845</v>
      </c>
      <c r="C503" s="1" t="n">
        <v>45344</v>
      </c>
      <c r="D503" t="inlineStr">
        <is>
          <t>JÄMTLANDS LÄN</t>
        </is>
      </c>
      <c r="E503" t="inlineStr">
        <is>
          <t>BERG</t>
        </is>
      </c>
      <c r="G503" t="n">
        <v>5.4</v>
      </c>
      <c r="H503" t="n">
        <v>0</v>
      </c>
      <c r="I503" t="n">
        <v>0</v>
      </c>
      <c r="J503" t="n">
        <v>0</v>
      </c>
      <c r="K503" t="n">
        <v>0</v>
      </c>
      <c r="L503" t="n">
        <v>0</v>
      </c>
      <c r="M503" t="n">
        <v>0</v>
      </c>
      <c r="N503" t="n">
        <v>0</v>
      </c>
      <c r="O503" t="n">
        <v>0</v>
      </c>
      <c r="P503" t="n">
        <v>0</v>
      </c>
      <c r="Q503" t="n">
        <v>0</v>
      </c>
      <c r="R503" s="2" t="inlineStr"/>
    </row>
    <row r="504" ht="15" customHeight="1">
      <c r="A504" t="inlineStr">
        <is>
          <t>A 46167-2022</t>
        </is>
      </c>
      <c r="B504" s="1" t="n">
        <v>44845</v>
      </c>
      <c r="C504" s="1" t="n">
        <v>45344</v>
      </c>
      <c r="D504" t="inlineStr">
        <is>
          <t>JÄMTLANDS LÄN</t>
        </is>
      </c>
      <c r="E504" t="inlineStr">
        <is>
          <t>BERG</t>
        </is>
      </c>
      <c r="G504" t="n">
        <v>35.2</v>
      </c>
      <c r="H504" t="n">
        <v>0</v>
      </c>
      <c r="I504" t="n">
        <v>0</v>
      </c>
      <c r="J504" t="n">
        <v>0</v>
      </c>
      <c r="K504" t="n">
        <v>0</v>
      </c>
      <c r="L504" t="n">
        <v>0</v>
      </c>
      <c r="M504" t="n">
        <v>0</v>
      </c>
      <c r="N504" t="n">
        <v>0</v>
      </c>
      <c r="O504" t="n">
        <v>0</v>
      </c>
      <c r="P504" t="n">
        <v>0</v>
      </c>
      <c r="Q504" t="n">
        <v>0</v>
      </c>
      <c r="R504" s="2" t="inlineStr"/>
    </row>
    <row r="505" ht="15" customHeight="1">
      <c r="A505" t="inlineStr">
        <is>
          <t>A 46151-2022</t>
        </is>
      </c>
      <c r="B505" s="1" t="n">
        <v>44845</v>
      </c>
      <c r="C505" s="1" t="n">
        <v>45344</v>
      </c>
      <c r="D505" t="inlineStr">
        <is>
          <t>JÄMTLANDS LÄN</t>
        </is>
      </c>
      <c r="E505" t="inlineStr">
        <is>
          <t>BERG</t>
        </is>
      </c>
      <c r="G505" t="n">
        <v>2.2</v>
      </c>
      <c r="H505" t="n">
        <v>0</v>
      </c>
      <c r="I505" t="n">
        <v>0</v>
      </c>
      <c r="J505" t="n">
        <v>0</v>
      </c>
      <c r="K505" t="n">
        <v>0</v>
      </c>
      <c r="L505" t="n">
        <v>0</v>
      </c>
      <c r="M505" t="n">
        <v>0</v>
      </c>
      <c r="N505" t="n">
        <v>0</v>
      </c>
      <c r="O505" t="n">
        <v>0</v>
      </c>
      <c r="P505" t="n">
        <v>0</v>
      </c>
      <c r="Q505" t="n">
        <v>0</v>
      </c>
      <c r="R505" s="2" t="inlineStr"/>
    </row>
    <row r="506" ht="15" customHeight="1">
      <c r="A506" t="inlineStr">
        <is>
          <t>A 45972-2022</t>
        </is>
      </c>
      <c r="B506" s="1" t="n">
        <v>44846</v>
      </c>
      <c r="C506" s="1" t="n">
        <v>45344</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45967-2022</t>
        </is>
      </c>
      <c r="B507" s="1" t="n">
        <v>44846</v>
      </c>
      <c r="C507" s="1" t="n">
        <v>45344</v>
      </c>
      <c r="D507" t="inlineStr">
        <is>
          <t>JÄMTLANDS LÄN</t>
        </is>
      </c>
      <c r="E507" t="inlineStr">
        <is>
          <t>BERG</t>
        </is>
      </c>
      <c r="G507" t="n">
        <v>5.9</v>
      </c>
      <c r="H507" t="n">
        <v>0</v>
      </c>
      <c r="I507" t="n">
        <v>0</v>
      </c>
      <c r="J507" t="n">
        <v>0</v>
      </c>
      <c r="K507" t="n">
        <v>0</v>
      </c>
      <c r="L507" t="n">
        <v>0</v>
      </c>
      <c r="M507" t="n">
        <v>0</v>
      </c>
      <c r="N507" t="n">
        <v>0</v>
      </c>
      <c r="O507" t="n">
        <v>0</v>
      </c>
      <c r="P507" t="n">
        <v>0</v>
      </c>
      <c r="Q507" t="n">
        <v>0</v>
      </c>
      <c r="R507" s="2" t="inlineStr"/>
    </row>
    <row r="508" ht="15" customHeight="1">
      <c r="A508" t="inlineStr">
        <is>
          <t>A 46199-2022</t>
        </is>
      </c>
      <c r="B508" s="1" t="n">
        <v>44847</v>
      </c>
      <c r="C508" s="1" t="n">
        <v>45344</v>
      </c>
      <c r="D508" t="inlineStr">
        <is>
          <t>JÄMTLANDS LÄN</t>
        </is>
      </c>
      <c r="E508" t="inlineStr">
        <is>
          <t>BERG</t>
        </is>
      </c>
      <c r="G508" t="n">
        <v>5.6</v>
      </c>
      <c r="H508" t="n">
        <v>0</v>
      </c>
      <c r="I508" t="n">
        <v>0</v>
      </c>
      <c r="J508" t="n">
        <v>0</v>
      </c>
      <c r="K508" t="n">
        <v>0</v>
      </c>
      <c r="L508" t="n">
        <v>0</v>
      </c>
      <c r="M508" t="n">
        <v>0</v>
      </c>
      <c r="N508" t="n">
        <v>0</v>
      </c>
      <c r="O508" t="n">
        <v>0</v>
      </c>
      <c r="P508" t="n">
        <v>0</v>
      </c>
      <c r="Q508" t="n">
        <v>0</v>
      </c>
      <c r="R508" s="2" t="inlineStr"/>
    </row>
    <row r="509" ht="15" customHeight="1">
      <c r="A509" t="inlineStr">
        <is>
          <t>A 46278-2022</t>
        </is>
      </c>
      <c r="B509" s="1" t="n">
        <v>44847</v>
      </c>
      <c r="C509" s="1" t="n">
        <v>45344</v>
      </c>
      <c r="D509" t="inlineStr">
        <is>
          <t>JÄMTLANDS LÄN</t>
        </is>
      </c>
      <c r="E509" t="inlineStr">
        <is>
          <t>BERG</t>
        </is>
      </c>
      <c r="G509" t="n">
        <v>11.7</v>
      </c>
      <c r="H509" t="n">
        <v>0</v>
      </c>
      <c r="I509" t="n">
        <v>0</v>
      </c>
      <c r="J509" t="n">
        <v>0</v>
      </c>
      <c r="K509" t="n">
        <v>0</v>
      </c>
      <c r="L509" t="n">
        <v>0</v>
      </c>
      <c r="M509" t="n">
        <v>0</v>
      </c>
      <c r="N509" t="n">
        <v>0</v>
      </c>
      <c r="O509" t="n">
        <v>0</v>
      </c>
      <c r="P509" t="n">
        <v>0</v>
      </c>
      <c r="Q509" t="n">
        <v>0</v>
      </c>
      <c r="R509" s="2" t="inlineStr"/>
    </row>
    <row r="510" ht="15" customHeight="1">
      <c r="A510" t="inlineStr">
        <is>
          <t>A 46907-2022</t>
        </is>
      </c>
      <c r="B510" s="1" t="n">
        <v>44851</v>
      </c>
      <c r="C510" s="1" t="n">
        <v>45344</v>
      </c>
      <c r="D510" t="inlineStr">
        <is>
          <t>JÄMTLANDS LÄN</t>
        </is>
      </c>
      <c r="E510" t="inlineStr">
        <is>
          <t>BERG</t>
        </is>
      </c>
      <c r="G510" t="n">
        <v>15.1</v>
      </c>
      <c r="H510" t="n">
        <v>0</v>
      </c>
      <c r="I510" t="n">
        <v>0</v>
      </c>
      <c r="J510" t="n">
        <v>0</v>
      </c>
      <c r="K510" t="n">
        <v>0</v>
      </c>
      <c r="L510" t="n">
        <v>0</v>
      </c>
      <c r="M510" t="n">
        <v>0</v>
      </c>
      <c r="N510" t="n">
        <v>0</v>
      </c>
      <c r="O510" t="n">
        <v>0</v>
      </c>
      <c r="P510" t="n">
        <v>0</v>
      </c>
      <c r="Q510" t="n">
        <v>0</v>
      </c>
      <c r="R510" s="2" t="inlineStr"/>
    </row>
    <row r="511" ht="15" customHeight="1">
      <c r="A511" t="inlineStr">
        <is>
          <t>A 47432-2022</t>
        </is>
      </c>
      <c r="B511" s="1" t="n">
        <v>44853</v>
      </c>
      <c r="C511" s="1" t="n">
        <v>45344</v>
      </c>
      <c r="D511" t="inlineStr">
        <is>
          <t>JÄMTLANDS LÄN</t>
        </is>
      </c>
      <c r="E511" t="inlineStr">
        <is>
          <t>BERG</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47982-2022</t>
        </is>
      </c>
      <c r="B512" s="1" t="n">
        <v>44853</v>
      </c>
      <c r="C512" s="1" t="n">
        <v>45344</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47967-2022</t>
        </is>
      </c>
      <c r="B513" s="1" t="n">
        <v>44853</v>
      </c>
      <c r="C513" s="1" t="n">
        <v>45344</v>
      </c>
      <c r="D513" t="inlineStr">
        <is>
          <t>JÄMTLANDS LÄN</t>
        </is>
      </c>
      <c r="E513" t="inlineStr">
        <is>
          <t>BERG</t>
        </is>
      </c>
      <c r="G513" t="n">
        <v>15</v>
      </c>
      <c r="H513" t="n">
        <v>0</v>
      </c>
      <c r="I513" t="n">
        <v>0</v>
      </c>
      <c r="J513" t="n">
        <v>0</v>
      </c>
      <c r="K513" t="n">
        <v>0</v>
      </c>
      <c r="L513" t="n">
        <v>0</v>
      </c>
      <c r="M513" t="n">
        <v>0</v>
      </c>
      <c r="N513" t="n">
        <v>0</v>
      </c>
      <c r="O513" t="n">
        <v>0</v>
      </c>
      <c r="P513" t="n">
        <v>0</v>
      </c>
      <c r="Q513" t="n">
        <v>0</v>
      </c>
      <c r="R513" s="2" t="inlineStr"/>
    </row>
    <row r="514" ht="15" customHeight="1">
      <c r="A514" t="inlineStr">
        <is>
          <t>A 47986-2022</t>
        </is>
      </c>
      <c r="B514" s="1" t="n">
        <v>44853</v>
      </c>
      <c r="C514" s="1" t="n">
        <v>45344</v>
      </c>
      <c r="D514" t="inlineStr">
        <is>
          <t>JÄMTLANDS LÄN</t>
        </is>
      </c>
      <c r="E514" t="inlineStr">
        <is>
          <t>BERG</t>
        </is>
      </c>
      <c r="G514" t="n">
        <v>22.1</v>
      </c>
      <c r="H514" t="n">
        <v>0</v>
      </c>
      <c r="I514" t="n">
        <v>0</v>
      </c>
      <c r="J514" t="n">
        <v>0</v>
      </c>
      <c r="K514" t="n">
        <v>0</v>
      </c>
      <c r="L514" t="n">
        <v>0</v>
      </c>
      <c r="M514" t="n">
        <v>0</v>
      </c>
      <c r="N514" t="n">
        <v>0</v>
      </c>
      <c r="O514" t="n">
        <v>0</v>
      </c>
      <c r="P514" t="n">
        <v>0</v>
      </c>
      <c r="Q514" t="n">
        <v>0</v>
      </c>
      <c r="R514" s="2" t="inlineStr"/>
    </row>
    <row r="515" ht="15" customHeight="1">
      <c r="A515" t="inlineStr">
        <is>
          <t>A 47978-2022</t>
        </is>
      </c>
      <c r="B515" s="1" t="n">
        <v>44853</v>
      </c>
      <c r="C515" s="1" t="n">
        <v>45344</v>
      </c>
      <c r="D515" t="inlineStr">
        <is>
          <t>JÄMTLANDS LÄN</t>
        </is>
      </c>
      <c r="E515" t="inlineStr">
        <is>
          <t>BERG</t>
        </is>
      </c>
      <c r="G515" t="n">
        <v>7.1</v>
      </c>
      <c r="H515" t="n">
        <v>0</v>
      </c>
      <c r="I515" t="n">
        <v>0</v>
      </c>
      <c r="J515" t="n">
        <v>0</v>
      </c>
      <c r="K515" t="n">
        <v>0</v>
      </c>
      <c r="L515" t="n">
        <v>0</v>
      </c>
      <c r="M515" t="n">
        <v>0</v>
      </c>
      <c r="N515" t="n">
        <v>0</v>
      </c>
      <c r="O515" t="n">
        <v>0</v>
      </c>
      <c r="P515" t="n">
        <v>0</v>
      </c>
      <c r="Q515" t="n">
        <v>0</v>
      </c>
      <c r="R515" s="2" t="inlineStr"/>
    </row>
    <row r="516" ht="15" customHeight="1">
      <c r="A516" t="inlineStr">
        <is>
          <t>A 48729-2022</t>
        </is>
      </c>
      <c r="B516" s="1" t="n">
        <v>44855</v>
      </c>
      <c r="C516" s="1" t="n">
        <v>45344</v>
      </c>
      <c r="D516" t="inlineStr">
        <is>
          <t>JÄMTLANDS LÄN</t>
        </is>
      </c>
      <c r="E516" t="inlineStr">
        <is>
          <t>BERG</t>
        </is>
      </c>
      <c r="G516" t="n">
        <v>2.8</v>
      </c>
      <c r="H516" t="n">
        <v>0</v>
      </c>
      <c r="I516" t="n">
        <v>0</v>
      </c>
      <c r="J516" t="n">
        <v>0</v>
      </c>
      <c r="K516" t="n">
        <v>0</v>
      </c>
      <c r="L516" t="n">
        <v>0</v>
      </c>
      <c r="M516" t="n">
        <v>0</v>
      </c>
      <c r="N516" t="n">
        <v>0</v>
      </c>
      <c r="O516" t="n">
        <v>0</v>
      </c>
      <c r="P516" t="n">
        <v>0</v>
      </c>
      <c r="Q516" t="n">
        <v>0</v>
      </c>
      <c r="R516" s="2" t="inlineStr"/>
    </row>
    <row r="517" ht="15" customHeight="1">
      <c r="A517" t="inlineStr">
        <is>
          <t>A 49035-2022</t>
        </is>
      </c>
      <c r="B517" s="1" t="n">
        <v>44855</v>
      </c>
      <c r="C517" s="1" t="n">
        <v>45344</v>
      </c>
      <c r="D517" t="inlineStr">
        <is>
          <t>JÄMTLANDS LÄN</t>
        </is>
      </c>
      <c r="E517" t="inlineStr">
        <is>
          <t>BERG</t>
        </is>
      </c>
      <c r="G517" t="n">
        <v>1.9</v>
      </c>
      <c r="H517" t="n">
        <v>0</v>
      </c>
      <c r="I517" t="n">
        <v>0</v>
      </c>
      <c r="J517" t="n">
        <v>0</v>
      </c>
      <c r="K517" t="n">
        <v>0</v>
      </c>
      <c r="L517" t="n">
        <v>0</v>
      </c>
      <c r="M517" t="n">
        <v>0</v>
      </c>
      <c r="N517" t="n">
        <v>0</v>
      </c>
      <c r="O517" t="n">
        <v>0</v>
      </c>
      <c r="P517" t="n">
        <v>0</v>
      </c>
      <c r="Q517" t="n">
        <v>0</v>
      </c>
      <c r="R517" s="2" t="inlineStr"/>
    </row>
    <row r="518" ht="15" customHeight="1">
      <c r="A518" t="inlineStr">
        <is>
          <t>A 49104-2022</t>
        </is>
      </c>
      <c r="B518" s="1" t="n">
        <v>44855</v>
      </c>
      <c r="C518" s="1" t="n">
        <v>45344</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48756-2022</t>
        </is>
      </c>
      <c r="B519" s="1" t="n">
        <v>44859</v>
      </c>
      <c r="C519" s="1" t="n">
        <v>45344</v>
      </c>
      <c r="D519" t="inlineStr">
        <is>
          <t>JÄMTLANDS LÄN</t>
        </is>
      </c>
      <c r="E519" t="inlineStr">
        <is>
          <t>BERG</t>
        </is>
      </c>
      <c r="G519" t="n">
        <v>10.8</v>
      </c>
      <c r="H519" t="n">
        <v>0</v>
      </c>
      <c r="I519" t="n">
        <v>0</v>
      </c>
      <c r="J519" t="n">
        <v>0</v>
      </c>
      <c r="K519" t="n">
        <v>0</v>
      </c>
      <c r="L519" t="n">
        <v>0</v>
      </c>
      <c r="M519" t="n">
        <v>0</v>
      </c>
      <c r="N519" t="n">
        <v>0</v>
      </c>
      <c r="O519" t="n">
        <v>0</v>
      </c>
      <c r="P519" t="n">
        <v>0</v>
      </c>
      <c r="Q519" t="n">
        <v>0</v>
      </c>
      <c r="R519" s="2" t="inlineStr"/>
    </row>
    <row r="520" ht="15" customHeight="1">
      <c r="A520" t="inlineStr">
        <is>
          <t>A 49196-2022</t>
        </is>
      </c>
      <c r="B520" s="1" t="n">
        <v>44861</v>
      </c>
      <c r="C520" s="1" t="n">
        <v>45344</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50024-2022</t>
        </is>
      </c>
      <c r="B521" s="1" t="n">
        <v>44860</v>
      </c>
      <c r="C521" s="1" t="n">
        <v>45344</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49643-2022</t>
        </is>
      </c>
      <c r="B522" s="1" t="n">
        <v>44862</v>
      </c>
      <c r="C522" s="1" t="n">
        <v>45344</v>
      </c>
      <c r="D522" t="inlineStr">
        <is>
          <t>JÄMTLANDS LÄN</t>
        </is>
      </c>
      <c r="E522" t="inlineStr">
        <is>
          <t>BERG</t>
        </is>
      </c>
      <c r="G522" t="n">
        <v>2.8</v>
      </c>
      <c r="H522" t="n">
        <v>0</v>
      </c>
      <c r="I522" t="n">
        <v>0</v>
      </c>
      <c r="J522" t="n">
        <v>0</v>
      </c>
      <c r="K522" t="n">
        <v>0</v>
      </c>
      <c r="L522" t="n">
        <v>0</v>
      </c>
      <c r="M522" t="n">
        <v>0</v>
      </c>
      <c r="N522" t="n">
        <v>0</v>
      </c>
      <c r="O522" t="n">
        <v>0</v>
      </c>
      <c r="P522" t="n">
        <v>0</v>
      </c>
      <c r="Q522" t="n">
        <v>0</v>
      </c>
      <c r="R522" s="2" t="inlineStr"/>
    </row>
    <row r="523" ht="15" customHeight="1">
      <c r="A523" t="inlineStr">
        <is>
          <t>A 49851-2022</t>
        </is>
      </c>
      <c r="B523" s="1" t="n">
        <v>44863</v>
      </c>
      <c r="C523" s="1" t="n">
        <v>45344</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50679-2022</t>
        </is>
      </c>
      <c r="B524" s="1" t="n">
        <v>44866</v>
      </c>
      <c r="C524" s="1" t="n">
        <v>45344</v>
      </c>
      <c r="D524" t="inlineStr">
        <is>
          <t>JÄMTLANDS LÄN</t>
        </is>
      </c>
      <c r="E524" t="inlineStr">
        <is>
          <t>BERG</t>
        </is>
      </c>
      <c r="F524" t="inlineStr">
        <is>
          <t>SCA</t>
        </is>
      </c>
      <c r="G524" t="n">
        <v>18.6</v>
      </c>
      <c r="H524" t="n">
        <v>0</v>
      </c>
      <c r="I524" t="n">
        <v>0</v>
      </c>
      <c r="J524" t="n">
        <v>0</v>
      </c>
      <c r="K524" t="n">
        <v>0</v>
      </c>
      <c r="L524" t="n">
        <v>0</v>
      </c>
      <c r="M524" t="n">
        <v>0</v>
      </c>
      <c r="N524" t="n">
        <v>0</v>
      </c>
      <c r="O524" t="n">
        <v>0</v>
      </c>
      <c r="P524" t="n">
        <v>0</v>
      </c>
      <c r="Q524" t="n">
        <v>0</v>
      </c>
      <c r="R524" s="2" t="inlineStr"/>
    </row>
    <row r="525" ht="15" customHeight="1">
      <c r="A525" t="inlineStr">
        <is>
          <t>A 50678-2022</t>
        </is>
      </c>
      <c r="B525" s="1" t="n">
        <v>44866</v>
      </c>
      <c r="C525" s="1" t="n">
        <v>45344</v>
      </c>
      <c r="D525" t="inlineStr">
        <is>
          <t>JÄMTLANDS LÄN</t>
        </is>
      </c>
      <c r="E525" t="inlineStr">
        <is>
          <t>BERG</t>
        </is>
      </c>
      <c r="F525" t="inlineStr">
        <is>
          <t>SCA</t>
        </is>
      </c>
      <c r="G525" t="n">
        <v>18.5</v>
      </c>
      <c r="H525" t="n">
        <v>0</v>
      </c>
      <c r="I525" t="n">
        <v>0</v>
      </c>
      <c r="J525" t="n">
        <v>0</v>
      </c>
      <c r="K525" t="n">
        <v>0</v>
      </c>
      <c r="L525" t="n">
        <v>0</v>
      </c>
      <c r="M525" t="n">
        <v>0</v>
      </c>
      <c r="N525" t="n">
        <v>0</v>
      </c>
      <c r="O525" t="n">
        <v>0</v>
      </c>
      <c r="P525" t="n">
        <v>0</v>
      </c>
      <c r="Q525" t="n">
        <v>0</v>
      </c>
      <c r="R525" s="2" t="inlineStr"/>
    </row>
    <row r="526" ht="15" customHeight="1">
      <c r="A526" t="inlineStr">
        <is>
          <t>A 52927-2022</t>
        </is>
      </c>
      <c r="B526" s="1" t="n">
        <v>44872</v>
      </c>
      <c r="C526" s="1" t="n">
        <v>45344</v>
      </c>
      <c r="D526" t="inlineStr">
        <is>
          <t>JÄMTLANDS LÄN</t>
        </is>
      </c>
      <c r="E526" t="inlineStr">
        <is>
          <t>BERG</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45344</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53015-2022</t>
        </is>
      </c>
      <c r="B528" s="1" t="n">
        <v>44875</v>
      </c>
      <c r="C528" s="1" t="n">
        <v>45344</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53521-2022</t>
        </is>
      </c>
      <c r="B529" s="1" t="n">
        <v>44875</v>
      </c>
      <c r="C529" s="1" t="n">
        <v>45344</v>
      </c>
      <c r="D529" t="inlineStr">
        <is>
          <t>JÄMTLANDS LÄN</t>
        </is>
      </c>
      <c r="E529" t="inlineStr">
        <is>
          <t>BERG</t>
        </is>
      </c>
      <c r="G529" t="n">
        <v>1.4</v>
      </c>
      <c r="H529" t="n">
        <v>0</v>
      </c>
      <c r="I529" t="n">
        <v>0</v>
      </c>
      <c r="J529" t="n">
        <v>0</v>
      </c>
      <c r="K529" t="n">
        <v>0</v>
      </c>
      <c r="L529" t="n">
        <v>0</v>
      </c>
      <c r="M529" t="n">
        <v>0</v>
      </c>
      <c r="N529" t="n">
        <v>0</v>
      </c>
      <c r="O529" t="n">
        <v>0</v>
      </c>
      <c r="P529" t="n">
        <v>0</v>
      </c>
      <c r="Q529" t="n">
        <v>0</v>
      </c>
      <c r="R529" s="2" t="inlineStr"/>
    </row>
    <row r="530" ht="15" customHeight="1">
      <c r="A530" t="inlineStr">
        <is>
          <t>A 54410-2022</t>
        </is>
      </c>
      <c r="B530" s="1" t="n">
        <v>44879</v>
      </c>
      <c r="C530" s="1" t="n">
        <v>45344</v>
      </c>
      <c r="D530" t="inlineStr">
        <is>
          <t>JÄMTLANDS LÄN</t>
        </is>
      </c>
      <c r="E530" t="inlineStr">
        <is>
          <t>BERG</t>
        </is>
      </c>
      <c r="G530" t="n">
        <v>8.5</v>
      </c>
      <c r="H530" t="n">
        <v>0</v>
      </c>
      <c r="I530" t="n">
        <v>0</v>
      </c>
      <c r="J530" t="n">
        <v>0</v>
      </c>
      <c r="K530" t="n">
        <v>0</v>
      </c>
      <c r="L530" t="n">
        <v>0</v>
      </c>
      <c r="M530" t="n">
        <v>0</v>
      </c>
      <c r="N530" t="n">
        <v>0</v>
      </c>
      <c r="O530" t="n">
        <v>0</v>
      </c>
      <c r="P530" t="n">
        <v>0</v>
      </c>
      <c r="Q530" t="n">
        <v>0</v>
      </c>
      <c r="R530" s="2" t="inlineStr"/>
    </row>
    <row r="531" ht="15" customHeight="1">
      <c r="A531" t="inlineStr">
        <is>
          <t>A 55518-2022</t>
        </is>
      </c>
      <c r="B531" s="1" t="n">
        <v>44887</v>
      </c>
      <c r="C531" s="1" t="n">
        <v>45344</v>
      </c>
      <c r="D531" t="inlineStr">
        <is>
          <t>JÄMTLANDS LÄN</t>
        </is>
      </c>
      <c r="E531" t="inlineStr">
        <is>
          <t>BERG</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57183-2022</t>
        </is>
      </c>
      <c r="B532" s="1" t="n">
        <v>44895</v>
      </c>
      <c r="C532" s="1" t="n">
        <v>45344</v>
      </c>
      <c r="D532" t="inlineStr">
        <is>
          <t>JÄMTLANDS LÄN</t>
        </is>
      </c>
      <c r="E532" t="inlineStr">
        <is>
          <t>BERG</t>
        </is>
      </c>
      <c r="G532" t="n">
        <v>1.9</v>
      </c>
      <c r="H532" t="n">
        <v>0</v>
      </c>
      <c r="I532" t="n">
        <v>0</v>
      </c>
      <c r="J532" t="n">
        <v>0</v>
      </c>
      <c r="K532" t="n">
        <v>0</v>
      </c>
      <c r="L532" t="n">
        <v>0</v>
      </c>
      <c r="M532" t="n">
        <v>0</v>
      </c>
      <c r="N532" t="n">
        <v>0</v>
      </c>
      <c r="O532" t="n">
        <v>0</v>
      </c>
      <c r="P532" t="n">
        <v>0</v>
      </c>
      <c r="Q532" t="n">
        <v>0</v>
      </c>
      <c r="R532" s="2" t="inlineStr"/>
    </row>
    <row r="533" ht="15" customHeight="1">
      <c r="A533" t="inlineStr">
        <is>
          <t>A 57226-2022</t>
        </is>
      </c>
      <c r="B533" s="1" t="n">
        <v>44895</v>
      </c>
      <c r="C533" s="1" t="n">
        <v>45344</v>
      </c>
      <c r="D533" t="inlineStr">
        <is>
          <t>JÄMTLANDS LÄN</t>
        </is>
      </c>
      <c r="E533" t="inlineStr">
        <is>
          <t>BERG</t>
        </is>
      </c>
      <c r="G533" t="n">
        <v>4.6</v>
      </c>
      <c r="H533" t="n">
        <v>0</v>
      </c>
      <c r="I533" t="n">
        <v>0</v>
      </c>
      <c r="J533" t="n">
        <v>0</v>
      </c>
      <c r="K533" t="n">
        <v>0</v>
      </c>
      <c r="L533" t="n">
        <v>0</v>
      </c>
      <c r="M533" t="n">
        <v>0</v>
      </c>
      <c r="N533" t="n">
        <v>0</v>
      </c>
      <c r="O533" t="n">
        <v>0</v>
      </c>
      <c r="P533" t="n">
        <v>0</v>
      </c>
      <c r="Q533" t="n">
        <v>0</v>
      </c>
      <c r="R533" s="2" t="inlineStr"/>
    </row>
    <row r="534" ht="15" customHeight="1">
      <c r="A534" t="inlineStr">
        <is>
          <t>A 57842-2022</t>
        </is>
      </c>
      <c r="B534" s="1" t="n">
        <v>44897</v>
      </c>
      <c r="C534" s="1" t="n">
        <v>45344</v>
      </c>
      <c r="D534" t="inlineStr">
        <is>
          <t>JÄMTLANDS LÄN</t>
        </is>
      </c>
      <c r="E534" t="inlineStr">
        <is>
          <t>BERG</t>
        </is>
      </c>
      <c r="G534" t="n">
        <v>9.9</v>
      </c>
      <c r="H534" t="n">
        <v>0</v>
      </c>
      <c r="I534" t="n">
        <v>0</v>
      </c>
      <c r="J534" t="n">
        <v>0</v>
      </c>
      <c r="K534" t="n">
        <v>0</v>
      </c>
      <c r="L534" t="n">
        <v>0</v>
      </c>
      <c r="M534" t="n">
        <v>0</v>
      </c>
      <c r="N534" t="n">
        <v>0</v>
      </c>
      <c r="O534" t="n">
        <v>0</v>
      </c>
      <c r="P534" t="n">
        <v>0</v>
      </c>
      <c r="Q534" t="n">
        <v>0</v>
      </c>
      <c r="R534" s="2" t="inlineStr"/>
    </row>
    <row r="535" ht="15" customHeight="1">
      <c r="A535" t="inlineStr">
        <is>
          <t>A 58180-2022</t>
        </is>
      </c>
      <c r="B535" s="1" t="n">
        <v>44900</v>
      </c>
      <c r="C535" s="1" t="n">
        <v>45344</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58431-2022</t>
        </is>
      </c>
      <c r="B536" s="1" t="n">
        <v>44901</v>
      </c>
      <c r="C536" s="1" t="n">
        <v>45344</v>
      </c>
      <c r="D536" t="inlineStr">
        <is>
          <t>JÄMTLANDS LÄN</t>
        </is>
      </c>
      <c r="E536" t="inlineStr">
        <is>
          <t>BERG</t>
        </is>
      </c>
      <c r="F536" t="inlineStr">
        <is>
          <t>SCA</t>
        </is>
      </c>
      <c r="G536" t="n">
        <v>8.1</v>
      </c>
      <c r="H536" t="n">
        <v>0</v>
      </c>
      <c r="I536" t="n">
        <v>0</v>
      </c>
      <c r="J536" t="n">
        <v>0</v>
      </c>
      <c r="K536" t="n">
        <v>0</v>
      </c>
      <c r="L536" t="n">
        <v>0</v>
      </c>
      <c r="M536" t="n">
        <v>0</v>
      </c>
      <c r="N536" t="n">
        <v>0</v>
      </c>
      <c r="O536" t="n">
        <v>0</v>
      </c>
      <c r="P536" t="n">
        <v>0</v>
      </c>
      <c r="Q536" t="n">
        <v>0</v>
      </c>
      <c r="R536" s="2" t="inlineStr"/>
    </row>
    <row r="537" ht="15" customHeight="1">
      <c r="A537" t="inlineStr">
        <is>
          <t>A 58432-2022</t>
        </is>
      </c>
      <c r="B537" s="1" t="n">
        <v>44901</v>
      </c>
      <c r="C537" s="1" t="n">
        <v>45344</v>
      </c>
      <c r="D537" t="inlineStr">
        <is>
          <t>JÄMTLANDS LÄN</t>
        </is>
      </c>
      <c r="E537" t="inlineStr">
        <is>
          <t>BERG</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60068-2022</t>
        </is>
      </c>
      <c r="B538" s="1" t="n">
        <v>44902</v>
      </c>
      <c r="C538" s="1" t="n">
        <v>45344</v>
      </c>
      <c r="D538" t="inlineStr">
        <is>
          <t>JÄMTLANDS LÄN</t>
        </is>
      </c>
      <c r="E538" t="inlineStr">
        <is>
          <t>BERG</t>
        </is>
      </c>
      <c r="G538" t="n">
        <v>5.2</v>
      </c>
      <c r="H538" t="n">
        <v>0</v>
      </c>
      <c r="I538" t="n">
        <v>0</v>
      </c>
      <c r="J538" t="n">
        <v>0</v>
      </c>
      <c r="K538" t="n">
        <v>0</v>
      </c>
      <c r="L538" t="n">
        <v>0</v>
      </c>
      <c r="M538" t="n">
        <v>0</v>
      </c>
      <c r="N538" t="n">
        <v>0</v>
      </c>
      <c r="O538" t="n">
        <v>0</v>
      </c>
      <c r="P538" t="n">
        <v>0</v>
      </c>
      <c r="Q538" t="n">
        <v>0</v>
      </c>
      <c r="R538" s="2" t="inlineStr"/>
    </row>
    <row r="539" ht="15" customHeight="1">
      <c r="A539" t="inlineStr">
        <is>
          <t>A 60028-2022</t>
        </is>
      </c>
      <c r="B539" s="1" t="n">
        <v>44902</v>
      </c>
      <c r="C539" s="1" t="n">
        <v>45344</v>
      </c>
      <c r="D539" t="inlineStr">
        <is>
          <t>JÄMTLANDS LÄN</t>
        </is>
      </c>
      <c r="E539" t="inlineStr">
        <is>
          <t>BERG</t>
        </is>
      </c>
      <c r="G539" t="n">
        <v>20</v>
      </c>
      <c r="H539" t="n">
        <v>0</v>
      </c>
      <c r="I539" t="n">
        <v>0</v>
      </c>
      <c r="J539" t="n">
        <v>0</v>
      </c>
      <c r="K539" t="n">
        <v>0</v>
      </c>
      <c r="L539" t="n">
        <v>0</v>
      </c>
      <c r="M539" t="n">
        <v>0</v>
      </c>
      <c r="N539" t="n">
        <v>0</v>
      </c>
      <c r="O539" t="n">
        <v>0</v>
      </c>
      <c r="P539" t="n">
        <v>0</v>
      </c>
      <c r="Q539" t="n">
        <v>0</v>
      </c>
      <c r="R539" s="2" t="inlineStr"/>
    </row>
    <row r="540" ht="15" customHeight="1">
      <c r="A540" t="inlineStr">
        <is>
          <t>A 60024-2022</t>
        </is>
      </c>
      <c r="B540" s="1" t="n">
        <v>44902</v>
      </c>
      <c r="C540" s="1" t="n">
        <v>45344</v>
      </c>
      <c r="D540" t="inlineStr">
        <is>
          <t>JÄMTLANDS LÄN</t>
        </is>
      </c>
      <c r="E540" t="inlineStr">
        <is>
          <t>BERG</t>
        </is>
      </c>
      <c r="G540" t="n">
        <v>6.2</v>
      </c>
      <c r="H540" t="n">
        <v>0</v>
      </c>
      <c r="I540" t="n">
        <v>0</v>
      </c>
      <c r="J540" t="n">
        <v>0</v>
      </c>
      <c r="K540" t="n">
        <v>0</v>
      </c>
      <c r="L540" t="n">
        <v>0</v>
      </c>
      <c r="M540" t="n">
        <v>0</v>
      </c>
      <c r="N540" t="n">
        <v>0</v>
      </c>
      <c r="O540" t="n">
        <v>0</v>
      </c>
      <c r="P540" t="n">
        <v>0</v>
      </c>
      <c r="Q540" t="n">
        <v>0</v>
      </c>
      <c r="R540" s="2" t="inlineStr"/>
    </row>
    <row r="541" ht="15" customHeight="1">
      <c r="A541" t="inlineStr">
        <is>
          <t>A 58910-2022</t>
        </is>
      </c>
      <c r="B541" s="1" t="n">
        <v>44903</v>
      </c>
      <c r="C541" s="1" t="n">
        <v>45344</v>
      </c>
      <c r="D541" t="inlineStr">
        <is>
          <t>JÄMTLANDS LÄN</t>
        </is>
      </c>
      <c r="E541" t="inlineStr">
        <is>
          <t>BERG</t>
        </is>
      </c>
      <c r="G541" t="n">
        <v>2.7</v>
      </c>
      <c r="H541" t="n">
        <v>0</v>
      </c>
      <c r="I541" t="n">
        <v>0</v>
      </c>
      <c r="J541" t="n">
        <v>0</v>
      </c>
      <c r="K541" t="n">
        <v>0</v>
      </c>
      <c r="L541" t="n">
        <v>0</v>
      </c>
      <c r="M541" t="n">
        <v>0</v>
      </c>
      <c r="N541" t="n">
        <v>0</v>
      </c>
      <c r="O541" t="n">
        <v>0</v>
      </c>
      <c r="P541" t="n">
        <v>0</v>
      </c>
      <c r="Q541" t="n">
        <v>0</v>
      </c>
      <c r="R541" s="2" t="inlineStr"/>
    </row>
    <row r="542" ht="15" customHeight="1">
      <c r="A542" t="inlineStr">
        <is>
          <t>A 60274-2022</t>
        </is>
      </c>
      <c r="B542" s="1" t="n">
        <v>44903</v>
      </c>
      <c r="C542" s="1" t="n">
        <v>45344</v>
      </c>
      <c r="D542" t="inlineStr">
        <is>
          <t>JÄMTLANDS LÄN</t>
        </is>
      </c>
      <c r="E542" t="inlineStr">
        <is>
          <t>BERG</t>
        </is>
      </c>
      <c r="G542" t="n">
        <v>1.7</v>
      </c>
      <c r="H542" t="n">
        <v>0</v>
      </c>
      <c r="I542" t="n">
        <v>0</v>
      </c>
      <c r="J542" t="n">
        <v>0</v>
      </c>
      <c r="K542" t="n">
        <v>0</v>
      </c>
      <c r="L542" t="n">
        <v>0</v>
      </c>
      <c r="M542" t="n">
        <v>0</v>
      </c>
      <c r="N542" t="n">
        <v>0</v>
      </c>
      <c r="O542" t="n">
        <v>0</v>
      </c>
      <c r="P542" t="n">
        <v>0</v>
      </c>
      <c r="Q542" t="n">
        <v>0</v>
      </c>
      <c r="R542" s="2" t="inlineStr"/>
    </row>
    <row r="543" ht="15" customHeight="1">
      <c r="A543" t="inlineStr">
        <is>
          <t>A 60249-2022</t>
        </is>
      </c>
      <c r="B543" s="1" t="n">
        <v>44903</v>
      </c>
      <c r="C543" s="1" t="n">
        <v>45344</v>
      </c>
      <c r="D543" t="inlineStr">
        <is>
          <t>JÄMTLANDS LÄN</t>
        </is>
      </c>
      <c r="E543" t="inlineStr">
        <is>
          <t>BERG</t>
        </is>
      </c>
      <c r="G543" t="n">
        <v>6</v>
      </c>
      <c r="H543" t="n">
        <v>0</v>
      </c>
      <c r="I543" t="n">
        <v>0</v>
      </c>
      <c r="J543" t="n">
        <v>0</v>
      </c>
      <c r="K543" t="n">
        <v>0</v>
      </c>
      <c r="L543" t="n">
        <v>0</v>
      </c>
      <c r="M543" t="n">
        <v>0</v>
      </c>
      <c r="N543" t="n">
        <v>0</v>
      </c>
      <c r="O543" t="n">
        <v>0</v>
      </c>
      <c r="P543" t="n">
        <v>0</v>
      </c>
      <c r="Q543" t="n">
        <v>0</v>
      </c>
      <c r="R543" s="2" t="inlineStr"/>
    </row>
    <row r="544" ht="15" customHeight="1">
      <c r="A544" t="inlineStr">
        <is>
          <t>A 60280-2022</t>
        </is>
      </c>
      <c r="B544" s="1" t="n">
        <v>44903</v>
      </c>
      <c r="C544" s="1" t="n">
        <v>45344</v>
      </c>
      <c r="D544" t="inlineStr">
        <is>
          <t>JÄMTLANDS LÄN</t>
        </is>
      </c>
      <c r="E544" t="inlineStr">
        <is>
          <t>BERG</t>
        </is>
      </c>
      <c r="G544" t="n">
        <v>1.6</v>
      </c>
      <c r="H544" t="n">
        <v>0</v>
      </c>
      <c r="I544" t="n">
        <v>0</v>
      </c>
      <c r="J544" t="n">
        <v>0</v>
      </c>
      <c r="K544" t="n">
        <v>0</v>
      </c>
      <c r="L544" t="n">
        <v>0</v>
      </c>
      <c r="M544" t="n">
        <v>0</v>
      </c>
      <c r="N544" t="n">
        <v>0</v>
      </c>
      <c r="O544" t="n">
        <v>0</v>
      </c>
      <c r="P544" t="n">
        <v>0</v>
      </c>
      <c r="Q544" t="n">
        <v>0</v>
      </c>
      <c r="R544" s="2" t="inlineStr"/>
    </row>
    <row r="545" ht="15" customHeight="1">
      <c r="A545" t="inlineStr">
        <is>
          <t>A 60271-2022</t>
        </is>
      </c>
      <c r="B545" s="1" t="n">
        <v>44903</v>
      </c>
      <c r="C545" s="1" t="n">
        <v>45344</v>
      </c>
      <c r="D545" t="inlineStr">
        <is>
          <t>JÄMTLANDS LÄN</t>
        </is>
      </c>
      <c r="E545" t="inlineStr">
        <is>
          <t>BERG</t>
        </is>
      </c>
      <c r="G545" t="n">
        <v>3</v>
      </c>
      <c r="H545" t="n">
        <v>0</v>
      </c>
      <c r="I545" t="n">
        <v>0</v>
      </c>
      <c r="J545" t="n">
        <v>0</v>
      </c>
      <c r="K545" t="n">
        <v>0</v>
      </c>
      <c r="L545" t="n">
        <v>0</v>
      </c>
      <c r="M545" t="n">
        <v>0</v>
      </c>
      <c r="N545" t="n">
        <v>0</v>
      </c>
      <c r="O545" t="n">
        <v>0</v>
      </c>
      <c r="P545" t="n">
        <v>0</v>
      </c>
      <c r="Q545" t="n">
        <v>0</v>
      </c>
      <c r="R545" s="2" t="inlineStr"/>
    </row>
    <row r="546" ht="15" customHeight="1">
      <c r="A546" t="inlineStr">
        <is>
          <t>A 59634-2022</t>
        </is>
      </c>
      <c r="B546" s="1" t="n">
        <v>44908</v>
      </c>
      <c r="C546" s="1" t="n">
        <v>45344</v>
      </c>
      <c r="D546" t="inlineStr">
        <is>
          <t>JÄMTLANDS LÄN</t>
        </is>
      </c>
      <c r="E546" t="inlineStr">
        <is>
          <t>BERG</t>
        </is>
      </c>
      <c r="G546" t="n">
        <v>1.2</v>
      </c>
      <c r="H546" t="n">
        <v>0</v>
      </c>
      <c r="I546" t="n">
        <v>0</v>
      </c>
      <c r="J546" t="n">
        <v>0</v>
      </c>
      <c r="K546" t="n">
        <v>0</v>
      </c>
      <c r="L546" t="n">
        <v>0</v>
      </c>
      <c r="M546" t="n">
        <v>0</v>
      </c>
      <c r="N546" t="n">
        <v>0</v>
      </c>
      <c r="O546" t="n">
        <v>0</v>
      </c>
      <c r="P546" t="n">
        <v>0</v>
      </c>
      <c r="Q546" t="n">
        <v>0</v>
      </c>
      <c r="R546" s="2" t="inlineStr"/>
    </row>
    <row r="547" ht="15" customHeight="1">
      <c r="A547" t="inlineStr">
        <is>
          <t>A 59652-2022</t>
        </is>
      </c>
      <c r="B547" s="1" t="n">
        <v>44908</v>
      </c>
      <c r="C547" s="1" t="n">
        <v>45344</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59635-2022</t>
        </is>
      </c>
      <c r="B548" s="1" t="n">
        <v>44907</v>
      </c>
      <c r="C548" s="1" t="n">
        <v>45344</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60845-2022</t>
        </is>
      </c>
      <c r="B549" s="1" t="n">
        <v>44907</v>
      </c>
      <c r="C549" s="1" t="n">
        <v>45344</v>
      </c>
      <c r="D549" t="inlineStr">
        <is>
          <t>JÄMTLANDS LÄN</t>
        </is>
      </c>
      <c r="E549" t="inlineStr">
        <is>
          <t>BERG</t>
        </is>
      </c>
      <c r="G549" t="n">
        <v>14.6</v>
      </c>
      <c r="H549" t="n">
        <v>0</v>
      </c>
      <c r="I549" t="n">
        <v>0</v>
      </c>
      <c r="J549" t="n">
        <v>0</v>
      </c>
      <c r="K549" t="n">
        <v>0</v>
      </c>
      <c r="L549" t="n">
        <v>0</v>
      </c>
      <c r="M549" t="n">
        <v>0</v>
      </c>
      <c r="N549" t="n">
        <v>0</v>
      </c>
      <c r="O549" t="n">
        <v>0</v>
      </c>
      <c r="P549" t="n">
        <v>0</v>
      </c>
      <c r="Q549" t="n">
        <v>0</v>
      </c>
      <c r="R549" s="2" t="inlineStr"/>
    </row>
    <row r="550" ht="15" customHeight="1">
      <c r="A550" t="inlineStr">
        <is>
          <t>A 59650-2022</t>
        </is>
      </c>
      <c r="B550" s="1" t="n">
        <v>44907</v>
      </c>
      <c r="C550" s="1" t="n">
        <v>45344</v>
      </c>
      <c r="D550" t="inlineStr">
        <is>
          <t>JÄMTLANDS LÄN</t>
        </is>
      </c>
      <c r="E550" t="inlineStr">
        <is>
          <t>BERG</t>
        </is>
      </c>
      <c r="G550" t="n">
        <v>3.3</v>
      </c>
      <c r="H550" t="n">
        <v>0</v>
      </c>
      <c r="I550" t="n">
        <v>0</v>
      </c>
      <c r="J550" t="n">
        <v>0</v>
      </c>
      <c r="K550" t="n">
        <v>0</v>
      </c>
      <c r="L550" t="n">
        <v>0</v>
      </c>
      <c r="M550" t="n">
        <v>0</v>
      </c>
      <c r="N550" t="n">
        <v>0</v>
      </c>
      <c r="O550" t="n">
        <v>0</v>
      </c>
      <c r="P550" t="n">
        <v>0</v>
      </c>
      <c r="Q550" t="n">
        <v>0</v>
      </c>
      <c r="R550" s="2" t="inlineStr"/>
    </row>
    <row r="551" ht="15" customHeight="1">
      <c r="A551" t="inlineStr">
        <is>
          <t>A 59651-2022</t>
        </is>
      </c>
      <c r="B551" s="1" t="n">
        <v>44908</v>
      </c>
      <c r="C551" s="1" t="n">
        <v>45344</v>
      </c>
      <c r="D551" t="inlineStr">
        <is>
          <t>JÄMTLANDS LÄN</t>
        </is>
      </c>
      <c r="E551" t="inlineStr">
        <is>
          <t>BERG</t>
        </is>
      </c>
      <c r="G551" t="n">
        <v>1.1</v>
      </c>
      <c r="H551" t="n">
        <v>0</v>
      </c>
      <c r="I551" t="n">
        <v>0</v>
      </c>
      <c r="J551" t="n">
        <v>0</v>
      </c>
      <c r="K551" t="n">
        <v>0</v>
      </c>
      <c r="L551" t="n">
        <v>0</v>
      </c>
      <c r="M551" t="n">
        <v>0</v>
      </c>
      <c r="N551" t="n">
        <v>0</v>
      </c>
      <c r="O551" t="n">
        <v>0</v>
      </c>
      <c r="P551" t="n">
        <v>0</v>
      </c>
      <c r="Q551" t="n">
        <v>0</v>
      </c>
      <c r="R551" s="2" t="inlineStr"/>
    </row>
    <row r="552" ht="15" customHeight="1">
      <c r="A552" t="inlineStr">
        <is>
          <t>A 60852-2022</t>
        </is>
      </c>
      <c r="B552" s="1" t="n">
        <v>44908</v>
      </c>
      <c r="C552" s="1" t="n">
        <v>45344</v>
      </c>
      <c r="D552" t="inlineStr">
        <is>
          <t>JÄMTLANDS LÄN</t>
        </is>
      </c>
      <c r="E552" t="inlineStr">
        <is>
          <t>BERG</t>
        </is>
      </c>
      <c r="G552" t="n">
        <v>17.3</v>
      </c>
      <c r="H552" t="n">
        <v>0</v>
      </c>
      <c r="I552" t="n">
        <v>0</v>
      </c>
      <c r="J552" t="n">
        <v>0</v>
      </c>
      <c r="K552" t="n">
        <v>0</v>
      </c>
      <c r="L552" t="n">
        <v>0</v>
      </c>
      <c r="M552" t="n">
        <v>0</v>
      </c>
      <c r="N552" t="n">
        <v>0</v>
      </c>
      <c r="O552" t="n">
        <v>0</v>
      </c>
      <c r="P552" t="n">
        <v>0</v>
      </c>
      <c r="Q552" t="n">
        <v>0</v>
      </c>
      <c r="R552" s="2" t="inlineStr"/>
    </row>
    <row r="553" ht="15" customHeight="1">
      <c r="A553" t="inlineStr">
        <is>
          <t>A 60854-2022</t>
        </is>
      </c>
      <c r="B553" s="1" t="n">
        <v>44908</v>
      </c>
      <c r="C553" s="1" t="n">
        <v>45344</v>
      </c>
      <c r="D553" t="inlineStr">
        <is>
          <t>JÄMTLANDS LÄN</t>
        </is>
      </c>
      <c r="E553" t="inlineStr">
        <is>
          <t>BERG</t>
        </is>
      </c>
      <c r="G553" t="n">
        <v>26.9</v>
      </c>
      <c r="H553" t="n">
        <v>0</v>
      </c>
      <c r="I553" t="n">
        <v>0</v>
      </c>
      <c r="J553" t="n">
        <v>0</v>
      </c>
      <c r="K553" t="n">
        <v>0</v>
      </c>
      <c r="L553" t="n">
        <v>0</v>
      </c>
      <c r="M553" t="n">
        <v>0</v>
      </c>
      <c r="N553" t="n">
        <v>0</v>
      </c>
      <c r="O553" t="n">
        <v>0</v>
      </c>
      <c r="P553" t="n">
        <v>0</v>
      </c>
      <c r="Q553" t="n">
        <v>0</v>
      </c>
      <c r="R553" s="2" t="inlineStr"/>
    </row>
    <row r="554" ht="15" customHeight="1">
      <c r="A554" t="inlineStr">
        <is>
          <t>A 61248-2022</t>
        </is>
      </c>
      <c r="B554" s="1" t="n">
        <v>44909</v>
      </c>
      <c r="C554" s="1" t="n">
        <v>45344</v>
      </c>
      <c r="D554" t="inlineStr">
        <is>
          <t>JÄMTLANDS LÄN</t>
        </is>
      </c>
      <c r="E554" t="inlineStr">
        <is>
          <t>BERG</t>
        </is>
      </c>
      <c r="G554" t="n">
        <v>2.8</v>
      </c>
      <c r="H554" t="n">
        <v>0</v>
      </c>
      <c r="I554" t="n">
        <v>0</v>
      </c>
      <c r="J554" t="n">
        <v>0</v>
      </c>
      <c r="K554" t="n">
        <v>0</v>
      </c>
      <c r="L554" t="n">
        <v>0</v>
      </c>
      <c r="M554" t="n">
        <v>0</v>
      </c>
      <c r="N554" t="n">
        <v>0</v>
      </c>
      <c r="O554" t="n">
        <v>0</v>
      </c>
      <c r="P554" t="n">
        <v>0</v>
      </c>
      <c r="Q554" t="n">
        <v>0</v>
      </c>
      <c r="R554" s="2" t="inlineStr"/>
    </row>
    <row r="555" ht="15" customHeight="1">
      <c r="A555" t="inlineStr">
        <is>
          <t>A 61251-2022</t>
        </is>
      </c>
      <c r="B555" s="1" t="n">
        <v>44909</v>
      </c>
      <c r="C555" s="1" t="n">
        <v>45344</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45344</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61255-2022</t>
        </is>
      </c>
      <c r="B557" s="1" t="n">
        <v>44909</v>
      </c>
      <c r="C557" s="1" t="n">
        <v>45344</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60587-2022</t>
        </is>
      </c>
      <c r="B558" s="1" t="n">
        <v>44911</v>
      </c>
      <c r="C558" s="1" t="n">
        <v>45344</v>
      </c>
      <c r="D558" t="inlineStr">
        <is>
          <t>JÄMTLANDS LÄN</t>
        </is>
      </c>
      <c r="E558" t="inlineStr">
        <is>
          <t>BERG</t>
        </is>
      </c>
      <c r="G558" t="n">
        <v>4.8</v>
      </c>
      <c r="H558" t="n">
        <v>0</v>
      </c>
      <c r="I558" t="n">
        <v>0</v>
      </c>
      <c r="J558" t="n">
        <v>0</v>
      </c>
      <c r="K558" t="n">
        <v>0</v>
      </c>
      <c r="L558" t="n">
        <v>0</v>
      </c>
      <c r="M558" t="n">
        <v>0</v>
      </c>
      <c r="N558" t="n">
        <v>0</v>
      </c>
      <c r="O558" t="n">
        <v>0</v>
      </c>
      <c r="P558" t="n">
        <v>0</v>
      </c>
      <c r="Q558" t="n">
        <v>0</v>
      </c>
      <c r="R558" s="2" t="inlineStr"/>
    </row>
    <row r="559" ht="15" customHeight="1">
      <c r="A559" t="inlineStr">
        <is>
          <t>A 60668-2022</t>
        </is>
      </c>
      <c r="B559" s="1" t="n">
        <v>44911</v>
      </c>
      <c r="C559" s="1" t="n">
        <v>45344</v>
      </c>
      <c r="D559" t="inlineStr">
        <is>
          <t>JÄMTLANDS LÄN</t>
        </is>
      </c>
      <c r="E559" t="inlineStr">
        <is>
          <t>BERG</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60657-2022</t>
        </is>
      </c>
      <c r="B560" s="1" t="n">
        <v>44911</v>
      </c>
      <c r="C560" s="1" t="n">
        <v>45344</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62153-2022</t>
        </is>
      </c>
      <c r="B561" s="1" t="n">
        <v>44914</v>
      </c>
      <c r="C561" s="1" t="n">
        <v>45344</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62147-2022</t>
        </is>
      </c>
      <c r="B562" s="1" t="n">
        <v>44914</v>
      </c>
      <c r="C562" s="1" t="n">
        <v>45344</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62205-2022</t>
        </is>
      </c>
      <c r="B563" s="1" t="n">
        <v>44915</v>
      </c>
      <c r="C563" s="1" t="n">
        <v>45344</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61472-2022</t>
        </is>
      </c>
      <c r="B564" s="1" t="n">
        <v>44916</v>
      </c>
      <c r="C564" s="1" t="n">
        <v>45344</v>
      </c>
      <c r="D564" t="inlineStr">
        <is>
          <t>JÄMTLANDS LÄN</t>
        </is>
      </c>
      <c r="E564" t="inlineStr">
        <is>
          <t>BERG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61917-2022</t>
        </is>
      </c>
      <c r="B565" s="1" t="n">
        <v>44917</v>
      </c>
      <c r="C565" s="1" t="n">
        <v>45344</v>
      </c>
      <c r="D565" t="inlineStr">
        <is>
          <t>JÄMTLANDS LÄN</t>
        </is>
      </c>
      <c r="E565" t="inlineStr">
        <is>
          <t>BERG</t>
        </is>
      </c>
      <c r="G565" t="n">
        <v>0.6</v>
      </c>
      <c r="H565" t="n">
        <v>0</v>
      </c>
      <c r="I565" t="n">
        <v>0</v>
      </c>
      <c r="J565" t="n">
        <v>0</v>
      </c>
      <c r="K565" t="n">
        <v>0</v>
      </c>
      <c r="L565" t="n">
        <v>0</v>
      </c>
      <c r="M565" t="n">
        <v>0</v>
      </c>
      <c r="N565" t="n">
        <v>0</v>
      </c>
      <c r="O565" t="n">
        <v>0</v>
      </c>
      <c r="P565" t="n">
        <v>0</v>
      </c>
      <c r="Q565" t="n">
        <v>0</v>
      </c>
      <c r="R565" s="2" t="inlineStr"/>
    </row>
    <row r="566" ht="15" customHeight="1">
      <c r="A566" t="inlineStr">
        <is>
          <t>A 62659-2022</t>
        </is>
      </c>
      <c r="B566" s="1" t="n">
        <v>44917</v>
      </c>
      <c r="C566" s="1" t="n">
        <v>45344</v>
      </c>
      <c r="D566" t="inlineStr">
        <is>
          <t>JÄMTLANDS LÄN</t>
        </is>
      </c>
      <c r="E566" t="inlineStr">
        <is>
          <t>BERG</t>
        </is>
      </c>
      <c r="G566" t="n">
        <v>10.3</v>
      </c>
      <c r="H566" t="n">
        <v>0</v>
      </c>
      <c r="I566" t="n">
        <v>0</v>
      </c>
      <c r="J566" t="n">
        <v>0</v>
      </c>
      <c r="K566" t="n">
        <v>0</v>
      </c>
      <c r="L566" t="n">
        <v>0</v>
      </c>
      <c r="M566" t="n">
        <v>0</v>
      </c>
      <c r="N566" t="n">
        <v>0</v>
      </c>
      <c r="O566" t="n">
        <v>0</v>
      </c>
      <c r="P566" t="n">
        <v>0</v>
      </c>
      <c r="Q566" t="n">
        <v>0</v>
      </c>
      <c r="R566" s="2" t="inlineStr"/>
    </row>
    <row r="567" ht="15" customHeight="1">
      <c r="A567" t="inlineStr">
        <is>
          <t>A 62029-2022</t>
        </is>
      </c>
      <c r="B567" s="1" t="n">
        <v>44918</v>
      </c>
      <c r="C567" s="1" t="n">
        <v>45344</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441-2023</t>
        </is>
      </c>
      <c r="B568" s="1" t="n">
        <v>44923</v>
      </c>
      <c r="C568" s="1" t="n">
        <v>45344</v>
      </c>
      <c r="D568" t="inlineStr">
        <is>
          <t>JÄMTLANDS LÄN</t>
        </is>
      </c>
      <c r="E568" t="inlineStr">
        <is>
          <t>BERG</t>
        </is>
      </c>
      <c r="G568" t="n">
        <v>0.7</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45344</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442-2023</t>
        </is>
      </c>
      <c r="B570" s="1" t="n">
        <v>44923</v>
      </c>
      <c r="C570" s="1" t="n">
        <v>45344</v>
      </c>
      <c r="D570" t="inlineStr">
        <is>
          <t>JÄMTLANDS LÄN</t>
        </is>
      </c>
      <c r="E570" t="inlineStr">
        <is>
          <t>BERG</t>
        </is>
      </c>
      <c r="G570" t="n">
        <v>1.7</v>
      </c>
      <c r="H570" t="n">
        <v>0</v>
      </c>
      <c r="I570" t="n">
        <v>0</v>
      </c>
      <c r="J570" t="n">
        <v>0</v>
      </c>
      <c r="K570" t="n">
        <v>0</v>
      </c>
      <c r="L570" t="n">
        <v>0</v>
      </c>
      <c r="M570" t="n">
        <v>0</v>
      </c>
      <c r="N570" t="n">
        <v>0</v>
      </c>
      <c r="O570" t="n">
        <v>0</v>
      </c>
      <c r="P570" t="n">
        <v>0</v>
      </c>
      <c r="Q570" t="n">
        <v>0</v>
      </c>
      <c r="R570" s="2" t="inlineStr"/>
    </row>
    <row r="571" ht="15" customHeight="1">
      <c r="A571" t="inlineStr">
        <is>
          <t>A 525-2023</t>
        </is>
      </c>
      <c r="B571" s="1" t="n">
        <v>44924</v>
      </c>
      <c r="C571" s="1" t="n">
        <v>45344</v>
      </c>
      <c r="D571" t="inlineStr">
        <is>
          <t>JÄMTLANDS LÄN</t>
        </is>
      </c>
      <c r="E571" t="inlineStr">
        <is>
          <t>BERG</t>
        </is>
      </c>
      <c r="G571" t="n">
        <v>4</v>
      </c>
      <c r="H571" t="n">
        <v>0</v>
      </c>
      <c r="I571" t="n">
        <v>0</v>
      </c>
      <c r="J571" t="n">
        <v>0</v>
      </c>
      <c r="K571" t="n">
        <v>0</v>
      </c>
      <c r="L571" t="n">
        <v>0</v>
      </c>
      <c r="M571" t="n">
        <v>0</v>
      </c>
      <c r="N571" t="n">
        <v>0</v>
      </c>
      <c r="O571" t="n">
        <v>0</v>
      </c>
      <c r="P571" t="n">
        <v>0</v>
      </c>
      <c r="Q571" t="n">
        <v>0</v>
      </c>
      <c r="R571" s="2" t="inlineStr"/>
    </row>
    <row r="572" ht="15" customHeight="1">
      <c r="A572" t="inlineStr">
        <is>
          <t>A 613-2023</t>
        </is>
      </c>
      <c r="B572" s="1" t="n">
        <v>44924</v>
      </c>
      <c r="C572" s="1" t="n">
        <v>45344</v>
      </c>
      <c r="D572" t="inlineStr">
        <is>
          <t>JÄMTLANDS LÄN</t>
        </is>
      </c>
      <c r="E572" t="inlineStr">
        <is>
          <t>BERG</t>
        </is>
      </c>
      <c r="G572" t="n">
        <v>3.1</v>
      </c>
      <c r="H572" t="n">
        <v>0</v>
      </c>
      <c r="I572" t="n">
        <v>0</v>
      </c>
      <c r="J572" t="n">
        <v>0</v>
      </c>
      <c r="K572" t="n">
        <v>0</v>
      </c>
      <c r="L572" t="n">
        <v>0</v>
      </c>
      <c r="M572" t="n">
        <v>0</v>
      </c>
      <c r="N572" t="n">
        <v>0</v>
      </c>
      <c r="O572" t="n">
        <v>0</v>
      </c>
      <c r="P572" t="n">
        <v>0</v>
      </c>
      <c r="Q572" t="n">
        <v>0</v>
      </c>
      <c r="R572" s="2" t="inlineStr"/>
    </row>
    <row r="573" ht="15" customHeight="1">
      <c r="A573" t="inlineStr">
        <is>
          <t>A 47-2023</t>
        </is>
      </c>
      <c r="B573" s="1" t="n">
        <v>44928</v>
      </c>
      <c r="C573" s="1" t="n">
        <v>45344</v>
      </c>
      <c r="D573" t="inlineStr">
        <is>
          <t>JÄMTLANDS LÄN</t>
        </is>
      </c>
      <c r="E573" t="inlineStr">
        <is>
          <t>BERG</t>
        </is>
      </c>
      <c r="F573" t="inlineStr">
        <is>
          <t>Naturvårdsverket</t>
        </is>
      </c>
      <c r="G573" t="n">
        <v>1.5</v>
      </c>
      <c r="H573" t="n">
        <v>0</v>
      </c>
      <c r="I573" t="n">
        <v>0</v>
      </c>
      <c r="J573" t="n">
        <v>0</v>
      </c>
      <c r="K573" t="n">
        <v>0</v>
      </c>
      <c r="L573" t="n">
        <v>0</v>
      </c>
      <c r="M573" t="n">
        <v>0</v>
      </c>
      <c r="N573" t="n">
        <v>0</v>
      </c>
      <c r="O573" t="n">
        <v>0</v>
      </c>
      <c r="P573" t="n">
        <v>0</v>
      </c>
      <c r="Q573" t="n">
        <v>0</v>
      </c>
      <c r="R573" s="2" t="inlineStr"/>
    </row>
    <row r="574" ht="15" customHeight="1">
      <c r="A574" t="inlineStr">
        <is>
          <t>A 461-2023</t>
        </is>
      </c>
      <c r="B574" s="1" t="n">
        <v>44929</v>
      </c>
      <c r="C574" s="1" t="n">
        <v>45344</v>
      </c>
      <c r="D574" t="inlineStr">
        <is>
          <t>JÄMTLANDS LÄN</t>
        </is>
      </c>
      <c r="E574" t="inlineStr">
        <is>
          <t>BERG</t>
        </is>
      </c>
      <c r="G574" t="n">
        <v>5.8</v>
      </c>
      <c r="H574" t="n">
        <v>0</v>
      </c>
      <c r="I574" t="n">
        <v>0</v>
      </c>
      <c r="J574" t="n">
        <v>0</v>
      </c>
      <c r="K574" t="n">
        <v>0</v>
      </c>
      <c r="L574" t="n">
        <v>0</v>
      </c>
      <c r="M574" t="n">
        <v>0</v>
      </c>
      <c r="N574" t="n">
        <v>0</v>
      </c>
      <c r="O574" t="n">
        <v>0</v>
      </c>
      <c r="P574" t="n">
        <v>0</v>
      </c>
      <c r="Q574" t="n">
        <v>0</v>
      </c>
      <c r="R574" s="2" t="inlineStr"/>
    </row>
    <row r="575" ht="15" customHeight="1">
      <c r="A575" t="inlineStr">
        <is>
          <t>A 2267-2023</t>
        </is>
      </c>
      <c r="B575" s="1" t="n">
        <v>44942</v>
      </c>
      <c r="C575" s="1" t="n">
        <v>45344</v>
      </c>
      <c r="D575" t="inlineStr">
        <is>
          <t>JÄMTLANDS LÄN</t>
        </is>
      </c>
      <c r="E575" t="inlineStr">
        <is>
          <t>BERG</t>
        </is>
      </c>
      <c r="G575" t="n">
        <v>4.6</v>
      </c>
      <c r="H575" t="n">
        <v>0</v>
      </c>
      <c r="I575" t="n">
        <v>0</v>
      </c>
      <c r="J575" t="n">
        <v>0</v>
      </c>
      <c r="K575" t="n">
        <v>0</v>
      </c>
      <c r="L575" t="n">
        <v>0</v>
      </c>
      <c r="M575" t="n">
        <v>0</v>
      </c>
      <c r="N575" t="n">
        <v>0</v>
      </c>
      <c r="O575" t="n">
        <v>0</v>
      </c>
      <c r="P575" t="n">
        <v>0</v>
      </c>
      <c r="Q575" t="n">
        <v>0</v>
      </c>
      <c r="R575" s="2" t="inlineStr"/>
    </row>
    <row r="576" ht="15" customHeight="1">
      <c r="A576" t="inlineStr">
        <is>
          <t>A 3842-2023</t>
        </is>
      </c>
      <c r="B576" s="1" t="n">
        <v>44951</v>
      </c>
      <c r="C576" s="1" t="n">
        <v>45344</v>
      </c>
      <c r="D576" t="inlineStr">
        <is>
          <t>JÄMTLANDS LÄN</t>
        </is>
      </c>
      <c r="E576" t="inlineStr">
        <is>
          <t>BERG</t>
        </is>
      </c>
      <c r="G576" t="n">
        <v>0.3</v>
      </c>
      <c r="H576" t="n">
        <v>0</v>
      </c>
      <c r="I576" t="n">
        <v>0</v>
      </c>
      <c r="J576" t="n">
        <v>0</v>
      </c>
      <c r="K576" t="n">
        <v>0</v>
      </c>
      <c r="L576" t="n">
        <v>0</v>
      </c>
      <c r="M576" t="n">
        <v>0</v>
      </c>
      <c r="N576" t="n">
        <v>0</v>
      </c>
      <c r="O576" t="n">
        <v>0</v>
      </c>
      <c r="P576" t="n">
        <v>0</v>
      </c>
      <c r="Q576" t="n">
        <v>0</v>
      </c>
      <c r="R576" s="2" t="inlineStr"/>
    </row>
    <row r="577" ht="15" customHeight="1">
      <c r="A577" t="inlineStr">
        <is>
          <t>A 7099-2023</t>
        </is>
      </c>
      <c r="B577" s="1" t="n">
        <v>44965</v>
      </c>
      <c r="C577" s="1" t="n">
        <v>45344</v>
      </c>
      <c r="D577" t="inlineStr">
        <is>
          <t>JÄMTLANDS LÄN</t>
        </is>
      </c>
      <c r="E577" t="inlineStr">
        <is>
          <t>BERG</t>
        </is>
      </c>
      <c r="G577" t="n">
        <v>2.6</v>
      </c>
      <c r="H577" t="n">
        <v>0</v>
      </c>
      <c r="I577" t="n">
        <v>0</v>
      </c>
      <c r="J577" t="n">
        <v>0</v>
      </c>
      <c r="K577" t="n">
        <v>0</v>
      </c>
      <c r="L577" t="n">
        <v>0</v>
      </c>
      <c r="M577" t="n">
        <v>0</v>
      </c>
      <c r="N577" t="n">
        <v>0</v>
      </c>
      <c r="O577" t="n">
        <v>0</v>
      </c>
      <c r="P577" t="n">
        <v>0</v>
      </c>
      <c r="Q577" t="n">
        <v>0</v>
      </c>
      <c r="R577" s="2" t="inlineStr"/>
    </row>
    <row r="578" ht="15" customHeight="1">
      <c r="A578" t="inlineStr">
        <is>
          <t>A 7105-2023</t>
        </is>
      </c>
      <c r="B578" s="1" t="n">
        <v>44965</v>
      </c>
      <c r="C578" s="1" t="n">
        <v>45344</v>
      </c>
      <c r="D578" t="inlineStr">
        <is>
          <t>JÄMTLANDS LÄN</t>
        </is>
      </c>
      <c r="E578" t="inlineStr">
        <is>
          <t>BERG</t>
        </is>
      </c>
      <c r="G578" t="n">
        <v>3.2</v>
      </c>
      <c r="H578" t="n">
        <v>0</v>
      </c>
      <c r="I578" t="n">
        <v>0</v>
      </c>
      <c r="J578" t="n">
        <v>0</v>
      </c>
      <c r="K578" t="n">
        <v>0</v>
      </c>
      <c r="L578" t="n">
        <v>0</v>
      </c>
      <c r="M578" t="n">
        <v>0</v>
      </c>
      <c r="N578" t="n">
        <v>0</v>
      </c>
      <c r="O578" t="n">
        <v>0</v>
      </c>
      <c r="P578" t="n">
        <v>0</v>
      </c>
      <c r="Q578" t="n">
        <v>0</v>
      </c>
      <c r="R578" s="2" t="inlineStr"/>
    </row>
    <row r="579" ht="15" customHeight="1">
      <c r="A579" t="inlineStr">
        <is>
          <t>A 7488-2023</t>
        </is>
      </c>
      <c r="B579" s="1" t="n">
        <v>44966</v>
      </c>
      <c r="C579" s="1" t="n">
        <v>45344</v>
      </c>
      <c r="D579" t="inlineStr">
        <is>
          <t>JÄMTLANDS LÄN</t>
        </is>
      </c>
      <c r="E579" t="inlineStr">
        <is>
          <t>BERG</t>
        </is>
      </c>
      <c r="G579" t="n">
        <v>19.5</v>
      </c>
      <c r="H579" t="n">
        <v>0</v>
      </c>
      <c r="I579" t="n">
        <v>0</v>
      </c>
      <c r="J579" t="n">
        <v>0</v>
      </c>
      <c r="K579" t="n">
        <v>0</v>
      </c>
      <c r="L579" t="n">
        <v>0</v>
      </c>
      <c r="M579" t="n">
        <v>0</v>
      </c>
      <c r="N579" t="n">
        <v>0</v>
      </c>
      <c r="O579" t="n">
        <v>0</v>
      </c>
      <c r="P579" t="n">
        <v>0</v>
      </c>
      <c r="Q579" t="n">
        <v>0</v>
      </c>
      <c r="R579" s="2" t="inlineStr"/>
    </row>
    <row r="580" ht="15" customHeight="1">
      <c r="A580" t="inlineStr">
        <is>
          <t>A 7463-2023</t>
        </is>
      </c>
      <c r="B580" s="1" t="n">
        <v>44966</v>
      </c>
      <c r="C580" s="1" t="n">
        <v>45344</v>
      </c>
      <c r="D580" t="inlineStr">
        <is>
          <t>JÄMTLANDS LÄN</t>
        </is>
      </c>
      <c r="E580" t="inlineStr">
        <is>
          <t>BERG</t>
        </is>
      </c>
      <c r="G580" t="n">
        <v>13.1</v>
      </c>
      <c r="H580" t="n">
        <v>0</v>
      </c>
      <c r="I580" t="n">
        <v>0</v>
      </c>
      <c r="J580" t="n">
        <v>0</v>
      </c>
      <c r="K580" t="n">
        <v>0</v>
      </c>
      <c r="L580" t="n">
        <v>0</v>
      </c>
      <c r="M580" t="n">
        <v>0</v>
      </c>
      <c r="N580" t="n">
        <v>0</v>
      </c>
      <c r="O580" t="n">
        <v>0</v>
      </c>
      <c r="P580" t="n">
        <v>0</v>
      </c>
      <c r="Q580" t="n">
        <v>0</v>
      </c>
      <c r="R580" s="2" t="inlineStr"/>
    </row>
    <row r="581" ht="15" customHeight="1">
      <c r="A581" t="inlineStr">
        <is>
          <t>A 7483-2023</t>
        </is>
      </c>
      <c r="B581" s="1" t="n">
        <v>44966</v>
      </c>
      <c r="C581" s="1" t="n">
        <v>45344</v>
      </c>
      <c r="D581" t="inlineStr">
        <is>
          <t>JÄMTLANDS LÄN</t>
        </is>
      </c>
      <c r="E581" t="inlineStr">
        <is>
          <t>BERG</t>
        </is>
      </c>
      <c r="G581" t="n">
        <v>20.1</v>
      </c>
      <c r="H581" t="n">
        <v>0</v>
      </c>
      <c r="I581" t="n">
        <v>0</v>
      </c>
      <c r="J581" t="n">
        <v>0</v>
      </c>
      <c r="K581" t="n">
        <v>0</v>
      </c>
      <c r="L581" t="n">
        <v>0</v>
      </c>
      <c r="M581" t="n">
        <v>0</v>
      </c>
      <c r="N581" t="n">
        <v>0</v>
      </c>
      <c r="O581" t="n">
        <v>0</v>
      </c>
      <c r="P581" t="n">
        <v>0</v>
      </c>
      <c r="Q581" t="n">
        <v>0</v>
      </c>
      <c r="R581" s="2" t="inlineStr"/>
    </row>
    <row r="582" ht="15" customHeight="1">
      <c r="A582" t="inlineStr">
        <is>
          <t>A 7802-2023</t>
        </is>
      </c>
      <c r="B582" s="1" t="n">
        <v>44973</v>
      </c>
      <c r="C582" s="1" t="n">
        <v>45344</v>
      </c>
      <c r="D582" t="inlineStr">
        <is>
          <t>JÄMTLANDS LÄN</t>
        </is>
      </c>
      <c r="E582" t="inlineStr">
        <is>
          <t>BERG</t>
        </is>
      </c>
      <c r="F582" t="inlineStr">
        <is>
          <t>Kyrkan</t>
        </is>
      </c>
      <c r="G582" t="n">
        <v>0.7</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45344</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8413-2023</t>
        </is>
      </c>
      <c r="B584" s="1" t="n">
        <v>44977</v>
      </c>
      <c r="C584" s="1" t="n">
        <v>45344</v>
      </c>
      <c r="D584" t="inlineStr">
        <is>
          <t>JÄMTLANDS LÄN</t>
        </is>
      </c>
      <c r="E584" t="inlineStr">
        <is>
          <t>BERG</t>
        </is>
      </c>
      <c r="F584" t="inlineStr">
        <is>
          <t>Kyrkan</t>
        </is>
      </c>
      <c r="G584" t="n">
        <v>10.1</v>
      </c>
      <c r="H584" t="n">
        <v>0</v>
      </c>
      <c r="I584" t="n">
        <v>0</v>
      </c>
      <c r="J584" t="n">
        <v>0</v>
      </c>
      <c r="K584" t="n">
        <v>0</v>
      </c>
      <c r="L584" t="n">
        <v>0</v>
      </c>
      <c r="M584" t="n">
        <v>0</v>
      </c>
      <c r="N584" t="n">
        <v>0</v>
      </c>
      <c r="O584" t="n">
        <v>0</v>
      </c>
      <c r="P584" t="n">
        <v>0</v>
      </c>
      <c r="Q584" t="n">
        <v>0</v>
      </c>
      <c r="R584" s="2" t="inlineStr"/>
    </row>
    <row r="585" ht="15" customHeight="1">
      <c r="A585" t="inlineStr">
        <is>
          <t>A 8624-2023</t>
        </is>
      </c>
      <c r="B585" s="1" t="n">
        <v>44977</v>
      </c>
      <c r="C585" s="1" t="n">
        <v>45344</v>
      </c>
      <c r="D585" t="inlineStr">
        <is>
          <t>JÄMTLANDS LÄN</t>
        </is>
      </c>
      <c r="E585" t="inlineStr">
        <is>
          <t>BERG</t>
        </is>
      </c>
      <c r="F585" t="inlineStr">
        <is>
          <t>Kyrkan</t>
        </is>
      </c>
      <c r="G585" t="n">
        <v>7</v>
      </c>
      <c r="H585" t="n">
        <v>0</v>
      </c>
      <c r="I585" t="n">
        <v>0</v>
      </c>
      <c r="J585" t="n">
        <v>0</v>
      </c>
      <c r="K585" t="n">
        <v>0</v>
      </c>
      <c r="L585" t="n">
        <v>0</v>
      </c>
      <c r="M585" t="n">
        <v>0</v>
      </c>
      <c r="N585" t="n">
        <v>0</v>
      </c>
      <c r="O585" t="n">
        <v>0</v>
      </c>
      <c r="P585" t="n">
        <v>0</v>
      </c>
      <c r="Q585" t="n">
        <v>0</v>
      </c>
      <c r="R585" s="2" t="inlineStr"/>
    </row>
    <row r="586" ht="15" customHeight="1">
      <c r="A586" t="inlineStr">
        <is>
          <t>A 9657-2023</t>
        </is>
      </c>
      <c r="B586" s="1" t="n">
        <v>44978</v>
      </c>
      <c r="C586" s="1" t="n">
        <v>45344</v>
      </c>
      <c r="D586" t="inlineStr">
        <is>
          <t>JÄMTLANDS LÄN</t>
        </is>
      </c>
      <c r="E586" t="inlineStr">
        <is>
          <t>BERG</t>
        </is>
      </c>
      <c r="G586" t="n">
        <v>2.7</v>
      </c>
      <c r="H586" t="n">
        <v>0</v>
      </c>
      <c r="I586" t="n">
        <v>0</v>
      </c>
      <c r="J586" t="n">
        <v>0</v>
      </c>
      <c r="K586" t="n">
        <v>0</v>
      </c>
      <c r="L586" t="n">
        <v>0</v>
      </c>
      <c r="M586" t="n">
        <v>0</v>
      </c>
      <c r="N586" t="n">
        <v>0</v>
      </c>
      <c r="O586" t="n">
        <v>0</v>
      </c>
      <c r="P586" t="n">
        <v>0</v>
      </c>
      <c r="Q586" t="n">
        <v>0</v>
      </c>
      <c r="R586" s="2" t="inlineStr"/>
    </row>
    <row r="587" ht="15" customHeight="1">
      <c r="A587" t="inlineStr">
        <is>
          <t>A 9077-2023</t>
        </is>
      </c>
      <c r="B587" s="1" t="n">
        <v>44979</v>
      </c>
      <c r="C587" s="1" t="n">
        <v>45344</v>
      </c>
      <c r="D587" t="inlineStr">
        <is>
          <t>JÄMTLANDS LÄN</t>
        </is>
      </c>
      <c r="E587" t="inlineStr">
        <is>
          <t>BERG</t>
        </is>
      </c>
      <c r="G587" t="n">
        <v>3.6</v>
      </c>
      <c r="H587" t="n">
        <v>0</v>
      </c>
      <c r="I587" t="n">
        <v>0</v>
      </c>
      <c r="J587" t="n">
        <v>0</v>
      </c>
      <c r="K587" t="n">
        <v>0</v>
      </c>
      <c r="L587" t="n">
        <v>0</v>
      </c>
      <c r="M587" t="n">
        <v>0</v>
      </c>
      <c r="N587" t="n">
        <v>0</v>
      </c>
      <c r="O587" t="n">
        <v>0</v>
      </c>
      <c r="P587" t="n">
        <v>0</v>
      </c>
      <c r="Q587" t="n">
        <v>0</v>
      </c>
      <c r="R587" s="2" t="inlineStr"/>
    </row>
    <row r="588" ht="15" customHeight="1">
      <c r="A588" t="inlineStr">
        <is>
          <t>A 10226-2023</t>
        </is>
      </c>
      <c r="B588" s="1" t="n">
        <v>44980</v>
      </c>
      <c r="C588" s="1" t="n">
        <v>45344</v>
      </c>
      <c r="D588" t="inlineStr">
        <is>
          <t>JÄMTLANDS LÄN</t>
        </is>
      </c>
      <c r="E588" t="inlineStr">
        <is>
          <t>BERG</t>
        </is>
      </c>
      <c r="G588" t="n">
        <v>12.1</v>
      </c>
      <c r="H588" t="n">
        <v>0</v>
      </c>
      <c r="I588" t="n">
        <v>0</v>
      </c>
      <c r="J588" t="n">
        <v>0</v>
      </c>
      <c r="K588" t="n">
        <v>0</v>
      </c>
      <c r="L588" t="n">
        <v>0</v>
      </c>
      <c r="M588" t="n">
        <v>0</v>
      </c>
      <c r="N588" t="n">
        <v>0</v>
      </c>
      <c r="O588" t="n">
        <v>0</v>
      </c>
      <c r="P588" t="n">
        <v>0</v>
      </c>
      <c r="Q588" t="n">
        <v>0</v>
      </c>
      <c r="R588" s="2" t="inlineStr"/>
    </row>
    <row r="589" ht="15" customHeight="1">
      <c r="A589" t="inlineStr">
        <is>
          <t>A 10254-2023</t>
        </is>
      </c>
      <c r="B589" s="1" t="n">
        <v>44980</v>
      </c>
      <c r="C589" s="1" t="n">
        <v>45344</v>
      </c>
      <c r="D589" t="inlineStr">
        <is>
          <t>JÄMTLANDS LÄN</t>
        </is>
      </c>
      <c r="E589" t="inlineStr">
        <is>
          <t>BERG</t>
        </is>
      </c>
      <c r="G589" t="n">
        <v>0.6</v>
      </c>
      <c r="H589" t="n">
        <v>0</v>
      </c>
      <c r="I589" t="n">
        <v>0</v>
      </c>
      <c r="J589" t="n">
        <v>0</v>
      </c>
      <c r="K589" t="n">
        <v>0</v>
      </c>
      <c r="L589" t="n">
        <v>0</v>
      </c>
      <c r="M589" t="n">
        <v>0</v>
      </c>
      <c r="N589" t="n">
        <v>0</v>
      </c>
      <c r="O589" t="n">
        <v>0</v>
      </c>
      <c r="P589" t="n">
        <v>0</v>
      </c>
      <c r="Q589" t="n">
        <v>0</v>
      </c>
      <c r="R589" s="2" t="inlineStr"/>
    </row>
    <row r="590" ht="15" customHeight="1">
      <c r="A590" t="inlineStr">
        <is>
          <t>A 10255-2023</t>
        </is>
      </c>
      <c r="B590" s="1" t="n">
        <v>44980</v>
      </c>
      <c r="C590" s="1" t="n">
        <v>45344</v>
      </c>
      <c r="D590" t="inlineStr">
        <is>
          <t>JÄMTLANDS LÄN</t>
        </is>
      </c>
      <c r="E590" t="inlineStr">
        <is>
          <t>BERG</t>
        </is>
      </c>
      <c r="G590" t="n">
        <v>1.4</v>
      </c>
      <c r="H590" t="n">
        <v>0</v>
      </c>
      <c r="I590" t="n">
        <v>0</v>
      </c>
      <c r="J590" t="n">
        <v>0</v>
      </c>
      <c r="K590" t="n">
        <v>0</v>
      </c>
      <c r="L590" t="n">
        <v>0</v>
      </c>
      <c r="M590" t="n">
        <v>0</v>
      </c>
      <c r="N590" t="n">
        <v>0</v>
      </c>
      <c r="O590" t="n">
        <v>0</v>
      </c>
      <c r="P590" t="n">
        <v>0</v>
      </c>
      <c r="Q590" t="n">
        <v>0</v>
      </c>
      <c r="R590" s="2" t="inlineStr"/>
    </row>
    <row r="591" ht="15" customHeight="1">
      <c r="A591" t="inlineStr">
        <is>
          <t>A 9838-2023</t>
        </is>
      </c>
      <c r="B591" s="1" t="n">
        <v>44984</v>
      </c>
      <c r="C591" s="1" t="n">
        <v>45344</v>
      </c>
      <c r="D591" t="inlineStr">
        <is>
          <t>JÄMTLANDS LÄN</t>
        </is>
      </c>
      <c r="E591" t="inlineStr">
        <is>
          <t>BERG</t>
        </is>
      </c>
      <c r="F591" t="inlineStr">
        <is>
          <t>Kyrkan</t>
        </is>
      </c>
      <c r="G591" t="n">
        <v>13.7</v>
      </c>
      <c r="H591" t="n">
        <v>0</v>
      </c>
      <c r="I591" t="n">
        <v>0</v>
      </c>
      <c r="J591" t="n">
        <v>0</v>
      </c>
      <c r="K591" t="n">
        <v>0</v>
      </c>
      <c r="L591" t="n">
        <v>0</v>
      </c>
      <c r="M591" t="n">
        <v>0</v>
      </c>
      <c r="N591" t="n">
        <v>0</v>
      </c>
      <c r="O591" t="n">
        <v>0</v>
      </c>
      <c r="P591" t="n">
        <v>0</v>
      </c>
      <c r="Q591" t="n">
        <v>0</v>
      </c>
      <c r="R591" s="2" t="inlineStr"/>
    </row>
    <row r="592" ht="15" customHeight="1">
      <c r="A592" t="inlineStr">
        <is>
          <t>A 10125-2023</t>
        </is>
      </c>
      <c r="B592" s="1" t="n">
        <v>44986</v>
      </c>
      <c r="C592" s="1" t="n">
        <v>45344</v>
      </c>
      <c r="D592" t="inlineStr">
        <is>
          <t>JÄMTLANDS LÄN</t>
        </is>
      </c>
      <c r="E592" t="inlineStr">
        <is>
          <t>BERG</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10138-2023</t>
        </is>
      </c>
      <c r="B593" s="1" t="n">
        <v>44986</v>
      </c>
      <c r="C593" s="1" t="n">
        <v>45344</v>
      </c>
      <c r="D593" t="inlineStr">
        <is>
          <t>JÄMTLANDS LÄN</t>
        </is>
      </c>
      <c r="E593" t="inlineStr">
        <is>
          <t>BERG</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10465-2023</t>
        </is>
      </c>
      <c r="B594" s="1" t="n">
        <v>44987</v>
      </c>
      <c r="C594" s="1" t="n">
        <v>45344</v>
      </c>
      <c r="D594" t="inlineStr">
        <is>
          <t>JÄMTLANDS LÄN</t>
        </is>
      </c>
      <c r="E594" t="inlineStr">
        <is>
          <t>BERG</t>
        </is>
      </c>
      <c r="G594" t="n">
        <v>3.4</v>
      </c>
      <c r="H594" t="n">
        <v>0</v>
      </c>
      <c r="I594" t="n">
        <v>0</v>
      </c>
      <c r="J594" t="n">
        <v>0</v>
      </c>
      <c r="K594" t="n">
        <v>0</v>
      </c>
      <c r="L594" t="n">
        <v>0</v>
      </c>
      <c r="M594" t="n">
        <v>0</v>
      </c>
      <c r="N594" t="n">
        <v>0</v>
      </c>
      <c r="O594" t="n">
        <v>0</v>
      </c>
      <c r="P594" t="n">
        <v>0</v>
      </c>
      <c r="Q594" t="n">
        <v>0</v>
      </c>
      <c r="R594" s="2" t="inlineStr"/>
    </row>
    <row r="595" ht="15" customHeight="1">
      <c r="A595" t="inlineStr">
        <is>
          <t>A 10495-2023</t>
        </is>
      </c>
      <c r="B595" s="1" t="n">
        <v>44987</v>
      </c>
      <c r="C595" s="1" t="n">
        <v>45344</v>
      </c>
      <c r="D595" t="inlineStr">
        <is>
          <t>JÄMTLANDS LÄN</t>
        </is>
      </c>
      <c r="E595" t="inlineStr">
        <is>
          <t>BERG</t>
        </is>
      </c>
      <c r="G595" t="n">
        <v>12.8</v>
      </c>
      <c r="H595" t="n">
        <v>0</v>
      </c>
      <c r="I595" t="n">
        <v>0</v>
      </c>
      <c r="J595" t="n">
        <v>0</v>
      </c>
      <c r="K595" t="n">
        <v>0</v>
      </c>
      <c r="L595" t="n">
        <v>0</v>
      </c>
      <c r="M595" t="n">
        <v>0</v>
      </c>
      <c r="N595" t="n">
        <v>0</v>
      </c>
      <c r="O595" t="n">
        <v>0</v>
      </c>
      <c r="P595" t="n">
        <v>0</v>
      </c>
      <c r="Q595" t="n">
        <v>0</v>
      </c>
      <c r="R595" s="2" t="inlineStr"/>
    </row>
    <row r="596" ht="15" customHeight="1">
      <c r="A596" t="inlineStr">
        <is>
          <t>A 10478-2023</t>
        </is>
      </c>
      <c r="B596" s="1" t="n">
        <v>44987</v>
      </c>
      <c r="C596" s="1" t="n">
        <v>45344</v>
      </c>
      <c r="D596" t="inlineStr">
        <is>
          <t>JÄMTLANDS LÄN</t>
        </is>
      </c>
      <c r="E596" t="inlineStr">
        <is>
          <t>BERG</t>
        </is>
      </c>
      <c r="G596" t="n">
        <v>0.9</v>
      </c>
      <c r="H596" t="n">
        <v>0</v>
      </c>
      <c r="I596" t="n">
        <v>0</v>
      </c>
      <c r="J596" t="n">
        <v>0</v>
      </c>
      <c r="K596" t="n">
        <v>0</v>
      </c>
      <c r="L596" t="n">
        <v>0</v>
      </c>
      <c r="M596" t="n">
        <v>0</v>
      </c>
      <c r="N596" t="n">
        <v>0</v>
      </c>
      <c r="O596" t="n">
        <v>0</v>
      </c>
      <c r="P596" t="n">
        <v>0</v>
      </c>
      <c r="Q596" t="n">
        <v>0</v>
      </c>
      <c r="R596" s="2" t="inlineStr"/>
    </row>
    <row r="597" ht="15" customHeight="1">
      <c r="A597" t="inlineStr">
        <is>
          <t>A 11185-2023</t>
        </is>
      </c>
      <c r="B597" s="1" t="n">
        <v>44987</v>
      </c>
      <c r="C597" s="1" t="n">
        <v>45344</v>
      </c>
      <c r="D597" t="inlineStr">
        <is>
          <t>JÄMTLANDS LÄN</t>
        </is>
      </c>
      <c r="E597" t="inlineStr">
        <is>
          <t>BERG</t>
        </is>
      </c>
      <c r="G597" t="n">
        <v>1.7</v>
      </c>
      <c r="H597" t="n">
        <v>0</v>
      </c>
      <c r="I597" t="n">
        <v>0</v>
      </c>
      <c r="J597" t="n">
        <v>0</v>
      </c>
      <c r="K597" t="n">
        <v>0</v>
      </c>
      <c r="L597" t="n">
        <v>0</v>
      </c>
      <c r="M597" t="n">
        <v>0</v>
      </c>
      <c r="N597" t="n">
        <v>0</v>
      </c>
      <c r="O597" t="n">
        <v>0</v>
      </c>
      <c r="P597" t="n">
        <v>0</v>
      </c>
      <c r="Q597" t="n">
        <v>0</v>
      </c>
      <c r="R597" s="2" t="inlineStr"/>
    </row>
    <row r="598" ht="15" customHeight="1">
      <c r="A598" t="inlineStr">
        <is>
          <t>A 11702-2023</t>
        </is>
      </c>
      <c r="B598" s="1" t="n">
        <v>44994</v>
      </c>
      <c r="C598" s="1" t="n">
        <v>45344</v>
      </c>
      <c r="D598" t="inlineStr">
        <is>
          <t>JÄMTLANDS LÄN</t>
        </is>
      </c>
      <c r="E598" t="inlineStr">
        <is>
          <t>BERG</t>
        </is>
      </c>
      <c r="G598" t="n">
        <v>2</v>
      </c>
      <c r="H598" t="n">
        <v>0</v>
      </c>
      <c r="I598" t="n">
        <v>0</v>
      </c>
      <c r="J598" t="n">
        <v>0</v>
      </c>
      <c r="K598" t="n">
        <v>0</v>
      </c>
      <c r="L598" t="n">
        <v>0</v>
      </c>
      <c r="M598" t="n">
        <v>0</v>
      </c>
      <c r="N598" t="n">
        <v>0</v>
      </c>
      <c r="O598" t="n">
        <v>0</v>
      </c>
      <c r="P598" t="n">
        <v>0</v>
      </c>
      <c r="Q598" t="n">
        <v>0</v>
      </c>
      <c r="R598" s="2" t="inlineStr"/>
    </row>
    <row r="599" ht="15" customHeight="1">
      <c r="A599" t="inlineStr">
        <is>
          <t>A 11697-2023</t>
        </is>
      </c>
      <c r="B599" s="1" t="n">
        <v>44994</v>
      </c>
      <c r="C599" s="1" t="n">
        <v>45344</v>
      </c>
      <c r="D599" t="inlineStr">
        <is>
          <t>JÄMTLANDS LÄN</t>
        </is>
      </c>
      <c r="E599" t="inlineStr">
        <is>
          <t>BERG</t>
        </is>
      </c>
      <c r="G599" t="n">
        <v>8.9</v>
      </c>
      <c r="H599" t="n">
        <v>0</v>
      </c>
      <c r="I599" t="n">
        <v>0</v>
      </c>
      <c r="J599" t="n">
        <v>0</v>
      </c>
      <c r="K599" t="n">
        <v>0</v>
      </c>
      <c r="L599" t="n">
        <v>0</v>
      </c>
      <c r="M599" t="n">
        <v>0</v>
      </c>
      <c r="N599" t="n">
        <v>0</v>
      </c>
      <c r="O599" t="n">
        <v>0</v>
      </c>
      <c r="P599" t="n">
        <v>0</v>
      </c>
      <c r="Q599" t="n">
        <v>0</v>
      </c>
      <c r="R599" s="2" t="inlineStr"/>
    </row>
    <row r="600" ht="15" customHeight="1">
      <c r="A600" t="inlineStr">
        <is>
          <t>A 11704-2023</t>
        </is>
      </c>
      <c r="B600" s="1" t="n">
        <v>44994</v>
      </c>
      <c r="C600" s="1" t="n">
        <v>45344</v>
      </c>
      <c r="D600" t="inlineStr">
        <is>
          <t>JÄMTLANDS LÄN</t>
        </is>
      </c>
      <c r="E600" t="inlineStr">
        <is>
          <t>BERG</t>
        </is>
      </c>
      <c r="G600" t="n">
        <v>1</v>
      </c>
      <c r="H600" t="n">
        <v>0</v>
      </c>
      <c r="I600" t="n">
        <v>0</v>
      </c>
      <c r="J600" t="n">
        <v>0</v>
      </c>
      <c r="K600" t="n">
        <v>0</v>
      </c>
      <c r="L600" t="n">
        <v>0</v>
      </c>
      <c r="M600" t="n">
        <v>0</v>
      </c>
      <c r="N600" t="n">
        <v>0</v>
      </c>
      <c r="O600" t="n">
        <v>0</v>
      </c>
      <c r="P600" t="n">
        <v>0</v>
      </c>
      <c r="Q600" t="n">
        <v>0</v>
      </c>
      <c r="R600" s="2" t="inlineStr"/>
    </row>
    <row r="601" ht="15" customHeight="1">
      <c r="A601" t="inlineStr">
        <is>
          <t>A 11948-2023</t>
        </is>
      </c>
      <c r="B601" s="1" t="n">
        <v>44994</v>
      </c>
      <c r="C601" s="1" t="n">
        <v>45344</v>
      </c>
      <c r="D601" t="inlineStr">
        <is>
          <t>JÄMTLANDS LÄN</t>
        </is>
      </c>
      <c r="E601" t="inlineStr">
        <is>
          <t>BERG</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12342-2023</t>
        </is>
      </c>
      <c r="B602" s="1" t="n">
        <v>44998</v>
      </c>
      <c r="C602" s="1" t="n">
        <v>45344</v>
      </c>
      <c r="D602" t="inlineStr">
        <is>
          <t>JÄMTLANDS LÄN</t>
        </is>
      </c>
      <c r="E602" t="inlineStr">
        <is>
          <t>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12636-2023</t>
        </is>
      </c>
      <c r="B603" s="1" t="n">
        <v>44999</v>
      </c>
      <c r="C603" s="1" t="n">
        <v>45344</v>
      </c>
      <c r="D603" t="inlineStr">
        <is>
          <t>JÄMTLANDS LÄN</t>
        </is>
      </c>
      <c r="E603" t="inlineStr">
        <is>
          <t>BERG</t>
        </is>
      </c>
      <c r="G603" t="n">
        <v>2.6</v>
      </c>
      <c r="H603" t="n">
        <v>0</v>
      </c>
      <c r="I603" t="n">
        <v>0</v>
      </c>
      <c r="J603" t="n">
        <v>0</v>
      </c>
      <c r="K603" t="n">
        <v>0</v>
      </c>
      <c r="L603" t="n">
        <v>0</v>
      </c>
      <c r="M603" t="n">
        <v>0</v>
      </c>
      <c r="N603" t="n">
        <v>0</v>
      </c>
      <c r="O603" t="n">
        <v>0</v>
      </c>
      <c r="P603" t="n">
        <v>0</v>
      </c>
      <c r="Q603" t="n">
        <v>0</v>
      </c>
      <c r="R603" s="2" t="inlineStr"/>
    </row>
    <row r="604" ht="15" customHeight="1">
      <c r="A604" t="inlineStr">
        <is>
          <t>A 12774-2023</t>
        </is>
      </c>
      <c r="B604" s="1" t="n">
        <v>45001</v>
      </c>
      <c r="C604" s="1" t="n">
        <v>45344</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14160-2023</t>
        </is>
      </c>
      <c r="B605" s="1" t="n">
        <v>45008</v>
      </c>
      <c r="C605" s="1" t="n">
        <v>45344</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14153-2023</t>
        </is>
      </c>
      <c r="B606" s="1" t="n">
        <v>45008</v>
      </c>
      <c r="C606" s="1" t="n">
        <v>45344</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14192-2023</t>
        </is>
      </c>
      <c r="B607" s="1" t="n">
        <v>45009</v>
      </c>
      <c r="C607" s="1" t="n">
        <v>45344</v>
      </c>
      <c r="D607" t="inlineStr">
        <is>
          <t>JÄMTLANDS LÄN</t>
        </is>
      </c>
      <c r="E607" t="inlineStr">
        <is>
          <t>BERG</t>
        </is>
      </c>
      <c r="G607" t="n">
        <v>4.7</v>
      </c>
      <c r="H607" t="n">
        <v>0</v>
      </c>
      <c r="I607" t="n">
        <v>0</v>
      </c>
      <c r="J607" t="n">
        <v>0</v>
      </c>
      <c r="K607" t="n">
        <v>0</v>
      </c>
      <c r="L607" t="n">
        <v>0</v>
      </c>
      <c r="M607" t="n">
        <v>0</v>
      </c>
      <c r="N607" t="n">
        <v>0</v>
      </c>
      <c r="O607" t="n">
        <v>0</v>
      </c>
      <c r="P607" t="n">
        <v>0</v>
      </c>
      <c r="Q607" t="n">
        <v>0</v>
      </c>
      <c r="R607" s="2" t="inlineStr"/>
    </row>
    <row r="608" ht="15" customHeight="1">
      <c r="A608" t="inlineStr">
        <is>
          <t>A 14190-2023</t>
        </is>
      </c>
      <c r="B608" s="1" t="n">
        <v>45009</v>
      </c>
      <c r="C608" s="1" t="n">
        <v>45344</v>
      </c>
      <c r="D608" t="inlineStr">
        <is>
          <t>JÄMTLANDS LÄN</t>
        </is>
      </c>
      <c r="E608" t="inlineStr">
        <is>
          <t>BERG</t>
        </is>
      </c>
      <c r="G608" t="n">
        <v>3.8</v>
      </c>
      <c r="H608" t="n">
        <v>0</v>
      </c>
      <c r="I608" t="n">
        <v>0</v>
      </c>
      <c r="J608" t="n">
        <v>0</v>
      </c>
      <c r="K608" t="n">
        <v>0</v>
      </c>
      <c r="L608" t="n">
        <v>0</v>
      </c>
      <c r="M608" t="n">
        <v>0</v>
      </c>
      <c r="N608" t="n">
        <v>0</v>
      </c>
      <c r="O608" t="n">
        <v>0</v>
      </c>
      <c r="P608" t="n">
        <v>0</v>
      </c>
      <c r="Q608" t="n">
        <v>0</v>
      </c>
      <c r="R608" s="2" t="inlineStr"/>
    </row>
    <row r="609" ht="15" customHeight="1">
      <c r="A609" t="inlineStr">
        <is>
          <t>A 14198-2023</t>
        </is>
      </c>
      <c r="B609" s="1" t="n">
        <v>45009</v>
      </c>
      <c r="C609" s="1" t="n">
        <v>45344</v>
      </c>
      <c r="D609" t="inlineStr">
        <is>
          <t>JÄMTLANDS LÄN</t>
        </is>
      </c>
      <c r="E609" t="inlineStr">
        <is>
          <t>BERG</t>
        </is>
      </c>
      <c r="G609" t="n">
        <v>2.3</v>
      </c>
      <c r="H609" t="n">
        <v>0</v>
      </c>
      <c r="I609" t="n">
        <v>0</v>
      </c>
      <c r="J609" t="n">
        <v>0</v>
      </c>
      <c r="K609" t="n">
        <v>0</v>
      </c>
      <c r="L609" t="n">
        <v>0</v>
      </c>
      <c r="M609" t="n">
        <v>0</v>
      </c>
      <c r="N609" t="n">
        <v>0</v>
      </c>
      <c r="O609" t="n">
        <v>0</v>
      </c>
      <c r="P609" t="n">
        <v>0</v>
      </c>
      <c r="Q609" t="n">
        <v>0</v>
      </c>
      <c r="R609" s="2" t="inlineStr"/>
    </row>
    <row r="610" ht="15" customHeight="1">
      <c r="A610" t="inlineStr">
        <is>
          <t>A 14663-2023</t>
        </is>
      </c>
      <c r="B610" s="1" t="n">
        <v>45014</v>
      </c>
      <c r="C610" s="1" t="n">
        <v>45344</v>
      </c>
      <c r="D610" t="inlineStr">
        <is>
          <t>JÄMTLANDS LÄN</t>
        </is>
      </c>
      <c r="E610" t="inlineStr">
        <is>
          <t>BERG</t>
        </is>
      </c>
      <c r="G610" t="n">
        <v>4.2</v>
      </c>
      <c r="H610" t="n">
        <v>0</v>
      </c>
      <c r="I610" t="n">
        <v>0</v>
      </c>
      <c r="J610" t="n">
        <v>0</v>
      </c>
      <c r="K610" t="n">
        <v>0</v>
      </c>
      <c r="L610" t="n">
        <v>0</v>
      </c>
      <c r="M610" t="n">
        <v>0</v>
      </c>
      <c r="N610" t="n">
        <v>0</v>
      </c>
      <c r="O610" t="n">
        <v>0</v>
      </c>
      <c r="P610" t="n">
        <v>0</v>
      </c>
      <c r="Q610" t="n">
        <v>0</v>
      </c>
      <c r="R610" s="2" t="inlineStr"/>
    </row>
    <row r="611" ht="15" customHeight="1">
      <c r="A611" t="inlineStr">
        <is>
          <t>A 15409-2023</t>
        </is>
      </c>
      <c r="B611" s="1" t="n">
        <v>45016</v>
      </c>
      <c r="C611" s="1" t="n">
        <v>45344</v>
      </c>
      <c r="D611" t="inlineStr">
        <is>
          <t>JÄMTLANDS LÄN</t>
        </is>
      </c>
      <c r="E611" t="inlineStr">
        <is>
          <t>BERG</t>
        </is>
      </c>
      <c r="G611" t="n">
        <v>10.7</v>
      </c>
      <c r="H611" t="n">
        <v>0</v>
      </c>
      <c r="I611" t="n">
        <v>0</v>
      </c>
      <c r="J611" t="n">
        <v>0</v>
      </c>
      <c r="K611" t="n">
        <v>0</v>
      </c>
      <c r="L611" t="n">
        <v>0</v>
      </c>
      <c r="M611" t="n">
        <v>0</v>
      </c>
      <c r="N611" t="n">
        <v>0</v>
      </c>
      <c r="O611" t="n">
        <v>0</v>
      </c>
      <c r="P611" t="n">
        <v>0</v>
      </c>
      <c r="Q611" t="n">
        <v>0</v>
      </c>
      <c r="R611" s="2" t="inlineStr"/>
    </row>
    <row r="612" ht="15" customHeight="1">
      <c r="A612" t="inlineStr">
        <is>
          <t>A 15624-2023</t>
        </is>
      </c>
      <c r="B612" s="1" t="n">
        <v>45021</v>
      </c>
      <c r="C612" s="1" t="n">
        <v>45344</v>
      </c>
      <c r="D612" t="inlineStr">
        <is>
          <t>JÄMTLANDS LÄN</t>
        </is>
      </c>
      <c r="E612" t="inlineStr">
        <is>
          <t>BERG</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16491-2023</t>
        </is>
      </c>
      <c r="B613" s="1" t="n">
        <v>45027</v>
      </c>
      <c r="C613" s="1" t="n">
        <v>45344</v>
      </c>
      <c r="D613" t="inlineStr">
        <is>
          <t>JÄMTLANDS LÄN</t>
        </is>
      </c>
      <c r="E613" t="inlineStr">
        <is>
          <t>BERG</t>
        </is>
      </c>
      <c r="G613" t="n">
        <v>2.5</v>
      </c>
      <c r="H613" t="n">
        <v>0</v>
      </c>
      <c r="I613" t="n">
        <v>0</v>
      </c>
      <c r="J613" t="n">
        <v>0</v>
      </c>
      <c r="K613" t="n">
        <v>0</v>
      </c>
      <c r="L613" t="n">
        <v>0</v>
      </c>
      <c r="M613" t="n">
        <v>0</v>
      </c>
      <c r="N613" t="n">
        <v>0</v>
      </c>
      <c r="O613" t="n">
        <v>0</v>
      </c>
      <c r="P613" t="n">
        <v>0</v>
      </c>
      <c r="Q613" t="n">
        <v>0</v>
      </c>
      <c r="R613" s="2" t="inlineStr"/>
    </row>
    <row r="614" ht="15" customHeight="1">
      <c r="A614" t="inlineStr">
        <is>
          <t>A 16245-2023</t>
        </is>
      </c>
      <c r="B614" s="1" t="n">
        <v>45028</v>
      </c>
      <c r="C614" s="1" t="n">
        <v>45344</v>
      </c>
      <c r="D614" t="inlineStr">
        <is>
          <t>JÄMTLANDS LÄN</t>
        </is>
      </c>
      <c r="E614" t="inlineStr">
        <is>
          <t>BERG</t>
        </is>
      </c>
      <c r="G614" t="n">
        <v>16.2</v>
      </c>
      <c r="H614" t="n">
        <v>0</v>
      </c>
      <c r="I614" t="n">
        <v>0</v>
      </c>
      <c r="J614" t="n">
        <v>0</v>
      </c>
      <c r="K614" t="n">
        <v>0</v>
      </c>
      <c r="L614" t="n">
        <v>0</v>
      </c>
      <c r="M614" t="n">
        <v>0</v>
      </c>
      <c r="N614" t="n">
        <v>0</v>
      </c>
      <c r="O614" t="n">
        <v>0</v>
      </c>
      <c r="P614" t="n">
        <v>0</v>
      </c>
      <c r="Q614" t="n">
        <v>0</v>
      </c>
      <c r="R614" s="2" t="inlineStr"/>
    </row>
    <row r="615" ht="15" customHeight="1">
      <c r="A615" t="inlineStr">
        <is>
          <t>A 16640-2023</t>
        </is>
      </c>
      <c r="B615" s="1" t="n">
        <v>45028</v>
      </c>
      <c r="C615" s="1" t="n">
        <v>45344</v>
      </c>
      <c r="D615" t="inlineStr">
        <is>
          <t>JÄMTLANDS LÄN</t>
        </is>
      </c>
      <c r="E615" t="inlineStr">
        <is>
          <t>BERG</t>
        </is>
      </c>
      <c r="G615" t="n">
        <v>17.9</v>
      </c>
      <c r="H615" t="n">
        <v>0</v>
      </c>
      <c r="I615" t="n">
        <v>0</v>
      </c>
      <c r="J615" t="n">
        <v>0</v>
      </c>
      <c r="K615" t="n">
        <v>0</v>
      </c>
      <c r="L615" t="n">
        <v>0</v>
      </c>
      <c r="M615" t="n">
        <v>0</v>
      </c>
      <c r="N615" t="n">
        <v>0</v>
      </c>
      <c r="O615" t="n">
        <v>0</v>
      </c>
      <c r="P615" t="n">
        <v>0</v>
      </c>
      <c r="Q615" t="n">
        <v>0</v>
      </c>
      <c r="R615" s="2" t="inlineStr"/>
    </row>
    <row r="616" ht="15" customHeight="1">
      <c r="A616" t="inlineStr">
        <is>
          <t>A 18217-2023</t>
        </is>
      </c>
      <c r="B616" s="1" t="n">
        <v>45040</v>
      </c>
      <c r="C616" s="1" t="n">
        <v>45344</v>
      </c>
      <c r="D616" t="inlineStr">
        <is>
          <t>JÄMTLANDS LÄN</t>
        </is>
      </c>
      <c r="E616" t="inlineStr">
        <is>
          <t>BERG</t>
        </is>
      </c>
      <c r="G616" t="n">
        <v>4.5</v>
      </c>
      <c r="H616" t="n">
        <v>0</v>
      </c>
      <c r="I616" t="n">
        <v>0</v>
      </c>
      <c r="J616" t="n">
        <v>0</v>
      </c>
      <c r="K616" t="n">
        <v>0</v>
      </c>
      <c r="L616" t="n">
        <v>0</v>
      </c>
      <c r="M616" t="n">
        <v>0</v>
      </c>
      <c r="N616" t="n">
        <v>0</v>
      </c>
      <c r="O616" t="n">
        <v>0</v>
      </c>
      <c r="P616" t="n">
        <v>0</v>
      </c>
      <c r="Q616" t="n">
        <v>0</v>
      </c>
      <c r="R616" s="2" t="inlineStr"/>
    </row>
    <row r="617" ht="15" customHeight="1">
      <c r="A617" t="inlineStr">
        <is>
          <t>A 18497-2023</t>
        </is>
      </c>
      <c r="B617" s="1" t="n">
        <v>45042</v>
      </c>
      <c r="C617" s="1" t="n">
        <v>45344</v>
      </c>
      <c r="D617" t="inlineStr">
        <is>
          <t>JÄMTLANDS LÄN</t>
        </is>
      </c>
      <c r="E617" t="inlineStr">
        <is>
          <t>BERG</t>
        </is>
      </c>
      <c r="G617" t="n">
        <v>2.4</v>
      </c>
      <c r="H617" t="n">
        <v>0</v>
      </c>
      <c r="I617" t="n">
        <v>0</v>
      </c>
      <c r="J617" t="n">
        <v>0</v>
      </c>
      <c r="K617" t="n">
        <v>0</v>
      </c>
      <c r="L617" t="n">
        <v>0</v>
      </c>
      <c r="M617" t="n">
        <v>0</v>
      </c>
      <c r="N617" t="n">
        <v>0</v>
      </c>
      <c r="O617" t="n">
        <v>0</v>
      </c>
      <c r="P617" t="n">
        <v>0</v>
      </c>
      <c r="Q617" t="n">
        <v>0</v>
      </c>
      <c r="R617" s="2" t="inlineStr"/>
    </row>
    <row r="618" ht="15" customHeight="1">
      <c r="A618" t="inlineStr">
        <is>
          <t>A 18872-2023</t>
        </is>
      </c>
      <c r="B618" s="1" t="n">
        <v>45042</v>
      </c>
      <c r="C618" s="1" t="n">
        <v>45344</v>
      </c>
      <c r="D618" t="inlineStr">
        <is>
          <t>JÄMTLANDS LÄN</t>
        </is>
      </c>
      <c r="E618" t="inlineStr">
        <is>
          <t>BERG</t>
        </is>
      </c>
      <c r="G618" t="n">
        <v>13.2</v>
      </c>
      <c r="H618" t="n">
        <v>0</v>
      </c>
      <c r="I618" t="n">
        <v>0</v>
      </c>
      <c r="J618" t="n">
        <v>0</v>
      </c>
      <c r="K618" t="n">
        <v>0</v>
      </c>
      <c r="L618" t="n">
        <v>0</v>
      </c>
      <c r="M618" t="n">
        <v>0</v>
      </c>
      <c r="N618" t="n">
        <v>0</v>
      </c>
      <c r="O618" t="n">
        <v>0</v>
      </c>
      <c r="P618" t="n">
        <v>0</v>
      </c>
      <c r="Q618" t="n">
        <v>0</v>
      </c>
      <c r="R618" s="2" t="inlineStr"/>
    </row>
    <row r="619" ht="15" customHeight="1">
      <c r="A619" t="inlineStr">
        <is>
          <t>A 19325-2023</t>
        </is>
      </c>
      <c r="B619" s="1" t="n">
        <v>45048</v>
      </c>
      <c r="C619" s="1" t="n">
        <v>45344</v>
      </c>
      <c r="D619" t="inlineStr">
        <is>
          <t>JÄMTLANDS LÄN</t>
        </is>
      </c>
      <c r="E619" t="inlineStr">
        <is>
          <t>BERG</t>
        </is>
      </c>
      <c r="G619" t="n">
        <v>2.9</v>
      </c>
      <c r="H619" t="n">
        <v>0</v>
      </c>
      <c r="I619" t="n">
        <v>0</v>
      </c>
      <c r="J619" t="n">
        <v>0</v>
      </c>
      <c r="K619" t="n">
        <v>0</v>
      </c>
      <c r="L619" t="n">
        <v>0</v>
      </c>
      <c r="M619" t="n">
        <v>0</v>
      </c>
      <c r="N619" t="n">
        <v>0</v>
      </c>
      <c r="O619" t="n">
        <v>0</v>
      </c>
      <c r="P619" t="n">
        <v>0</v>
      </c>
      <c r="Q619" t="n">
        <v>0</v>
      </c>
      <c r="R619" s="2" t="inlineStr"/>
    </row>
    <row r="620" ht="15" customHeight="1">
      <c r="A620" t="inlineStr">
        <is>
          <t>A 19538-2023</t>
        </is>
      </c>
      <c r="B620" s="1" t="n">
        <v>45050</v>
      </c>
      <c r="C620" s="1" t="n">
        <v>45344</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19529-2023</t>
        </is>
      </c>
      <c r="B621" s="1" t="n">
        <v>45050</v>
      </c>
      <c r="C621" s="1" t="n">
        <v>45344</v>
      </c>
      <c r="D621" t="inlineStr">
        <is>
          <t>JÄMTLANDS LÄN</t>
        </is>
      </c>
      <c r="E621" t="inlineStr">
        <is>
          <t>BERG</t>
        </is>
      </c>
      <c r="G621" t="n">
        <v>3.7</v>
      </c>
      <c r="H621" t="n">
        <v>0</v>
      </c>
      <c r="I621" t="n">
        <v>0</v>
      </c>
      <c r="J621" t="n">
        <v>0</v>
      </c>
      <c r="K621" t="n">
        <v>0</v>
      </c>
      <c r="L621" t="n">
        <v>0</v>
      </c>
      <c r="M621" t="n">
        <v>0</v>
      </c>
      <c r="N621" t="n">
        <v>0</v>
      </c>
      <c r="O621" t="n">
        <v>0</v>
      </c>
      <c r="P621" t="n">
        <v>0</v>
      </c>
      <c r="Q621" t="n">
        <v>0</v>
      </c>
      <c r="R621" s="2" t="inlineStr"/>
    </row>
    <row r="622" ht="15" customHeight="1">
      <c r="A622" t="inlineStr">
        <is>
          <t>A 19535-2023</t>
        </is>
      </c>
      <c r="B622" s="1" t="n">
        <v>45050</v>
      </c>
      <c r="C622" s="1" t="n">
        <v>45344</v>
      </c>
      <c r="D622" t="inlineStr">
        <is>
          <t>JÄMTLANDS LÄN</t>
        </is>
      </c>
      <c r="E622" t="inlineStr">
        <is>
          <t>BERG</t>
        </is>
      </c>
      <c r="G622" t="n">
        <v>10</v>
      </c>
      <c r="H622" t="n">
        <v>0</v>
      </c>
      <c r="I622" t="n">
        <v>0</v>
      </c>
      <c r="J622" t="n">
        <v>0</v>
      </c>
      <c r="K622" t="n">
        <v>0</v>
      </c>
      <c r="L622" t="n">
        <v>0</v>
      </c>
      <c r="M622" t="n">
        <v>0</v>
      </c>
      <c r="N622" t="n">
        <v>0</v>
      </c>
      <c r="O622" t="n">
        <v>0</v>
      </c>
      <c r="P622" t="n">
        <v>0</v>
      </c>
      <c r="Q622" t="n">
        <v>0</v>
      </c>
      <c r="R622" s="2" t="inlineStr"/>
    </row>
    <row r="623" ht="15" customHeight="1">
      <c r="A623" t="inlineStr">
        <is>
          <t>A 20882-2023</t>
        </is>
      </c>
      <c r="B623" s="1" t="n">
        <v>45058</v>
      </c>
      <c r="C623" s="1" t="n">
        <v>45344</v>
      </c>
      <c r="D623" t="inlineStr">
        <is>
          <t>JÄMTLANDS LÄN</t>
        </is>
      </c>
      <c r="E623" t="inlineStr">
        <is>
          <t>BERG</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20899-2023</t>
        </is>
      </c>
      <c r="B624" s="1" t="n">
        <v>45060</v>
      </c>
      <c r="C624" s="1" t="n">
        <v>45344</v>
      </c>
      <c r="D624" t="inlineStr">
        <is>
          <t>JÄMTLANDS LÄN</t>
        </is>
      </c>
      <c r="E624" t="inlineStr">
        <is>
          <t>BERG</t>
        </is>
      </c>
      <c r="G624" t="n">
        <v>1.9</v>
      </c>
      <c r="H624" t="n">
        <v>0</v>
      </c>
      <c r="I624" t="n">
        <v>0</v>
      </c>
      <c r="J624" t="n">
        <v>0</v>
      </c>
      <c r="K624" t="n">
        <v>0</v>
      </c>
      <c r="L624" t="n">
        <v>0</v>
      </c>
      <c r="M624" t="n">
        <v>0</v>
      </c>
      <c r="N624" t="n">
        <v>0</v>
      </c>
      <c r="O624" t="n">
        <v>0</v>
      </c>
      <c r="P624" t="n">
        <v>0</v>
      </c>
      <c r="Q624" t="n">
        <v>0</v>
      </c>
      <c r="R624" s="2" t="inlineStr"/>
    </row>
    <row r="625" ht="15" customHeight="1">
      <c r="A625" t="inlineStr">
        <is>
          <t>A 21679-2023</t>
        </is>
      </c>
      <c r="B625" s="1" t="n">
        <v>45064</v>
      </c>
      <c r="C625" s="1" t="n">
        <v>45344</v>
      </c>
      <c r="D625" t="inlineStr">
        <is>
          <t>JÄMTLANDS LÄN</t>
        </is>
      </c>
      <c r="E625" t="inlineStr">
        <is>
          <t>BERG</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21717-2023</t>
        </is>
      </c>
      <c r="B626" s="1" t="n">
        <v>45063</v>
      </c>
      <c r="C626" s="1" t="n">
        <v>45344</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22950-2023</t>
        </is>
      </c>
      <c r="B627" s="1" t="n">
        <v>45072</v>
      </c>
      <c r="C627" s="1" t="n">
        <v>45344</v>
      </c>
      <c r="D627" t="inlineStr">
        <is>
          <t>JÄMTLANDS LÄN</t>
        </is>
      </c>
      <c r="E627" t="inlineStr">
        <is>
          <t>BERG</t>
        </is>
      </c>
      <c r="G627" t="n">
        <v>1.8</v>
      </c>
      <c r="H627" t="n">
        <v>0</v>
      </c>
      <c r="I627" t="n">
        <v>0</v>
      </c>
      <c r="J627" t="n">
        <v>0</v>
      </c>
      <c r="K627" t="n">
        <v>0</v>
      </c>
      <c r="L627" t="n">
        <v>0</v>
      </c>
      <c r="M627" t="n">
        <v>0</v>
      </c>
      <c r="N627" t="n">
        <v>0</v>
      </c>
      <c r="O627" t="n">
        <v>0</v>
      </c>
      <c r="P627" t="n">
        <v>0</v>
      </c>
      <c r="Q627" t="n">
        <v>0</v>
      </c>
      <c r="R627" s="2" t="inlineStr"/>
    </row>
    <row r="628" ht="15" customHeight="1">
      <c r="A628" t="inlineStr">
        <is>
          <t>A 22991-2023</t>
        </is>
      </c>
      <c r="B628" s="1" t="n">
        <v>45073</v>
      </c>
      <c r="C628" s="1" t="n">
        <v>45344</v>
      </c>
      <c r="D628" t="inlineStr">
        <is>
          <t>JÄMTLANDS LÄN</t>
        </is>
      </c>
      <c r="E628" t="inlineStr">
        <is>
          <t>BERG</t>
        </is>
      </c>
      <c r="G628" t="n">
        <v>4.1</v>
      </c>
      <c r="H628" t="n">
        <v>0</v>
      </c>
      <c r="I628" t="n">
        <v>0</v>
      </c>
      <c r="J628" t="n">
        <v>0</v>
      </c>
      <c r="K628" t="n">
        <v>0</v>
      </c>
      <c r="L628" t="n">
        <v>0</v>
      </c>
      <c r="M628" t="n">
        <v>0</v>
      </c>
      <c r="N628" t="n">
        <v>0</v>
      </c>
      <c r="O628" t="n">
        <v>0</v>
      </c>
      <c r="P628" t="n">
        <v>0</v>
      </c>
      <c r="Q628" t="n">
        <v>0</v>
      </c>
      <c r="R628" s="2" t="inlineStr"/>
    </row>
    <row r="629" ht="15" customHeight="1">
      <c r="A629" t="inlineStr">
        <is>
          <t>A 24011-2023</t>
        </is>
      </c>
      <c r="B629" s="1" t="n">
        <v>45078</v>
      </c>
      <c r="C629" s="1" t="n">
        <v>45344</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24310-2023</t>
        </is>
      </c>
      <c r="B630" s="1" t="n">
        <v>45079</v>
      </c>
      <c r="C630" s="1" t="n">
        <v>45344</v>
      </c>
      <c r="D630" t="inlineStr">
        <is>
          <t>JÄMTLANDS LÄN</t>
        </is>
      </c>
      <c r="E630" t="inlineStr">
        <is>
          <t>BERG</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24307-2023</t>
        </is>
      </c>
      <c r="B631" s="1" t="n">
        <v>45080</v>
      </c>
      <c r="C631" s="1" t="n">
        <v>45344</v>
      </c>
      <c r="D631" t="inlineStr">
        <is>
          <t>JÄMTLANDS LÄN</t>
        </is>
      </c>
      <c r="E631" t="inlineStr">
        <is>
          <t>BERG</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25507-2023</t>
        </is>
      </c>
      <c r="B632" s="1" t="n">
        <v>45082</v>
      </c>
      <c r="C632" s="1" t="n">
        <v>45344</v>
      </c>
      <c r="D632" t="inlineStr">
        <is>
          <t>JÄMTLANDS LÄN</t>
        </is>
      </c>
      <c r="E632" t="inlineStr">
        <is>
          <t>BERG</t>
        </is>
      </c>
      <c r="G632" t="n">
        <v>7</v>
      </c>
      <c r="H632" t="n">
        <v>0</v>
      </c>
      <c r="I632" t="n">
        <v>0</v>
      </c>
      <c r="J632" t="n">
        <v>0</v>
      </c>
      <c r="K632" t="n">
        <v>0</v>
      </c>
      <c r="L632" t="n">
        <v>0</v>
      </c>
      <c r="M632" t="n">
        <v>0</v>
      </c>
      <c r="N632" t="n">
        <v>0</v>
      </c>
      <c r="O632" t="n">
        <v>0</v>
      </c>
      <c r="P632" t="n">
        <v>0</v>
      </c>
      <c r="Q632" t="n">
        <v>0</v>
      </c>
      <c r="R632" s="2" t="inlineStr"/>
    </row>
    <row r="633" ht="15" customHeight="1">
      <c r="A633" t="inlineStr">
        <is>
          <t>A 24542-2023</t>
        </is>
      </c>
      <c r="B633" s="1" t="n">
        <v>45082</v>
      </c>
      <c r="C633" s="1" t="n">
        <v>45344</v>
      </c>
      <c r="D633" t="inlineStr">
        <is>
          <t>JÄMTLANDS LÄN</t>
        </is>
      </c>
      <c r="E633" t="inlineStr">
        <is>
          <t>BERG</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25565-2023</t>
        </is>
      </c>
      <c r="B634" s="1" t="n">
        <v>45082</v>
      </c>
      <c r="C634" s="1" t="n">
        <v>45344</v>
      </c>
      <c r="D634" t="inlineStr">
        <is>
          <t>JÄMTLANDS LÄN</t>
        </is>
      </c>
      <c r="E634" t="inlineStr">
        <is>
          <t>BERG</t>
        </is>
      </c>
      <c r="G634" t="n">
        <v>3.1</v>
      </c>
      <c r="H634" t="n">
        <v>0</v>
      </c>
      <c r="I634" t="n">
        <v>0</v>
      </c>
      <c r="J634" t="n">
        <v>0</v>
      </c>
      <c r="K634" t="n">
        <v>0</v>
      </c>
      <c r="L634" t="n">
        <v>0</v>
      </c>
      <c r="M634" t="n">
        <v>0</v>
      </c>
      <c r="N634" t="n">
        <v>0</v>
      </c>
      <c r="O634" t="n">
        <v>0</v>
      </c>
      <c r="P634" t="n">
        <v>0</v>
      </c>
      <c r="Q634" t="n">
        <v>0</v>
      </c>
      <c r="R634" s="2" t="inlineStr"/>
    </row>
    <row r="635" ht="15" customHeight="1">
      <c r="A635" t="inlineStr">
        <is>
          <t>A 25306-2023</t>
        </is>
      </c>
      <c r="B635" s="1" t="n">
        <v>45086</v>
      </c>
      <c r="C635" s="1" t="n">
        <v>45344</v>
      </c>
      <c r="D635" t="inlineStr">
        <is>
          <t>JÄMTLANDS LÄN</t>
        </is>
      </c>
      <c r="E635" t="inlineStr">
        <is>
          <t>BERG</t>
        </is>
      </c>
      <c r="G635" t="n">
        <v>23.3</v>
      </c>
      <c r="H635" t="n">
        <v>0</v>
      </c>
      <c r="I635" t="n">
        <v>0</v>
      </c>
      <c r="J635" t="n">
        <v>0</v>
      </c>
      <c r="K635" t="n">
        <v>0</v>
      </c>
      <c r="L635" t="n">
        <v>0</v>
      </c>
      <c r="M635" t="n">
        <v>0</v>
      </c>
      <c r="N635" t="n">
        <v>0</v>
      </c>
      <c r="O635" t="n">
        <v>0</v>
      </c>
      <c r="P635" t="n">
        <v>0</v>
      </c>
      <c r="Q635" t="n">
        <v>0</v>
      </c>
      <c r="R635" s="2" t="inlineStr"/>
    </row>
    <row r="636" ht="15" customHeight="1">
      <c r="A636" t="inlineStr">
        <is>
          <t>A 26011-2023</t>
        </is>
      </c>
      <c r="B636" s="1" t="n">
        <v>45091</v>
      </c>
      <c r="C636" s="1" t="n">
        <v>45344</v>
      </c>
      <c r="D636" t="inlineStr">
        <is>
          <t>JÄMTLANDS LÄN</t>
        </is>
      </c>
      <c r="E636" t="inlineStr">
        <is>
          <t>BERG</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26009-2023</t>
        </is>
      </c>
      <c r="B637" s="1" t="n">
        <v>45091</v>
      </c>
      <c r="C637" s="1" t="n">
        <v>45344</v>
      </c>
      <c r="D637" t="inlineStr">
        <is>
          <t>JÄMTLANDS LÄN</t>
        </is>
      </c>
      <c r="E637" t="inlineStr">
        <is>
          <t>BERG</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25990-2023</t>
        </is>
      </c>
      <c r="B638" s="1" t="n">
        <v>45091</v>
      </c>
      <c r="C638" s="1" t="n">
        <v>45344</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26010-2023</t>
        </is>
      </c>
      <c r="B639" s="1" t="n">
        <v>45091</v>
      </c>
      <c r="C639" s="1" t="n">
        <v>45344</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26008-2023</t>
        </is>
      </c>
      <c r="B640" s="1" t="n">
        <v>45091</v>
      </c>
      <c r="C640" s="1" t="n">
        <v>45344</v>
      </c>
      <c r="D640" t="inlineStr">
        <is>
          <t>JÄMTLANDS LÄN</t>
        </is>
      </c>
      <c r="E640" t="inlineStr">
        <is>
          <t>BERG</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26652-2023</t>
        </is>
      </c>
      <c r="B641" s="1" t="n">
        <v>45093</v>
      </c>
      <c r="C641" s="1" t="n">
        <v>45344</v>
      </c>
      <c r="D641" t="inlineStr">
        <is>
          <t>JÄMTLANDS LÄN</t>
        </is>
      </c>
      <c r="E641" t="inlineStr">
        <is>
          <t>BERG</t>
        </is>
      </c>
      <c r="G641" t="n">
        <v>2.7</v>
      </c>
      <c r="H641" t="n">
        <v>0</v>
      </c>
      <c r="I641" t="n">
        <v>0</v>
      </c>
      <c r="J641" t="n">
        <v>0</v>
      </c>
      <c r="K641" t="n">
        <v>0</v>
      </c>
      <c r="L641" t="n">
        <v>0</v>
      </c>
      <c r="M641" t="n">
        <v>0</v>
      </c>
      <c r="N641" t="n">
        <v>0</v>
      </c>
      <c r="O641" t="n">
        <v>0</v>
      </c>
      <c r="P641" t="n">
        <v>0</v>
      </c>
      <c r="Q641" t="n">
        <v>0</v>
      </c>
      <c r="R641" s="2" t="inlineStr"/>
    </row>
    <row r="642" ht="15" customHeight="1">
      <c r="A642" t="inlineStr">
        <is>
          <t>A 27239-2023</t>
        </is>
      </c>
      <c r="B642" s="1" t="n">
        <v>45092</v>
      </c>
      <c r="C642" s="1" t="n">
        <v>45344</v>
      </c>
      <c r="D642" t="inlineStr">
        <is>
          <t>JÄMTLANDS LÄN</t>
        </is>
      </c>
      <c r="E642" t="inlineStr">
        <is>
          <t>BERG</t>
        </is>
      </c>
      <c r="G642" t="n">
        <v>5.3</v>
      </c>
      <c r="H642" t="n">
        <v>0</v>
      </c>
      <c r="I642" t="n">
        <v>0</v>
      </c>
      <c r="J642" t="n">
        <v>0</v>
      </c>
      <c r="K642" t="n">
        <v>0</v>
      </c>
      <c r="L642" t="n">
        <v>0</v>
      </c>
      <c r="M642" t="n">
        <v>0</v>
      </c>
      <c r="N642" t="n">
        <v>0</v>
      </c>
      <c r="O642" t="n">
        <v>0</v>
      </c>
      <c r="P642" t="n">
        <v>0</v>
      </c>
      <c r="Q642" t="n">
        <v>0</v>
      </c>
      <c r="R642" s="2" t="inlineStr"/>
    </row>
    <row r="643" ht="15" customHeight="1">
      <c r="A643" t="inlineStr">
        <is>
          <t>A 27377-2023</t>
        </is>
      </c>
      <c r="B643" s="1" t="n">
        <v>45096</v>
      </c>
      <c r="C643" s="1" t="n">
        <v>45344</v>
      </c>
      <c r="D643" t="inlineStr">
        <is>
          <t>JÄMTLANDS LÄN</t>
        </is>
      </c>
      <c r="E643" t="inlineStr">
        <is>
          <t>BERG</t>
        </is>
      </c>
      <c r="F643" t="inlineStr">
        <is>
          <t>SCA</t>
        </is>
      </c>
      <c r="G643" t="n">
        <v>25.3</v>
      </c>
      <c r="H643" t="n">
        <v>0</v>
      </c>
      <c r="I643" t="n">
        <v>0</v>
      </c>
      <c r="J643" t="n">
        <v>0</v>
      </c>
      <c r="K643" t="n">
        <v>0</v>
      </c>
      <c r="L643" t="n">
        <v>0</v>
      </c>
      <c r="M643" t="n">
        <v>0</v>
      </c>
      <c r="N643" t="n">
        <v>0</v>
      </c>
      <c r="O643" t="n">
        <v>0</v>
      </c>
      <c r="P643" t="n">
        <v>0</v>
      </c>
      <c r="Q643" t="n">
        <v>0</v>
      </c>
      <c r="R643" s="2" t="inlineStr"/>
    </row>
    <row r="644" ht="15" customHeight="1">
      <c r="A644" t="inlineStr">
        <is>
          <t>A 27376-2023</t>
        </is>
      </c>
      <c r="B644" s="1" t="n">
        <v>45097</v>
      </c>
      <c r="C644" s="1" t="n">
        <v>45344</v>
      </c>
      <c r="D644" t="inlineStr">
        <is>
          <t>JÄMTLANDS LÄN</t>
        </is>
      </c>
      <c r="E644" t="inlineStr">
        <is>
          <t>BERG</t>
        </is>
      </c>
      <c r="F644" t="inlineStr">
        <is>
          <t>SCA</t>
        </is>
      </c>
      <c r="G644" t="n">
        <v>3.2</v>
      </c>
      <c r="H644" t="n">
        <v>0</v>
      </c>
      <c r="I644" t="n">
        <v>0</v>
      </c>
      <c r="J644" t="n">
        <v>0</v>
      </c>
      <c r="K644" t="n">
        <v>0</v>
      </c>
      <c r="L644" t="n">
        <v>0</v>
      </c>
      <c r="M644" t="n">
        <v>0</v>
      </c>
      <c r="N644" t="n">
        <v>0</v>
      </c>
      <c r="O644" t="n">
        <v>0</v>
      </c>
      <c r="P644" t="n">
        <v>0</v>
      </c>
      <c r="Q644" t="n">
        <v>0</v>
      </c>
      <c r="R644" s="2" t="inlineStr"/>
    </row>
    <row r="645" ht="15" customHeight="1">
      <c r="A645" t="inlineStr">
        <is>
          <t>A 29143-2023</t>
        </is>
      </c>
      <c r="B645" s="1" t="n">
        <v>45097</v>
      </c>
      <c r="C645" s="1" t="n">
        <v>45344</v>
      </c>
      <c r="D645" t="inlineStr">
        <is>
          <t>JÄMTLANDS LÄN</t>
        </is>
      </c>
      <c r="E645" t="inlineStr">
        <is>
          <t>BERG</t>
        </is>
      </c>
      <c r="G645" t="n">
        <v>3.1</v>
      </c>
      <c r="H645" t="n">
        <v>0</v>
      </c>
      <c r="I645" t="n">
        <v>0</v>
      </c>
      <c r="J645" t="n">
        <v>0</v>
      </c>
      <c r="K645" t="n">
        <v>0</v>
      </c>
      <c r="L645" t="n">
        <v>0</v>
      </c>
      <c r="M645" t="n">
        <v>0</v>
      </c>
      <c r="N645" t="n">
        <v>0</v>
      </c>
      <c r="O645" t="n">
        <v>0</v>
      </c>
      <c r="P645" t="n">
        <v>0</v>
      </c>
      <c r="Q645" t="n">
        <v>0</v>
      </c>
      <c r="R645" s="2" t="inlineStr"/>
    </row>
    <row r="646" ht="15" customHeight="1">
      <c r="A646" t="inlineStr">
        <is>
          <t>A 29078-2023</t>
        </is>
      </c>
      <c r="B646" s="1" t="n">
        <v>45097</v>
      </c>
      <c r="C646" s="1" t="n">
        <v>45344</v>
      </c>
      <c r="D646" t="inlineStr">
        <is>
          <t>JÄMTLANDS LÄN</t>
        </is>
      </c>
      <c r="E646" t="inlineStr">
        <is>
          <t>BERG</t>
        </is>
      </c>
      <c r="G646" t="n">
        <v>5.9</v>
      </c>
      <c r="H646" t="n">
        <v>0</v>
      </c>
      <c r="I646" t="n">
        <v>0</v>
      </c>
      <c r="J646" t="n">
        <v>0</v>
      </c>
      <c r="K646" t="n">
        <v>0</v>
      </c>
      <c r="L646" t="n">
        <v>0</v>
      </c>
      <c r="M646" t="n">
        <v>0</v>
      </c>
      <c r="N646" t="n">
        <v>0</v>
      </c>
      <c r="O646" t="n">
        <v>0</v>
      </c>
      <c r="P646" t="n">
        <v>0</v>
      </c>
      <c r="Q646" t="n">
        <v>0</v>
      </c>
      <c r="R646" s="2" t="inlineStr"/>
    </row>
    <row r="647" ht="15" customHeight="1">
      <c r="A647" t="inlineStr">
        <is>
          <t>A 28009-2023</t>
        </is>
      </c>
      <c r="B647" s="1" t="n">
        <v>45098</v>
      </c>
      <c r="C647" s="1" t="n">
        <v>45344</v>
      </c>
      <c r="D647" t="inlineStr">
        <is>
          <t>JÄMTLANDS LÄN</t>
        </is>
      </c>
      <c r="E647" t="inlineStr">
        <is>
          <t>BERG</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29383-2023</t>
        </is>
      </c>
      <c r="B648" s="1" t="n">
        <v>45098</v>
      </c>
      <c r="C648" s="1" t="n">
        <v>45344</v>
      </c>
      <c r="D648" t="inlineStr">
        <is>
          <t>JÄMTLANDS LÄN</t>
        </is>
      </c>
      <c r="E648" t="inlineStr">
        <is>
          <t>BERG</t>
        </is>
      </c>
      <c r="G648" t="n">
        <v>6.1</v>
      </c>
      <c r="H648" t="n">
        <v>0</v>
      </c>
      <c r="I648" t="n">
        <v>0</v>
      </c>
      <c r="J648" t="n">
        <v>0</v>
      </c>
      <c r="K648" t="n">
        <v>0</v>
      </c>
      <c r="L648" t="n">
        <v>0</v>
      </c>
      <c r="M648" t="n">
        <v>0</v>
      </c>
      <c r="N648" t="n">
        <v>0</v>
      </c>
      <c r="O648" t="n">
        <v>0</v>
      </c>
      <c r="P648" t="n">
        <v>0</v>
      </c>
      <c r="Q648" t="n">
        <v>0</v>
      </c>
      <c r="R648" s="2" t="inlineStr"/>
      <c r="U648">
        <f>HYPERLINK("https://klasma.github.io/Logging_2326/knärot/A 29383-2023 karta knärot.png", "A 29383-2023")</f>
        <v/>
      </c>
      <c r="V648">
        <f>HYPERLINK("https://klasma.github.io/Logging_2326/klagomål/A 29383-2023 FSC-klagomål.docx", "A 29383-2023")</f>
        <v/>
      </c>
      <c r="W648">
        <f>HYPERLINK("https://klasma.github.io/Logging_2326/klagomålsmail/A 29383-2023 FSC-klagomål mail.docx", "A 29383-2023")</f>
        <v/>
      </c>
      <c r="X648">
        <f>HYPERLINK("https://klasma.github.io/Logging_2326/tillsyn/A 29383-2023 tillsynsbegäran.docx", "A 29383-2023")</f>
        <v/>
      </c>
      <c r="Y648">
        <f>HYPERLINK("https://klasma.github.io/Logging_2326/tillsynsmail/A 29383-2023 tillsynsbegäran mail.docx", "A 29383-2023")</f>
        <v/>
      </c>
    </row>
    <row r="649" ht="15" customHeight="1">
      <c r="A649" t="inlineStr">
        <is>
          <t>A 28363-2023</t>
        </is>
      </c>
      <c r="B649" s="1" t="n">
        <v>45100</v>
      </c>
      <c r="C649" s="1" t="n">
        <v>45344</v>
      </c>
      <c r="D649" t="inlineStr">
        <is>
          <t>JÄMTLANDS LÄN</t>
        </is>
      </c>
      <c r="E649" t="inlineStr">
        <is>
          <t>BERG</t>
        </is>
      </c>
      <c r="G649" t="n">
        <v>18.1</v>
      </c>
      <c r="H649" t="n">
        <v>0</v>
      </c>
      <c r="I649" t="n">
        <v>0</v>
      </c>
      <c r="J649" t="n">
        <v>0</v>
      </c>
      <c r="K649" t="n">
        <v>0</v>
      </c>
      <c r="L649" t="n">
        <v>0</v>
      </c>
      <c r="M649" t="n">
        <v>0</v>
      </c>
      <c r="N649" t="n">
        <v>0</v>
      </c>
      <c r="O649" t="n">
        <v>0</v>
      </c>
      <c r="P649" t="n">
        <v>0</v>
      </c>
      <c r="Q649" t="n">
        <v>0</v>
      </c>
      <c r="R649" s="2" t="inlineStr"/>
    </row>
    <row r="650" ht="15" customHeight="1">
      <c r="A650" t="inlineStr">
        <is>
          <t>A 30191-2023</t>
        </is>
      </c>
      <c r="B650" s="1" t="n">
        <v>45099</v>
      </c>
      <c r="C650" s="1" t="n">
        <v>45344</v>
      </c>
      <c r="D650" t="inlineStr">
        <is>
          <t>JÄMTLANDS LÄN</t>
        </is>
      </c>
      <c r="E650" t="inlineStr">
        <is>
          <t>BERG</t>
        </is>
      </c>
      <c r="G650" t="n">
        <v>6.4</v>
      </c>
      <c r="H650" t="n">
        <v>0</v>
      </c>
      <c r="I650" t="n">
        <v>0</v>
      </c>
      <c r="J650" t="n">
        <v>0</v>
      </c>
      <c r="K650" t="n">
        <v>0</v>
      </c>
      <c r="L650" t="n">
        <v>0</v>
      </c>
      <c r="M650" t="n">
        <v>0</v>
      </c>
      <c r="N650" t="n">
        <v>0</v>
      </c>
      <c r="O650" t="n">
        <v>0</v>
      </c>
      <c r="P650" t="n">
        <v>0</v>
      </c>
      <c r="Q650" t="n">
        <v>0</v>
      </c>
      <c r="R650" s="2" t="inlineStr"/>
    </row>
    <row r="651" ht="15" customHeight="1">
      <c r="A651" t="inlineStr">
        <is>
          <t>A 29326-2023</t>
        </is>
      </c>
      <c r="B651" s="1" t="n">
        <v>45106</v>
      </c>
      <c r="C651" s="1" t="n">
        <v>45344</v>
      </c>
      <c r="D651" t="inlineStr">
        <is>
          <t>JÄMTLANDS LÄN</t>
        </is>
      </c>
      <c r="E651" t="inlineStr">
        <is>
          <t>BERG</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30391-2023</t>
        </is>
      </c>
      <c r="B652" s="1" t="n">
        <v>45111</v>
      </c>
      <c r="C652" s="1" t="n">
        <v>45344</v>
      </c>
      <c r="D652" t="inlineStr">
        <is>
          <t>JÄMTLANDS LÄN</t>
        </is>
      </c>
      <c r="E652" t="inlineStr">
        <is>
          <t>BERG</t>
        </is>
      </c>
      <c r="G652" t="n">
        <v>5.3</v>
      </c>
      <c r="H652" t="n">
        <v>0</v>
      </c>
      <c r="I652" t="n">
        <v>0</v>
      </c>
      <c r="J652" t="n">
        <v>0</v>
      </c>
      <c r="K652" t="n">
        <v>0</v>
      </c>
      <c r="L652" t="n">
        <v>0</v>
      </c>
      <c r="M652" t="n">
        <v>0</v>
      </c>
      <c r="N652" t="n">
        <v>0</v>
      </c>
      <c r="O652" t="n">
        <v>0</v>
      </c>
      <c r="P652" t="n">
        <v>0</v>
      </c>
      <c r="Q652" t="n">
        <v>0</v>
      </c>
      <c r="R652" s="2" t="inlineStr"/>
    </row>
    <row r="653" ht="15" customHeight="1">
      <c r="A653" t="inlineStr">
        <is>
          <t>A 31442-2023</t>
        </is>
      </c>
      <c r="B653" s="1" t="n">
        <v>45114</v>
      </c>
      <c r="C653" s="1" t="n">
        <v>45344</v>
      </c>
      <c r="D653" t="inlineStr">
        <is>
          <t>JÄMTLANDS LÄN</t>
        </is>
      </c>
      <c r="E653" t="inlineStr">
        <is>
          <t>BERG</t>
        </is>
      </c>
      <c r="G653" t="n">
        <v>5.2</v>
      </c>
      <c r="H653" t="n">
        <v>0</v>
      </c>
      <c r="I653" t="n">
        <v>0</v>
      </c>
      <c r="J653" t="n">
        <v>0</v>
      </c>
      <c r="K653" t="n">
        <v>0</v>
      </c>
      <c r="L653" t="n">
        <v>0</v>
      </c>
      <c r="M653" t="n">
        <v>0</v>
      </c>
      <c r="N653" t="n">
        <v>0</v>
      </c>
      <c r="O653" t="n">
        <v>0</v>
      </c>
      <c r="P653" t="n">
        <v>0</v>
      </c>
      <c r="Q653" t="n">
        <v>0</v>
      </c>
      <c r="R653" s="2" t="inlineStr"/>
    </row>
    <row r="654" ht="15" customHeight="1">
      <c r="A654" t="inlineStr">
        <is>
          <t>A 32020-2023</t>
        </is>
      </c>
      <c r="B654" s="1" t="n">
        <v>45119</v>
      </c>
      <c r="C654" s="1" t="n">
        <v>45344</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32214-2023</t>
        </is>
      </c>
      <c r="B655" s="1" t="n">
        <v>45119</v>
      </c>
      <c r="C655" s="1" t="n">
        <v>45344</v>
      </c>
      <c r="D655" t="inlineStr">
        <is>
          <t>JÄMTLANDS LÄN</t>
        </is>
      </c>
      <c r="E655" t="inlineStr">
        <is>
          <t>BERG</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32215-2023</t>
        </is>
      </c>
      <c r="B656" s="1" t="n">
        <v>45119</v>
      </c>
      <c r="C656" s="1" t="n">
        <v>45344</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32064-2023</t>
        </is>
      </c>
      <c r="B657" s="1" t="n">
        <v>45119</v>
      </c>
      <c r="C657" s="1" t="n">
        <v>45344</v>
      </c>
      <c r="D657" t="inlineStr">
        <is>
          <t>JÄMTLANDS LÄN</t>
        </is>
      </c>
      <c r="E657" t="inlineStr">
        <is>
          <t>BERG</t>
        </is>
      </c>
      <c r="G657" t="n">
        <v>1.8</v>
      </c>
      <c r="H657" t="n">
        <v>0</v>
      </c>
      <c r="I657" t="n">
        <v>0</v>
      </c>
      <c r="J657" t="n">
        <v>0</v>
      </c>
      <c r="K657" t="n">
        <v>0</v>
      </c>
      <c r="L657" t="n">
        <v>0</v>
      </c>
      <c r="M657" t="n">
        <v>0</v>
      </c>
      <c r="N657" t="n">
        <v>0</v>
      </c>
      <c r="O657" t="n">
        <v>0</v>
      </c>
      <c r="P657" t="n">
        <v>0</v>
      </c>
      <c r="Q657" t="n">
        <v>0</v>
      </c>
      <c r="R657" s="2" t="inlineStr"/>
    </row>
    <row r="658" ht="15" customHeight="1">
      <c r="A658" t="inlineStr">
        <is>
          <t>A 33654-2023</t>
        </is>
      </c>
      <c r="B658" s="1" t="n">
        <v>45119</v>
      </c>
      <c r="C658" s="1" t="n">
        <v>45344</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33750-2023</t>
        </is>
      </c>
      <c r="B659" s="1" t="n">
        <v>45120</v>
      </c>
      <c r="C659" s="1" t="n">
        <v>45344</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33042-2023</t>
        </is>
      </c>
      <c r="B660" s="1" t="n">
        <v>45125</v>
      </c>
      <c r="C660" s="1" t="n">
        <v>45344</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33173-2023</t>
        </is>
      </c>
      <c r="B661" s="1" t="n">
        <v>45127</v>
      </c>
      <c r="C661" s="1" t="n">
        <v>45344</v>
      </c>
      <c r="D661" t="inlineStr">
        <is>
          <t>JÄMTLANDS LÄN</t>
        </is>
      </c>
      <c r="E661" t="inlineStr">
        <is>
          <t>BERG</t>
        </is>
      </c>
      <c r="G661" t="n">
        <v>6.7</v>
      </c>
      <c r="H661" t="n">
        <v>0</v>
      </c>
      <c r="I661" t="n">
        <v>0</v>
      </c>
      <c r="J661" t="n">
        <v>0</v>
      </c>
      <c r="K661" t="n">
        <v>0</v>
      </c>
      <c r="L661" t="n">
        <v>0</v>
      </c>
      <c r="M661" t="n">
        <v>0</v>
      </c>
      <c r="N661" t="n">
        <v>0</v>
      </c>
      <c r="O661" t="n">
        <v>0</v>
      </c>
      <c r="P661" t="n">
        <v>0</v>
      </c>
      <c r="Q661" t="n">
        <v>0</v>
      </c>
      <c r="R661" s="2" t="inlineStr"/>
    </row>
    <row r="662" ht="15" customHeight="1">
      <c r="A662" t="inlineStr">
        <is>
          <t>A 33304-2023</t>
        </is>
      </c>
      <c r="B662" s="1" t="n">
        <v>45127</v>
      </c>
      <c r="C662" s="1" t="n">
        <v>45344</v>
      </c>
      <c r="D662" t="inlineStr">
        <is>
          <t>JÄMTLANDS LÄN</t>
        </is>
      </c>
      <c r="E662" t="inlineStr">
        <is>
          <t>BERG</t>
        </is>
      </c>
      <c r="G662" t="n">
        <v>3.5</v>
      </c>
      <c r="H662" t="n">
        <v>0</v>
      </c>
      <c r="I662" t="n">
        <v>0</v>
      </c>
      <c r="J662" t="n">
        <v>0</v>
      </c>
      <c r="K662" t="n">
        <v>0</v>
      </c>
      <c r="L662" t="n">
        <v>0</v>
      </c>
      <c r="M662" t="n">
        <v>0</v>
      </c>
      <c r="N662" t="n">
        <v>0</v>
      </c>
      <c r="O662" t="n">
        <v>0</v>
      </c>
      <c r="P662" t="n">
        <v>0</v>
      </c>
      <c r="Q662" t="n">
        <v>0</v>
      </c>
      <c r="R662" s="2" t="inlineStr"/>
    </row>
    <row r="663" ht="15" customHeight="1">
      <c r="A663" t="inlineStr">
        <is>
          <t>A 33476-2023</t>
        </is>
      </c>
      <c r="B663" s="1" t="n">
        <v>45131</v>
      </c>
      <c r="C663" s="1" t="n">
        <v>45344</v>
      </c>
      <c r="D663" t="inlineStr">
        <is>
          <t>JÄMTLANDS LÄN</t>
        </is>
      </c>
      <c r="E663" t="inlineStr">
        <is>
          <t>BERG</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33481-2023</t>
        </is>
      </c>
      <c r="B664" s="1" t="n">
        <v>45131</v>
      </c>
      <c r="C664" s="1" t="n">
        <v>45344</v>
      </c>
      <c r="D664" t="inlineStr">
        <is>
          <t>JÄMTLANDS LÄN</t>
        </is>
      </c>
      <c r="E664" t="inlineStr">
        <is>
          <t>BERG</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34819-2023</t>
        </is>
      </c>
      <c r="B665" s="1" t="n">
        <v>45140</v>
      </c>
      <c r="C665" s="1" t="n">
        <v>45344</v>
      </c>
      <c r="D665" t="inlineStr">
        <is>
          <t>JÄMTLANDS LÄN</t>
        </is>
      </c>
      <c r="E665" t="inlineStr">
        <is>
          <t>BERG</t>
        </is>
      </c>
      <c r="G665" t="n">
        <v>0.8</v>
      </c>
      <c r="H665" t="n">
        <v>0</v>
      </c>
      <c r="I665" t="n">
        <v>0</v>
      </c>
      <c r="J665" t="n">
        <v>0</v>
      </c>
      <c r="K665" t="n">
        <v>0</v>
      </c>
      <c r="L665" t="n">
        <v>0</v>
      </c>
      <c r="M665" t="n">
        <v>0</v>
      </c>
      <c r="N665" t="n">
        <v>0</v>
      </c>
      <c r="O665" t="n">
        <v>0</v>
      </c>
      <c r="P665" t="n">
        <v>0</v>
      </c>
      <c r="Q665" t="n">
        <v>0</v>
      </c>
      <c r="R665" s="2" t="inlineStr"/>
    </row>
    <row r="666" ht="15" customHeight="1">
      <c r="A666" t="inlineStr">
        <is>
          <t>A 34845-2023</t>
        </is>
      </c>
      <c r="B666" s="1" t="n">
        <v>45142</v>
      </c>
      <c r="C666" s="1" t="n">
        <v>45344</v>
      </c>
      <c r="D666" t="inlineStr">
        <is>
          <t>JÄMTLANDS LÄN</t>
        </is>
      </c>
      <c r="E666" t="inlineStr">
        <is>
          <t>BERG</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35636-2023</t>
        </is>
      </c>
      <c r="B667" s="1" t="n">
        <v>45147</v>
      </c>
      <c r="C667" s="1" t="n">
        <v>45344</v>
      </c>
      <c r="D667" t="inlineStr">
        <is>
          <t>JÄMTLANDS LÄN</t>
        </is>
      </c>
      <c r="E667" t="inlineStr">
        <is>
          <t>BERG</t>
        </is>
      </c>
      <c r="G667" t="n">
        <v>1.8</v>
      </c>
      <c r="H667" t="n">
        <v>0</v>
      </c>
      <c r="I667" t="n">
        <v>0</v>
      </c>
      <c r="J667" t="n">
        <v>0</v>
      </c>
      <c r="K667" t="n">
        <v>0</v>
      </c>
      <c r="L667" t="n">
        <v>0</v>
      </c>
      <c r="M667" t="n">
        <v>0</v>
      </c>
      <c r="N667" t="n">
        <v>0</v>
      </c>
      <c r="O667" t="n">
        <v>0</v>
      </c>
      <c r="P667" t="n">
        <v>0</v>
      </c>
      <c r="Q667" t="n">
        <v>0</v>
      </c>
      <c r="R667" s="2" t="inlineStr"/>
    </row>
    <row r="668" ht="15" customHeight="1">
      <c r="A668" t="inlineStr">
        <is>
          <t>A 35986-2023</t>
        </is>
      </c>
      <c r="B668" s="1" t="n">
        <v>45148</v>
      </c>
      <c r="C668" s="1" t="n">
        <v>45344</v>
      </c>
      <c r="D668" t="inlineStr">
        <is>
          <t>JÄMTLANDS LÄN</t>
        </is>
      </c>
      <c r="E668" t="inlineStr">
        <is>
          <t>BERG</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36351-2023</t>
        </is>
      </c>
      <c r="B669" s="1" t="n">
        <v>45149</v>
      </c>
      <c r="C669" s="1" t="n">
        <v>45344</v>
      </c>
      <c r="D669" t="inlineStr">
        <is>
          <t>JÄMTLANDS LÄN</t>
        </is>
      </c>
      <c r="E669" t="inlineStr">
        <is>
          <t>BERG</t>
        </is>
      </c>
      <c r="G669" t="n">
        <v>11.7</v>
      </c>
      <c r="H669" t="n">
        <v>0</v>
      </c>
      <c r="I669" t="n">
        <v>0</v>
      </c>
      <c r="J669" t="n">
        <v>0</v>
      </c>
      <c r="K669" t="n">
        <v>0</v>
      </c>
      <c r="L669" t="n">
        <v>0</v>
      </c>
      <c r="M669" t="n">
        <v>0</v>
      </c>
      <c r="N669" t="n">
        <v>0</v>
      </c>
      <c r="O669" t="n">
        <v>0</v>
      </c>
      <c r="P669" t="n">
        <v>0</v>
      </c>
      <c r="Q669" t="n">
        <v>0</v>
      </c>
      <c r="R669" s="2" t="inlineStr"/>
    </row>
    <row r="670" ht="15" customHeight="1">
      <c r="A670" t="inlineStr">
        <is>
          <t>A 36708-2023</t>
        </is>
      </c>
      <c r="B670" s="1" t="n">
        <v>45153</v>
      </c>
      <c r="C670" s="1" t="n">
        <v>45344</v>
      </c>
      <c r="D670" t="inlineStr">
        <is>
          <t>JÄMTLANDS LÄN</t>
        </is>
      </c>
      <c r="E670" t="inlineStr">
        <is>
          <t>BERG</t>
        </is>
      </c>
      <c r="G670" t="n">
        <v>1</v>
      </c>
      <c r="H670" t="n">
        <v>0</v>
      </c>
      <c r="I670" t="n">
        <v>0</v>
      </c>
      <c r="J670" t="n">
        <v>0</v>
      </c>
      <c r="K670" t="n">
        <v>0</v>
      </c>
      <c r="L670" t="n">
        <v>0</v>
      </c>
      <c r="M670" t="n">
        <v>0</v>
      </c>
      <c r="N670" t="n">
        <v>0</v>
      </c>
      <c r="O670" t="n">
        <v>0</v>
      </c>
      <c r="P670" t="n">
        <v>0</v>
      </c>
      <c r="Q670" t="n">
        <v>0</v>
      </c>
      <c r="R670" s="2" t="inlineStr"/>
    </row>
    <row r="671" ht="15" customHeight="1">
      <c r="A671" t="inlineStr">
        <is>
          <t>A 37067-2023</t>
        </is>
      </c>
      <c r="B671" s="1" t="n">
        <v>45154</v>
      </c>
      <c r="C671" s="1" t="n">
        <v>45344</v>
      </c>
      <c r="D671" t="inlineStr">
        <is>
          <t>JÄMTLANDS LÄN</t>
        </is>
      </c>
      <c r="E671" t="inlineStr">
        <is>
          <t>BERG</t>
        </is>
      </c>
      <c r="G671" t="n">
        <v>7.4</v>
      </c>
      <c r="H671" t="n">
        <v>0</v>
      </c>
      <c r="I671" t="n">
        <v>0</v>
      </c>
      <c r="J671" t="n">
        <v>0</v>
      </c>
      <c r="K671" t="n">
        <v>0</v>
      </c>
      <c r="L671" t="n">
        <v>0</v>
      </c>
      <c r="M671" t="n">
        <v>0</v>
      </c>
      <c r="N671" t="n">
        <v>0</v>
      </c>
      <c r="O671" t="n">
        <v>0</v>
      </c>
      <c r="P671" t="n">
        <v>0</v>
      </c>
      <c r="Q671" t="n">
        <v>0</v>
      </c>
      <c r="R671" s="2" t="inlineStr"/>
    </row>
    <row r="672" ht="15" customHeight="1">
      <c r="A672" t="inlineStr">
        <is>
          <t>A 37248-2023</t>
        </is>
      </c>
      <c r="B672" s="1" t="n">
        <v>45156</v>
      </c>
      <c r="C672" s="1" t="n">
        <v>45344</v>
      </c>
      <c r="D672" t="inlineStr">
        <is>
          <t>JÄMTLANDS LÄN</t>
        </is>
      </c>
      <c r="E672" t="inlineStr">
        <is>
          <t>BERG</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37246-2023</t>
        </is>
      </c>
      <c r="B673" s="1" t="n">
        <v>45155</v>
      </c>
      <c r="C673" s="1" t="n">
        <v>45344</v>
      </c>
      <c r="D673" t="inlineStr">
        <is>
          <t>JÄMTLANDS LÄN</t>
        </is>
      </c>
      <c r="E673" t="inlineStr">
        <is>
          <t>BERG</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37521-2023</t>
        </is>
      </c>
      <c r="B674" s="1" t="n">
        <v>45158</v>
      </c>
      <c r="C674" s="1" t="n">
        <v>45344</v>
      </c>
      <c r="D674" t="inlineStr">
        <is>
          <t>JÄMTLANDS LÄN</t>
        </is>
      </c>
      <c r="E674" t="inlineStr">
        <is>
          <t>BERG</t>
        </is>
      </c>
      <c r="G674" t="n">
        <v>0.8</v>
      </c>
      <c r="H674" t="n">
        <v>0</v>
      </c>
      <c r="I674" t="n">
        <v>0</v>
      </c>
      <c r="J674" t="n">
        <v>0</v>
      </c>
      <c r="K674" t="n">
        <v>0</v>
      </c>
      <c r="L674" t="n">
        <v>0</v>
      </c>
      <c r="M674" t="n">
        <v>0</v>
      </c>
      <c r="N674" t="n">
        <v>0</v>
      </c>
      <c r="O674" t="n">
        <v>0</v>
      </c>
      <c r="P674" t="n">
        <v>0</v>
      </c>
      <c r="Q674" t="n">
        <v>0</v>
      </c>
      <c r="R674" s="2" t="inlineStr"/>
    </row>
    <row r="675" ht="15" customHeight="1">
      <c r="A675" t="inlineStr">
        <is>
          <t>A 37969-2023</t>
        </is>
      </c>
      <c r="B675" s="1" t="n">
        <v>45160</v>
      </c>
      <c r="C675" s="1" t="n">
        <v>45344</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38381-2023</t>
        </is>
      </c>
      <c r="B676" s="1" t="n">
        <v>45161</v>
      </c>
      <c r="C676" s="1" t="n">
        <v>45344</v>
      </c>
      <c r="D676" t="inlineStr">
        <is>
          <t>JÄMTLANDS LÄN</t>
        </is>
      </c>
      <c r="E676" t="inlineStr">
        <is>
          <t>BERG</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38679-2023</t>
        </is>
      </c>
      <c r="B677" s="1" t="n">
        <v>45163</v>
      </c>
      <c r="C677" s="1" t="n">
        <v>45344</v>
      </c>
      <c r="D677" t="inlineStr">
        <is>
          <t>JÄMTLANDS LÄN</t>
        </is>
      </c>
      <c r="E677" t="inlineStr">
        <is>
          <t>BERG</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38678-2023</t>
        </is>
      </c>
      <c r="B678" s="1" t="n">
        <v>45163</v>
      </c>
      <c r="C678" s="1" t="n">
        <v>45344</v>
      </c>
      <c r="D678" t="inlineStr">
        <is>
          <t>JÄMTLANDS LÄN</t>
        </is>
      </c>
      <c r="E678" t="inlineStr">
        <is>
          <t>BERG</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38682-2023</t>
        </is>
      </c>
      <c r="B679" s="1" t="n">
        <v>45162</v>
      </c>
      <c r="C679" s="1" t="n">
        <v>45344</v>
      </c>
      <c r="D679" t="inlineStr">
        <is>
          <t>JÄMTLANDS LÄN</t>
        </is>
      </c>
      <c r="E679" t="inlineStr">
        <is>
          <t>BERG</t>
        </is>
      </c>
      <c r="F679" t="inlineStr">
        <is>
          <t>SCA</t>
        </is>
      </c>
      <c r="G679" t="n">
        <v>21.3</v>
      </c>
      <c r="H679" t="n">
        <v>0</v>
      </c>
      <c r="I679" t="n">
        <v>0</v>
      </c>
      <c r="J679" t="n">
        <v>0</v>
      </c>
      <c r="K679" t="n">
        <v>0</v>
      </c>
      <c r="L679" t="n">
        <v>0</v>
      </c>
      <c r="M679" t="n">
        <v>0</v>
      </c>
      <c r="N679" t="n">
        <v>0</v>
      </c>
      <c r="O679" t="n">
        <v>0</v>
      </c>
      <c r="P679" t="n">
        <v>0</v>
      </c>
      <c r="Q679" t="n">
        <v>0</v>
      </c>
      <c r="R679" s="2" t="inlineStr"/>
    </row>
    <row r="680" ht="15" customHeight="1">
      <c r="A680" t="inlineStr">
        <is>
          <t>A 38686-2023</t>
        </is>
      </c>
      <c r="B680" s="1" t="n">
        <v>45163</v>
      </c>
      <c r="C680" s="1" t="n">
        <v>45344</v>
      </c>
      <c r="D680" t="inlineStr">
        <is>
          <t>JÄMTLANDS LÄN</t>
        </is>
      </c>
      <c r="E680" t="inlineStr">
        <is>
          <t>BERG</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39144-2023</t>
        </is>
      </c>
      <c r="B681" s="1" t="n">
        <v>45165</v>
      </c>
      <c r="C681" s="1" t="n">
        <v>45344</v>
      </c>
      <c r="D681" t="inlineStr">
        <is>
          <t>JÄMTLANDS LÄN</t>
        </is>
      </c>
      <c r="E681" t="inlineStr">
        <is>
          <t>BERG</t>
        </is>
      </c>
      <c r="F681" t="inlineStr">
        <is>
          <t>SCA</t>
        </is>
      </c>
      <c r="G681" t="n">
        <v>31.9</v>
      </c>
      <c r="H681" t="n">
        <v>0</v>
      </c>
      <c r="I681" t="n">
        <v>0</v>
      </c>
      <c r="J681" t="n">
        <v>0</v>
      </c>
      <c r="K681" t="n">
        <v>0</v>
      </c>
      <c r="L681" t="n">
        <v>0</v>
      </c>
      <c r="M681" t="n">
        <v>0</v>
      </c>
      <c r="N681" t="n">
        <v>0</v>
      </c>
      <c r="O681" t="n">
        <v>0</v>
      </c>
      <c r="P681" t="n">
        <v>0</v>
      </c>
      <c r="Q681" t="n">
        <v>0</v>
      </c>
      <c r="R681" s="2" t="inlineStr"/>
    </row>
    <row r="682" ht="15" customHeight="1">
      <c r="A682" t="inlineStr">
        <is>
          <t>A 39510-2023</t>
        </is>
      </c>
      <c r="B682" s="1" t="n">
        <v>45166</v>
      </c>
      <c r="C682" s="1" t="n">
        <v>45344</v>
      </c>
      <c r="D682" t="inlineStr">
        <is>
          <t>JÄMTLANDS LÄN</t>
        </is>
      </c>
      <c r="E682" t="inlineStr">
        <is>
          <t>BERG</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39806-2023</t>
        </is>
      </c>
      <c r="B683" s="1" t="n">
        <v>45167</v>
      </c>
      <c r="C683" s="1" t="n">
        <v>45344</v>
      </c>
      <c r="D683" t="inlineStr">
        <is>
          <t>JÄMTLANDS LÄN</t>
        </is>
      </c>
      <c r="E683" t="inlineStr">
        <is>
          <t>BERG</t>
        </is>
      </c>
      <c r="G683" t="n">
        <v>3.3</v>
      </c>
      <c r="H683" t="n">
        <v>0</v>
      </c>
      <c r="I683" t="n">
        <v>0</v>
      </c>
      <c r="J683" t="n">
        <v>0</v>
      </c>
      <c r="K683" t="n">
        <v>0</v>
      </c>
      <c r="L683" t="n">
        <v>0</v>
      </c>
      <c r="M683" t="n">
        <v>0</v>
      </c>
      <c r="N683" t="n">
        <v>0</v>
      </c>
      <c r="O683" t="n">
        <v>0</v>
      </c>
      <c r="P683" t="n">
        <v>0</v>
      </c>
      <c r="Q683" t="n">
        <v>0</v>
      </c>
      <c r="R683" s="2" t="inlineStr"/>
    </row>
    <row r="684" ht="15" customHeight="1">
      <c r="A684" t="inlineStr">
        <is>
          <t>A 40415-2023</t>
        </is>
      </c>
      <c r="B684" s="1" t="n">
        <v>45170</v>
      </c>
      <c r="C684" s="1" t="n">
        <v>45344</v>
      </c>
      <c r="D684" t="inlineStr">
        <is>
          <t>JÄMTLANDS LÄN</t>
        </is>
      </c>
      <c r="E684" t="inlineStr">
        <is>
          <t>BERG</t>
        </is>
      </c>
      <c r="F684" t="inlineStr">
        <is>
          <t>SCA</t>
        </is>
      </c>
      <c r="G684" t="n">
        <v>10.2</v>
      </c>
      <c r="H684" t="n">
        <v>0</v>
      </c>
      <c r="I684" t="n">
        <v>0</v>
      </c>
      <c r="J684" t="n">
        <v>0</v>
      </c>
      <c r="K684" t="n">
        <v>0</v>
      </c>
      <c r="L684" t="n">
        <v>0</v>
      </c>
      <c r="M684" t="n">
        <v>0</v>
      </c>
      <c r="N684" t="n">
        <v>0</v>
      </c>
      <c r="O684" t="n">
        <v>0</v>
      </c>
      <c r="P684" t="n">
        <v>0</v>
      </c>
      <c r="Q684" t="n">
        <v>0</v>
      </c>
      <c r="R684" s="2" t="inlineStr"/>
    </row>
    <row r="685" ht="15" customHeight="1">
      <c r="A685" t="inlineStr">
        <is>
          <t>A 40414-2023</t>
        </is>
      </c>
      <c r="B685" s="1" t="n">
        <v>45169</v>
      </c>
      <c r="C685" s="1" t="n">
        <v>45344</v>
      </c>
      <c r="D685" t="inlineStr">
        <is>
          <t>JÄMTLANDS LÄN</t>
        </is>
      </c>
      <c r="E685" t="inlineStr">
        <is>
          <t>BERG</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40416-2023</t>
        </is>
      </c>
      <c r="B686" s="1" t="n">
        <v>45169</v>
      </c>
      <c r="C686" s="1" t="n">
        <v>45344</v>
      </c>
      <c r="D686" t="inlineStr">
        <is>
          <t>JÄMTLANDS LÄN</t>
        </is>
      </c>
      <c r="E686" t="inlineStr">
        <is>
          <t>BERG</t>
        </is>
      </c>
      <c r="F686" t="inlineStr">
        <is>
          <t>SCA</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40797-2023</t>
        </is>
      </c>
      <c r="B687" s="1" t="n">
        <v>45171</v>
      </c>
      <c r="C687" s="1" t="n">
        <v>45344</v>
      </c>
      <c r="D687" t="inlineStr">
        <is>
          <t>JÄMTLANDS LÄN</t>
        </is>
      </c>
      <c r="E687" t="inlineStr">
        <is>
          <t>BERG</t>
        </is>
      </c>
      <c r="G687" t="n">
        <v>4.8</v>
      </c>
      <c r="H687" t="n">
        <v>0</v>
      </c>
      <c r="I687" t="n">
        <v>0</v>
      </c>
      <c r="J687" t="n">
        <v>0</v>
      </c>
      <c r="K687" t="n">
        <v>0</v>
      </c>
      <c r="L687" t="n">
        <v>0</v>
      </c>
      <c r="M687" t="n">
        <v>0</v>
      </c>
      <c r="N687" t="n">
        <v>0</v>
      </c>
      <c r="O687" t="n">
        <v>0</v>
      </c>
      <c r="P687" t="n">
        <v>0</v>
      </c>
      <c r="Q687" t="n">
        <v>0</v>
      </c>
      <c r="R687" s="2" t="inlineStr"/>
    </row>
    <row r="688" ht="15" customHeight="1">
      <c r="A688" t="inlineStr">
        <is>
          <t>A 41091-2023</t>
        </is>
      </c>
      <c r="B688" s="1" t="n">
        <v>45170</v>
      </c>
      <c r="C688" s="1" t="n">
        <v>45344</v>
      </c>
      <c r="D688" t="inlineStr">
        <is>
          <t>JÄMTLANDS LÄN</t>
        </is>
      </c>
      <c r="E688" t="inlineStr">
        <is>
          <t>BERG</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41106-2023</t>
        </is>
      </c>
      <c r="B689" s="1" t="n">
        <v>45170</v>
      </c>
      <c r="C689" s="1" t="n">
        <v>45344</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41098-2023</t>
        </is>
      </c>
      <c r="B690" s="1" t="n">
        <v>45170</v>
      </c>
      <c r="C690" s="1" t="n">
        <v>45344</v>
      </c>
      <c r="D690" t="inlineStr">
        <is>
          <t>JÄMTLANDS LÄN</t>
        </is>
      </c>
      <c r="E690" t="inlineStr">
        <is>
          <t>BERG</t>
        </is>
      </c>
      <c r="G690" t="n">
        <v>3.1</v>
      </c>
      <c r="H690" t="n">
        <v>0</v>
      </c>
      <c r="I690" t="n">
        <v>0</v>
      </c>
      <c r="J690" t="n">
        <v>0</v>
      </c>
      <c r="K690" t="n">
        <v>0</v>
      </c>
      <c r="L690" t="n">
        <v>0</v>
      </c>
      <c r="M690" t="n">
        <v>0</v>
      </c>
      <c r="N690" t="n">
        <v>0</v>
      </c>
      <c r="O690" t="n">
        <v>0</v>
      </c>
      <c r="P690" t="n">
        <v>0</v>
      </c>
      <c r="Q690" t="n">
        <v>0</v>
      </c>
      <c r="R690" s="2" t="inlineStr"/>
    </row>
    <row r="691" ht="15" customHeight="1">
      <c r="A691" t="inlineStr">
        <is>
          <t>A 40795-2023</t>
        </is>
      </c>
      <c r="B691" s="1" t="n">
        <v>45171</v>
      </c>
      <c r="C691" s="1" t="n">
        <v>45344</v>
      </c>
      <c r="D691" t="inlineStr">
        <is>
          <t>JÄMTLANDS LÄN</t>
        </is>
      </c>
      <c r="E691" t="inlineStr">
        <is>
          <t>BERG</t>
        </is>
      </c>
      <c r="F691" t="inlineStr">
        <is>
          <t>SCA</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40799-2023</t>
        </is>
      </c>
      <c r="B692" s="1" t="n">
        <v>45170</v>
      </c>
      <c r="C692" s="1" t="n">
        <v>45344</v>
      </c>
      <c r="D692" t="inlineStr">
        <is>
          <t>JÄMTLANDS LÄN</t>
        </is>
      </c>
      <c r="E692" t="inlineStr">
        <is>
          <t>BERG</t>
        </is>
      </c>
      <c r="F692" t="inlineStr">
        <is>
          <t>SCA</t>
        </is>
      </c>
      <c r="G692" t="n">
        <v>17.2</v>
      </c>
      <c r="H692" t="n">
        <v>0</v>
      </c>
      <c r="I692" t="n">
        <v>0</v>
      </c>
      <c r="J692" t="n">
        <v>0</v>
      </c>
      <c r="K692" t="n">
        <v>0</v>
      </c>
      <c r="L692" t="n">
        <v>0</v>
      </c>
      <c r="M692" t="n">
        <v>0</v>
      </c>
      <c r="N692" t="n">
        <v>0</v>
      </c>
      <c r="O692" t="n">
        <v>0</v>
      </c>
      <c r="P692" t="n">
        <v>0</v>
      </c>
      <c r="Q692" t="n">
        <v>0</v>
      </c>
      <c r="R692" s="2" t="inlineStr"/>
    </row>
    <row r="693" ht="15" customHeight="1">
      <c r="A693" t="inlineStr">
        <is>
          <t>A 40796-2023</t>
        </is>
      </c>
      <c r="B693" s="1" t="n">
        <v>45170</v>
      </c>
      <c r="C693" s="1" t="n">
        <v>45344</v>
      </c>
      <c r="D693" t="inlineStr">
        <is>
          <t>JÄMTLANDS LÄN</t>
        </is>
      </c>
      <c r="E693" t="inlineStr">
        <is>
          <t>BERG</t>
        </is>
      </c>
      <c r="F693" t="inlineStr">
        <is>
          <t>SCA</t>
        </is>
      </c>
      <c r="G693" t="n">
        <v>5.8</v>
      </c>
      <c r="H693" t="n">
        <v>0</v>
      </c>
      <c r="I693" t="n">
        <v>0</v>
      </c>
      <c r="J693" t="n">
        <v>0</v>
      </c>
      <c r="K693" t="n">
        <v>0</v>
      </c>
      <c r="L693" t="n">
        <v>0</v>
      </c>
      <c r="M693" t="n">
        <v>0</v>
      </c>
      <c r="N693" t="n">
        <v>0</v>
      </c>
      <c r="O693" t="n">
        <v>0</v>
      </c>
      <c r="P693" t="n">
        <v>0</v>
      </c>
      <c r="Q693" t="n">
        <v>0</v>
      </c>
      <c r="R693" s="2" t="inlineStr"/>
    </row>
    <row r="694" ht="15" customHeight="1">
      <c r="A694" t="inlineStr">
        <is>
          <t>A 41105-2023</t>
        </is>
      </c>
      <c r="B694" s="1" t="n">
        <v>45170</v>
      </c>
      <c r="C694" s="1" t="n">
        <v>45344</v>
      </c>
      <c r="D694" t="inlineStr">
        <is>
          <t>JÄMTLANDS LÄN</t>
        </is>
      </c>
      <c r="E694" t="inlineStr">
        <is>
          <t>BERG</t>
        </is>
      </c>
      <c r="G694" t="n">
        <v>0.9</v>
      </c>
      <c r="H694" t="n">
        <v>0</v>
      </c>
      <c r="I694" t="n">
        <v>0</v>
      </c>
      <c r="J694" t="n">
        <v>0</v>
      </c>
      <c r="K694" t="n">
        <v>0</v>
      </c>
      <c r="L694" t="n">
        <v>0</v>
      </c>
      <c r="M694" t="n">
        <v>0</v>
      </c>
      <c r="N694" t="n">
        <v>0</v>
      </c>
      <c r="O694" t="n">
        <v>0</v>
      </c>
      <c r="P694" t="n">
        <v>0</v>
      </c>
      <c r="Q694" t="n">
        <v>0</v>
      </c>
      <c r="R694" s="2" t="inlineStr"/>
    </row>
    <row r="695" ht="15" customHeight="1">
      <c r="A695" t="inlineStr">
        <is>
          <t>A 40824-2023</t>
        </is>
      </c>
      <c r="B695" s="1" t="n">
        <v>45171</v>
      </c>
      <c r="C695" s="1" t="n">
        <v>45344</v>
      </c>
      <c r="D695" t="inlineStr">
        <is>
          <t>JÄMTLANDS LÄN</t>
        </is>
      </c>
      <c r="E695" t="inlineStr">
        <is>
          <t>BERG</t>
        </is>
      </c>
      <c r="G695" t="n">
        <v>0.5</v>
      </c>
      <c r="H695" t="n">
        <v>0</v>
      </c>
      <c r="I695" t="n">
        <v>0</v>
      </c>
      <c r="J695" t="n">
        <v>0</v>
      </c>
      <c r="K695" t="n">
        <v>0</v>
      </c>
      <c r="L695" t="n">
        <v>0</v>
      </c>
      <c r="M695" t="n">
        <v>0</v>
      </c>
      <c r="N695" t="n">
        <v>0</v>
      </c>
      <c r="O695" t="n">
        <v>0</v>
      </c>
      <c r="P695" t="n">
        <v>0</v>
      </c>
      <c r="Q695" t="n">
        <v>0</v>
      </c>
      <c r="R695" s="2" t="inlineStr"/>
    </row>
    <row r="696" ht="15" customHeight="1">
      <c r="A696" t="inlineStr">
        <is>
          <t>A 41927-2023</t>
        </is>
      </c>
      <c r="B696" s="1" t="n">
        <v>45176</v>
      </c>
      <c r="C696" s="1" t="n">
        <v>45344</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41926-2023</t>
        </is>
      </c>
      <c r="B697" s="1" t="n">
        <v>45176</v>
      </c>
      <c r="C697" s="1" t="n">
        <v>45344</v>
      </c>
      <c r="D697" t="inlineStr">
        <is>
          <t>JÄMTLANDS LÄN</t>
        </is>
      </c>
      <c r="E697" t="inlineStr">
        <is>
          <t>BERG</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41925-2023</t>
        </is>
      </c>
      <c r="B698" s="1" t="n">
        <v>45176</v>
      </c>
      <c r="C698" s="1" t="n">
        <v>45344</v>
      </c>
      <c r="D698" t="inlineStr">
        <is>
          <t>JÄMTLANDS LÄN</t>
        </is>
      </c>
      <c r="E698" t="inlineStr">
        <is>
          <t>BERG</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41920-2023</t>
        </is>
      </c>
      <c r="B699" s="1" t="n">
        <v>45176</v>
      </c>
      <c r="C699" s="1" t="n">
        <v>45344</v>
      </c>
      <c r="D699" t="inlineStr">
        <is>
          <t>JÄMTLANDS LÄN</t>
        </is>
      </c>
      <c r="E699" t="inlineStr">
        <is>
          <t>BERG</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42929-2023</t>
        </is>
      </c>
      <c r="B700" s="1" t="n">
        <v>45177</v>
      </c>
      <c r="C700" s="1" t="n">
        <v>45344</v>
      </c>
      <c r="D700" t="inlineStr">
        <is>
          <t>JÄMTLANDS LÄN</t>
        </is>
      </c>
      <c r="E700" t="inlineStr">
        <is>
          <t>BERG</t>
        </is>
      </c>
      <c r="G700" t="n">
        <v>1.2</v>
      </c>
      <c r="H700" t="n">
        <v>0</v>
      </c>
      <c r="I700" t="n">
        <v>0</v>
      </c>
      <c r="J700" t="n">
        <v>0</v>
      </c>
      <c r="K700" t="n">
        <v>0</v>
      </c>
      <c r="L700" t="n">
        <v>0</v>
      </c>
      <c r="M700" t="n">
        <v>0</v>
      </c>
      <c r="N700" t="n">
        <v>0</v>
      </c>
      <c r="O700" t="n">
        <v>0</v>
      </c>
      <c r="P700" t="n">
        <v>0</v>
      </c>
      <c r="Q700" t="n">
        <v>0</v>
      </c>
      <c r="R700" s="2" t="inlineStr"/>
    </row>
    <row r="701" ht="15" customHeight="1">
      <c r="A701" t="inlineStr">
        <is>
          <t>A 42504-2023</t>
        </is>
      </c>
      <c r="B701" s="1" t="n">
        <v>45181</v>
      </c>
      <c r="C701" s="1" t="n">
        <v>45344</v>
      </c>
      <c r="D701" t="inlineStr">
        <is>
          <t>JÄMTLANDS LÄN</t>
        </is>
      </c>
      <c r="E701" t="inlineStr">
        <is>
          <t>BERG</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42672-2023</t>
        </is>
      </c>
      <c r="B702" s="1" t="n">
        <v>45181</v>
      </c>
      <c r="C702" s="1" t="n">
        <v>45344</v>
      </c>
      <c r="D702" t="inlineStr">
        <is>
          <t>JÄMTLANDS LÄN</t>
        </is>
      </c>
      <c r="E702" t="inlineStr">
        <is>
          <t>BERG</t>
        </is>
      </c>
      <c r="F702" t="inlineStr">
        <is>
          <t>Kommuner</t>
        </is>
      </c>
      <c r="G702" t="n">
        <v>1.7</v>
      </c>
      <c r="H702" t="n">
        <v>0</v>
      </c>
      <c r="I702" t="n">
        <v>0</v>
      </c>
      <c r="J702" t="n">
        <v>0</v>
      </c>
      <c r="K702" t="n">
        <v>0</v>
      </c>
      <c r="L702" t="n">
        <v>0</v>
      </c>
      <c r="M702" t="n">
        <v>0</v>
      </c>
      <c r="N702" t="n">
        <v>0</v>
      </c>
      <c r="O702" t="n">
        <v>0</v>
      </c>
      <c r="P702" t="n">
        <v>0</v>
      </c>
      <c r="Q702" t="n">
        <v>0</v>
      </c>
      <c r="R702" s="2" t="inlineStr"/>
    </row>
    <row r="703" ht="15" customHeight="1">
      <c r="A703" t="inlineStr">
        <is>
          <t>A 42676-2023</t>
        </is>
      </c>
      <c r="B703" s="1" t="n">
        <v>45181</v>
      </c>
      <c r="C703" s="1" t="n">
        <v>45344</v>
      </c>
      <c r="D703" t="inlineStr">
        <is>
          <t>JÄMTLANDS LÄN</t>
        </is>
      </c>
      <c r="E703" t="inlineStr">
        <is>
          <t>BERG</t>
        </is>
      </c>
      <c r="F703" t="inlineStr">
        <is>
          <t>Kommuner</t>
        </is>
      </c>
      <c r="G703" t="n">
        <v>2</v>
      </c>
      <c r="H703" t="n">
        <v>0</v>
      </c>
      <c r="I703" t="n">
        <v>0</v>
      </c>
      <c r="J703" t="n">
        <v>0</v>
      </c>
      <c r="K703" t="n">
        <v>0</v>
      </c>
      <c r="L703" t="n">
        <v>0</v>
      </c>
      <c r="M703" t="n">
        <v>0</v>
      </c>
      <c r="N703" t="n">
        <v>0</v>
      </c>
      <c r="O703" t="n">
        <v>0</v>
      </c>
      <c r="P703" t="n">
        <v>0</v>
      </c>
      <c r="Q703" t="n">
        <v>0</v>
      </c>
      <c r="R703" s="2" t="inlineStr"/>
    </row>
    <row r="704" ht="15" customHeight="1">
      <c r="A704" t="inlineStr">
        <is>
          <t>A 42870-2023</t>
        </is>
      </c>
      <c r="B704" s="1" t="n">
        <v>45182</v>
      </c>
      <c r="C704" s="1" t="n">
        <v>45344</v>
      </c>
      <c r="D704" t="inlineStr">
        <is>
          <t>JÄMTLANDS LÄN</t>
        </is>
      </c>
      <c r="E704" t="inlineStr">
        <is>
          <t>BERG</t>
        </is>
      </c>
      <c r="G704" t="n">
        <v>1.5</v>
      </c>
      <c r="H704" t="n">
        <v>0</v>
      </c>
      <c r="I704" t="n">
        <v>0</v>
      </c>
      <c r="J704" t="n">
        <v>0</v>
      </c>
      <c r="K704" t="n">
        <v>0</v>
      </c>
      <c r="L704" t="n">
        <v>0</v>
      </c>
      <c r="M704" t="n">
        <v>0</v>
      </c>
      <c r="N704" t="n">
        <v>0</v>
      </c>
      <c r="O704" t="n">
        <v>0</v>
      </c>
      <c r="P704" t="n">
        <v>0</v>
      </c>
      <c r="Q704" t="n">
        <v>0</v>
      </c>
      <c r="R704" s="2" t="inlineStr"/>
    </row>
    <row r="705" ht="15" customHeight="1">
      <c r="A705" t="inlineStr">
        <is>
          <t>A 42827-2023</t>
        </is>
      </c>
      <c r="B705" s="1" t="n">
        <v>45182</v>
      </c>
      <c r="C705" s="1" t="n">
        <v>45344</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42859-2023</t>
        </is>
      </c>
      <c r="B706" s="1" t="n">
        <v>45182</v>
      </c>
      <c r="C706" s="1" t="n">
        <v>45344</v>
      </c>
      <c r="D706" t="inlineStr">
        <is>
          <t>JÄMTLANDS LÄN</t>
        </is>
      </c>
      <c r="E706" t="inlineStr">
        <is>
          <t>BERG</t>
        </is>
      </c>
      <c r="G706" t="n">
        <v>1.9</v>
      </c>
      <c r="H706" t="n">
        <v>0</v>
      </c>
      <c r="I706" t="n">
        <v>0</v>
      </c>
      <c r="J706" t="n">
        <v>0</v>
      </c>
      <c r="K706" t="n">
        <v>0</v>
      </c>
      <c r="L706" t="n">
        <v>0</v>
      </c>
      <c r="M706" t="n">
        <v>0</v>
      </c>
      <c r="N706" t="n">
        <v>0</v>
      </c>
      <c r="O706" t="n">
        <v>0</v>
      </c>
      <c r="P706" t="n">
        <v>0</v>
      </c>
      <c r="Q706" t="n">
        <v>0</v>
      </c>
      <c r="R706" s="2" t="inlineStr"/>
    </row>
    <row r="707" ht="15" customHeight="1">
      <c r="A707" t="inlineStr">
        <is>
          <t>A 42864-2023</t>
        </is>
      </c>
      <c r="B707" s="1" t="n">
        <v>45182</v>
      </c>
      <c r="C707" s="1" t="n">
        <v>45344</v>
      </c>
      <c r="D707" t="inlineStr">
        <is>
          <t>JÄMTLANDS LÄN</t>
        </is>
      </c>
      <c r="E707" t="inlineStr">
        <is>
          <t>BERG</t>
        </is>
      </c>
      <c r="G707" t="n">
        <v>4.3</v>
      </c>
      <c r="H707" t="n">
        <v>0</v>
      </c>
      <c r="I707" t="n">
        <v>0</v>
      </c>
      <c r="J707" t="n">
        <v>0</v>
      </c>
      <c r="K707" t="n">
        <v>0</v>
      </c>
      <c r="L707" t="n">
        <v>0</v>
      </c>
      <c r="M707" t="n">
        <v>0</v>
      </c>
      <c r="N707" t="n">
        <v>0</v>
      </c>
      <c r="O707" t="n">
        <v>0</v>
      </c>
      <c r="P707" t="n">
        <v>0</v>
      </c>
      <c r="Q707" t="n">
        <v>0</v>
      </c>
      <c r="R707" s="2" t="inlineStr"/>
    </row>
    <row r="708" ht="15" customHeight="1">
      <c r="A708" t="inlineStr">
        <is>
          <t>A 42840-2023</t>
        </is>
      </c>
      <c r="B708" s="1" t="n">
        <v>45182</v>
      </c>
      <c r="C708" s="1" t="n">
        <v>45344</v>
      </c>
      <c r="D708" t="inlineStr">
        <is>
          <t>JÄMTLANDS LÄN</t>
        </is>
      </c>
      <c r="E708" t="inlineStr">
        <is>
          <t>BERG</t>
        </is>
      </c>
      <c r="G708" t="n">
        <v>2.2</v>
      </c>
      <c r="H708" t="n">
        <v>0</v>
      </c>
      <c r="I708" t="n">
        <v>0</v>
      </c>
      <c r="J708" t="n">
        <v>0</v>
      </c>
      <c r="K708" t="n">
        <v>0</v>
      </c>
      <c r="L708" t="n">
        <v>0</v>
      </c>
      <c r="M708" t="n">
        <v>0</v>
      </c>
      <c r="N708" t="n">
        <v>0</v>
      </c>
      <c r="O708" t="n">
        <v>0</v>
      </c>
      <c r="P708" t="n">
        <v>0</v>
      </c>
      <c r="Q708" t="n">
        <v>0</v>
      </c>
      <c r="R708" s="2" t="inlineStr"/>
    </row>
    <row r="709" ht="15" customHeight="1">
      <c r="A709" t="inlineStr">
        <is>
          <t>A 43762-2023</t>
        </is>
      </c>
      <c r="B709" s="1" t="n">
        <v>45182</v>
      </c>
      <c r="C709" s="1" t="n">
        <v>45344</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43403-2023</t>
        </is>
      </c>
      <c r="B710" s="1" t="n">
        <v>45183</v>
      </c>
      <c r="C710" s="1" t="n">
        <v>45344</v>
      </c>
      <c r="D710" t="inlineStr">
        <is>
          <t>JÄMTLANDS LÄN</t>
        </is>
      </c>
      <c r="E710" t="inlineStr">
        <is>
          <t>BERG</t>
        </is>
      </c>
      <c r="F710" t="inlineStr">
        <is>
          <t>SCA</t>
        </is>
      </c>
      <c r="G710" t="n">
        <v>0.1</v>
      </c>
      <c r="H710" t="n">
        <v>0</v>
      </c>
      <c r="I710" t="n">
        <v>0</v>
      </c>
      <c r="J710" t="n">
        <v>0</v>
      </c>
      <c r="K710" t="n">
        <v>0</v>
      </c>
      <c r="L710" t="n">
        <v>0</v>
      </c>
      <c r="M710" t="n">
        <v>0</v>
      </c>
      <c r="N710" t="n">
        <v>0</v>
      </c>
      <c r="O710" t="n">
        <v>0</v>
      </c>
      <c r="P710" t="n">
        <v>0</v>
      </c>
      <c r="Q710" t="n">
        <v>0</v>
      </c>
      <c r="R710" s="2" t="inlineStr"/>
    </row>
    <row r="711" ht="15" customHeight="1">
      <c r="A711" t="inlineStr">
        <is>
          <t>A 43410-2023</t>
        </is>
      </c>
      <c r="B711" s="1" t="n">
        <v>45184</v>
      </c>
      <c r="C711" s="1" t="n">
        <v>45344</v>
      </c>
      <c r="D711" t="inlineStr">
        <is>
          <t>JÄMTLANDS LÄN</t>
        </is>
      </c>
      <c r="E711" t="inlineStr">
        <is>
          <t>BERG</t>
        </is>
      </c>
      <c r="F711" t="inlineStr">
        <is>
          <t>SCA</t>
        </is>
      </c>
      <c r="G711" t="n">
        <v>24.9</v>
      </c>
      <c r="H711" t="n">
        <v>0</v>
      </c>
      <c r="I711" t="n">
        <v>0</v>
      </c>
      <c r="J711" t="n">
        <v>0</v>
      </c>
      <c r="K711" t="n">
        <v>0</v>
      </c>
      <c r="L711" t="n">
        <v>0</v>
      </c>
      <c r="M711" t="n">
        <v>0</v>
      </c>
      <c r="N711" t="n">
        <v>0</v>
      </c>
      <c r="O711" t="n">
        <v>0</v>
      </c>
      <c r="P711" t="n">
        <v>0</v>
      </c>
      <c r="Q711" t="n">
        <v>0</v>
      </c>
      <c r="R711" s="2" t="inlineStr"/>
    </row>
    <row r="712" ht="15" customHeight="1">
      <c r="A712" t="inlineStr">
        <is>
          <t>A 43744-2023</t>
        </is>
      </c>
      <c r="B712" s="1" t="n">
        <v>45187</v>
      </c>
      <c r="C712" s="1" t="n">
        <v>45344</v>
      </c>
      <c r="D712" t="inlineStr">
        <is>
          <t>JÄMTLANDS LÄN</t>
        </is>
      </c>
      <c r="E712" t="inlineStr">
        <is>
          <t>BERG</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43991-2023</t>
        </is>
      </c>
      <c r="B713" s="1" t="n">
        <v>45187</v>
      </c>
      <c r="C713" s="1" t="n">
        <v>45344</v>
      </c>
      <c r="D713" t="inlineStr">
        <is>
          <t>JÄMTLANDS LÄN</t>
        </is>
      </c>
      <c r="E713" t="inlineStr">
        <is>
          <t>BERG</t>
        </is>
      </c>
      <c r="F713" t="inlineStr">
        <is>
          <t>SCA</t>
        </is>
      </c>
      <c r="G713" t="n">
        <v>17.3</v>
      </c>
      <c r="H713" t="n">
        <v>0</v>
      </c>
      <c r="I713" t="n">
        <v>0</v>
      </c>
      <c r="J713" t="n">
        <v>0</v>
      </c>
      <c r="K713" t="n">
        <v>0</v>
      </c>
      <c r="L713" t="n">
        <v>0</v>
      </c>
      <c r="M713" t="n">
        <v>0</v>
      </c>
      <c r="N713" t="n">
        <v>0</v>
      </c>
      <c r="O713" t="n">
        <v>0</v>
      </c>
      <c r="P713" t="n">
        <v>0</v>
      </c>
      <c r="Q713" t="n">
        <v>0</v>
      </c>
      <c r="R713" s="2" t="inlineStr"/>
    </row>
    <row r="714" ht="15" customHeight="1">
      <c r="A714" t="inlineStr">
        <is>
          <t>A 44937-2023</t>
        </is>
      </c>
      <c r="B714" s="1" t="n">
        <v>45187</v>
      </c>
      <c r="C714" s="1" t="n">
        <v>45344</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44309-2023</t>
        </is>
      </c>
      <c r="B715" s="1" t="n">
        <v>45188</v>
      </c>
      <c r="C715" s="1" t="n">
        <v>45344</v>
      </c>
      <c r="D715" t="inlineStr">
        <is>
          <t>JÄMTLANDS LÄN</t>
        </is>
      </c>
      <c r="E715" t="inlineStr">
        <is>
          <t>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44314-2023</t>
        </is>
      </c>
      <c r="B716" s="1" t="n">
        <v>45188</v>
      </c>
      <c r="C716" s="1" t="n">
        <v>45344</v>
      </c>
      <c r="D716" t="inlineStr">
        <is>
          <t>JÄMTLANDS LÄN</t>
        </is>
      </c>
      <c r="E716" t="inlineStr">
        <is>
          <t>BERG</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44313-2023</t>
        </is>
      </c>
      <c r="B717" s="1" t="n">
        <v>45188</v>
      </c>
      <c r="C717" s="1" t="n">
        <v>45344</v>
      </c>
      <c r="D717" t="inlineStr">
        <is>
          <t>JÄMTLANDS LÄN</t>
        </is>
      </c>
      <c r="E717" t="inlineStr">
        <is>
          <t>BERG</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45993-2023</t>
        </is>
      </c>
      <c r="B718" s="1" t="n">
        <v>45189</v>
      </c>
      <c r="C718" s="1" t="n">
        <v>45344</v>
      </c>
      <c r="D718" t="inlineStr">
        <is>
          <t>JÄMTLANDS LÄN</t>
        </is>
      </c>
      <c r="E718" t="inlineStr">
        <is>
          <t>BERG</t>
        </is>
      </c>
      <c r="G718" t="n">
        <v>7.8</v>
      </c>
      <c r="H718" t="n">
        <v>0</v>
      </c>
      <c r="I718" t="n">
        <v>0</v>
      </c>
      <c r="J718" t="n">
        <v>0</v>
      </c>
      <c r="K718" t="n">
        <v>0</v>
      </c>
      <c r="L718" t="n">
        <v>0</v>
      </c>
      <c r="M718" t="n">
        <v>0</v>
      </c>
      <c r="N718" t="n">
        <v>0</v>
      </c>
      <c r="O718" t="n">
        <v>0</v>
      </c>
      <c r="P718" t="n">
        <v>0</v>
      </c>
      <c r="Q718" t="n">
        <v>0</v>
      </c>
      <c r="R718" s="2" t="inlineStr"/>
    </row>
    <row r="719" ht="15" customHeight="1">
      <c r="A719" t="inlineStr">
        <is>
          <t>A 45347-2023</t>
        </is>
      </c>
      <c r="B719" s="1" t="n">
        <v>45191</v>
      </c>
      <c r="C719" s="1" t="n">
        <v>45344</v>
      </c>
      <c r="D719" t="inlineStr">
        <is>
          <t>JÄMTLANDS LÄN</t>
        </is>
      </c>
      <c r="E719" t="inlineStr">
        <is>
          <t>BERG</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45346-2023</t>
        </is>
      </c>
      <c r="B720" s="1" t="n">
        <v>45191</v>
      </c>
      <c r="C720" s="1" t="n">
        <v>45344</v>
      </c>
      <c r="D720" t="inlineStr">
        <is>
          <t>JÄMTLANDS LÄN</t>
        </is>
      </c>
      <c r="E720" t="inlineStr">
        <is>
          <t>BERG</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46270-2023</t>
        </is>
      </c>
      <c r="B721" s="1" t="n">
        <v>45196</v>
      </c>
      <c r="C721" s="1" t="n">
        <v>45344</v>
      </c>
      <c r="D721" t="inlineStr">
        <is>
          <t>JÄMTLANDS LÄN</t>
        </is>
      </c>
      <c r="E721" t="inlineStr">
        <is>
          <t>BERG</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46269-2023</t>
        </is>
      </c>
      <c r="B722" s="1" t="n">
        <v>45196</v>
      </c>
      <c r="C722" s="1" t="n">
        <v>45344</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46275-2023</t>
        </is>
      </c>
      <c r="B723" s="1" t="n">
        <v>45196</v>
      </c>
      <c r="C723" s="1" t="n">
        <v>45344</v>
      </c>
      <c r="D723" t="inlineStr">
        <is>
          <t>JÄMTLANDS LÄN</t>
        </is>
      </c>
      <c r="E723" t="inlineStr">
        <is>
          <t>BERG</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47340-2023</t>
        </is>
      </c>
      <c r="B724" s="1" t="n">
        <v>45196</v>
      </c>
      <c r="C724" s="1" t="n">
        <v>45344</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46268-2023</t>
        </is>
      </c>
      <c r="B725" s="1" t="n">
        <v>45196</v>
      </c>
      <c r="C725" s="1" t="n">
        <v>45344</v>
      </c>
      <c r="D725" t="inlineStr">
        <is>
          <t>JÄMTLANDS LÄN</t>
        </is>
      </c>
      <c r="E725" t="inlineStr">
        <is>
          <t>BERG</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47337-2023</t>
        </is>
      </c>
      <c r="B726" s="1" t="n">
        <v>45196</v>
      </c>
      <c r="C726" s="1" t="n">
        <v>45344</v>
      </c>
      <c r="D726" t="inlineStr">
        <is>
          <t>JÄMTLANDS LÄN</t>
        </is>
      </c>
      <c r="E726" t="inlineStr">
        <is>
          <t>BERG</t>
        </is>
      </c>
      <c r="G726" t="n">
        <v>1.1</v>
      </c>
      <c r="H726" t="n">
        <v>0</v>
      </c>
      <c r="I726" t="n">
        <v>0</v>
      </c>
      <c r="J726" t="n">
        <v>0</v>
      </c>
      <c r="K726" t="n">
        <v>0</v>
      </c>
      <c r="L726" t="n">
        <v>0</v>
      </c>
      <c r="M726" t="n">
        <v>0</v>
      </c>
      <c r="N726" t="n">
        <v>0</v>
      </c>
      <c r="O726" t="n">
        <v>0</v>
      </c>
      <c r="P726" t="n">
        <v>0</v>
      </c>
      <c r="Q726" t="n">
        <v>0</v>
      </c>
      <c r="R726" s="2" t="inlineStr"/>
    </row>
    <row r="727" ht="15" customHeight="1">
      <c r="A727" t="inlineStr">
        <is>
          <t>A 46797-2023</t>
        </is>
      </c>
      <c r="B727" s="1" t="n">
        <v>45198</v>
      </c>
      <c r="C727" s="1" t="n">
        <v>45344</v>
      </c>
      <c r="D727" t="inlineStr">
        <is>
          <t>JÄMTLANDS LÄN</t>
        </is>
      </c>
      <c r="E727" t="inlineStr">
        <is>
          <t>BERG</t>
        </is>
      </c>
      <c r="G727" t="n">
        <v>4.5</v>
      </c>
      <c r="H727" t="n">
        <v>0</v>
      </c>
      <c r="I727" t="n">
        <v>0</v>
      </c>
      <c r="J727" t="n">
        <v>0</v>
      </c>
      <c r="K727" t="n">
        <v>0</v>
      </c>
      <c r="L727" t="n">
        <v>0</v>
      </c>
      <c r="M727" t="n">
        <v>0</v>
      </c>
      <c r="N727" t="n">
        <v>0</v>
      </c>
      <c r="O727" t="n">
        <v>0</v>
      </c>
      <c r="P727" t="n">
        <v>0</v>
      </c>
      <c r="Q727" t="n">
        <v>0</v>
      </c>
      <c r="R727" s="2" t="inlineStr"/>
    </row>
    <row r="728" ht="15" customHeight="1">
      <c r="A728" t="inlineStr">
        <is>
          <t>A 46816-2023</t>
        </is>
      </c>
      <c r="B728" s="1" t="n">
        <v>45198</v>
      </c>
      <c r="C728" s="1" t="n">
        <v>45344</v>
      </c>
      <c r="D728" t="inlineStr">
        <is>
          <t>JÄMTLANDS LÄN</t>
        </is>
      </c>
      <c r="E728" t="inlineStr">
        <is>
          <t>BERG</t>
        </is>
      </c>
      <c r="F728" t="inlineStr">
        <is>
          <t>SCA</t>
        </is>
      </c>
      <c r="G728" t="n">
        <v>66.2</v>
      </c>
      <c r="H728" t="n">
        <v>0</v>
      </c>
      <c r="I728" t="n">
        <v>0</v>
      </c>
      <c r="J728" t="n">
        <v>0</v>
      </c>
      <c r="K728" t="n">
        <v>0</v>
      </c>
      <c r="L728" t="n">
        <v>0</v>
      </c>
      <c r="M728" t="n">
        <v>0</v>
      </c>
      <c r="N728" t="n">
        <v>0</v>
      </c>
      <c r="O728" t="n">
        <v>0</v>
      </c>
      <c r="P728" t="n">
        <v>0</v>
      </c>
      <c r="Q728" t="n">
        <v>0</v>
      </c>
      <c r="R728" s="2" t="inlineStr"/>
    </row>
    <row r="729" ht="15" customHeight="1">
      <c r="A729" t="inlineStr">
        <is>
          <t>A 46859-2023</t>
        </is>
      </c>
      <c r="B729" s="1" t="n">
        <v>45200</v>
      </c>
      <c r="C729" s="1" t="n">
        <v>45344</v>
      </c>
      <c r="D729" t="inlineStr">
        <is>
          <t>JÄMTLANDS LÄN</t>
        </is>
      </c>
      <c r="E729" t="inlineStr">
        <is>
          <t>BERG</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46858-2023</t>
        </is>
      </c>
      <c r="B730" s="1" t="n">
        <v>45200</v>
      </c>
      <c r="C730" s="1" t="n">
        <v>45344</v>
      </c>
      <c r="D730" t="inlineStr">
        <is>
          <t>JÄMTLANDS LÄN</t>
        </is>
      </c>
      <c r="E730" t="inlineStr">
        <is>
          <t>BERG</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46872-2023</t>
        </is>
      </c>
      <c r="B731" s="1" t="n">
        <v>45200</v>
      </c>
      <c r="C731" s="1" t="n">
        <v>45344</v>
      </c>
      <c r="D731" t="inlineStr">
        <is>
          <t>JÄMTLANDS LÄN</t>
        </is>
      </c>
      <c r="E731" t="inlineStr">
        <is>
          <t>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46874-2023</t>
        </is>
      </c>
      <c r="B732" s="1" t="n">
        <v>45200</v>
      </c>
      <c r="C732" s="1" t="n">
        <v>45344</v>
      </c>
      <c r="D732" t="inlineStr">
        <is>
          <t>JÄMTLANDS LÄN</t>
        </is>
      </c>
      <c r="E732" t="inlineStr">
        <is>
          <t>BERG</t>
        </is>
      </c>
      <c r="F732" t="inlineStr">
        <is>
          <t>Naturvårdsverket</t>
        </is>
      </c>
      <c r="G732" t="n">
        <v>1.1</v>
      </c>
      <c r="H732" t="n">
        <v>0</v>
      </c>
      <c r="I732" t="n">
        <v>0</v>
      </c>
      <c r="J732" t="n">
        <v>0</v>
      </c>
      <c r="K732" t="n">
        <v>0</v>
      </c>
      <c r="L732" t="n">
        <v>0</v>
      </c>
      <c r="M732" t="n">
        <v>0</v>
      </c>
      <c r="N732" t="n">
        <v>0</v>
      </c>
      <c r="O732" t="n">
        <v>0</v>
      </c>
      <c r="P732" t="n">
        <v>0</v>
      </c>
      <c r="Q732" t="n">
        <v>0</v>
      </c>
      <c r="R732" s="2" t="inlineStr"/>
    </row>
    <row r="733" ht="15" customHeight="1">
      <c r="A733" t="inlineStr">
        <is>
          <t>A 47176-2023</t>
        </is>
      </c>
      <c r="B733" s="1" t="n">
        <v>45202</v>
      </c>
      <c r="C733" s="1" t="n">
        <v>45344</v>
      </c>
      <c r="D733" t="inlineStr">
        <is>
          <t>JÄMTLANDS LÄN</t>
        </is>
      </c>
      <c r="E733" t="inlineStr">
        <is>
          <t>BERG</t>
        </is>
      </c>
      <c r="F733" t="inlineStr">
        <is>
          <t>SCA</t>
        </is>
      </c>
      <c r="G733" t="n">
        <v>32.3</v>
      </c>
      <c r="H733" t="n">
        <v>0</v>
      </c>
      <c r="I733" t="n">
        <v>0</v>
      </c>
      <c r="J733" t="n">
        <v>0</v>
      </c>
      <c r="K733" t="n">
        <v>0</v>
      </c>
      <c r="L733" t="n">
        <v>0</v>
      </c>
      <c r="M733" t="n">
        <v>0</v>
      </c>
      <c r="N733" t="n">
        <v>0</v>
      </c>
      <c r="O733" t="n">
        <v>0</v>
      </c>
      <c r="P733" t="n">
        <v>0</v>
      </c>
      <c r="Q733" t="n">
        <v>0</v>
      </c>
      <c r="R733" s="2" t="inlineStr"/>
    </row>
    <row r="734" ht="15" customHeight="1">
      <c r="A734" t="inlineStr">
        <is>
          <t>A 47289-2023</t>
        </is>
      </c>
      <c r="B734" s="1" t="n">
        <v>45202</v>
      </c>
      <c r="C734" s="1" t="n">
        <v>45344</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47304-2023</t>
        </is>
      </c>
      <c r="B735" s="1" t="n">
        <v>45202</v>
      </c>
      <c r="C735" s="1" t="n">
        <v>45344</v>
      </c>
      <c r="D735" t="inlineStr">
        <is>
          <t>JÄMTLANDS LÄN</t>
        </is>
      </c>
      <c r="E735" t="inlineStr">
        <is>
          <t>BERG</t>
        </is>
      </c>
      <c r="G735" t="n">
        <v>3.4</v>
      </c>
      <c r="H735" t="n">
        <v>0</v>
      </c>
      <c r="I735" t="n">
        <v>0</v>
      </c>
      <c r="J735" t="n">
        <v>0</v>
      </c>
      <c r="K735" t="n">
        <v>0</v>
      </c>
      <c r="L735" t="n">
        <v>0</v>
      </c>
      <c r="M735" t="n">
        <v>0</v>
      </c>
      <c r="N735" t="n">
        <v>0</v>
      </c>
      <c r="O735" t="n">
        <v>0</v>
      </c>
      <c r="P735" t="n">
        <v>0</v>
      </c>
      <c r="Q735" t="n">
        <v>0</v>
      </c>
      <c r="R735" s="2" t="inlineStr"/>
    </row>
    <row r="736" ht="15" customHeight="1">
      <c r="A736" t="inlineStr">
        <is>
          <t>A 48663-2023</t>
        </is>
      </c>
      <c r="B736" s="1" t="n">
        <v>45202</v>
      </c>
      <c r="C736" s="1" t="n">
        <v>45344</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48649-2023</t>
        </is>
      </c>
      <c r="B737" s="1" t="n">
        <v>45202</v>
      </c>
      <c r="C737" s="1" t="n">
        <v>45344</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48671-2023</t>
        </is>
      </c>
      <c r="B738" s="1" t="n">
        <v>45202</v>
      </c>
      <c r="C738" s="1" t="n">
        <v>45344</v>
      </c>
      <c r="D738" t="inlineStr">
        <is>
          <t>JÄMTLANDS LÄN</t>
        </is>
      </c>
      <c r="E738" t="inlineStr">
        <is>
          <t>BERG</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47626-2023</t>
        </is>
      </c>
      <c r="B739" s="1" t="n">
        <v>45203</v>
      </c>
      <c r="C739" s="1" t="n">
        <v>45344</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48069-2023</t>
        </is>
      </c>
      <c r="B740" s="1" t="n">
        <v>45204</v>
      </c>
      <c r="C740" s="1" t="n">
        <v>45344</v>
      </c>
      <c r="D740" t="inlineStr">
        <is>
          <t>JÄMTLANDS LÄN</t>
        </is>
      </c>
      <c r="E740" t="inlineStr">
        <is>
          <t>BERG</t>
        </is>
      </c>
      <c r="F740" t="inlineStr">
        <is>
          <t>SCA</t>
        </is>
      </c>
      <c r="G740" t="n">
        <v>11.2</v>
      </c>
      <c r="H740" t="n">
        <v>0</v>
      </c>
      <c r="I740" t="n">
        <v>0</v>
      </c>
      <c r="J740" t="n">
        <v>0</v>
      </c>
      <c r="K740" t="n">
        <v>0</v>
      </c>
      <c r="L740" t="n">
        <v>0</v>
      </c>
      <c r="M740" t="n">
        <v>0</v>
      </c>
      <c r="N740" t="n">
        <v>0</v>
      </c>
      <c r="O740" t="n">
        <v>0</v>
      </c>
      <c r="P740" t="n">
        <v>0</v>
      </c>
      <c r="Q740" t="n">
        <v>0</v>
      </c>
      <c r="R740" s="2" t="inlineStr"/>
    </row>
    <row r="741" ht="15" customHeight="1">
      <c r="A741" t="inlineStr">
        <is>
          <t>A 48164-2023</t>
        </is>
      </c>
      <c r="B741" s="1" t="n">
        <v>45205</v>
      </c>
      <c r="C741" s="1" t="n">
        <v>45344</v>
      </c>
      <c r="D741" t="inlineStr">
        <is>
          <t>JÄMTLANDS LÄN</t>
        </is>
      </c>
      <c r="E741" t="inlineStr">
        <is>
          <t>BERG</t>
        </is>
      </c>
      <c r="G741" t="n">
        <v>5.9</v>
      </c>
      <c r="H741" t="n">
        <v>0</v>
      </c>
      <c r="I741" t="n">
        <v>0</v>
      </c>
      <c r="J741" t="n">
        <v>0</v>
      </c>
      <c r="K741" t="n">
        <v>0</v>
      </c>
      <c r="L741" t="n">
        <v>0</v>
      </c>
      <c r="M741" t="n">
        <v>0</v>
      </c>
      <c r="N741" t="n">
        <v>0</v>
      </c>
      <c r="O741" t="n">
        <v>0</v>
      </c>
      <c r="P741" t="n">
        <v>0</v>
      </c>
      <c r="Q741" t="n">
        <v>0</v>
      </c>
      <c r="R741" s="2" t="inlineStr"/>
    </row>
    <row r="742" ht="15" customHeight="1">
      <c r="A742" t="inlineStr">
        <is>
          <t>A 48428-2023</t>
        </is>
      </c>
      <c r="B742" s="1" t="n">
        <v>45205</v>
      </c>
      <c r="C742" s="1" t="n">
        <v>45344</v>
      </c>
      <c r="D742" t="inlineStr">
        <is>
          <t>JÄMTLANDS LÄN</t>
        </is>
      </c>
      <c r="E742" t="inlineStr">
        <is>
          <t>BERG</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48437-2023</t>
        </is>
      </c>
      <c r="B743" s="1" t="n">
        <v>45205</v>
      </c>
      <c r="C743" s="1" t="n">
        <v>45344</v>
      </c>
      <c r="D743" t="inlineStr">
        <is>
          <t>JÄMTLANDS LÄN</t>
        </is>
      </c>
      <c r="E743" t="inlineStr">
        <is>
          <t>BERG</t>
        </is>
      </c>
      <c r="F743" t="inlineStr">
        <is>
          <t>SCA</t>
        </is>
      </c>
      <c r="G743" t="n">
        <v>25.8</v>
      </c>
      <c r="H743" t="n">
        <v>0</v>
      </c>
      <c r="I743" t="n">
        <v>0</v>
      </c>
      <c r="J743" t="n">
        <v>0</v>
      </c>
      <c r="K743" t="n">
        <v>0</v>
      </c>
      <c r="L743" t="n">
        <v>0</v>
      </c>
      <c r="M743" t="n">
        <v>0</v>
      </c>
      <c r="N743" t="n">
        <v>0</v>
      </c>
      <c r="O743" t="n">
        <v>0</v>
      </c>
      <c r="P743" t="n">
        <v>0</v>
      </c>
      <c r="Q743" t="n">
        <v>0</v>
      </c>
      <c r="R743" s="2" t="inlineStr"/>
    </row>
    <row r="744" ht="15" customHeight="1">
      <c r="A744" t="inlineStr">
        <is>
          <t>A 49555-2023</t>
        </is>
      </c>
      <c r="B744" s="1" t="n">
        <v>45205</v>
      </c>
      <c r="C744" s="1" t="n">
        <v>45344</v>
      </c>
      <c r="D744" t="inlineStr">
        <is>
          <t>JÄMTLANDS LÄN</t>
        </is>
      </c>
      <c r="E744" t="inlineStr">
        <is>
          <t>BERG</t>
        </is>
      </c>
      <c r="G744" t="n">
        <v>0.6</v>
      </c>
      <c r="H744" t="n">
        <v>0</v>
      </c>
      <c r="I744" t="n">
        <v>0</v>
      </c>
      <c r="J744" t="n">
        <v>0</v>
      </c>
      <c r="K744" t="n">
        <v>0</v>
      </c>
      <c r="L744" t="n">
        <v>0</v>
      </c>
      <c r="M744" t="n">
        <v>0</v>
      </c>
      <c r="N744" t="n">
        <v>0</v>
      </c>
      <c r="O744" t="n">
        <v>0</v>
      </c>
      <c r="P744" t="n">
        <v>0</v>
      </c>
      <c r="Q744" t="n">
        <v>0</v>
      </c>
      <c r="R744" s="2" t="inlineStr"/>
    </row>
    <row r="745" ht="15" customHeight="1">
      <c r="A745" t="inlineStr">
        <is>
          <t>A 48478-2023</t>
        </is>
      </c>
      <c r="B745" s="1" t="n">
        <v>45206</v>
      </c>
      <c r="C745" s="1" t="n">
        <v>45344</v>
      </c>
      <c r="D745" t="inlineStr">
        <is>
          <t>JÄMTLANDS LÄN</t>
        </is>
      </c>
      <c r="E745" t="inlineStr">
        <is>
          <t>BERG</t>
        </is>
      </c>
      <c r="F745" t="inlineStr">
        <is>
          <t>SCA</t>
        </is>
      </c>
      <c r="G745" t="n">
        <v>17.8</v>
      </c>
      <c r="H745" t="n">
        <v>0</v>
      </c>
      <c r="I745" t="n">
        <v>0</v>
      </c>
      <c r="J745" t="n">
        <v>0</v>
      </c>
      <c r="K745" t="n">
        <v>0</v>
      </c>
      <c r="L745" t="n">
        <v>0</v>
      </c>
      <c r="M745" t="n">
        <v>0</v>
      </c>
      <c r="N745" t="n">
        <v>0</v>
      </c>
      <c r="O745" t="n">
        <v>0</v>
      </c>
      <c r="P745" t="n">
        <v>0</v>
      </c>
      <c r="Q745" t="n">
        <v>0</v>
      </c>
      <c r="R745" s="2" t="inlineStr"/>
    </row>
    <row r="746" ht="15" customHeight="1">
      <c r="A746" t="inlineStr">
        <is>
          <t>A 48484-2023</t>
        </is>
      </c>
      <c r="B746" s="1" t="n">
        <v>45206</v>
      </c>
      <c r="C746" s="1" t="n">
        <v>45344</v>
      </c>
      <c r="D746" t="inlineStr">
        <is>
          <t>JÄMTLANDS LÄN</t>
        </is>
      </c>
      <c r="E746" t="inlineStr">
        <is>
          <t>BERG</t>
        </is>
      </c>
      <c r="F746" t="inlineStr">
        <is>
          <t>SCA</t>
        </is>
      </c>
      <c r="G746" t="n">
        <v>25.8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45344</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45344</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45344</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45344</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45344</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45344</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45344</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45344</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45344</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45344</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45344</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45344</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45344</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45344</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45344</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45344</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45344</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45344</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45344</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45344</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45344</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45344</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45344</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45344</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45344</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45344</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45344</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45344</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45344</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45344</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45344</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45344</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45344</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45344</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45344</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45344</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45344</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45344</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45344</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45344</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45344</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45344</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45344</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45344</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45344</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45344</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45344</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45344</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45344</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45344</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45344</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45344</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45344</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45344</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45344</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45344</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45344</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45344</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45344</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45344</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45344</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45344</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45344</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45344</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45344</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45344</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45344</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45344</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45344</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45344</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45344</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45344</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45344</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45344</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45344</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45344</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45344</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45344</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45344</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45344</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45344</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45344</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45344</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45344</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45344</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45344</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45344</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45344</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45344</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45344</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45344</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45344</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45344</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45344</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45344</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45344</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45344</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45344</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45344</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45344</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45344</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45344</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45344</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45344</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45344</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45344</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45344</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45344</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45344</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45344</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45344</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45344</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45344</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45344</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45344</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45344</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45344</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45344</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45344</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45344</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45344</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45344</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45344</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45344</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45344</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45344</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45344</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45344</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45344</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45344</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45344</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45344</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45344</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45344</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45344</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45344</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45344</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45344</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45344</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45344</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45344</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45344</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45344</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45344</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45344</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45344</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45344</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45344</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45344</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45344</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45344</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45344</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45344</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45344</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45344</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45344</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45344</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45344</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45344</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45344</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45344</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45344</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45344</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45344</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45344</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45344</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45344</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45344</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2664-2024</t>
        </is>
      </c>
      <c r="B915" s="1" t="n">
        <v>45314</v>
      </c>
      <c r="C915" s="1" t="n">
        <v>45344</v>
      </c>
      <c r="D915" t="inlineStr">
        <is>
          <t>JÄMTLANDS LÄN</t>
        </is>
      </c>
      <c r="E915" t="inlineStr">
        <is>
          <t>BERG</t>
        </is>
      </c>
      <c r="G915" t="n">
        <v>2</v>
      </c>
      <c r="H915" t="n">
        <v>0</v>
      </c>
      <c r="I915" t="n">
        <v>0</v>
      </c>
      <c r="J915" t="n">
        <v>0</v>
      </c>
      <c r="K915" t="n">
        <v>0</v>
      </c>
      <c r="L915" t="n">
        <v>0</v>
      </c>
      <c r="M915" t="n">
        <v>0</v>
      </c>
      <c r="N915" t="n">
        <v>0</v>
      </c>
      <c r="O915" t="n">
        <v>0</v>
      </c>
      <c r="P915" t="n">
        <v>0</v>
      </c>
      <c r="Q915" t="n">
        <v>0</v>
      </c>
      <c r="R915" s="2" t="inlineStr"/>
    </row>
    <row r="916" ht="15" customHeight="1">
      <c r="A916" t="inlineStr">
        <is>
          <t>A 2679-2024</t>
        </is>
      </c>
      <c r="B916" s="1" t="n">
        <v>45314</v>
      </c>
      <c r="C916" s="1" t="n">
        <v>45344</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45344</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45344</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45344</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45344</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4522-2024</t>
        </is>
      </c>
      <c r="B921" s="1" t="n">
        <v>45327</v>
      </c>
      <c r="C921" s="1" t="n">
        <v>45344</v>
      </c>
      <c r="D921" t="inlineStr">
        <is>
          <t>JÄMTLANDS LÄN</t>
        </is>
      </c>
      <c r="E921" t="inlineStr">
        <is>
          <t>BERG</t>
        </is>
      </c>
      <c r="G921" t="n">
        <v>0.6</v>
      </c>
      <c r="H921" t="n">
        <v>0</v>
      </c>
      <c r="I921" t="n">
        <v>0</v>
      </c>
      <c r="J921" t="n">
        <v>0</v>
      </c>
      <c r="K921" t="n">
        <v>0</v>
      </c>
      <c r="L921" t="n">
        <v>0</v>
      </c>
      <c r="M921" t="n">
        <v>0</v>
      </c>
      <c r="N921" t="n">
        <v>0</v>
      </c>
      <c r="O921" t="n">
        <v>0</v>
      </c>
      <c r="P921" t="n">
        <v>0</v>
      </c>
      <c r="Q921" t="n">
        <v>0</v>
      </c>
      <c r="R921" s="2" t="inlineStr"/>
    </row>
    <row r="922" ht="15" customHeight="1">
      <c r="A922" t="inlineStr">
        <is>
          <t>A 4526-2024</t>
        </is>
      </c>
      <c r="B922" s="1" t="n">
        <v>45327</v>
      </c>
      <c r="C922" s="1" t="n">
        <v>45344</v>
      </c>
      <c r="D922" t="inlineStr">
        <is>
          <t>JÄMTLANDS LÄN</t>
        </is>
      </c>
      <c r="E922" t="inlineStr">
        <is>
          <t>BERG</t>
        </is>
      </c>
      <c r="G922" t="n">
        <v>3.7</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45344</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45344</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45344</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45344</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5215-2024</t>
        </is>
      </c>
      <c r="B927" s="1" t="n">
        <v>45330</v>
      </c>
      <c r="C927" s="1" t="n">
        <v>45344</v>
      </c>
      <c r="D927" t="inlineStr">
        <is>
          <t>JÄMTLANDS LÄN</t>
        </is>
      </c>
      <c r="E927" t="inlineStr">
        <is>
          <t>BERG</t>
        </is>
      </c>
      <c r="G927" t="n">
        <v>0.8</v>
      </c>
      <c r="H927" t="n">
        <v>0</v>
      </c>
      <c r="I927" t="n">
        <v>0</v>
      </c>
      <c r="J927" t="n">
        <v>0</v>
      </c>
      <c r="K927" t="n">
        <v>0</v>
      </c>
      <c r="L927" t="n">
        <v>0</v>
      </c>
      <c r="M927" t="n">
        <v>0</v>
      </c>
      <c r="N927" t="n">
        <v>0</v>
      </c>
      <c r="O927" t="n">
        <v>0</v>
      </c>
      <c r="P927" t="n">
        <v>0</v>
      </c>
      <c r="Q927" t="n">
        <v>0</v>
      </c>
      <c r="R927" s="2" t="inlineStr"/>
    </row>
    <row r="928" ht="15" customHeight="1">
      <c r="A928" t="inlineStr">
        <is>
          <t>A 5264-2024</t>
        </is>
      </c>
      <c r="B928" s="1" t="n">
        <v>45331</v>
      </c>
      <c r="C928" s="1" t="n">
        <v>45344</v>
      </c>
      <c r="D928" t="inlineStr">
        <is>
          <t>JÄMTLANDS LÄN</t>
        </is>
      </c>
      <c r="E928" t="inlineStr">
        <is>
          <t>BERG</t>
        </is>
      </c>
      <c r="G928" t="n">
        <v>4.3</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45344</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45344</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45344</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c r="A932" t="inlineStr">
        <is>
          <t>A 7040-2024</t>
        </is>
      </c>
      <c r="B932" s="1" t="n">
        <v>45343</v>
      </c>
      <c r="C932" s="1" t="n">
        <v>45344</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2024-02-22T06:48:36Z</dcterms:created>
  <dcterms:modified xmlns:dcterms="http://purl.org/dc/terms/" xmlns:xsi="http://www.w3.org/2001/XMLSchema-instance" xsi:type="dcterms:W3CDTF">2024-02-22T06:48:37Z</dcterms:modified>
</cp:coreProperties>
</file>