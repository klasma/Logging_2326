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45916</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45916</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45916</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45916</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45916</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45916</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45916</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45916</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45916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45916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45916</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45916</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45916</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12970-2024</t>
        </is>
      </c>
      <c r="B19" s="1" t="n">
        <v>45385</v>
      </c>
      <c r="C19" s="1" t="n">
        <v>45916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45916</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33400-2024</t>
        </is>
      </c>
      <c r="B21" s="1" t="n">
        <v>45519</v>
      </c>
      <c r="C21" s="1" t="n">
        <v>45916</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45916</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45916</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45916</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45916</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45916</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45916</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39282-2025</t>
        </is>
      </c>
      <c r="B29" s="1" t="n">
        <v>45889.40362268518</v>
      </c>
      <c r="C29" s="1" t="n">
        <v>45916</v>
      </c>
      <c r="D29" t="inlineStr">
        <is>
          <t>JÄMTLANDS LÄN</t>
        </is>
      </c>
      <c r="E29" t="inlineStr">
        <is>
          <t>BERG</t>
        </is>
      </c>
      <c r="G29" t="n">
        <v>12.9</v>
      </c>
      <c r="H29" t="n">
        <v>2</v>
      </c>
      <c r="I29" t="n">
        <v>1</v>
      </c>
      <c r="J29" t="n">
        <v>9</v>
      </c>
      <c r="K29" t="n">
        <v>1</v>
      </c>
      <c r="L29" t="n">
        <v>0</v>
      </c>
      <c r="M29" t="n">
        <v>0</v>
      </c>
      <c r="N29" t="n">
        <v>0</v>
      </c>
      <c r="O29" t="n">
        <v>10</v>
      </c>
      <c r="P29" t="n">
        <v>1</v>
      </c>
      <c r="Q29" t="n">
        <v>11</v>
      </c>
      <c r="R29" s="2" t="inlineStr">
        <is>
          <t>Smalskaftslav
Gammelgransskål
Garnlav
Granticka
Lunglav
Rosenticka
Talltita
Tretåig hackspett
Ullticka
Vitgrynig nållav
Gulnål</t>
        </is>
      </c>
      <c r="S29">
        <f>HYPERLINK("https://klasma.github.io/Logging_2326/artfynd/A 39282-2025 artfynd.xlsx", "A 39282-2025")</f>
        <v/>
      </c>
      <c r="T29">
        <f>HYPERLINK("https://klasma.github.io/Logging_2326/kartor/A 39282-2025 karta.png", "A 39282-2025")</f>
        <v/>
      </c>
      <c r="U29">
        <f>HYPERLINK("https://klasma.github.io/Logging_2326/knärot/A 39282-2025 karta knärot.png", "A 39282-2025")</f>
        <v/>
      </c>
      <c r="V29">
        <f>HYPERLINK("https://klasma.github.io/Logging_2326/klagomål/A 39282-2025 FSC-klagomål.docx", "A 39282-2025")</f>
        <v/>
      </c>
      <c r="W29">
        <f>HYPERLINK("https://klasma.github.io/Logging_2326/klagomålsmail/A 39282-2025 FSC-klagomål mail.docx", "A 39282-2025")</f>
        <v/>
      </c>
      <c r="X29">
        <f>HYPERLINK("https://klasma.github.io/Logging_2326/tillsyn/A 39282-2025 tillsynsbegäran.docx", "A 39282-2025")</f>
        <v/>
      </c>
      <c r="Y29">
        <f>HYPERLINK("https://klasma.github.io/Logging_2326/tillsynsmail/A 39282-2025 tillsynsbegäran mail.docx", "A 39282-2025")</f>
        <v/>
      </c>
      <c r="Z29">
        <f>HYPERLINK("https://klasma.github.io/Logging_2326/fåglar/A 39282-2025 prioriterade fågelarter.docx", "A 39282-2025")</f>
        <v/>
      </c>
    </row>
    <row r="30" ht="15" customHeight="1">
      <c r="A30" t="inlineStr">
        <is>
          <t>A 53455-2024</t>
        </is>
      </c>
      <c r="B30" s="1" t="n">
        <v>45614.54873842592</v>
      </c>
      <c r="C30" s="1" t="n">
        <v>45916</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17109-2024</t>
        </is>
      </c>
      <c r="B31" s="1" t="n">
        <v>45412</v>
      </c>
      <c r="C31" s="1" t="n">
        <v>45916</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45916</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45916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45916</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45916</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45916</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54020-2020</t>
        </is>
      </c>
      <c r="B37" s="1" t="n">
        <v>44123</v>
      </c>
      <c r="C37" s="1" t="n">
        <v>45916</v>
      </c>
      <c r="D37" t="inlineStr">
        <is>
          <t>JÄMTLANDS LÄN</t>
        </is>
      </c>
      <c r="E37" t="inlineStr">
        <is>
          <t>BERG</t>
        </is>
      </c>
      <c r="G37" t="n">
        <v>42.9</v>
      </c>
      <c r="H37" t="n">
        <v>0</v>
      </c>
      <c r="I37" t="n">
        <v>2</v>
      </c>
      <c r="J37" t="n">
        <v>7</v>
      </c>
      <c r="K37" t="n">
        <v>0</v>
      </c>
      <c r="L37" t="n">
        <v>0</v>
      </c>
      <c r="M37" t="n">
        <v>0</v>
      </c>
      <c r="N37" t="n">
        <v>0</v>
      </c>
      <c r="O37" t="n">
        <v>7</v>
      </c>
      <c r="P37" t="n">
        <v>0</v>
      </c>
      <c r="Q37" t="n">
        <v>9</v>
      </c>
      <c r="R37" s="2" t="inlineStr">
        <is>
          <t>Gammelgransskål
Garnlav
Granticka
Gränsticka
Knottrig blåslav
Rosenticka
Rödbrun blekspik
Trådticka
Vedticka</t>
        </is>
      </c>
      <c r="S37">
        <f>HYPERLINK("https://klasma.github.io/Logging_2326/artfynd/A 54020-2020 artfynd.xlsx", "A 54020-2020")</f>
        <v/>
      </c>
      <c r="T37">
        <f>HYPERLINK("https://klasma.github.io/Logging_2326/kartor/A 54020-2020 karta.png", "A 54020-2020")</f>
        <v/>
      </c>
      <c r="V37">
        <f>HYPERLINK("https://klasma.github.io/Logging_2326/klagomål/A 54020-2020 FSC-klagomål.docx", "A 54020-2020")</f>
        <v/>
      </c>
      <c r="W37">
        <f>HYPERLINK("https://klasma.github.io/Logging_2326/klagomålsmail/A 54020-2020 FSC-klagomål mail.docx", "A 54020-2020")</f>
        <v/>
      </c>
      <c r="X37">
        <f>HYPERLINK("https://klasma.github.io/Logging_2326/tillsyn/A 54020-2020 tillsynsbegäran.docx", "A 54020-2020")</f>
        <v/>
      </c>
      <c r="Y37">
        <f>HYPERLINK("https://klasma.github.io/Logging_2326/tillsynsmail/A 54020-2020 tillsynsbegäran mail.docx", "A 54020-2020")</f>
        <v/>
      </c>
    </row>
    <row r="38" ht="15" customHeight="1">
      <c r="A38" t="inlineStr">
        <is>
          <t>A 39007-2025</t>
        </is>
      </c>
      <c r="B38" s="1" t="n">
        <v>45888.34524305556</v>
      </c>
      <c r="C38" s="1" t="n">
        <v>45916</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45916</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45916</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45916</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56364-2024</t>
        </is>
      </c>
      <c r="B43" s="1" t="n">
        <v>45625.32383101852</v>
      </c>
      <c r="C43" s="1" t="n">
        <v>45916</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17069-2024</t>
        </is>
      </c>
      <c r="B44" s="1" t="n">
        <v>45412</v>
      </c>
      <c r="C44" s="1" t="n">
        <v>45916</v>
      </c>
      <c r="D44" t="inlineStr">
        <is>
          <t>JÄMTLANDS LÄN</t>
        </is>
      </c>
      <c r="E44" t="inlineStr">
        <is>
          <t>BERG</t>
        </is>
      </c>
      <c r="G44" t="n">
        <v>11.3</v>
      </c>
      <c r="H44" t="n">
        <v>0</v>
      </c>
      <c r="I44" t="n">
        <v>0</v>
      </c>
      <c r="J44" t="n">
        <v>6</v>
      </c>
      <c r="K44" t="n">
        <v>1</v>
      </c>
      <c r="L44" t="n">
        <v>0</v>
      </c>
      <c r="M44" t="n">
        <v>0</v>
      </c>
      <c r="N44" t="n">
        <v>0</v>
      </c>
      <c r="O44" t="n">
        <v>7</v>
      </c>
      <c r="P44" t="n">
        <v>1</v>
      </c>
      <c r="Q44" t="n">
        <v>7</v>
      </c>
      <c r="R44" s="2" t="inlineStr">
        <is>
          <t>Rynkskinn
Garnlav
Granticka
Liten svartspik
Skrovellav
Ullticka
Vitgrynig nållav</t>
        </is>
      </c>
      <c r="S44">
        <f>HYPERLINK("https://klasma.github.io/Logging_2326/artfynd/A 17069-2024 artfynd.xlsx", "A 17069-2024")</f>
        <v/>
      </c>
      <c r="T44">
        <f>HYPERLINK("https://klasma.github.io/Logging_2326/kartor/A 17069-2024 karta.png", "A 17069-2024")</f>
        <v/>
      </c>
      <c r="V44">
        <f>HYPERLINK("https://klasma.github.io/Logging_2326/klagomål/A 17069-2024 FSC-klagomål.docx", "A 17069-2024")</f>
        <v/>
      </c>
      <c r="W44">
        <f>HYPERLINK("https://klasma.github.io/Logging_2326/klagomålsmail/A 17069-2024 FSC-klagomål mail.docx", "A 17069-2024")</f>
        <v/>
      </c>
      <c r="X44">
        <f>HYPERLINK("https://klasma.github.io/Logging_2326/tillsyn/A 17069-2024 tillsynsbegäran.docx", "A 17069-2024")</f>
        <v/>
      </c>
      <c r="Y44">
        <f>HYPERLINK("https://klasma.github.io/Logging_2326/tillsynsmail/A 17069-2024 tillsynsbegäran mail.docx", "A 17069-2024")</f>
        <v/>
      </c>
    </row>
    <row r="45" ht="15" customHeight="1">
      <c r="A45" t="inlineStr">
        <is>
          <t>A 33044-2024</t>
        </is>
      </c>
      <c r="B45" s="1" t="n">
        <v>45517</v>
      </c>
      <c r="C45" s="1" t="n">
        <v>45916</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21519-2025</t>
        </is>
      </c>
      <c r="B46" s="1" t="n">
        <v>45782</v>
      </c>
      <c r="C46" s="1" t="n">
        <v>45916</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12752-2024</t>
        </is>
      </c>
      <c r="B47" s="1" t="n">
        <v>45384</v>
      </c>
      <c r="C47" s="1" t="n">
        <v>45916</v>
      </c>
      <c r="D47" t="inlineStr">
        <is>
          <t>JÄMTLANDS LÄN</t>
        </is>
      </c>
      <c r="E47" t="inlineStr">
        <is>
          <t>BERG</t>
        </is>
      </c>
      <c r="G47" t="n">
        <v>15.3</v>
      </c>
      <c r="H47" t="n">
        <v>3</v>
      </c>
      <c r="I47" t="n">
        <v>1</v>
      </c>
      <c r="J47" t="n">
        <v>4</v>
      </c>
      <c r="K47" t="n">
        <v>1</v>
      </c>
      <c r="L47" t="n">
        <v>0</v>
      </c>
      <c r="M47" t="n">
        <v>0</v>
      </c>
      <c r="N47" t="n">
        <v>0</v>
      </c>
      <c r="O47" t="n">
        <v>5</v>
      </c>
      <c r="P47" t="n">
        <v>1</v>
      </c>
      <c r="Q47" t="n">
        <v>7</v>
      </c>
      <c r="R47" s="2" t="inlineStr">
        <is>
          <t>Ulltickeporing
Garnlav
Lunglav
Tretåig hackspett
Ullticka
Spindelblomster
Fläcknycklar</t>
        </is>
      </c>
      <c r="S47">
        <f>HYPERLINK("https://klasma.github.io/Logging_2326/artfynd/A 12752-2024 artfynd.xlsx", "A 12752-2024")</f>
        <v/>
      </c>
      <c r="T47">
        <f>HYPERLINK("https://klasma.github.io/Logging_2326/kartor/A 12752-2024 karta.png", "A 12752-2024")</f>
        <v/>
      </c>
      <c r="V47">
        <f>HYPERLINK("https://klasma.github.io/Logging_2326/klagomål/A 12752-2024 FSC-klagomål.docx", "A 12752-2024")</f>
        <v/>
      </c>
      <c r="W47">
        <f>HYPERLINK("https://klasma.github.io/Logging_2326/klagomålsmail/A 12752-2024 FSC-klagomål mail.docx", "A 12752-2024")</f>
        <v/>
      </c>
      <c r="X47">
        <f>HYPERLINK("https://klasma.github.io/Logging_2326/tillsyn/A 12752-2024 tillsynsbegäran.docx", "A 12752-2024")</f>
        <v/>
      </c>
      <c r="Y47">
        <f>HYPERLINK("https://klasma.github.io/Logging_2326/tillsynsmail/A 12752-2024 tillsynsbegäran mail.docx", "A 12752-2024")</f>
        <v/>
      </c>
      <c r="Z47">
        <f>HYPERLINK("https://klasma.github.io/Logging_2326/fåglar/A 12752-2024 prioriterade fågelarter.docx", "A 12752-2024")</f>
        <v/>
      </c>
    </row>
    <row r="48" ht="15" customHeight="1">
      <c r="A48" t="inlineStr">
        <is>
          <t>A 52190-2020</t>
        </is>
      </c>
      <c r="B48" s="1" t="n">
        <v>44111</v>
      </c>
      <c r="C48" s="1" t="n">
        <v>45916</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24670-2025</t>
        </is>
      </c>
      <c r="B49" s="1" t="n">
        <v>45798.64947916667</v>
      </c>
      <c r="C49" s="1" t="n">
        <v>45916</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49626-2024</t>
        </is>
      </c>
      <c r="B50" s="1" t="n">
        <v>45596.59109953704</v>
      </c>
      <c r="C50" s="1" t="n">
        <v>45916</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31719-2022</t>
        </is>
      </c>
      <c r="B51" s="1" t="n">
        <v>44776</v>
      </c>
      <c r="C51" s="1" t="n">
        <v>45916</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27957-2025</t>
        </is>
      </c>
      <c r="B52" s="1" t="n">
        <v>45817.53871527778</v>
      </c>
      <c r="C52" s="1" t="n">
        <v>45916</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16508-2021</t>
        </is>
      </c>
      <c r="B53" s="1" t="n">
        <v>44293</v>
      </c>
      <c r="C53" s="1" t="n">
        <v>45916</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12431-2025</t>
        </is>
      </c>
      <c r="B54" s="1" t="n">
        <v>45730</v>
      </c>
      <c r="C54" s="1" t="n">
        <v>45916</v>
      </c>
      <c r="D54" t="inlineStr">
        <is>
          <t>JÄMTLANDS LÄN</t>
        </is>
      </c>
      <c r="E54" t="inlineStr">
        <is>
          <t>BERG</t>
        </is>
      </c>
      <c r="G54" t="n">
        <v>21.9</v>
      </c>
      <c r="H54" t="n">
        <v>1</v>
      </c>
      <c r="I54" t="n">
        <v>0</v>
      </c>
      <c r="J54" t="n">
        <v>5</v>
      </c>
      <c r="K54" t="n">
        <v>1</v>
      </c>
      <c r="L54" t="n">
        <v>0</v>
      </c>
      <c r="M54" t="n">
        <v>0</v>
      </c>
      <c r="N54" t="n">
        <v>0</v>
      </c>
      <c r="O54" t="n">
        <v>6</v>
      </c>
      <c r="P54" t="n">
        <v>1</v>
      </c>
      <c r="Q54" t="n">
        <v>6</v>
      </c>
      <c r="R54" s="2" t="inlineStr">
        <is>
          <t>Sprickporing
Doftskinn
Garnlav
Knottrig blåslav
Tretåig hackspett
Ullticka</t>
        </is>
      </c>
      <c r="S54">
        <f>HYPERLINK("https://klasma.github.io/Logging_2326/artfynd/A 12431-2025 artfynd.xlsx", "A 12431-2025")</f>
        <v/>
      </c>
      <c r="T54">
        <f>HYPERLINK("https://klasma.github.io/Logging_2326/kartor/A 12431-2025 karta.png", "A 12431-2025")</f>
        <v/>
      </c>
      <c r="V54">
        <f>HYPERLINK("https://klasma.github.io/Logging_2326/klagomål/A 12431-2025 FSC-klagomål.docx", "A 12431-2025")</f>
        <v/>
      </c>
      <c r="W54">
        <f>HYPERLINK("https://klasma.github.io/Logging_2326/klagomålsmail/A 12431-2025 FSC-klagomål mail.docx", "A 12431-2025")</f>
        <v/>
      </c>
      <c r="X54">
        <f>HYPERLINK("https://klasma.github.io/Logging_2326/tillsyn/A 12431-2025 tillsynsbegäran.docx", "A 12431-2025")</f>
        <v/>
      </c>
      <c r="Y54">
        <f>HYPERLINK("https://klasma.github.io/Logging_2326/tillsynsmail/A 12431-2025 tillsynsbegäran mail.docx", "A 12431-2025")</f>
        <v/>
      </c>
      <c r="Z54">
        <f>HYPERLINK("https://klasma.github.io/Logging_2326/fåglar/A 12431-2025 prioriterade fågelarter.docx", "A 12431-2025")</f>
        <v/>
      </c>
    </row>
    <row r="55" ht="15" customHeight="1">
      <c r="A55" t="inlineStr">
        <is>
          <t>A 37398-2022</t>
        </is>
      </c>
      <c r="B55" s="1" t="n">
        <v>44806</v>
      </c>
      <c r="C55" s="1" t="n">
        <v>45916</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27571-2025</t>
        </is>
      </c>
      <c r="B56" s="1" t="n">
        <v>45813.49040509259</v>
      </c>
      <c r="C56" s="1" t="n">
        <v>45916</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45916</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45916</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24204-2024</t>
        </is>
      </c>
      <c r="B59" s="1" t="n">
        <v>45456</v>
      </c>
      <c r="C59" s="1" t="n">
        <v>45916</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28659-2025</t>
        </is>
      </c>
      <c r="B60" s="1" t="n">
        <v>45819.65783564815</v>
      </c>
      <c r="C60" s="1" t="n">
        <v>45916</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12973-2024</t>
        </is>
      </c>
      <c r="B61" s="1" t="n">
        <v>45385.51104166666</v>
      </c>
      <c r="C61" s="1" t="n">
        <v>45916</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39281-2025</t>
        </is>
      </c>
      <c r="B62" s="1" t="n">
        <v>45889.40315972222</v>
      </c>
      <c r="C62" s="1" t="n">
        <v>45916</v>
      </c>
      <c r="D62" t="inlineStr">
        <is>
          <t>JÄMTLANDS LÄN</t>
        </is>
      </c>
      <c r="E62" t="inlineStr">
        <is>
          <t>BERG</t>
        </is>
      </c>
      <c r="G62" t="n">
        <v>4.1</v>
      </c>
      <c r="H62" t="n">
        <v>1</v>
      </c>
      <c r="I62" t="n">
        <v>1</v>
      </c>
      <c r="J62" t="n">
        <v>3</v>
      </c>
      <c r="K62" t="n">
        <v>0</v>
      </c>
      <c r="L62" t="n">
        <v>0</v>
      </c>
      <c r="M62" t="n">
        <v>0</v>
      </c>
      <c r="N62" t="n">
        <v>0</v>
      </c>
      <c r="O62" t="n">
        <v>3</v>
      </c>
      <c r="P62" t="n">
        <v>0</v>
      </c>
      <c r="Q62" t="n">
        <v>5</v>
      </c>
      <c r="R62" s="2" t="inlineStr">
        <is>
          <t>Garnlav
Lunglav
Ullticka
Stuplav
Lavskrika</t>
        </is>
      </c>
      <c r="S62">
        <f>HYPERLINK("https://klasma.github.io/Logging_2326/artfynd/A 39281-2025 artfynd.xlsx", "A 39281-2025")</f>
        <v/>
      </c>
      <c r="T62">
        <f>HYPERLINK("https://klasma.github.io/Logging_2326/kartor/A 39281-2025 karta.png", "A 39281-2025")</f>
        <v/>
      </c>
      <c r="U62">
        <f>HYPERLINK("https://klasma.github.io/Logging_2326/knärot/A 39281-2025 karta knärot.png", "A 39281-2025")</f>
        <v/>
      </c>
      <c r="V62">
        <f>HYPERLINK("https://klasma.github.io/Logging_2326/klagomål/A 39281-2025 FSC-klagomål.docx", "A 39281-2025")</f>
        <v/>
      </c>
      <c r="W62">
        <f>HYPERLINK("https://klasma.github.io/Logging_2326/klagomålsmail/A 39281-2025 FSC-klagomål mail.docx", "A 39281-2025")</f>
        <v/>
      </c>
      <c r="X62">
        <f>HYPERLINK("https://klasma.github.io/Logging_2326/tillsyn/A 39281-2025 tillsynsbegäran.docx", "A 39281-2025")</f>
        <v/>
      </c>
      <c r="Y62">
        <f>HYPERLINK("https://klasma.github.io/Logging_2326/tillsynsmail/A 39281-2025 tillsynsbegäran mail.docx", "A 39281-2025")</f>
        <v/>
      </c>
      <c r="Z62">
        <f>HYPERLINK("https://klasma.github.io/Logging_2326/fåglar/A 39281-2025 prioriterade fågelarter.docx", "A 39281-2025")</f>
        <v/>
      </c>
    </row>
    <row r="63" ht="15" customHeight="1">
      <c r="A63" t="inlineStr">
        <is>
          <t>A 39288-2025</t>
        </is>
      </c>
      <c r="B63" s="1" t="n">
        <v>45889.40723379629</v>
      </c>
      <c r="C63" s="1" t="n">
        <v>45916</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40860-2025</t>
        </is>
      </c>
      <c r="B64" s="1" t="n">
        <v>45897.56300925926</v>
      </c>
      <c r="C64" s="1" t="n">
        <v>45916</v>
      </c>
      <c r="D64" t="inlineStr">
        <is>
          <t>JÄMTLANDS LÄN</t>
        </is>
      </c>
      <c r="E64" t="inlineStr">
        <is>
          <t>BERG</t>
        </is>
      </c>
      <c r="G64" t="n">
        <v>1.6</v>
      </c>
      <c r="H64" t="n">
        <v>0</v>
      </c>
      <c r="I64" t="n">
        <v>2</v>
      </c>
      <c r="J64" t="n">
        <v>3</v>
      </c>
      <c r="K64" t="n">
        <v>0</v>
      </c>
      <c r="L64" t="n">
        <v>0</v>
      </c>
      <c r="M64" t="n">
        <v>0</v>
      </c>
      <c r="N64" t="n">
        <v>0</v>
      </c>
      <c r="O64" t="n">
        <v>3</v>
      </c>
      <c r="P64" t="n">
        <v>0</v>
      </c>
      <c r="Q64" t="n">
        <v>5</v>
      </c>
      <c r="R64" s="2" t="inlineStr">
        <is>
          <t>Garnlav
Lunglav
Skrovellav
Luddlav
Stuplav</t>
        </is>
      </c>
      <c r="S64">
        <f>HYPERLINK("https://klasma.github.io/Logging_2326/artfynd/A 40860-2025 artfynd.xlsx", "A 40860-2025")</f>
        <v/>
      </c>
      <c r="T64">
        <f>HYPERLINK("https://klasma.github.io/Logging_2326/kartor/A 40860-2025 karta.png", "A 40860-2025")</f>
        <v/>
      </c>
      <c r="V64">
        <f>HYPERLINK("https://klasma.github.io/Logging_2326/klagomål/A 40860-2025 FSC-klagomål.docx", "A 40860-2025")</f>
        <v/>
      </c>
      <c r="W64">
        <f>HYPERLINK("https://klasma.github.io/Logging_2326/klagomålsmail/A 40860-2025 FSC-klagomål mail.docx", "A 40860-2025")</f>
        <v/>
      </c>
      <c r="X64">
        <f>HYPERLINK("https://klasma.github.io/Logging_2326/tillsyn/A 40860-2025 tillsynsbegäran.docx", "A 40860-2025")</f>
        <v/>
      </c>
      <c r="Y64">
        <f>HYPERLINK("https://klasma.github.io/Logging_2326/tillsynsmail/A 40860-2025 tillsynsbegäran mail.docx", "A 40860-2025")</f>
        <v/>
      </c>
    </row>
    <row r="65" ht="15" customHeight="1">
      <c r="A65" t="inlineStr">
        <is>
          <t>A 12966-2024</t>
        </is>
      </c>
      <c r="B65" s="1" t="n">
        <v>45385.50025462963</v>
      </c>
      <c r="C65" s="1" t="n">
        <v>45916</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54841-2022</t>
        </is>
      </c>
      <c r="B66" s="1" t="n">
        <v>44883</v>
      </c>
      <c r="C66" s="1" t="n">
        <v>45916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56203-2021</t>
        </is>
      </c>
      <c r="B67" s="1" t="n">
        <v>44477</v>
      </c>
      <c r="C67" s="1" t="n">
        <v>45916</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45916</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45916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45916</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45916</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56224-2024</t>
        </is>
      </c>
      <c r="B72" s="1" t="n">
        <v>45624.61491898148</v>
      </c>
      <c r="C72" s="1" t="n">
        <v>45916</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45916</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25871-2025</t>
        </is>
      </c>
      <c r="B74" s="1" t="n">
        <v>45804.4903125</v>
      </c>
      <c r="C74" s="1" t="n">
        <v>45916</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59823-2022</t>
        </is>
      </c>
      <c r="B75" s="1" t="n">
        <v>44900</v>
      </c>
      <c r="C75" s="1" t="n">
        <v>45916</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27574-2025</t>
        </is>
      </c>
      <c r="B76" s="1" t="n">
        <v>45813.49072916667</v>
      </c>
      <c r="C76" s="1" t="n">
        <v>45916</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45916</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45424-2024</t>
        </is>
      </c>
      <c r="B78" s="1" t="n">
        <v>45576.60398148148</v>
      </c>
      <c r="C78" s="1" t="n">
        <v>45916</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31715-2025</t>
        </is>
      </c>
      <c r="B79" s="1" t="n">
        <v>45834.45671296296</v>
      </c>
      <c r="C79" s="1" t="n">
        <v>45916</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45916</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7891-2022</t>
        </is>
      </c>
      <c r="B81" s="1" t="n">
        <v>44607</v>
      </c>
      <c r="C81" s="1" t="n">
        <v>45916</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27100-2025</t>
        </is>
      </c>
      <c r="B82" s="1" t="n">
        <v>45811.67803240741</v>
      </c>
      <c r="C82" s="1" t="n">
        <v>45916</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40913-2025</t>
        </is>
      </c>
      <c r="B83" s="1" t="n">
        <v>45897.61719907408</v>
      </c>
      <c r="C83" s="1" t="n">
        <v>45916</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45916</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12962-2024</t>
        </is>
      </c>
      <c r="B85" s="1" t="n">
        <v>45385.49314814815</v>
      </c>
      <c r="C85" s="1" t="n">
        <v>45916</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16830-2021</t>
        </is>
      </c>
      <c r="B86" s="1" t="n">
        <v>44293</v>
      </c>
      <c r="C86" s="1" t="n">
        <v>45916</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45916</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45916</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3062-2025</t>
        </is>
      </c>
      <c r="B89" s="1" t="n">
        <v>45678</v>
      </c>
      <c r="C89" s="1" t="n">
        <v>45916</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14599-2021</t>
        </is>
      </c>
      <c r="B90" s="1" t="n">
        <v>44279</v>
      </c>
      <c r="C90" s="1" t="n">
        <v>45916</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35925-2024</t>
        </is>
      </c>
      <c r="B91" s="1" t="n">
        <v>45533.43868055556</v>
      </c>
      <c r="C91" s="1" t="n">
        <v>45916</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47122-2024</t>
        </is>
      </c>
      <c r="B92" s="1" t="n">
        <v>45586.5674074074</v>
      </c>
      <c r="C92" s="1" t="n">
        <v>45916</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45916</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68433-2021</t>
        </is>
      </c>
      <c r="B94" s="1" t="n">
        <v>44529</v>
      </c>
      <c r="C94" s="1" t="n">
        <v>45916</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45916</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45916</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20242-2025</t>
        </is>
      </c>
      <c r="B97" s="1" t="n">
        <v>45772.69864583333</v>
      </c>
      <c r="C97" s="1" t="n">
        <v>45916</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54999-2023</t>
        </is>
      </c>
      <c r="B98" s="1" t="n">
        <v>45236</v>
      </c>
      <c r="C98" s="1" t="n">
        <v>45916</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12995-2024</t>
        </is>
      </c>
      <c r="B99" s="1" t="n">
        <v>45385.56458333333</v>
      </c>
      <c r="C99" s="1" t="n">
        <v>45916</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52189-2024</t>
        </is>
      </c>
      <c r="B100" s="1" t="n">
        <v>45608</v>
      </c>
      <c r="C100" s="1" t="n">
        <v>45916</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45916</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45916</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45916</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45916</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48880-2023</t>
        </is>
      </c>
      <c r="B105" s="1" t="n">
        <v>45209</v>
      </c>
      <c r="C105" s="1" t="n">
        <v>45916</v>
      </c>
      <c r="D105" t="inlineStr">
        <is>
          <t>JÄMTLANDS LÄN</t>
        </is>
      </c>
      <c r="E105" t="inlineStr">
        <is>
          <t>BERG</t>
        </is>
      </c>
      <c r="F105" t="inlineStr">
        <is>
          <t>Naturvårdsverket</t>
        </is>
      </c>
      <c r="G105" t="n">
        <v>5.5</v>
      </c>
      <c r="H105" t="n">
        <v>0</v>
      </c>
      <c r="I105" t="n">
        <v>0</v>
      </c>
      <c r="J105" t="n">
        <v>2</v>
      </c>
      <c r="K105" t="n">
        <v>0</v>
      </c>
      <c r="L105" t="n">
        <v>0</v>
      </c>
      <c r="M105" t="n">
        <v>0</v>
      </c>
      <c r="N105" t="n">
        <v>0</v>
      </c>
      <c r="O105" t="n">
        <v>2</v>
      </c>
      <c r="P105" t="n">
        <v>0</v>
      </c>
      <c r="Q105" t="n">
        <v>2</v>
      </c>
      <c r="R105" s="2" t="inlineStr">
        <is>
          <t>Garnlav
Lunglav</t>
        </is>
      </c>
      <c r="S105">
        <f>HYPERLINK("https://klasma.github.io/Logging_2326/artfynd/A 48880-2023 artfynd.xlsx", "A 48880-2023")</f>
        <v/>
      </c>
      <c r="T105">
        <f>HYPERLINK("https://klasma.github.io/Logging_2326/kartor/A 48880-2023 karta.png", "A 48880-2023")</f>
        <v/>
      </c>
      <c r="U105">
        <f>HYPERLINK("https://klasma.github.io/Logging_2326/knärot/A 48880-2023 karta knärot.png", "A 48880-2023")</f>
        <v/>
      </c>
      <c r="V105">
        <f>HYPERLINK("https://klasma.github.io/Logging_2326/klagomål/A 48880-2023 FSC-klagomål.docx", "A 48880-2023")</f>
        <v/>
      </c>
      <c r="W105">
        <f>HYPERLINK("https://klasma.github.io/Logging_2326/klagomålsmail/A 48880-2023 FSC-klagomål mail.docx", "A 48880-2023")</f>
        <v/>
      </c>
      <c r="X105">
        <f>HYPERLINK("https://klasma.github.io/Logging_2326/tillsyn/A 48880-2023 tillsynsbegäran.docx", "A 48880-2023")</f>
        <v/>
      </c>
      <c r="Y105">
        <f>HYPERLINK("https://klasma.github.io/Logging_2326/tillsynsmail/A 48880-2023 tillsynsbegäran mail.docx", "A 48880-2023")</f>
        <v/>
      </c>
    </row>
    <row r="106" ht="15" customHeight="1">
      <c r="A106" t="inlineStr">
        <is>
          <t>A 26748-2025</t>
        </is>
      </c>
      <c r="B106" s="1" t="n">
        <v>45810.53988425926</v>
      </c>
      <c r="C106" s="1" t="n">
        <v>45916</v>
      </c>
      <c r="D106" t="inlineStr">
        <is>
          <t>JÄMTLANDS LÄN</t>
        </is>
      </c>
      <c r="E106" t="inlineStr">
        <is>
          <t>BERG</t>
        </is>
      </c>
      <c r="G106" t="n">
        <v>17.4</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26748-2025 artfynd.xlsx", "A 26748-2025")</f>
        <v/>
      </c>
      <c r="T106">
        <f>HYPERLINK("https://klasma.github.io/Logging_2326/kartor/A 26748-2025 karta.png", "A 26748-2025")</f>
        <v/>
      </c>
      <c r="V106">
        <f>HYPERLINK("https://klasma.github.io/Logging_2326/klagomål/A 26748-2025 FSC-klagomål.docx", "A 26748-2025")</f>
        <v/>
      </c>
      <c r="W106">
        <f>HYPERLINK("https://klasma.github.io/Logging_2326/klagomålsmail/A 26748-2025 FSC-klagomål mail.docx", "A 26748-2025")</f>
        <v/>
      </c>
      <c r="X106">
        <f>HYPERLINK("https://klasma.github.io/Logging_2326/tillsyn/A 26748-2025 tillsynsbegäran.docx", "A 26748-2025")</f>
        <v/>
      </c>
      <c r="Y106">
        <f>HYPERLINK("https://klasma.github.io/Logging_2326/tillsynsmail/A 26748-2025 tillsynsbegäran mail.docx", "A 26748-2025")</f>
        <v/>
      </c>
      <c r="Z106">
        <f>HYPERLINK("https://klasma.github.io/Logging_2326/fåglar/A 26748-2025 prioriterade fågelarter.docx", "A 26748-2025")</f>
        <v/>
      </c>
    </row>
    <row r="107" ht="15" customHeight="1">
      <c r="A107" t="inlineStr">
        <is>
          <t>A 27647-2025</t>
        </is>
      </c>
      <c r="B107" s="1" t="n">
        <v>45813.59454861111</v>
      </c>
      <c r="C107" s="1" t="n">
        <v>45916</v>
      </c>
      <c r="D107" t="inlineStr">
        <is>
          <t>JÄMTLANDS LÄN</t>
        </is>
      </c>
      <c r="E107" t="inlineStr">
        <is>
          <t>BERG</t>
        </is>
      </c>
      <c r="F107" t="inlineStr">
        <is>
          <t>SCA</t>
        </is>
      </c>
      <c r="G107" t="n">
        <v>3.1</v>
      </c>
      <c r="H107" t="n">
        <v>0</v>
      </c>
      <c r="I107" t="n">
        <v>0</v>
      </c>
      <c r="J107" t="n">
        <v>1</v>
      </c>
      <c r="K107" t="n">
        <v>1</v>
      </c>
      <c r="L107" t="n">
        <v>0</v>
      </c>
      <c r="M107" t="n">
        <v>0</v>
      </c>
      <c r="N107" t="n">
        <v>0</v>
      </c>
      <c r="O107" t="n">
        <v>2</v>
      </c>
      <c r="P107" t="n">
        <v>1</v>
      </c>
      <c r="Q107" t="n">
        <v>2</v>
      </c>
      <c r="R107" s="2" t="inlineStr">
        <is>
          <t>Gräddporing
Dvärgbägarlav</t>
        </is>
      </c>
      <c r="S107">
        <f>HYPERLINK("https://klasma.github.io/Logging_2326/artfynd/A 27647-2025 artfynd.xlsx", "A 27647-2025")</f>
        <v/>
      </c>
      <c r="T107">
        <f>HYPERLINK("https://klasma.github.io/Logging_2326/kartor/A 27647-2025 karta.png", "A 27647-2025")</f>
        <v/>
      </c>
      <c r="V107">
        <f>HYPERLINK("https://klasma.github.io/Logging_2326/klagomål/A 27647-2025 FSC-klagomål.docx", "A 27647-2025")</f>
        <v/>
      </c>
      <c r="W107">
        <f>HYPERLINK("https://klasma.github.io/Logging_2326/klagomålsmail/A 27647-2025 FSC-klagomål mail.docx", "A 27647-2025")</f>
        <v/>
      </c>
      <c r="X107">
        <f>HYPERLINK("https://klasma.github.io/Logging_2326/tillsyn/A 27647-2025 tillsynsbegäran.docx", "A 27647-2025")</f>
        <v/>
      </c>
      <c r="Y107">
        <f>HYPERLINK("https://klasma.github.io/Logging_2326/tillsynsmail/A 27647-2025 tillsynsbegäran mail.docx", "A 27647-2025")</f>
        <v/>
      </c>
    </row>
    <row r="108" ht="15" customHeight="1">
      <c r="A108" t="inlineStr">
        <is>
          <t>A 31709-2025</t>
        </is>
      </c>
      <c r="B108" s="1" t="n">
        <v>45834.42543981481</v>
      </c>
      <c r="C108" s="1" t="n">
        <v>45916</v>
      </c>
      <c r="D108" t="inlineStr">
        <is>
          <t>JÄMTLANDS LÄN</t>
        </is>
      </c>
      <c r="E108" t="inlineStr">
        <is>
          <t>BERG</t>
        </is>
      </c>
      <c r="G108" t="n">
        <v>22.2</v>
      </c>
      <c r="H108" t="n">
        <v>1</v>
      </c>
      <c r="I108" t="n">
        <v>0</v>
      </c>
      <c r="J108" t="n">
        <v>1</v>
      </c>
      <c r="K108" t="n">
        <v>0</v>
      </c>
      <c r="L108" t="n">
        <v>1</v>
      </c>
      <c r="M108" t="n">
        <v>0</v>
      </c>
      <c r="N108" t="n">
        <v>0</v>
      </c>
      <c r="O108" t="n">
        <v>2</v>
      </c>
      <c r="P108" t="n">
        <v>1</v>
      </c>
      <c r="Q108" t="n">
        <v>2</v>
      </c>
      <c r="R108" s="2" t="inlineStr">
        <is>
          <t>Mikroskapania
Platt spretmossa</t>
        </is>
      </c>
      <c r="S108">
        <f>HYPERLINK("https://klasma.github.io/Logging_2326/artfynd/A 31709-2025 artfynd.xlsx", "A 31709-2025")</f>
        <v/>
      </c>
      <c r="T108">
        <f>HYPERLINK("https://klasma.github.io/Logging_2326/kartor/A 31709-2025 karta.png", "A 31709-2025")</f>
        <v/>
      </c>
      <c r="V108">
        <f>HYPERLINK("https://klasma.github.io/Logging_2326/klagomål/A 31709-2025 FSC-klagomål.docx", "A 31709-2025")</f>
        <v/>
      </c>
      <c r="W108">
        <f>HYPERLINK("https://klasma.github.io/Logging_2326/klagomålsmail/A 31709-2025 FSC-klagomål mail.docx", "A 31709-2025")</f>
        <v/>
      </c>
      <c r="X108">
        <f>HYPERLINK("https://klasma.github.io/Logging_2326/tillsyn/A 31709-2025 tillsynsbegäran.docx", "A 31709-2025")</f>
        <v/>
      </c>
      <c r="Y108">
        <f>HYPERLINK("https://klasma.github.io/Logging_2326/tillsynsmail/A 31709-2025 tillsynsbegäran mail.docx", "A 31709-2025")</f>
        <v/>
      </c>
    </row>
    <row r="109" ht="15" customHeight="1">
      <c r="A109" t="inlineStr">
        <is>
          <t>A 19948-2025</t>
        </is>
      </c>
      <c r="B109" s="1" t="n">
        <v>45771.65668981482</v>
      </c>
      <c r="C109" s="1" t="n">
        <v>45916</v>
      </c>
      <c r="D109" t="inlineStr">
        <is>
          <t>JÄMTLANDS LÄN</t>
        </is>
      </c>
      <c r="E109" t="inlineStr">
        <is>
          <t>BERG</t>
        </is>
      </c>
      <c r="F109" t="inlineStr">
        <is>
          <t>SCA</t>
        </is>
      </c>
      <c r="G109" t="n">
        <v>23.3</v>
      </c>
      <c r="H109" t="n">
        <v>2</v>
      </c>
      <c r="I109" t="n">
        <v>1</v>
      </c>
      <c r="J109" t="n">
        <v>1</v>
      </c>
      <c r="K109" t="n">
        <v>0</v>
      </c>
      <c r="L109" t="n">
        <v>0</v>
      </c>
      <c r="M109" t="n">
        <v>0</v>
      </c>
      <c r="N109" t="n">
        <v>0</v>
      </c>
      <c r="O109" t="n">
        <v>1</v>
      </c>
      <c r="P109" t="n">
        <v>0</v>
      </c>
      <c r="Q109" t="n">
        <v>2</v>
      </c>
      <c r="R109" s="2" t="inlineStr">
        <is>
          <t>Tretåig hackspett
Plattlummer</t>
        </is>
      </c>
      <c r="S109">
        <f>HYPERLINK("https://klasma.github.io/Logging_2326/artfynd/A 19948-2025 artfynd.xlsx", "A 19948-2025")</f>
        <v/>
      </c>
      <c r="T109">
        <f>HYPERLINK("https://klasma.github.io/Logging_2326/kartor/A 19948-2025 karta.png", "A 19948-2025")</f>
        <v/>
      </c>
      <c r="V109">
        <f>HYPERLINK("https://klasma.github.io/Logging_2326/klagomål/A 19948-2025 FSC-klagomål.docx", "A 19948-2025")</f>
        <v/>
      </c>
      <c r="W109">
        <f>HYPERLINK("https://klasma.github.io/Logging_2326/klagomålsmail/A 19948-2025 FSC-klagomål mail.docx", "A 19948-2025")</f>
        <v/>
      </c>
      <c r="X109">
        <f>HYPERLINK("https://klasma.github.io/Logging_2326/tillsyn/A 19948-2025 tillsynsbegäran.docx", "A 19948-2025")</f>
        <v/>
      </c>
      <c r="Y109">
        <f>HYPERLINK("https://klasma.github.io/Logging_2326/tillsynsmail/A 19948-2025 tillsynsbegäran mail.docx", "A 19948-2025")</f>
        <v/>
      </c>
      <c r="Z109">
        <f>HYPERLINK("https://klasma.github.io/Logging_2326/fåglar/A 19948-2025 prioriterade fågelarter.docx", "A 19948-2025")</f>
        <v/>
      </c>
    </row>
    <row r="110" ht="15" customHeight="1">
      <c r="A110" t="inlineStr">
        <is>
          <t>A 8734-2025</t>
        </is>
      </c>
      <c r="B110" s="1" t="n">
        <v>45712.53209490741</v>
      </c>
      <c r="C110" s="1" t="n">
        <v>45916</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42120-2025</t>
        </is>
      </c>
      <c r="B111" s="1" t="n">
        <v>45904.34236111111</v>
      </c>
      <c r="C111" s="1" t="n">
        <v>45916</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59786-2020</t>
        </is>
      </c>
      <c r="B112" s="1" t="n">
        <v>44148</v>
      </c>
      <c r="C112" s="1" t="n">
        <v>45916</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30334-2024</t>
        </is>
      </c>
      <c r="B113" s="1" t="n">
        <v>45490.95396990741</v>
      </c>
      <c r="C113" s="1" t="n">
        <v>45916</v>
      </c>
      <c r="D113" t="inlineStr">
        <is>
          <t>JÄMTLANDS LÄN</t>
        </is>
      </c>
      <c r="E113" t="inlineStr">
        <is>
          <t>BERG</t>
        </is>
      </c>
      <c r="F113" t="inlineStr">
        <is>
          <t>SCA</t>
        </is>
      </c>
      <c r="G113" t="n">
        <v>1.8</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30334-2024 artfynd.xlsx", "A 30334-2024")</f>
        <v/>
      </c>
      <c r="T113">
        <f>HYPERLINK("https://klasma.github.io/Logging_2326/kartor/A 30334-2024 karta.png", "A 30334-2024")</f>
        <v/>
      </c>
      <c r="V113">
        <f>HYPERLINK("https://klasma.github.io/Logging_2326/klagomål/A 30334-2024 FSC-klagomål.docx", "A 30334-2024")</f>
        <v/>
      </c>
      <c r="W113">
        <f>HYPERLINK("https://klasma.github.io/Logging_2326/klagomålsmail/A 30334-2024 FSC-klagomål mail.docx", "A 30334-2024")</f>
        <v/>
      </c>
      <c r="X113">
        <f>HYPERLINK("https://klasma.github.io/Logging_2326/tillsyn/A 30334-2024 tillsynsbegäran.docx", "A 30334-2024")</f>
        <v/>
      </c>
      <c r="Y113">
        <f>HYPERLINK("https://klasma.github.io/Logging_2326/tillsynsmail/A 30334-2024 tillsynsbegäran mail.docx", "A 30334-2024")</f>
        <v/>
      </c>
    </row>
    <row r="114" ht="15" customHeight="1">
      <c r="A114" t="inlineStr">
        <is>
          <t>A 26944-2024</t>
        </is>
      </c>
      <c r="B114" s="1" t="n">
        <v>45470.96880787037</v>
      </c>
      <c r="C114" s="1" t="n">
        <v>45916</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33009-2024</t>
        </is>
      </c>
      <c r="B115" s="1" t="n">
        <v>45517.50332175926</v>
      </c>
      <c r="C115" s="1" t="n">
        <v>45916</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12734-2024</t>
        </is>
      </c>
      <c r="B116" s="1" t="n">
        <v>45384</v>
      </c>
      <c r="C116" s="1" t="n">
        <v>45916</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55331-2023</t>
        </is>
      </c>
      <c r="B117" s="1" t="n">
        <v>45237</v>
      </c>
      <c r="C117" s="1" t="n">
        <v>45916</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10133-2023</t>
        </is>
      </c>
      <c r="B118" s="1" t="n">
        <v>44986</v>
      </c>
      <c r="C118" s="1" t="n">
        <v>45916</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14344-2025</t>
        </is>
      </c>
      <c r="B119" s="1" t="n">
        <v>45741</v>
      </c>
      <c r="C119" s="1" t="n">
        <v>45916</v>
      </c>
      <c r="D119" t="inlineStr">
        <is>
          <t>JÄMTLANDS LÄN</t>
        </is>
      </c>
      <c r="E119" t="inlineStr">
        <is>
          <t>BERG</t>
        </is>
      </c>
      <c r="G119" t="n">
        <v>3.4</v>
      </c>
      <c r="H119" t="n">
        <v>1</v>
      </c>
      <c r="I119" t="n">
        <v>1</v>
      </c>
      <c r="J119" t="n">
        <v>0</v>
      </c>
      <c r="K119" t="n">
        <v>0</v>
      </c>
      <c r="L119" t="n">
        <v>0</v>
      </c>
      <c r="M119" t="n">
        <v>0</v>
      </c>
      <c r="N119" t="n">
        <v>0</v>
      </c>
      <c r="O119" t="n">
        <v>0</v>
      </c>
      <c r="P119" t="n">
        <v>0</v>
      </c>
      <c r="Q119" t="n">
        <v>2</v>
      </c>
      <c r="R119" s="2" t="inlineStr">
        <is>
          <t>Svart trolldruva
Revlummer</t>
        </is>
      </c>
      <c r="S119">
        <f>HYPERLINK("https://klasma.github.io/Logging_2326/artfynd/A 14344-2025 artfynd.xlsx", "A 14344-2025")</f>
        <v/>
      </c>
      <c r="T119">
        <f>HYPERLINK("https://klasma.github.io/Logging_2326/kartor/A 14344-2025 karta.png", "A 14344-2025")</f>
        <v/>
      </c>
      <c r="V119">
        <f>HYPERLINK("https://klasma.github.io/Logging_2326/klagomål/A 14344-2025 FSC-klagomål.docx", "A 14344-2025")</f>
        <v/>
      </c>
      <c r="W119">
        <f>HYPERLINK("https://klasma.github.io/Logging_2326/klagomålsmail/A 14344-2025 FSC-klagomål mail.docx", "A 14344-2025")</f>
        <v/>
      </c>
      <c r="X119">
        <f>HYPERLINK("https://klasma.github.io/Logging_2326/tillsyn/A 14344-2025 tillsynsbegäran.docx", "A 14344-2025")</f>
        <v/>
      </c>
      <c r="Y119">
        <f>HYPERLINK("https://klasma.github.io/Logging_2326/tillsynsmail/A 14344-2025 tillsynsbegäran mail.docx", "A 14344-2025")</f>
        <v/>
      </c>
    </row>
    <row r="120" ht="15" customHeight="1">
      <c r="A120" t="inlineStr">
        <is>
          <t>A 28769-2024</t>
        </is>
      </c>
      <c r="B120" s="1" t="n">
        <v>45478</v>
      </c>
      <c r="C120" s="1" t="n">
        <v>45916</v>
      </c>
      <c r="D120" t="inlineStr">
        <is>
          <t>JÄMTLANDS LÄN</t>
        </is>
      </c>
      <c r="E120" t="inlineStr">
        <is>
          <t>BERG</t>
        </is>
      </c>
      <c r="F120" t="inlineStr">
        <is>
          <t>Sveaskog</t>
        </is>
      </c>
      <c r="G120" t="n">
        <v>2.2</v>
      </c>
      <c r="H120" t="n">
        <v>1</v>
      </c>
      <c r="I120" t="n">
        <v>0</v>
      </c>
      <c r="J120" t="n">
        <v>1</v>
      </c>
      <c r="K120" t="n">
        <v>0</v>
      </c>
      <c r="L120" t="n">
        <v>0</v>
      </c>
      <c r="M120" t="n">
        <v>0</v>
      </c>
      <c r="N120" t="n">
        <v>0</v>
      </c>
      <c r="O120" t="n">
        <v>1</v>
      </c>
      <c r="P120" t="n">
        <v>0</v>
      </c>
      <c r="Q120" t="n">
        <v>2</v>
      </c>
      <c r="R120" s="2" t="inlineStr">
        <is>
          <t>Lunglav
Fläcknycklar</t>
        </is>
      </c>
      <c r="S120">
        <f>HYPERLINK("https://klasma.github.io/Logging_2326/artfynd/A 28769-2024 artfynd.xlsx", "A 28769-2024")</f>
        <v/>
      </c>
      <c r="T120">
        <f>HYPERLINK("https://klasma.github.io/Logging_2326/kartor/A 28769-2024 karta.png", "A 28769-2024")</f>
        <v/>
      </c>
      <c r="V120">
        <f>HYPERLINK("https://klasma.github.io/Logging_2326/klagomål/A 28769-2024 FSC-klagomål.docx", "A 28769-2024")</f>
        <v/>
      </c>
      <c r="W120">
        <f>HYPERLINK("https://klasma.github.io/Logging_2326/klagomålsmail/A 28769-2024 FSC-klagomål mail.docx", "A 28769-2024")</f>
        <v/>
      </c>
      <c r="X120">
        <f>HYPERLINK("https://klasma.github.io/Logging_2326/tillsyn/A 28769-2024 tillsynsbegäran.docx", "A 28769-2024")</f>
        <v/>
      </c>
      <c r="Y120">
        <f>HYPERLINK("https://klasma.github.io/Logging_2326/tillsynsmail/A 28769-2024 tillsynsbegäran mail.docx", "A 28769-2024")</f>
        <v/>
      </c>
    </row>
    <row r="121" ht="15" customHeight="1">
      <c r="A121" t="inlineStr">
        <is>
          <t>A 27919-2024</t>
        </is>
      </c>
      <c r="B121" s="1" t="n">
        <v>45475.94865740741</v>
      </c>
      <c r="C121" s="1" t="n">
        <v>45916</v>
      </c>
      <c r="D121" t="inlineStr">
        <is>
          <t>JÄMTLANDS LÄN</t>
        </is>
      </c>
      <c r="E121" t="inlineStr">
        <is>
          <t>BERG</t>
        </is>
      </c>
      <c r="F121" t="inlineStr">
        <is>
          <t>SCA</t>
        </is>
      </c>
      <c r="G121" t="n">
        <v>17.2</v>
      </c>
      <c r="H121" t="n">
        <v>0</v>
      </c>
      <c r="I121" t="n">
        <v>1</v>
      </c>
      <c r="J121" t="n">
        <v>1</v>
      </c>
      <c r="K121" t="n">
        <v>0</v>
      </c>
      <c r="L121" t="n">
        <v>0</v>
      </c>
      <c r="M121" t="n">
        <v>0</v>
      </c>
      <c r="N121" t="n">
        <v>0</v>
      </c>
      <c r="O121" t="n">
        <v>1</v>
      </c>
      <c r="P121" t="n">
        <v>0</v>
      </c>
      <c r="Q121" t="n">
        <v>2</v>
      </c>
      <c r="R121" s="2" t="inlineStr">
        <is>
          <t>Reliktbock
Dropptaggsvamp</t>
        </is>
      </c>
      <c r="S121">
        <f>HYPERLINK("https://klasma.github.io/Logging_2326/artfynd/A 27919-2024 artfynd.xlsx", "A 27919-2024")</f>
        <v/>
      </c>
      <c r="T121">
        <f>HYPERLINK("https://klasma.github.io/Logging_2326/kartor/A 27919-2024 karta.png", "A 27919-2024")</f>
        <v/>
      </c>
      <c r="V121">
        <f>HYPERLINK("https://klasma.github.io/Logging_2326/klagomål/A 27919-2024 FSC-klagomål.docx", "A 27919-2024")</f>
        <v/>
      </c>
      <c r="W121">
        <f>HYPERLINK("https://klasma.github.io/Logging_2326/klagomålsmail/A 27919-2024 FSC-klagomål mail.docx", "A 27919-2024")</f>
        <v/>
      </c>
      <c r="X121">
        <f>HYPERLINK("https://klasma.github.io/Logging_2326/tillsyn/A 27919-2024 tillsynsbegäran.docx", "A 27919-2024")</f>
        <v/>
      </c>
      <c r="Y121">
        <f>HYPERLINK("https://klasma.github.io/Logging_2326/tillsynsmail/A 27919-2024 tillsynsbegäran mail.docx", "A 27919-2024")</f>
        <v/>
      </c>
    </row>
    <row r="122" ht="15" customHeight="1">
      <c r="A122" t="inlineStr">
        <is>
          <t>A 37387-2022</t>
        </is>
      </c>
      <c r="B122" s="1" t="n">
        <v>44806</v>
      </c>
      <c r="C122" s="1" t="n">
        <v>45916</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60333-2024</t>
        </is>
      </c>
      <c r="B123" s="1" t="n">
        <v>45643</v>
      </c>
      <c r="C123" s="1" t="n">
        <v>45916</v>
      </c>
      <c r="D123" t="inlineStr">
        <is>
          <t>JÄMTLANDS LÄN</t>
        </is>
      </c>
      <c r="E123" t="inlineStr">
        <is>
          <t>BERG</t>
        </is>
      </c>
      <c r="G123" t="n">
        <v>25.5</v>
      </c>
      <c r="H123" t="n">
        <v>0</v>
      </c>
      <c r="I123" t="n">
        <v>2</v>
      </c>
      <c r="J123" t="n">
        <v>0</v>
      </c>
      <c r="K123" t="n">
        <v>0</v>
      </c>
      <c r="L123" t="n">
        <v>0</v>
      </c>
      <c r="M123" t="n">
        <v>0</v>
      </c>
      <c r="N123" t="n">
        <v>0</v>
      </c>
      <c r="O123" t="n">
        <v>0</v>
      </c>
      <c r="P123" t="n">
        <v>0</v>
      </c>
      <c r="Q123" t="n">
        <v>2</v>
      </c>
      <c r="R123" s="2" t="inlineStr">
        <is>
          <t>Honungsvaxing
Ängsvaxskivling</t>
        </is>
      </c>
      <c r="S123">
        <f>HYPERLINK("https://klasma.github.io/Logging_2326/artfynd/A 60333-2024 artfynd.xlsx", "A 60333-2024")</f>
        <v/>
      </c>
      <c r="T123">
        <f>HYPERLINK("https://klasma.github.io/Logging_2326/kartor/A 60333-2024 karta.png", "A 60333-2024")</f>
        <v/>
      </c>
      <c r="V123">
        <f>HYPERLINK("https://klasma.github.io/Logging_2326/klagomål/A 60333-2024 FSC-klagomål.docx", "A 60333-2024")</f>
        <v/>
      </c>
      <c r="W123">
        <f>HYPERLINK("https://klasma.github.io/Logging_2326/klagomålsmail/A 60333-2024 FSC-klagomål mail.docx", "A 60333-2024")</f>
        <v/>
      </c>
      <c r="X123">
        <f>HYPERLINK("https://klasma.github.io/Logging_2326/tillsyn/A 60333-2024 tillsynsbegäran.docx", "A 60333-2024")</f>
        <v/>
      </c>
      <c r="Y123">
        <f>HYPERLINK("https://klasma.github.io/Logging_2326/tillsynsmail/A 60333-2024 tillsynsbegäran mail.docx", "A 60333-2024")</f>
        <v/>
      </c>
    </row>
    <row r="124" ht="15" customHeight="1">
      <c r="A124" t="inlineStr">
        <is>
          <t>A 21518-2025</t>
        </is>
      </c>
      <c r="B124" s="1" t="n">
        <v>45782</v>
      </c>
      <c r="C124" s="1" t="n">
        <v>45916</v>
      </c>
      <c r="D124" t="inlineStr">
        <is>
          <t>JÄMTLANDS LÄN</t>
        </is>
      </c>
      <c r="E124" t="inlineStr">
        <is>
          <t>BERG</t>
        </is>
      </c>
      <c r="F124" t="inlineStr">
        <is>
          <t>SCA</t>
        </is>
      </c>
      <c r="G124" t="n">
        <v>3.6</v>
      </c>
      <c r="H124" t="n">
        <v>0</v>
      </c>
      <c r="I124" t="n">
        <v>1</v>
      </c>
      <c r="J124" t="n">
        <v>1</v>
      </c>
      <c r="K124" t="n">
        <v>0</v>
      </c>
      <c r="L124" t="n">
        <v>0</v>
      </c>
      <c r="M124" t="n">
        <v>0</v>
      </c>
      <c r="N124" t="n">
        <v>0</v>
      </c>
      <c r="O124" t="n">
        <v>1</v>
      </c>
      <c r="P124" t="n">
        <v>0</v>
      </c>
      <c r="Q124" t="n">
        <v>2</v>
      </c>
      <c r="R124" s="2" t="inlineStr">
        <is>
          <t>Dvärgbägarlav
Skarp dropptaggsvamp</t>
        </is>
      </c>
      <c r="S124">
        <f>HYPERLINK("https://klasma.github.io/Logging_2326/artfynd/A 21518-2025 artfynd.xlsx", "A 21518-2025")</f>
        <v/>
      </c>
      <c r="T124">
        <f>HYPERLINK("https://klasma.github.io/Logging_2326/kartor/A 21518-2025 karta.png", "A 21518-2025")</f>
        <v/>
      </c>
      <c r="V124">
        <f>HYPERLINK("https://klasma.github.io/Logging_2326/klagomål/A 21518-2025 FSC-klagomål.docx", "A 21518-2025")</f>
        <v/>
      </c>
      <c r="W124">
        <f>HYPERLINK("https://klasma.github.io/Logging_2326/klagomålsmail/A 21518-2025 FSC-klagomål mail.docx", "A 21518-2025")</f>
        <v/>
      </c>
      <c r="X124">
        <f>HYPERLINK("https://klasma.github.io/Logging_2326/tillsyn/A 21518-2025 tillsynsbegäran.docx", "A 21518-2025")</f>
        <v/>
      </c>
      <c r="Y124">
        <f>HYPERLINK("https://klasma.github.io/Logging_2326/tillsynsmail/A 21518-2025 tillsynsbegäran mail.docx", "A 21518-2025")</f>
        <v/>
      </c>
    </row>
    <row r="125" ht="15" customHeight="1">
      <c r="A125" t="inlineStr">
        <is>
          <t>A 14588-2021</t>
        </is>
      </c>
      <c r="B125" s="1" t="n">
        <v>44279</v>
      </c>
      <c r="C125" s="1" t="n">
        <v>45916</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12745-2024</t>
        </is>
      </c>
      <c r="B126" s="1" t="n">
        <v>45384</v>
      </c>
      <c r="C126" s="1" t="n">
        <v>45916</v>
      </c>
      <c r="D126" t="inlineStr">
        <is>
          <t>JÄMTLANDS LÄN</t>
        </is>
      </c>
      <c r="E126" t="inlineStr">
        <is>
          <t>BERG</t>
        </is>
      </c>
      <c r="G126" t="n">
        <v>8.5</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HYPERLINK("https://klasma.github.io/Logging_2326/artfynd/A 12745-2024 artfynd.xlsx", "A 12745-2024")</f>
        <v/>
      </c>
      <c r="T126">
        <f>HYPERLINK("https://klasma.github.io/Logging_2326/kartor/A 12745-2024 karta.png", "A 12745-2024")</f>
        <v/>
      </c>
      <c r="V126">
        <f>HYPERLINK("https://klasma.github.io/Logging_2326/klagomål/A 12745-2024 FSC-klagomål.docx", "A 12745-2024")</f>
        <v/>
      </c>
      <c r="W126">
        <f>HYPERLINK("https://klasma.github.io/Logging_2326/klagomålsmail/A 12745-2024 FSC-klagomål mail.docx", "A 12745-2024")</f>
        <v/>
      </c>
      <c r="X126">
        <f>HYPERLINK("https://klasma.github.io/Logging_2326/tillsyn/A 12745-2024 tillsynsbegäran.docx", "A 12745-2024")</f>
        <v/>
      </c>
      <c r="Y126">
        <f>HYPERLINK("https://klasma.github.io/Logging_2326/tillsynsmail/A 12745-2024 tillsynsbegäran mail.docx", "A 12745-2024")</f>
        <v/>
      </c>
      <c r="Z126">
        <f>HYPERLINK("https://klasma.github.io/Logging_2326/fåglar/A 12745-2024 prioriterade fågelarter.docx", "A 12745-2024")</f>
        <v/>
      </c>
    </row>
    <row r="127" ht="15" customHeight="1">
      <c r="A127" t="inlineStr">
        <is>
          <t>A 16834-2021</t>
        </is>
      </c>
      <c r="B127" s="1" t="n">
        <v>44293</v>
      </c>
      <c r="C127" s="1" t="n">
        <v>45916</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41317-2022</t>
        </is>
      </c>
      <c r="B128" s="1" t="n">
        <v>44826</v>
      </c>
      <c r="C128" s="1" t="n">
        <v>45916</v>
      </c>
      <c r="D128" t="inlineStr">
        <is>
          <t>JÄMTLANDS LÄN</t>
        </is>
      </c>
      <c r="E128" t="inlineStr">
        <is>
          <t>BERG</t>
        </is>
      </c>
      <c r="G128" t="n">
        <v>0.5</v>
      </c>
      <c r="H128" t="n">
        <v>1</v>
      </c>
      <c r="I128" t="n">
        <v>0</v>
      </c>
      <c r="J128" t="n">
        <v>0</v>
      </c>
      <c r="K128" t="n">
        <v>0</v>
      </c>
      <c r="L128" t="n">
        <v>0</v>
      </c>
      <c r="M128" t="n">
        <v>0</v>
      </c>
      <c r="N128" t="n">
        <v>0</v>
      </c>
      <c r="O128" t="n">
        <v>0</v>
      </c>
      <c r="P128" t="n">
        <v>0</v>
      </c>
      <c r="Q128" t="n">
        <v>1</v>
      </c>
      <c r="R128" s="2" t="inlineStr">
        <is>
          <t>Fläcknycklar</t>
        </is>
      </c>
      <c r="S128">
        <f>HYPERLINK("https://klasma.github.io/Logging_2326/artfynd/A 41317-2022 artfynd.xlsx", "A 41317-2022")</f>
        <v/>
      </c>
      <c r="T128">
        <f>HYPERLINK("https://klasma.github.io/Logging_2326/kartor/A 41317-2022 karta.png", "A 41317-2022")</f>
        <v/>
      </c>
      <c r="V128">
        <f>HYPERLINK("https://klasma.github.io/Logging_2326/klagomål/A 41317-2022 FSC-klagomål.docx", "A 41317-2022")</f>
        <v/>
      </c>
      <c r="W128">
        <f>HYPERLINK("https://klasma.github.io/Logging_2326/klagomålsmail/A 41317-2022 FSC-klagomål mail.docx", "A 41317-2022")</f>
        <v/>
      </c>
      <c r="X128">
        <f>HYPERLINK("https://klasma.github.io/Logging_2326/tillsyn/A 41317-2022 tillsynsbegäran.docx", "A 41317-2022")</f>
        <v/>
      </c>
      <c r="Y128">
        <f>HYPERLINK("https://klasma.github.io/Logging_2326/tillsynsmail/A 41317-2022 tillsynsbegäran mail.docx", "A 41317-2022")</f>
        <v/>
      </c>
    </row>
    <row r="129" ht="15" customHeight="1">
      <c r="A129" t="inlineStr">
        <is>
          <t>A 53014-2022</t>
        </is>
      </c>
      <c r="B129" s="1" t="n">
        <v>44875</v>
      </c>
      <c r="C129" s="1" t="n">
        <v>45916</v>
      </c>
      <c r="D129" t="inlineStr">
        <is>
          <t>JÄMTLANDS LÄN</t>
        </is>
      </c>
      <c r="E129" t="inlineStr">
        <is>
          <t>BERG</t>
        </is>
      </c>
      <c r="F129" t="inlineStr">
        <is>
          <t>SCA</t>
        </is>
      </c>
      <c r="G129" t="n">
        <v>13</v>
      </c>
      <c r="H129" t="n">
        <v>0</v>
      </c>
      <c r="I129" t="n">
        <v>0</v>
      </c>
      <c r="J129" t="n">
        <v>0</v>
      </c>
      <c r="K129" t="n">
        <v>1</v>
      </c>
      <c r="L129" t="n">
        <v>0</v>
      </c>
      <c r="M129" t="n">
        <v>0</v>
      </c>
      <c r="N129" t="n">
        <v>0</v>
      </c>
      <c r="O129" t="n">
        <v>1</v>
      </c>
      <c r="P129" t="n">
        <v>1</v>
      </c>
      <c r="Q129" t="n">
        <v>1</v>
      </c>
      <c r="R129" s="2" t="inlineStr">
        <is>
          <t>Gräddporing</t>
        </is>
      </c>
      <c r="S129">
        <f>HYPERLINK("https://klasma.github.io/Logging_2326/artfynd/A 53014-2022 artfynd.xlsx", "A 53014-2022")</f>
        <v/>
      </c>
      <c r="T129">
        <f>HYPERLINK("https://klasma.github.io/Logging_2326/kartor/A 53014-2022 karta.png", "A 53014-2022")</f>
        <v/>
      </c>
      <c r="V129">
        <f>HYPERLINK("https://klasma.github.io/Logging_2326/klagomål/A 53014-2022 FSC-klagomål.docx", "A 53014-2022")</f>
        <v/>
      </c>
      <c r="W129">
        <f>HYPERLINK("https://klasma.github.io/Logging_2326/klagomålsmail/A 53014-2022 FSC-klagomål mail.docx", "A 53014-2022")</f>
        <v/>
      </c>
      <c r="X129">
        <f>HYPERLINK("https://klasma.github.io/Logging_2326/tillsyn/A 53014-2022 tillsynsbegäran.docx", "A 53014-2022")</f>
        <v/>
      </c>
      <c r="Y129">
        <f>HYPERLINK("https://klasma.github.io/Logging_2326/tillsynsmail/A 53014-2022 tillsynsbegäran mail.docx", "A 53014-2022")</f>
        <v/>
      </c>
    </row>
    <row r="130" ht="15" customHeight="1">
      <c r="A130" t="inlineStr">
        <is>
          <t>A 56202-2021</t>
        </is>
      </c>
      <c r="B130" s="1" t="n">
        <v>44477</v>
      </c>
      <c r="C130" s="1" t="n">
        <v>45916</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24331-2025</t>
        </is>
      </c>
      <c r="B131" s="1" t="n">
        <v>45797</v>
      </c>
      <c r="C131" s="1" t="n">
        <v>45916</v>
      </c>
      <c r="D131" t="inlineStr">
        <is>
          <t>JÄMTLANDS LÄN</t>
        </is>
      </c>
      <c r="E131" t="inlineStr">
        <is>
          <t>BERG</t>
        </is>
      </c>
      <c r="G131" t="n">
        <v>9</v>
      </c>
      <c r="H131" t="n">
        <v>1</v>
      </c>
      <c r="I131" t="n">
        <v>0</v>
      </c>
      <c r="J131" t="n">
        <v>0</v>
      </c>
      <c r="K131" t="n">
        <v>0</v>
      </c>
      <c r="L131" t="n">
        <v>0</v>
      </c>
      <c r="M131" t="n">
        <v>0</v>
      </c>
      <c r="N131" t="n">
        <v>0</v>
      </c>
      <c r="O131" t="n">
        <v>0</v>
      </c>
      <c r="P131" t="n">
        <v>0</v>
      </c>
      <c r="Q131" t="n">
        <v>1</v>
      </c>
      <c r="R131" s="2" t="inlineStr">
        <is>
          <t>Blåsippa</t>
        </is>
      </c>
      <c r="S131">
        <f>HYPERLINK("https://klasma.github.io/Logging_2326/artfynd/A 24331-2025 artfynd.xlsx", "A 24331-2025")</f>
        <v/>
      </c>
      <c r="T131">
        <f>HYPERLINK("https://klasma.github.io/Logging_2326/kartor/A 24331-2025 karta.png", "A 24331-2025")</f>
        <v/>
      </c>
      <c r="V131">
        <f>HYPERLINK("https://klasma.github.io/Logging_2326/klagomål/A 24331-2025 FSC-klagomål.docx", "A 24331-2025")</f>
        <v/>
      </c>
      <c r="W131">
        <f>HYPERLINK("https://klasma.github.io/Logging_2326/klagomålsmail/A 24331-2025 FSC-klagomål mail.docx", "A 24331-2025")</f>
        <v/>
      </c>
      <c r="X131">
        <f>HYPERLINK("https://klasma.github.io/Logging_2326/tillsyn/A 24331-2025 tillsynsbegäran.docx", "A 24331-2025")</f>
        <v/>
      </c>
      <c r="Y131">
        <f>HYPERLINK("https://klasma.github.io/Logging_2326/tillsynsmail/A 24331-2025 tillsynsbegäran mail.docx", "A 24331-2025")</f>
        <v/>
      </c>
    </row>
    <row r="132" ht="15" customHeight="1">
      <c r="A132" t="inlineStr">
        <is>
          <t>A 24309-2023</t>
        </is>
      </c>
      <c r="B132" s="1" t="n">
        <v>45079</v>
      </c>
      <c r="C132" s="1" t="n">
        <v>45916</v>
      </c>
      <c r="D132" t="inlineStr">
        <is>
          <t>JÄMTLANDS LÄN</t>
        </is>
      </c>
      <c r="E132" t="inlineStr">
        <is>
          <t>BERG</t>
        </is>
      </c>
      <c r="F132" t="inlineStr">
        <is>
          <t>SCA</t>
        </is>
      </c>
      <c r="G132" t="n">
        <v>3.3</v>
      </c>
      <c r="H132" t="n">
        <v>1</v>
      </c>
      <c r="I132" t="n">
        <v>0</v>
      </c>
      <c r="J132" t="n">
        <v>0</v>
      </c>
      <c r="K132" t="n">
        <v>0</v>
      </c>
      <c r="L132" t="n">
        <v>0</v>
      </c>
      <c r="M132" t="n">
        <v>0</v>
      </c>
      <c r="N132" t="n">
        <v>0</v>
      </c>
      <c r="O132" t="n">
        <v>0</v>
      </c>
      <c r="P132" t="n">
        <v>0</v>
      </c>
      <c r="Q132" t="n">
        <v>1</v>
      </c>
      <c r="R132" s="2" t="inlineStr">
        <is>
          <t>Vanlig groda</t>
        </is>
      </c>
      <c r="S132">
        <f>HYPERLINK("https://klasma.github.io/Logging_2326/artfynd/A 24309-2023 artfynd.xlsx", "A 24309-2023")</f>
        <v/>
      </c>
      <c r="T132">
        <f>HYPERLINK("https://klasma.github.io/Logging_2326/kartor/A 24309-2023 karta.png", "A 24309-2023")</f>
        <v/>
      </c>
      <c r="V132">
        <f>HYPERLINK("https://klasma.github.io/Logging_2326/klagomål/A 24309-2023 FSC-klagomål.docx", "A 24309-2023")</f>
        <v/>
      </c>
      <c r="W132">
        <f>HYPERLINK("https://klasma.github.io/Logging_2326/klagomålsmail/A 24309-2023 FSC-klagomål mail.docx", "A 24309-2023")</f>
        <v/>
      </c>
      <c r="X132">
        <f>HYPERLINK("https://klasma.github.io/Logging_2326/tillsyn/A 24309-2023 tillsynsbegäran.docx", "A 24309-2023")</f>
        <v/>
      </c>
      <c r="Y132">
        <f>HYPERLINK("https://klasma.github.io/Logging_2326/tillsynsmail/A 24309-2023 tillsynsbegäran mail.docx", "A 24309-2023")</f>
        <v/>
      </c>
    </row>
    <row r="133" ht="15" customHeight="1">
      <c r="A133" t="inlineStr">
        <is>
          <t>A 32686-2022</t>
        </is>
      </c>
      <c r="B133" s="1" t="n">
        <v>44776</v>
      </c>
      <c r="C133" s="1" t="n">
        <v>45916</v>
      </c>
      <c r="D133" t="inlineStr">
        <is>
          <t>JÄMTLANDS LÄN</t>
        </is>
      </c>
      <c r="E133" t="inlineStr">
        <is>
          <t>BERG</t>
        </is>
      </c>
      <c r="G133" t="n">
        <v>4.8</v>
      </c>
      <c r="H133" t="n">
        <v>1</v>
      </c>
      <c r="I133" t="n">
        <v>0</v>
      </c>
      <c r="J133" t="n">
        <v>0</v>
      </c>
      <c r="K133" t="n">
        <v>1</v>
      </c>
      <c r="L133" t="n">
        <v>0</v>
      </c>
      <c r="M133" t="n">
        <v>0</v>
      </c>
      <c r="N133" t="n">
        <v>0</v>
      </c>
      <c r="O133" t="n">
        <v>1</v>
      </c>
      <c r="P133" t="n">
        <v>1</v>
      </c>
      <c r="Q133" t="n">
        <v>1</v>
      </c>
      <c r="R133" s="2" t="inlineStr">
        <is>
          <t>Knärot</t>
        </is>
      </c>
      <c r="S133">
        <f>HYPERLINK("https://klasma.github.io/Logging_2326/artfynd/A 32686-2022 artfynd.xlsx", "A 32686-2022")</f>
        <v/>
      </c>
      <c r="T133">
        <f>HYPERLINK("https://klasma.github.io/Logging_2326/kartor/A 32686-2022 karta.png", "A 32686-2022")</f>
        <v/>
      </c>
      <c r="U133">
        <f>HYPERLINK("https://klasma.github.io/Logging_2326/knärot/A 32686-2022 karta knärot.png", "A 32686-2022")</f>
        <v/>
      </c>
      <c r="V133">
        <f>HYPERLINK("https://klasma.github.io/Logging_2326/klagomål/A 32686-2022 FSC-klagomål.docx", "A 32686-2022")</f>
        <v/>
      </c>
      <c r="W133">
        <f>HYPERLINK("https://klasma.github.io/Logging_2326/klagomålsmail/A 32686-2022 FSC-klagomål mail.docx", "A 32686-2022")</f>
        <v/>
      </c>
      <c r="X133">
        <f>HYPERLINK("https://klasma.github.io/Logging_2326/tillsyn/A 32686-2022 tillsynsbegäran.docx", "A 32686-2022")</f>
        <v/>
      </c>
      <c r="Y133">
        <f>HYPERLINK("https://klasma.github.io/Logging_2326/tillsynsmail/A 32686-2022 tillsynsbegäran mail.docx", "A 32686-2022")</f>
        <v/>
      </c>
    </row>
    <row r="134" ht="15" customHeight="1">
      <c r="A134" t="inlineStr">
        <is>
          <t>A 49276-2024</t>
        </is>
      </c>
      <c r="B134" s="1" t="n">
        <v>45595.50819444445</v>
      </c>
      <c r="C134" s="1" t="n">
        <v>45916</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25556-2025</t>
        </is>
      </c>
      <c r="B135" s="1" t="n">
        <v>45803.45106481481</v>
      </c>
      <c r="C135" s="1" t="n">
        <v>45916</v>
      </c>
      <c r="D135" t="inlineStr">
        <is>
          <t>JÄMTLANDS LÄN</t>
        </is>
      </c>
      <c r="E135" t="inlineStr">
        <is>
          <t>BERG</t>
        </is>
      </c>
      <c r="G135" t="n">
        <v>6.2</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25556-2025 artfynd.xlsx", "A 25556-2025")</f>
        <v/>
      </c>
      <c r="T135">
        <f>HYPERLINK("https://klasma.github.io/Logging_2326/kartor/A 25556-2025 karta.png", "A 25556-2025")</f>
        <v/>
      </c>
      <c r="V135">
        <f>HYPERLINK("https://klasma.github.io/Logging_2326/klagomål/A 25556-2025 FSC-klagomål.docx", "A 25556-2025")</f>
        <v/>
      </c>
      <c r="W135">
        <f>HYPERLINK("https://klasma.github.io/Logging_2326/klagomålsmail/A 25556-2025 FSC-klagomål mail.docx", "A 25556-2025")</f>
        <v/>
      </c>
      <c r="X135">
        <f>HYPERLINK("https://klasma.github.io/Logging_2326/tillsyn/A 25556-2025 tillsynsbegäran.docx", "A 25556-2025")</f>
        <v/>
      </c>
      <c r="Y135">
        <f>HYPERLINK("https://klasma.github.io/Logging_2326/tillsynsmail/A 25556-2025 tillsynsbegäran mail.docx", "A 25556-2025")</f>
        <v/>
      </c>
      <c r="Z135">
        <f>HYPERLINK("https://klasma.github.io/Logging_2326/fåglar/A 25556-2025 prioriterade fågelarter.docx", "A 25556-2025")</f>
        <v/>
      </c>
    </row>
    <row r="136" ht="15" customHeight="1">
      <c r="A136" t="inlineStr">
        <is>
          <t>A 68434-2021</t>
        </is>
      </c>
      <c r="B136" s="1" t="n">
        <v>44529</v>
      </c>
      <c r="C136" s="1" t="n">
        <v>45916</v>
      </c>
      <c r="D136" t="inlineStr">
        <is>
          <t>JÄMTLANDS LÄN</t>
        </is>
      </c>
      <c r="E136" t="inlineStr">
        <is>
          <t>BERG</t>
        </is>
      </c>
      <c r="G136" t="n">
        <v>14</v>
      </c>
      <c r="H136" t="n">
        <v>0</v>
      </c>
      <c r="I136" t="n">
        <v>0</v>
      </c>
      <c r="J136" t="n">
        <v>0</v>
      </c>
      <c r="K136" t="n">
        <v>1</v>
      </c>
      <c r="L136" t="n">
        <v>0</v>
      </c>
      <c r="M136" t="n">
        <v>0</v>
      </c>
      <c r="N136" t="n">
        <v>0</v>
      </c>
      <c r="O136" t="n">
        <v>1</v>
      </c>
      <c r="P136" t="n">
        <v>1</v>
      </c>
      <c r="Q136" t="n">
        <v>1</v>
      </c>
      <c r="R136" s="2" t="inlineStr">
        <is>
          <t>Ostticka</t>
        </is>
      </c>
      <c r="S136">
        <f>HYPERLINK("https://klasma.github.io/Logging_2326/artfynd/A 68434-2021 artfynd.xlsx", "A 68434-2021")</f>
        <v/>
      </c>
      <c r="T136">
        <f>HYPERLINK("https://klasma.github.io/Logging_2326/kartor/A 68434-2021 karta.png", "A 68434-2021")</f>
        <v/>
      </c>
      <c r="V136">
        <f>HYPERLINK("https://klasma.github.io/Logging_2326/klagomål/A 68434-2021 FSC-klagomål.docx", "A 68434-2021")</f>
        <v/>
      </c>
      <c r="W136">
        <f>HYPERLINK("https://klasma.github.io/Logging_2326/klagomålsmail/A 68434-2021 FSC-klagomål mail.docx", "A 68434-2021")</f>
        <v/>
      </c>
      <c r="X136">
        <f>HYPERLINK("https://klasma.github.io/Logging_2326/tillsyn/A 68434-2021 tillsynsbegäran.docx", "A 68434-2021")</f>
        <v/>
      </c>
      <c r="Y136">
        <f>HYPERLINK("https://klasma.github.io/Logging_2326/tillsynsmail/A 68434-2021 tillsynsbegäran mail.docx", "A 68434-2021")</f>
        <v/>
      </c>
    </row>
    <row r="137" ht="15" customHeight="1">
      <c r="A137" t="inlineStr">
        <is>
          <t>A 54595-2024</t>
        </is>
      </c>
      <c r="B137" s="1" t="n">
        <v>45617.67353009259</v>
      </c>
      <c r="C137" s="1" t="n">
        <v>45916</v>
      </c>
      <c r="D137" t="inlineStr">
        <is>
          <t>JÄMTLANDS LÄN</t>
        </is>
      </c>
      <c r="E137" t="inlineStr">
        <is>
          <t>BERG</t>
        </is>
      </c>
      <c r="G137" t="n">
        <v>4.4</v>
      </c>
      <c r="H137" t="n">
        <v>1</v>
      </c>
      <c r="I137" t="n">
        <v>0</v>
      </c>
      <c r="J137" t="n">
        <v>0</v>
      </c>
      <c r="K137" t="n">
        <v>0</v>
      </c>
      <c r="L137" t="n">
        <v>0</v>
      </c>
      <c r="M137" t="n">
        <v>0</v>
      </c>
      <c r="N137" t="n">
        <v>0</v>
      </c>
      <c r="O137" t="n">
        <v>0</v>
      </c>
      <c r="P137" t="n">
        <v>0</v>
      </c>
      <c r="Q137" t="n">
        <v>1</v>
      </c>
      <c r="R137" s="2" t="inlineStr">
        <is>
          <t>Tjäder</t>
        </is>
      </c>
      <c r="S137">
        <f>HYPERLINK("https://klasma.github.io/Logging_2326/artfynd/A 54595-2024 artfynd.xlsx", "A 54595-2024")</f>
        <v/>
      </c>
      <c r="T137">
        <f>HYPERLINK("https://klasma.github.io/Logging_2326/kartor/A 54595-2024 karta.png", "A 54595-2024")</f>
        <v/>
      </c>
      <c r="V137">
        <f>HYPERLINK("https://klasma.github.io/Logging_2326/klagomål/A 54595-2024 FSC-klagomål.docx", "A 54595-2024")</f>
        <v/>
      </c>
      <c r="W137">
        <f>HYPERLINK("https://klasma.github.io/Logging_2326/klagomålsmail/A 54595-2024 FSC-klagomål mail.docx", "A 54595-2024")</f>
        <v/>
      </c>
      <c r="X137">
        <f>HYPERLINK("https://klasma.github.io/Logging_2326/tillsyn/A 54595-2024 tillsynsbegäran.docx", "A 54595-2024")</f>
        <v/>
      </c>
      <c r="Y137">
        <f>HYPERLINK("https://klasma.github.io/Logging_2326/tillsynsmail/A 54595-2024 tillsynsbegäran mail.docx", "A 54595-2024")</f>
        <v/>
      </c>
      <c r="Z137">
        <f>HYPERLINK("https://klasma.github.io/Logging_2326/fåglar/A 54595-2024 prioriterade fågelarter.docx", "A 54595-2024")</f>
        <v/>
      </c>
    </row>
    <row r="138" ht="15" customHeight="1">
      <c r="A138" t="inlineStr">
        <is>
          <t>A 47-2023</t>
        </is>
      </c>
      <c r="B138" s="1" t="n">
        <v>44928</v>
      </c>
      <c r="C138" s="1" t="n">
        <v>45916</v>
      </c>
      <c r="D138" t="inlineStr">
        <is>
          <t>JÄMTLANDS LÄN</t>
        </is>
      </c>
      <c r="E138" t="inlineStr">
        <is>
          <t>BERG</t>
        </is>
      </c>
      <c r="F138" t="inlineStr">
        <is>
          <t>Naturvårdsverket</t>
        </is>
      </c>
      <c r="G138" t="n">
        <v>1.5</v>
      </c>
      <c r="H138" t="n">
        <v>0</v>
      </c>
      <c r="I138" t="n">
        <v>0</v>
      </c>
      <c r="J138" t="n">
        <v>1</v>
      </c>
      <c r="K138" t="n">
        <v>0</v>
      </c>
      <c r="L138" t="n">
        <v>0</v>
      </c>
      <c r="M138" t="n">
        <v>0</v>
      </c>
      <c r="N138" t="n">
        <v>0</v>
      </c>
      <c r="O138" t="n">
        <v>1</v>
      </c>
      <c r="P138" t="n">
        <v>0</v>
      </c>
      <c r="Q138" t="n">
        <v>1</v>
      </c>
      <c r="R138" s="2" t="inlineStr">
        <is>
          <t>Violettgrå tagellav</t>
        </is>
      </c>
      <c r="S138">
        <f>HYPERLINK("https://klasma.github.io/Logging_2326/artfynd/A 47-2023 artfynd.xlsx", "A 47-2023")</f>
        <v/>
      </c>
      <c r="T138">
        <f>HYPERLINK("https://klasma.github.io/Logging_2326/kartor/A 47-2023 karta.png", "A 47-2023")</f>
        <v/>
      </c>
      <c r="U138">
        <f>HYPERLINK("https://klasma.github.io/Logging_2326/knärot/A 47-2023 karta knärot.png", "A 47-2023")</f>
        <v/>
      </c>
      <c r="V138">
        <f>HYPERLINK("https://klasma.github.io/Logging_2326/klagomål/A 47-2023 FSC-klagomål.docx", "A 47-2023")</f>
        <v/>
      </c>
      <c r="W138">
        <f>HYPERLINK("https://klasma.github.io/Logging_2326/klagomålsmail/A 47-2023 FSC-klagomål mail.docx", "A 47-2023")</f>
        <v/>
      </c>
      <c r="X138">
        <f>HYPERLINK("https://klasma.github.io/Logging_2326/tillsyn/A 47-2023 tillsynsbegäran.docx", "A 47-2023")</f>
        <v/>
      </c>
      <c r="Y138">
        <f>HYPERLINK("https://klasma.github.io/Logging_2326/tillsynsmail/A 47-2023 tillsynsbegäran mail.docx", "A 47-2023")</f>
        <v/>
      </c>
    </row>
    <row r="139" ht="15" customHeight="1">
      <c r="A139" t="inlineStr">
        <is>
          <t>A 52193-2024</t>
        </is>
      </c>
      <c r="B139" s="1" t="n">
        <v>45608</v>
      </c>
      <c r="C139" s="1" t="n">
        <v>45916</v>
      </c>
      <c r="D139" t="inlineStr">
        <is>
          <t>JÄMTLANDS LÄN</t>
        </is>
      </c>
      <c r="E139" t="inlineStr">
        <is>
          <t>BERG</t>
        </is>
      </c>
      <c r="G139" t="n">
        <v>7.4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52193-2024 artfynd.xlsx", "A 52193-2024")</f>
        <v/>
      </c>
      <c r="T139">
        <f>HYPERLINK("https://klasma.github.io/Logging_2326/kartor/A 52193-2024 karta.png", "A 52193-2024")</f>
        <v/>
      </c>
      <c r="V139">
        <f>HYPERLINK("https://klasma.github.io/Logging_2326/klagomål/A 52193-2024 FSC-klagomål.docx", "A 52193-2024")</f>
        <v/>
      </c>
      <c r="W139">
        <f>HYPERLINK("https://klasma.github.io/Logging_2326/klagomålsmail/A 52193-2024 FSC-klagomål mail.docx", "A 52193-2024")</f>
        <v/>
      </c>
      <c r="X139">
        <f>HYPERLINK("https://klasma.github.io/Logging_2326/tillsyn/A 52193-2024 tillsynsbegäran.docx", "A 52193-2024")</f>
        <v/>
      </c>
      <c r="Y139">
        <f>HYPERLINK("https://klasma.github.io/Logging_2326/tillsynsmail/A 52193-2024 tillsynsbegäran mail.docx", "A 52193-2024")</f>
        <v/>
      </c>
      <c r="Z139">
        <f>HYPERLINK("https://klasma.github.io/Logging_2326/fåglar/A 52193-2024 prioriterade fågelarter.docx", "A 52193-2024")</f>
        <v/>
      </c>
    </row>
    <row r="140" ht="15" customHeight="1">
      <c r="A140" t="inlineStr">
        <is>
          <t>A 44259-2024</t>
        </is>
      </c>
      <c r="B140" s="1" t="n">
        <v>45573</v>
      </c>
      <c r="C140" s="1" t="n">
        <v>45916</v>
      </c>
      <c r="D140" t="inlineStr">
        <is>
          <t>JÄMTLANDS LÄN</t>
        </is>
      </c>
      <c r="E140" t="inlineStr">
        <is>
          <t>BERG</t>
        </is>
      </c>
      <c r="G140" t="n">
        <v>1.4</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44259-2024 artfynd.xlsx", "A 44259-2024")</f>
        <v/>
      </c>
      <c r="T140">
        <f>HYPERLINK("https://klasma.github.io/Logging_2326/kartor/A 44259-2024 karta.png", "A 44259-2024")</f>
        <v/>
      </c>
      <c r="V140">
        <f>HYPERLINK("https://klasma.github.io/Logging_2326/klagomål/A 44259-2024 FSC-klagomål.docx", "A 44259-2024")</f>
        <v/>
      </c>
      <c r="W140">
        <f>HYPERLINK("https://klasma.github.io/Logging_2326/klagomålsmail/A 44259-2024 FSC-klagomål mail.docx", "A 44259-2024")</f>
        <v/>
      </c>
      <c r="X140">
        <f>HYPERLINK("https://klasma.github.io/Logging_2326/tillsyn/A 44259-2024 tillsynsbegäran.docx", "A 44259-2024")</f>
        <v/>
      </c>
      <c r="Y140">
        <f>HYPERLINK("https://klasma.github.io/Logging_2326/tillsynsmail/A 44259-2024 tillsynsbegäran mail.docx", "A 44259-2024")</f>
        <v/>
      </c>
      <c r="Z140">
        <f>HYPERLINK("https://klasma.github.io/Logging_2326/fåglar/A 44259-2024 prioriterade fågelarter.docx", "A 44259-2024")</f>
        <v/>
      </c>
    </row>
    <row r="141" ht="15" customHeight="1">
      <c r="A141" t="inlineStr">
        <is>
          <t>A 32171-2024</t>
        </is>
      </c>
      <c r="B141" s="1" t="n">
        <v>45511</v>
      </c>
      <c r="C141" s="1" t="n">
        <v>45916</v>
      </c>
      <c r="D141" t="inlineStr">
        <is>
          <t>JÄMTLANDS LÄN</t>
        </is>
      </c>
      <c r="E141" t="inlineStr">
        <is>
          <t>BERG</t>
        </is>
      </c>
      <c r="G141" t="n">
        <v>9.699999999999999</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32171-2024 artfynd.xlsx", "A 32171-2024")</f>
        <v/>
      </c>
      <c r="T141">
        <f>HYPERLINK("https://klasma.github.io/Logging_2326/kartor/A 32171-2024 karta.png", "A 32171-2024")</f>
        <v/>
      </c>
      <c r="V141">
        <f>HYPERLINK("https://klasma.github.io/Logging_2326/klagomål/A 32171-2024 FSC-klagomål.docx", "A 32171-2024")</f>
        <v/>
      </c>
      <c r="W141">
        <f>HYPERLINK("https://klasma.github.io/Logging_2326/klagomålsmail/A 32171-2024 FSC-klagomål mail.docx", "A 32171-2024")</f>
        <v/>
      </c>
      <c r="X141">
        <f>HYPERLINK("https://klasma.github.io/Logging_2326/tillsyn/A 32171-2024 tillsynsbegäran.docx", "A 32171-2024")</f>
        <v/>
      </c>
      <c r="Y141">
        <f>HYPERLINK("https://klasma.github.io/Logging_2326/tillsynsmail/A 32171-2024 tillsynsbegäran mail.docx", "A 32171-2024")</f>
        <v/>
      </c>
      <c r="Z141">
        <f>HYPERLINK("https://klasma.github.io/Logging_2326/fåglar/A 32171-2024 prioriterade fågelarter.docx", "A 32171-2024")</f>
        <v/>
      </c>
    </row>
    <row r="142" ht="15" customHeight="1">
      <c r="A142" t="inlineStr">
        <is>
          <t>A 33083-2024</t>
        </is>
      </c>
      <c r="B142" s="1" t="n">
        <v>45517.675</v>
      </c>
      <c r="C142" s="1" t="n">
        <v>45916</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40440-2024</t>
        </is>
      </c>
      <c r="B143" s="1" t="n">
        <v>45555.48267361111</v>
      </c>
      <c r="C143" s="1" t="n">
        <v>45916</v>
      </c>
      <c r="D143" t="inlineStr">
        <is>
          <t>JÄMTLANDS LÄN</t>
        </is>
      </c>
      <c r="E143" t="inlineStr">
        <is>
          <t>BERG</t>
        </is>
      </c>
      <c r="G143" t="n">
        <v>3.6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40440-2024 artfynd.xlsx", "A 40440-2024")</f>
        <v/>
      </c>
      <c r="T143">
        <f>HYPERLINK("https://klasma.github.io/Logging_2326/kartor/A 40440-2024 karta.png", "A 40440-2024")</f>
        <v/>
      </c>
      <c r="V143">
        <f>HYPERLINK("https://klasma.github.io/Logging_2326/klagomål/A 40440-2024 FSC-klagomål.docx", "A 40440-2024")</f>
        <v/>
      </c>
      <c r="W143">
        <f>HYPERLINK("https://klasma.github.io/Logging_2326/klagomålsmail/A 40440-2024 FSC-klagomål mail.docx", "A 40440-2024")</f>
        <v/>
      </c>
      <c r="X143">
        <f>HYPERLINK("https://klasma.github.io/Logging_2326/tillsyn/A 40440-2024 tillsynsbegäran.docx", "A 40440-2024")</f>
        <v/>
      </c>
      <c r="Y143">
        <f>HYPERLINK("https://klasma.github.io/Logging_2326/tillsynsmail/A 40440-2024 tillsynsbegäran mail.docx", "A 40440-2024")</f>
        <v/>
      </c>
    </row>
    <row r="144" ht="15" customHeight="1">
      <c r="A144" t="inlineStr">
        <is>
          <t>A 31837-2025</t>
        </is>
      </c>
      <c r="B144" s="1" t="n">
        <v>45834.59467592592</v>
      </c>
      <c r="C144" s="1" t="n">
        <v>45916</v>
      </c>
      <c r="D144" t="inlineStr">
        <is>
          <t>JÄMTLANDS LÄN</t>
        </is>
      </c>
      <c r="E144" t="inlineStr">
        <is>
          <t>BERG</t>
        </is>
      </c>
      <c r="F144" t="inlineStr">
        <is>
          <t>SCA</t>
        </is>
      </c>
      <c r="G144" t="n">
        <v>12.2</v>
      </c>
      <c r="H144" t="n">
        <v>0</v>
      </c>
      <c r="I144" t="n">
        <v>0</v>
      </c>
      <c r="J144" t="n">
        <v>0</v>
      </c>
      <c r="K144" t="n">
        <v>1</v>
      </c>
      <c r="L144" t="n">
        <v>0</v>
      </c>
      <c r="M144" t="n">
        <v>0</v>
      </c>
      <c r="N144" t="n">
        <v>0</v>
      </c>
      <c r="O144" t="n">
        <v>1</v>
      </c>
      <c r="P144" t="n">
        <v>1</v>
      </c>
      <c r="Q144" t="n">
        <v>1</v>
      </c>
      <c r="R144" s="2" t="inlineStr">
        <is>
          <t>Gräddporing</t>
        </is>
      </c>
      <c r="S144">
        <f>HYPERLINK("https://klasma.github.io/Logging_2326/artfynd/A 31837-2025 artfynd.xlsx", "A 31837-2025")</f>
        <v/>
      </c>
      <c r="T144">
        <f>HYPERLINK("https://klasma.github.io/Logging_2326/kartor/A 31837-2025 karta.png", "A 31837-2025")</f>
        <v/>
      </c>
      <c r="V144">
        <f>HYPERLINK("https://klasma.github.io/Logging_2326/klagomål/A 31837-2025 FSC-klagomål.docx", "A 31837-2025")</f>
        <v/>
      </c>
      <c r="W144">
        <f>HYPERLINK("https://klasma.github.io/Logging_2326/klagomålsmail/A 31837-2025 FSC-klagomål mail.docx", "A 31837-2025")</f>
        <v/>
      </c>
      <c r="X144">
        <f>HYPERLINK("https://klasma.github.io/Logging_2326/tillsyn/A 31837-2025 tillsynsbegäran.docx", "A 31837-2025")</f>
        <v/>
      </c>
      <c r="Y144">
        <f>HYPERLINK("https://klasma.github.io/Logging_2326/tillsynsmail/A 31837-2025 tillsynsbegäran mail.docx", "A 31837-2025")</f>
        <v/>
      </c>
    </row>
    <row r="145" ht="15" customHeight="1">
      <c r="A145" t="inlineStr">
        <is>
          <t>A 12733-2024</t>
        </is>
      </c>
      <c r="B145" s="1" t="n">
        <v>45384</v>
      </c>
      <c r="C145" s="1" t="n">
        <v>45916</v>
      </c>
      <c r="D145" t="inlineStr">
        <is>
          <t>JÄMTLANDS LÄN</t>
        </is>
      </c>
      <c r="E145" t="inlineStr">
        <is>
          <t>BERG</t>
        </is>
      </c>
      <c r="G145" t="n">
        <v>9.9</v>
      </c>
      <c r="H145" t="n">
        <v>0</v>
      </c>
      <c r="I145" t="n">
        <v>0</v>
      </c>
      <c r="J145" t="n">
        <v>1</v>
      </c>
      <c r="K145" t="n">
        <v>0</v>
      </c>
      <c r="L145" t="n">
        <v>0</v>
      </c>
      <c r="M145" t="n">
        <v>0</v>
      </c>
      <c r="N145" t="n">
        <v>0</v>
      </c>
      <c r="O145" t="n">
        <v>1</v>
      </c>
      <c r="P145" t="n">
        <v>0</v>
      </c>
      <c r="Q145" t="n">
        <v>1</v>
      </c>
      <c r="R145" s="2" t="inlineStr">
        <is>
          <t>Lunglav</t>
        </is>
      </c>
      <c r="S145">
        <f>HYPERLINK("https://klasma.github.io/Logging_2326/artfynd/A 12733-2024 artfynd.xlsx", "A 12733-2024")</f>
        <v/>
      </c>
      <c r="T145">
        <f>HYPERLINK("https://klasma.github.io/Logging_2326/kartor/A 12733-2024 karta.png", "A 12733-2024")</f>
        <v/>
      </c>
      <c r="V145">
        <f>HYPERLINK("https://klasma.github.io/Logging_2326/klagomål/A 12733-2024 FSC-klagomål.docx", "A 12733-2024")</f>
        <v/>
      </c>
      <c r="W145">
        <f>HYPERLINK("https://klasma.github.io/Logging_2326/klagomålsmail/A 12733-2024 FSC-klagomål mail.docx", "A 12733-2024")</f>
        <v/>
      </c>
      <c r="X145">
        <f>HYPERLINK("https://klasma.github.io/Logging_2326/tillsyn/A 12733-2024 tillsynsbegäran.docx", "A 12733-2024")</f>
        <v/>
      </c>
      <c r="Y145">
        <f>HYPERLINK("https://klasma.github.io/Logging_2326/tillsynsmail/A 12733-2024 tillsynsbegäran mail.docx", "A 12733-2024")</f>
        <v/>
      </c>
    </row>
    <row r="146" ht="15" customHeight="1">
      <c r="A146" t="inlineStr">
        <is>
          <t>A 37513-2025</t>
        </is>
      </c>
      <c r="B146" s="1" t="n">
        <v>45877.69828703703</v>
      </c>
      <c r="C146" s="1" t="n">
        <v>45916</v>
      </c>
      <c r="D146" t="inlineStr">
        <is>
          <t>JÄMTLANDS LÄN</t>
        </is>
      </c>
      <c r="E146" t="inlineStr">
        <is>
          <t>BERG</t>
        </is>
      </c>
      <c r="F146" t="inlineStr">
        <is>
          <t>SCA</t>
        </is>
      </c>
      <c r="G146" t="n">
        <v>14.1</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37513-2025 artfynd.xlsx", "A 37513-2025")</f>
        <v/>
      </c>
      <c r="T146">
        <f>HYPERLINK("https://klasma.github.io/Logging_2326/kartor/A 37513-2025 karta.png", "A 37513-2025")</f>
        <v/>
      </c>
      <c r="V146">
        <f>HYPERLINK("https://klasma.github.io/Logging_2326/klagomål/A 37513-2025 FSC-klagomål.docx", "A 37513-2025")</f>
        <v/>
      </c>
      <c r="W146">
        <f>HYPERLINK("https://klasma.github.io/Logging_2326/klagomålsmail/A 37513-2025 FSC-klagomål mail.docx", "A 37513-2025")</f>
        <v/>
      </c>
      <c r="X146">
        <f>HYPERLINK("https://klasma.github.io/Logging_2326/tillsyn/A 37513-2025 tillsynsbegäran.docx", "A 37513-2025")</f>
        <v/>
      </c>
      <c r="Y146">
        <f>HYPERLINK("https://klasma.github.io/Logging_2326/tillsynsmail/A 37513-2025 tillsynsbegäran mail.docx", "A 37513-2025")</f>
        <v/>
      </c>
    </row>
    <row r="147" ht="15" customHeight="1">
      <c r="A147" t="inlineStr">
        <is>
          <t>A 37651-2025</t>
        </is>
      </c>
      <c r="B147" s="1" t="n">
        <v>45880.49006944444</v>
      </c>
      <c r="C147" s="1" t="n">
        <v>45916</v>
      </c>
      <c r="D147" t="inlineStr">
        <is>
          <t>JÄMTLANDS LÄN</t>
        </is>
      </c>
      <c r="E147" t="inlineStr">
        <is>
          <t>BERG</t>
        </is>
      </c>
      <c r="F147" t="inlineStr">
        <is>
          <t>SCA</t>
        </is>
      </c>
      <c r="G147" t="n">
        <v>8.5</v>
      </c>
      <c r="H147" t="n">
        <v>0</v>
      </c>
      <c r="I147" t="n">
        <v>0</v>
      </c>
      <c r="J147" t="n">
        <v>1</v>
      </c>
      <c r="K147" t="n">
        <v>0</v>
      </c>
      <c r="L147" t="n">
        <v>0</v>
      </c>
      <c r="M147" t="n">
        <v>0</v>
      </c>
      <c r="N147" t="n">
        <v>0</v>
      </c>
      <c r="O147" t="n">
        <v>1</v>
      </c>
      <c r="P147" t="n">
        <v>0</v>
      </c>
      <c r="Q147" t="n">
        <v>1</v>
      </c>
      <c r="R147" s="2" t="inlineStr">
        <is>
          <t>Vedflamlav</t>
        </is>
      </c>
      <c r="S147">
        <f>HYPERLINK("https://klasma.github.io/Logging_2326/artfynd/A 37651-2025 artfynd.xlsx", "A 37651-2025")</f>
        <v/>
      </c>
      <c r="T147">
        <f>HYPERLINK("https://klasma.github.io/Logging_2326/kartor/A 37651-2025 karta.png", "A 37651-2025")</f>
        <v/>
      </c>
      <c r="V147">
        <f>HYPERLINK("https://klasma.github.io/Logging_2326/klagomål/A 37651-2025 FSC-klagomål.docx", "A 37651-2025")</f>
        <v/>
      </c>
      <c r="W147">
        <f>HYPERLINK("https://klasma.github.io/Logging_2326/klagomålsmail/A 37651-2025 FSC-klagomål mail.docx", "A 37651-2025")</f>
        <v/>
      </c>
      <c r="X147">
        <f>HYPERLINK("https://klasma.github.io/Logging_2326/tillsyn/A 37651-2025 tillsynsbegäran.docx", "A 37651-2025")</f>
        <v/>
      </c>
      <c r="Y147">
        <f>HYPERLINK("https://klasma.github.io/Logging_2326/tillsynsmail/A 37651-2025 tillsynsbegäran mail.docx", "A 37651-2025")</f>
        <v/>
      </c>
    </row>
    <row r="148" ht="15" customHeight="1">
      <c r="A148" t="inlineStr">
        <is>
          <t>A 33501-2025</t>
        </is>
      </c>
      <c r="B148" s="1" t="n">
        <v>45841</v>
      </c>
      <c r="C148" s="1" t="n">
        <v>45916</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21370-2025</t>
        </is>
      </c>
      <c r="B149" s="1" t="n">
        <v>45782.4484375</v>
      </c>
      <c r="C149" s="1" t="n">
        <v>45916</v>
      </c>
      <c r="D149" t="inlineStr">
        <is>
          <t>JÄMTLANDS LÄN</t>
        </is>
      </c>
      <c r="E149" t="inlineStr">
        <is>
          <t>BERG</t>
        </is>
      </c>
      <c r="F149" t="inlineStr">
        <is>
          <t>SCA</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21370-2025 artfynd.xlsx", "A 21370-2025")</f>
        <v/>
      </c>
      <c r="T149">
        <f>HYPERLINK("https://klasma.github.io/Logging_2326/kartor/A 21370-2025 karta.png", "A 21370-2025")</f>
        <v/>
      </c>
      <c r="V149">
        <f>HYPERLINK("https://klasma.github.io/Logging_2326/klagomål/A 21370-2025 FSC-klagomål.docx", "A 21370-2025")</f>
        <v/>
      </c>
      <c r="W149">
        <f>HYPERLINK("https://klasma.github.io/Logging_2326/klagomålsmail/A 21370-2025 FSC-klagomål mail.docx", "A 21370-2025")</f>
        <v/>
      </c>
      <c r="X149">
        <f>HYPERLINK("https://klasma.github.io/Logging_2326/tillsyn/A 21370-2025 tillsynsbegäran.docx", "A 21370-2025")</f>
        <v/>
      </c>
      <c r="Y149">
        <f>HYPERLINK("https://klasma.github.io/Logging_2326/tillsynsmail/A 21370-2025 tillsynsbegäran mail.docx", "A 21370-2025")</f>
        <v/>
      </c>
      <c r="Z149">
        <f>HYPERLINK("https://klasma.github.io/Logging_2326/fåglar/A 21370-2025 prioriterade fågelarter.docx", "A 21370-2025")</f>
        <v/>
      </c>
    </row>
    <row r="150" ht="15" customHeight="1">
      <c r="A150" t="inlineStr">
        <is>
          <t>A 21632-2025</t>
        </is>
      </c>
      <c r="B150" s="1" t="n">
        <v>45783.42753472222</v>
      </c>
      <c r="C150" s="1" t="n">
        <v>45916</v>
      </c>
      <c r="D150" t="inlineStr">
        <is>
          <t>JÄMTLANDS LÄN</t>
        </is>
      </c>
      <c r="E150" t="inlineStr">
        <is>
          <t>BERG</t>
        </is>
      </c>
      <c r="F150" t="inlineStr">
        <is>
          <t>SCA</t>
        </is>
      </c>
      <c r="G150" t="n">
        <v>2.9</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21632-2025 artfynd.xlsx", "A 21632-2025")</f>
        <v/>
      </c>
      <c r="T150">
        <f>HYPERLINK("https://klasma.github.io/Logging_2326/kartor/A 21632-2025 karta.png", "A 21632-2025")</f>
        <v/>
      </c>
      <c r="V150">
        <f>HYPERLINK("https://klasma.github.io/Logging_2326/klagomål/A 21632-2025 FSC-klagomål.docx", "A 21632-2025")</f>
        <v/>
      </c>
      <c r="W150">
        <f>HYPERLINK("https://klasma.github.io/Logging_2326/klagomålsmail/A 21632-2025 FSC-klagomål mail.docx", "A 21632-2025")</f>
        <v/>
      </c>
      <c r="X150">
        <f>HYPERLINK("https://klasma.github.io/Logging_2326/tillsyn/A 21632-2025 tillsynsbegäran.docx", "A 21632-2025")</f>
        <v/>
      </c>
      <c r="Y150">
        <f>HYPERLINK("https://klasma.github.io/Logging_2326/tillsynsmail/A 21632-2025 tillsynsbegäran mail.docx", "A 21632-2025")</f>
        <v/>
      </c>
      <c r="Z150">
        <f>HYPERLINK("https://klasma.github.io/Logging_2326/fåglar/A 21632-2025 prioriterade fågelarter.docx", "A 21632-2025")</f>
        <v/>
      </c>
    </row>
    <row r="151" ht="15" customHeight="1">
      <c r="A151" t="inlineStr">
        <is>
          <t>A 39001-2025</t>
        </is>
      </c>
      <c r="B151" s="1" t="n">
        <v>45888.344375</v>
      </c>
      <c r="C151" s="1" t="n">
        <v>45916</v>
      </c>
      <c r="D151" t="inlineStr">
        <is>
          <t>JÄMTLANDS LÄN</t>
        </is>
      </c>
      <c r="E151" t="inlineStr">
        <is>
          <t>BERG</t>
        </is>
      </c>
      <c r="F151" t="inlineStr">
        <is>
          <t>SCA</t>
        </is>
      </c>
      <c r="G151" t="n">
        <v>4.4</v>
      </c>
      <c r="H151" t="n">
        <v>0</v>
      </c>
      <c r="I151" t="n">
        <v>0</v>
      </c>
      <c r="J151" t="n">
        <v>1</v>
      </c>
      <c r="K151" t="n">
        <v>0</v>
      </c>
      <c r="L151" t="n">
        <v>0</v>
      </c>
      <c r="M151" t="n">
        <v>0</v>
      </c>
      <c r="N151" t="n">
        <v>0</v>
      </c>
      <c r="O151" t="n">
        <v>1</v>
      </c>
      <c r="P151" t="n">
        <v>0</v>
      </c>
      <c r="Q151" t="n">
        <v>1</v>
      </c>
      <c r="R151" s="2" t="inlineStr">
        <is>
          <t>Vedflamlav</t>
        </is>
      </c>
      <c r="S151">
        <f>HYPERLINK("https://klasma.github.io/Logging_2326/artfynd/A 39001-2025 artfynd.xlsx", "A 39001-2025")</f>
        <v/>
      </c>
      <c r="T151">
        <f>HYPERLINK("https://klasma.github.io/Logging_2326/kartor/A 39001-2025 karta.png", "A 39001-2025")</f>
        <v/>
      </c>
      <c r="V151">
        <f>HYPERLINK("https://klasma.github.io/Logging_2326/klagomål/A 39001-2025 FSC-klagomål.docx", "A 39001-2025")</f>
        <v/>
      </c>
      <c r="W151">
        <f>HYPERLINK("https://klasma.github.io/Logging_2326/klagomålsmail/A 39001-2025 FSC-klagomål mail.docx", "A 39001-2025")</f>
        <v/>
      </c>
      <c r="X151">
        <f>HYPERLINK("https://klasma.github.io/Logging_2326/tillsyn/A 39001-2025 tillsynsbegäran.docx", "A 39001-2025")</f>
        <v/>
      </c>
      <c r="Y151">
        <f>HYPERLINK("https://klasma.github.io/Logging_2326/tillsynsmail/A 39001-2025 tillsynsbegäran mail.docx", "A 39001-2025")</f>
        <v/>
      </c>
    </row>
    <row r="152" ht="15" customHeight="1">
      <c r="A152" t="inlineStr">
        <is>
          <t>A 50556-2024</t>
        </is>
      </c>
      <c r="B152" s="1" t="n">
        <v>45601.59604166666</v>
      </c>
      <c r="C152" s="1" t="n">
        <v>45916</v>
      </c>
      <c r="D152" t="inlineStr">
        <is>
          <t>JÄMTLANDS LÄN</t>
        </is>
      </c>
      <c r="E152" t="inlineStr">
        <is>
          <t>BERG</t>
        </is>
      </c>
      <c r="G152" t="n">
        <v>5.7</v>
      </c>
      <c r="H152" t="n">
        <v>0</v>
      </c>
      <c r="I152" t="n">
        <v>0</v>
      </c>
      <c r="J152" t="n">
        <v>1</v>
      </c>
      <c r="K152" t="n">
        <v>0</v>
      </c>
      <c r="L152" t="n">
        <v>0</v>
      </c>
      <c r="M152" t="n">
        <v>0</v>
      </c>
      <c r="N152" t="n">
        <v>0</v>
      </c>
      <c r="O152" t="n">
        <v>1</v>
      </c>
      <c r="P152" t="n">
        <v>0</v>
      </c>
      <c r="Q152" t="n">
        <v>1</v>
      </c>
      <c r="R152" s="2" t="inlineStr">
        <is>
          <t>Kalkbräken</t>
        </is>
      </c>
      <c r="S152">
        <f>HYPERLINK("https://klasma.github.io/Logging_2326/artfynd/A 50556-2024 artfynd.xlsx", "A 50556-2024")</f>
        <v/>
      </c>
      <c r="T152">
        <f>HYPERLINK("https://klasma.github.io/Logging_2326/kartor/A 50556-2024 karta.png", "A 50556-2024")</f>
        <v/>
      </c>
      <c r="V152">
        <f>HYPERLINK("https://klasma.github.io/Logging_2326/klagomål/A 50556-2024 FSC-klagomål.docx", "A 50556-2024")</f>
        <v/>
      </c>
      <c r="W152">
        <f>HYPERLINK("https://klasma.github.io/Logging_2326/klagomålsmail/A 50556-2024 FSC-klagomål mail.docx", "A 50556-2024")</f>
        <v/>
      </c>
      <c r="X152">
        <f>HYPERLINK("https://klasma.github.io/Logging_2326/tillsyn/A 50556-2024 tillsynsbegäran.docx", "A 50556-2024")</f>
        <v/>
      </c>
      <c r="Y152">
        <f>HYPERLINK("https://klasma.github.io/Logging_2326/tillsynsmail/A 50556-2024 tillsynsbegäran mail.docx", "A 50556-2024")</f>
        <v/>
      </c>
    </row>
    <row r="153" ht="15" customHeight="1">
      <c r="A153" t="inlineStr">
        <is>
          <t>A 20808-2024</t>
        </is>
      </c>
      <c r="B153" s="1" t="n">
        <v>45439</v>
      </c>
      <c r="C153" s="1" t="n">
        <v>45916</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35211-2025</t>
        </is>
      </c>
      <c r="B154" s="1" t="n">
        <v>45853.45060185185</v>
      </c>
      <c r="C154" s="1" t="n">
        <v>45916</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25853-2025</t>
        </is>
      </c>
      <c r="B155" s="1" t="n">
        <v>45804.46908564815</v>
      </c>
      <c r="C155" s="1" t="n">
        <v>45916</v>
      </c>
      <c r="D155" t="inlineStr">
        <is>
          <t>JÄMTLANDS LÄN</t>
        </is>
      </c>
      <c r="E155" t="inlineStr">
        <is>
          <t>BERG</t>
        </is>
      </c>
      <c r="F155" t="inlineStr">
        <is>
          <t>SCA</t>
        </is>
      </c>
      <c r="G155" t="n">
        <v>24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25853-2025 artfynd.xlsx", "A 25853-2025")</f>
        <v/>
      </c>
      <c r="T155">
        <f>HYPERLINK("https://klasma.github.io/Logging_2326/kartor/A 25853-2025 karta.png", "A 25853-2025")</f>
        <v/>
      </c>
      <c r="V155">
        <f>HYPERLINK("https://klasma.github.io/Logging_2326/klagomål/A 25853-2025 FSC-klagomål.docx", "A 25853-2025")</f>
        <v/>
      </c>
      <c r="W155">
        <f>HYPERLINK("https://klasma.github.io/Logging_2326/klagomålsmail/A 25853-2025 FSC-klagomål mail.docx", "A 25853-2025")</f>
        <v/>
      </c>
      <c r="X155">
        <f>HYPERLINK("https://klasma.github.io/Logging_2326/tillsyn/A 25853-2025 tillsynsbegäran.docx", "A 25853-2025")</f>
        <v/>
      </c>
      <c r="Y155">
        <f>HYPERLINK("https://klasma.github.io/Logging_2326/tillsynsmail/A 25853-2025 tillsynsbegäran mail.docx", "A 25853-2025")</f>
        <v/>
      </c>
      <c r="Z155">
        <f>HYPERLINK("https://klasma.github.io/Logging_2326/fåglar/A 25853-2025 prioriterade fågelarter.docx", "A 25853-2025")</f>
        <v/>
      </c>
    </row>
    <row r="156" ht="15" customHeight="1">
      <c r="A156" t="inlineStr">
        <is>
          <t>A 35535-2025</t>
        </is>
      </c>
      <c r="B156" s="1" t="n">
        <v>45856.45047453704</v>
      </c>
      <c r="C156" s="1" t="n">
        <v>45916</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50224-2023</t>
        </is>
      </c>
      <c r="B157" s="1" t="n">
        <v>45215</v>
      </c>
      <c r="C157" s="1" t="n">
        <v>45916</v>
      </c>
      <c r="D157" t="inlineStr">
        <is>
          <t>JÄMTLANDS LÄN</t>
        </is>
      </c>
      <c r="E157" t="inlineStr">
        <is>
          <t>BERG</t>
        </is>
      </c>
      <c r="F157" t="inlineStr">
        <is>
          <t>SCA</t>
        </is>
      </c>
      <c r="G157" t="n">
        <v>10.3</v>
      </c>
      <c r="H157" t="n">
        <v>0</v>
      </c>
      <c r="I157" t="n">
        <v>0</v>
      </c>
      <c r="J157" t="n">
        <v>1</v>
      </c>
      <c r="K157" t="n">
        <v>0</v>
      </c>
      <c r="L157" t="n">
        <v>0</v>
      </c>
      <c r="M157" t="n">
        <v>0</v>
      </c>
      <c r="N157" t="n">
        <v>0</v>
      </c>
      <c r="O157" t="n">
        <v>1</v>
      </c>
      <c r="P157" t="n">
        <v>0</v>
      </c>
      <c r="Q157" t="n">
        <v>1</v>
      </c>
      <c r="R157" s="2" t="inlineStr">
        <is>
          <t>Kolflarnlav</t>
        </is>
      </c>
      <c r="S157">
        <f>HYPERLINK("https://klasma.github.io/Logging_2326/artfynd/A 50224-2023 artfynd.xlsx", "A 50224-2023")</f>
        <v/>
      </c>
      <c r="T157">
        <f>HYPERLINK("https://klasma.github.io/Logging_2326/kartor/A 50224-2023 karta.png", "A 50224-2023")</f>
        <v/>
      </c>
      <c r="V157">
        <f>HYPERLINK("https://klasma.github.io/Logging_2326/klagomål/A 50224-2023 FSC-klagomål.docx", "A 50224-2023")</f>
        <v/>
      </c>
      <c r="W157">
        <f>HYPERLINK("https://klasma.github.io/Logging_2326/klagomålsmail/A 50224-2023 FSC-klagomål mail.docx", "A 50224-2023")</f>
        <v/>
      </c>
      <c r="X157">
        <f>HYPERLINK("https://klasma.github.io/Logging_2326/tillsyn/A 50224-2023 tillsynsbegäran.docx", "A 50224-2023")</f>
        <v/>
      </c>
      <c r="Y157">
        <f>HYPERLINK("https://klasma.github.io/Logging_2326/tillsynsmail/A 50224-2023 tillsynsbegäran mail.docx", "A 50224-2023")</f>
        <v/>
      </c>
    </row>
    <row r="158" ht="15" customHeight="1">
      <c r="A158" t="inlineStr">
        <is>
          <t>A 53086-2024</t>
        </is>
      </c>
      <c r="B158" s="1" t="n">
        <v>45611.51084490741</v>
      </c>
      <c r="C158" s="1" t="n">
        <v>45916</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41635-2024</t>
        </is>
      </c>
      <c r="B159" s="1" t="n">
        <v>45560.61601851852</v>
      </c>
      <c r="C159" s="1" t="n">
        <v>45916</v>
      </c>
      <c r="D159" t="inlineStr">
        <is>
          <t>JÄMTLANDS LÄN</t>
        </is>
      </c>
      <c r="E159" t="inlineStr">
        <is>
          <t>BERG</t>
        </is>
      </c>
      <c r="F159" t="inlineStr">
        <is>
          <t>SCA</t>
        </is>
      </c>
      <c r="G159" t="n">
        <v>4.2</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41635-2024 artfynd.xlsx", "A 41635-2024")</f>
        <v/>
      </c>
      <c r="T159">
        <f>HYPERLINK("https://klasma.github.io/Logging_2326/kartor/A 41635-2024 karta.png", "A 41635-2024")</f>
        <v/>
      </c>
      <c r="V159">
        <f>HYPERLINK("https://klasma.github.io/Logging_2326/klagomål/A 41635-2024 FSC-klagomål.docx", "A 41635-2024")</f>
        <v/>
      </c>
      <c r="W159">
        <f>HYPERLINK("https://klasma.github.io/Logging_2326/klagomålsmail/A 41635-2024 FSC-klagomål mail.docx", "A 41635-2024")</f>
        <v/>
      </c>
      <c r="X159">
        <f>HYPERLINK("https://klasma.github.io/Logging_2326/tillsyn/A 41635-2024 tillsynsbegäran.docx", "A 41635-2024")</f>
        <v/>
      </c>
      <c r="Y159">
        <f>HYPERLINK("https://klasma.github.io/Logging_2326/tillsynsmail/A 41635-2024 tillsynsbegäran mail.docx", "A 41635-2024")</f>
        <v/>
      </c>
    </row>
    <row r="160" ht="15" customHeight="1">
      <c r="A160" t="inlineStr">
        <is>
          <t>A 40382-2024</t>
        </is>
      </c>
      <c r="B160" s="1" t="n">
        <v>45555.42225694445</v>
      </c>
      <c r="C160" s="1" t="n">
        <v>45916</v>
      </c>
      <c r="D160" t="inlineStr">
        <is>
          <t>JÄMTLANDS LÄN</t>
        </is>
      </c>
      <c r="E160" t="inlineStr">
        <is>
          <t>BERG</t>
        </is>
      </c>
      <c r="G160" t="n">
        <v>1.5</v>
      </c>
      <c r="H160" t="n">
        <v>0</v>
      </c>
      <c r="I160" t="n">
        <v>0</v>
      </c>
      <c r="J160" t="n">
        <v>1</v>
      </c>
      <c r="K160" t="n">
        <v>0</v>
      </c>
      <c r="L160" t="n">
        <v>0</v>
      </c>
      <c r="M160" t="n">
        <v>0</v>
      </c>
      <c r="N160" t="n">
        <v>0</v>
      </c>
      <c r="O160" t="n">
        <v>1</v>
      </c>
      <c r="P160" t="n">
        <v>0</v>
      </c>
      <c r="Q160" t="n">
        <v>1</v>
      </c>
      <c r="R160" s="2" t="inlineStr">
        <is>
          <t>Backruta</t>
        </is>
      </c>
      <c r="S160">
        <f>HYPERLINK("https://klasma.github.io/Logging_2326/artfynd/A 40382-2024 artfynd.xlsx", "A 40382-2024")</f>
        <v/>
      </c>
      <c r="T160">
        <f>HYPERLINK("https://klasma.github.io/Logging_2326/kartor/A 40382-2024 karta.png", "A 40382-2024")</f>
        <v/>
      </c>
      <c r="V160">
        <f>HYPERLINK("https://klasma.github.io/Logging_2326/klagomål/A 40382-2024 FSC-klagomål.docx", "A 40382-2024")</f>
        <v/>
      </c>
      <c r="W160">
        <f>HYPERLINK("https://klasma.github.io/Logging_2326/klagomålsmail/A 40382-2024 FSC-klagomål mail.docx", "A 40382-2024")</f>
        <v/>
      </c>
      <c r="X160">
        <f>HYPERLINK("https://klasma.github.io/Logging_2326/tillsyn/A 40382-2024 tillsynsbegäran.docx", "A 40382-2024")</f>
        <v/>
      </c>
      <c r="Y160">
        <f>HYPERLINK("https://klasma.github.io/Logging_2326/tillsynsmail/A 40382-2024 tillsynsbegäran mail.docx", "A 40382-2024")</f>
        <v/>
      </c>
    </row>
    <row r="161" ht="15" customHeight="1">
      <c r="A161" t="inlineStr">
        <is>
          <t>A 9657-2023</t>
        </is>
      </c>
      <c r="B161" s="1" t="n">
        <v>44978</v>
      </c>
      <c r="C161" s="1" t="n">
        <v>45916</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20444-2025</t>
        </is>
      </c>
      <c r="B162" s="1" t="n">
        <v>45775.48989583334</v>
      </c>
      <c r="C162" s="1" t="n">
        <v>45916</v>
      </c>
      <c r="D162" t="inlineStr">
        <is>
          <t>JÄMTLANDS LÄN</t>
        </is>
      </c>
      <c r="E162" t="inlineStr">
        <is>
          <t>BERG</t>
        </is>
      </c>
      <c r="F162" t="inlineStr">
        <is>
          <t>SCA</t>
        </is>
      </c>
      <c r="G162" t="n">
        <v>2.3</v>
      </c>
      <c r="H162" t="n">
        <v>0</v>
      </c>
      <c r="I162" t="n">
        <v>0</v>
      </c>
      <c r="J162" t="n">
        <v>0</v>
      </c>
      <c r="K162" t="n">
        <v>1</v>
      </c>
      <c r="L162" t="n">
        <v>0</v>
      </c>
      <c r="M162" t="n">
        <v>0</v>
      </c>
      <c r="N162" t="n">
        <v>0</v>
      </c>
      <c r="O162" t="n">
        <v>1</v>
      </c>
      <c r="P162" t="n">
        <v>1</v>
      </c>
      <c r="Q162" t="n">
        <v>1</v>
      </c>
      <c r="R162" s="2" t="inlineStr">
        <is>
          <t>Gräddporing</t>
        </is>
      </c>
      <c r="S162">
        <f>HYPERLINK("https://klasma.github.io/Logging_2326/artfynd/A 20444-2025 artfynd.xlsx", "A 20444-2025")</f>
        <v/>
      </c>
      <c r="T162">
        <f>HYPERLINK("https://klasma.github.io/Logging_2326/kartor/A 20444-2025 karta.png", "A 20444-2025")</f>
        <v/>
      </c>
      <c r="V162">
        <f>HYPERLINK("https://klasma.github.io/Logging_2326/klagomål/A 20444-2025 FSC-klagomål.docx", "A 20444-2025")</f>
        <v/>
      </c>
      <c r="W162">
        <f>HYPERLINK("https://klasma.github.io/Logging_2326/klagomålsmail/A 20444-2025 FSC-klagomål mail.docx", "A 20444-2025")</f>
        <v/>
      </c>
      <c r="X162">
        <f>HYPERLINK("https://klasma.github.io/Logging_2326/tillsyn/A 20444-2025 tillsynsbegäran.docx", "A 20444-2025")</f>
        <v/>
      </c>
      <c r="Y162">
        <f>HYPERLINK("https://klasma.github.io/Logging_2326/tillsynsmail/A 20444-2025 tillsynsbegäran mail.docx", "A 20444-2025")</f>
        <v/>
      </c>
    </row>
    <row r="163" ht="15" customHeight="1">
      <c r="A163" t="inlineStr">
        <is>
          <t>A 49049-2024</t>
        </is>
      </c>
      <c r="B163" s="1" t="n">
        <v>45594.5742824074</v>
      </c>
      <c r="C163" s="1" t="n">
        <v>45916</v>
      </c>
      <c r="D163" t="inlineStr">
        <is>
          <t>JÄMTLANDS LÄN</t>
        </is>
      </c>
      <c r="E163" t="inlineStr">
        <is>
          <t>BERG</t>
        </is>
      </c>
      <c r="G163" t="n">
        <v>0.8</v>
      </c>
      <c r="H163" t="n">
        <v>1</v>
      </c>
      <c r="I163" t="n">
        <v>1</v>
      </c>
      <c r="J163" t="n">
        <v>0</v>
      </c>
      <c r="K163" t="n">
        <v>0</v>
      </c>
      <c r="L163" t="n">
        <v>0</v>
      </c>
      <c r="M163" t="n">
        <v>0</v>
      </c>
      <c r="N163" t="n">
        <v>0</v>
      </c>
      <c r="O163" t="n">
        <v>0</v>
      </c>
      <c r="P163" t="n">
        <v>0</v>
      </c>
      <c r="Q163" t="n">
        <v>1</v>
      </c>
      <c r="R163" s="2" t="inlineStr">
        <is>
          <t>Korallrot</t>
        </is>
      </c>
      <c r="S163">
        <f>HYPERLINK("https://klasma.github.io/Logging_2326/artfynd/A 49049-2024 artfynd.xlsx", "A 49049-2024")</f>
        <v/>
      </c>
      <c r="T163">
        <f>HYPERLINK("https://klasma.github.io/Logging_2326/kartor/A 49049-2024 karta.png", "A 49049-2024")</f>
        <v/>
      </c>
      <c r="V163">
        <f>HYPERLINK("https://klasma.github.io/Logging_2326/klagomål/A 49049-2024 FSC-klagomål.docx", "A 49049-2024")</f>
        <v/>
      </c>
      <c r="W163">
        <f>HYPERLINK("https://klasma.github.io/Logging_2326/klagomålsmail/A 49049-2024 FSC-klagomål mail.docx", "A 49049-2024")</f>
        <v/>
      </c>
      <c r="X163">
        <f>HYPERLINK("https://klasma.github.io/Logging_2326/tillsyn/A 49049-2024 tillsynsbegäran.docx", "A 49049-2024")</f>
        <v/>
      </c>
      <c r="Y163">
        <f>HYPERLINK("https://klasma.github.io/Logging_2326/tillsynsmail/A 49049-2024 tillsynsbegäran mail.docx", "A 49049-2024")</f>
        <v/>
      </c>
    </row>
    <row r="164" ht="15" customHeight="1">
      <c r="A164" t="inlineStr">
        <is>
          <t>A 21681-2025</t>
        </is>
      </c>
      <c r="B164" s="1" t="n">
        <v>45783.49015046296</v>
      </c>
      <c r="C164" s="1" t="n">
        <v>45916</v>
      </c>
      <c r="D164" t="inlineStr">
        <is>
          <t>JÄMTLANDS LÄN</t>
        </is>
      </c>
      <c r="E164" t="inlineStr">
        <is>
          <t>BERG</t>
        </is>
      </c>
      <c r="F164" t="inlineStr">
        <is>
          <t>SCA</t>
        </is>
      </c>
      <c r="G164" t="n">
        <v>10.2</v>
      </c>
      <c r="H164" t="n">
        <v>0</v>
      </c>
      <c r="I164" t="n">
        <v>0</v>
      </c>
      <c r="J164" t="n">
        <v>0</v>
      </c>
      <c r="K164" t="n">
        <v>1</v>
      </c>
      <c r="L164" t="n">
        <v>0</v>
      </c>
      <c r="M164" t="n">
        <v>0</v>
      </c>
      <c r="N164" t="n">
        <v>0</v>
      </c>
      <c r="O164" t="n">
        <v>1</v>
      </c>
      <c r="P164" t="n">
        <v>1</v>
      </c>
      <c r="Q164" t="n">
        <v>1</v>
      </c>
      <c r="R164" s="2" t="inlineStr">
        <is>
          <t>Gräddporing</t>
        </is>
      </c>
      <c r="S164">
        <f>HYPERLINK("https://klasma.github.io/Logging_2326/artfynd/A 21681-2025 artfynd.xlsx", "A 21681-2025")</f>
        <v/>
      </c>
      <c r="T164">
        <f>HYPERLINK("https://klasma.github.io/Logging_2326/kartor/A 21681-2025 karta.png", "A 21681-2025")</f>
        <v/>
      </c>
      <c r="V164">
        <f>HYPERLINK("https://klasma.github.io/Logging_2326/klagomål/A 21681-2025 FSC-klagomål.docx", "A 21681-2025")</f>
        <v/>
      </c>
      <c r="W164">
        <f>HYPERLINK("https://klasma.github.io/Logging_2326/klagomålsmail/A 21681-2025 FSC-klagomål mail.docx", "A 21681-2025")</f>
        <v/>
      </c>
      <c r="X164">
        <f>HYPERLINK("https://klasma.github.io/Logging_2326/tillsyn/A 21681-2025 tillsynsbegäran.docx", "A 21681-2025")</f>
        <v/>
      </c>
      <c r="Y164">
        <f>HYPERLINK("https://klasma.github.io/Logging_2326/tillsynsmail/A 21681-2025 tillsynsbegäran mail.docx", "A 21681-2025")</f>
        <v/>
      </c>
    </row>
    <row r="165" ht="15" customHeight="1">
      <c r="A165" t="inlineStr">
        <is>
          <t>A 53708-2024</t>
        </is>
      </c>
      <c r="B165" s="1" t="n">
        <v>45615.40983796296</v>
      </c>
      <c r="C165" s="1" t="n">
        <v>45916</v>
      </c>
      <c r="D165" t="inlineStr">
        <is>
          <t>JÄMTLANDS LÄN</t>
        </is>
      </c>
      <c r="E165" t="inlineStr">
        <is>
          <t>BERG</t>
        </is>
      </c>
      <c r="G165" t="n">
        <v>8.199999999999999</v>
      </c>
      <c r="H165" t="n">
        <v>0</v>
      </c>
      <c r="I165" t="n">
        <v>0</v>
      </c>
      <c r="J165" t="n">
        <v>1</v>
      </c>
      <c r="K165" t="n">
        <v>0</v>
      </c>
      <c r="L165" t="n">
        <v>0</v>
      </c>
      <c r="M165" t="n">
        <v>0</v>
      </c>
      <c r="N165" t="n">
        <v>0</v>
      </c>
      <c r="O165" t="n">
        <v>1</v>
      </c>
      <c r="P165" t="n">
        <v>0</v>
      </c>
      <c r="Q165" t="n">
        <v>1</v>
      </c>
      <c r="R165" s="2" t="inlineStr">
        <is>
          <t>Lunglav</t>
        </is>
      </c>
      <c r="S165">
        <f>HYPERLINK("https://klasma.github.io/Logging_2326/artfynd/A 53708-2024 artfynd.xlsx", "A 53708-2024")</f>
        <v/>
      </c>
      <c r="T165">
        <f>HYPERLINK("https://klasma.github.io/Logging_2326/kartor/A 53708-2024 karta.png", "A 53708-2024")</f>
        <v/>
      </c>
      <c r="V165">
        <f>HYPERLINK("https://klasma.github.io/Logging_2326/klagomål/A 53708-2024 FSC-klagomål.docx", "A 53708-2024")</f>
        <v/>
      </c>
      <c r="W165">
        <f>HYPERLINK("https://klasma.github.io/Logging_2326/klagomålsmail/A 53708-2024 FSC-klagomål mail.docx", "A 53708-2024")</f>
        <v/>
      </c>
      <c r="X165">
        <f>HYPERLINK("https://klasma.github.io/Logging_2326/tillsyn/A 53708-2024 tillsynsbegäran.docx", "A 53708-2024")</f>
        <v/>
      </c>
      <c r="Y165">
        <f>HYPERLINK("https://klasma.github.io/Logging_2326/tillsynsmail/A 53708-2024 tillsynsbegäran mail.docx", "A 53708-2024")</f>
        <v/>
      </c>
    </row>
    <row r="166" ht="15" customHeight="1">
      <c r="A166" t="inlineStr">
        <is>
          <t>A 23177-2024</t>
        </is>
      </c>
      <c r="B166" s="1" t="n">
        <v>45450</v>
      </c>
      <c r="C166" s="1" t="n">
        <v>45916</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33126-2024</t>
        </is>
      </c>
      <c r="B167" s="1" t="n">
        <v>45517.9575462963</v>
      </c>
      <c r="C167" s="1" t="n">
        <v>45916</v>
      </c>
      <c r="D167" t="inlineStr">
        <is>
          <t>JÄMTLANDS LÄN</t>
        </is>
      </c>
      <c r="E167" t="inlineStr">
        <is>
          <t>BERG</t>
        </is>
      </c>
      <c r="F167" t="inlineStr">
        <is>
          <t>SCA</t>
        </is>
      </c>
      <c r="G167" t="n">
        <v>4.2</v>
      </c>
      <c r="H167" t="n">
        <v>0</v>
      </c>
      <c r="I167" t="n">
        <v>0</v>
      </c>
      <c r="J167" t="n">
        <v>0</v>
      </c>
      <c r="K167" t="n">
        <v>1</v>
      </c>
      <c r="L167" t="n">
        <v>0</v>
      </c>
      <c r="M167" t="n">
        <v>0</v>
      </c>
      <c r="N167" t="n">
        <v>0</v>
      </c>
      <c r="O167" t="n">
        <v>1</v>
      </c>
      <c r="P167" t="n">
        <v>1</v>
      </c>
      <c r="Q167" t="n">
        <v>1</v>
      </c>
      <c r="R167" s="2" t="inlineStr">
        <is>
          <t>Gräddporing</t>
        </is>
      </c>
      <c r="S167">
        <f>HYPERLINK("https://klasma.github.io/Logging_2326/artfynd/A 33126-2024 artfynd.xlsx", "A 33126-2024")</f>
        <v/>
      </c>
      <c r="T167">
        <f>HYPERLINK("https://klasma.github.io/Logging_2326/kartor/A 33126-2024 karta.png", "A 33126-2024")</f>
        <v/>
      </c>
      <c r="V167">
        <f>HYPERLINK("https://klasma.github.io/Logging_2326/klagomål/A 33126-2024 FSC-klagomål.docx", "A 33126-2024")</f>
        <v/>
      </c>
      <c r="W167">
        <f>HYPERLINK("https://klasma.github.io/Logging_2326/klagomålsmail/A 33126-2024 FSC-klagomål mail.docx", "A 33126-2024")</f>
        <v/>
      </c>
      <c r="X167">
        <f>HYPERLINK("https://klasma.github.io/Logging_2326/tillsyn/A 33126-2024 tillsynsbegäran.docx", "A 33126-2024")</f>
        <v/>
      </c>
      <c r="Y167">
        <f>HYPERLINK("https://klasma.github.io/Logging_2326/tillsynsmail/A 33126-2024 tillsynsbegäran mail.docx", "A 33126-2024")</f>
        <v/>
      </c>
    </row>
    <row r="168" ht="15" customHeight="1">
      <c r="A168" t="inlineStr">
        <is>
          <t>A 49196-2022</t>
        </is>
      </c>
      <c r="B168" s="1" t="n">
        <v>44860.95508101852</v>
      </c>
      <c r="C168" s="1" t="n">
        <v>45916</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45916</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45916</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45916</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45916</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45916</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45916</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45916</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70463-2021</t>
        </is>
      </c>
      <c r="B176" s="1" t="n">
        <v>44536.65293981481</v>
      </c>
      <c r="C176" s="1" t="n">
        <v>45916</v>
      </c>
      <c r="D176" t="inlineStr">
        <is>
          <t>JÄMTLANDS LÄN</t>
        </is>
      </c>
      <c r="E176" t="inlineStr">
        <is>
          <t>BERG</t>
        </is>
      </c>
      <c r="G176" t="n">
        <v>10.8</v>
      </c>
      <c r="H176" t="n">
        <v>0</v>
      </c>
      <c r="I176" t="n">
        <v>0</v>
      </c>
      <c r="J176" t="n">
        <v>0</v>
      </c>
      <c r="K176" t="n">
        <v>0</v>
      </c>
      <c r="L176" t="n">
        <v>0</v>
      </c>
      <c r="M176" t="n">
        <v>0</v>
      </c>
      <c r="N176" t="n">
        <v>0</v>
      </c>
      <c r="O176" t="n">
        <v>0</v>
      </c>
      <c r="P176" t="n">
        <v>0</v>
      </c>
      <c r="Q176" t="n">
        <v>0</v>
      </c>
      <c r="R176" s="2" t="inlineStr"/>
    </row>
    <row r="177" ht="15" customHeight="1">
      <c r="A177" t="inlineStr">
        <is>
          <t>A 24843-2021</t>
        </is>
      </c>
      <c r="B177" s="1" t="n">
        <v>44340.82405092593</v>
      </c>
      <c r="C177" s="1" t="n">
        <v>45916</v>
      </c>
      <c r="D177" t="inlineStr">
        <is>
          <t>JÄMTLANDS LÄN</t>
        </is>
      </c>
      <c r="E177" t="inlineStr">
        <is>
          <t>BERG</t>
        </is>
      </c>
      <c r="G177" t="n">
        <v>3.8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45916</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45916</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45916</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45916</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45916</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3870-2022</t>
        </is>
      </c>
      <c r="B183" s="1" t="n">
        <v>44587</v>
      </c>
      <c r="C183" s="1" t="n">
        <v>45916</v>
      </c>
      <c r="D183" t="inlineStr">
        <is>
          <t>JÄMTLANDS LÄN</t>
        </is>
      </c>
      <c r="E183" t="inlineStr">
        <is>
          <t>BERG</t>
        </is>
      </c>
      <c r="G183" t="n">
        <v>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45916</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45916</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45916</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45916</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45916</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45916</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45916</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45916</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45916</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45916</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45916</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45916</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45916</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45916</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45916</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45916</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45916</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45916</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45916</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45916</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45916</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46115-2021</t>
        </is>
      </c>
      <c r="B205" s="1" t="n">
        <v>44441</v>
      </c>
      <c r="C205" s="1" t="n">
        <v>45916</v>
      </c>
      <c r="D205" t="inlineStr">
        <is>
          <t>JÄMTLANDS LÄN</t>
        </is>
      </c>
      <c r="E205" t="inlineStr">
        <is>
          <t>BERG</t>
        </is>
      </c>
      <c r="G205" t="n">
        <v>15.1</v>
      </c>
      <c r="H205" t="n">
        <v>0</v>
      </c>
      <c r="I205" t="n">
        <v>0</v>
      </c>
      <c r="J205" t="n">
        <v>0</v>
      </c>
      <c r="K205" t="n">
        <v>0</v>
      </c>
      <c r="L205" t="n">
        <v>0</v>
      </c>
      <c r="M205" t="n">
        <v>0</v>
      </c>
      <c r="N205" t="n">
        <v>0</v>
      </c>
      <c r="O205" t="n">
        <v>0</v>
      </c>
      <c r="P205" t="n">
        <v>0</v>
      </c>
      <c r="Q205" t="n">
        <v>0</v>
      </c>
      <c r="R205" s="2" t="inlineStr"/>
    </row>
    <row r="206" ht="15" customHeight="1">
      <c r="A206" t="inlineStr">
        <is>
          <t>A 19809-2022</t>
        </is>
      </c>
      <c r="B206" s="1" t="n">
        <v>44694</v>
      </c>
      <c r="C206" s="1" t="n">
        <v>45916</v>
      </c>
      <c r="D206" t="inlineStr">
        <is>
          <t>JÄMTLANDS LÄN</t>
        </is>
      </c>
      <c r="E206" t="inlineStr">
        <is>
          <t>BERG</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37726-2022</t>
        </is>
      </c>
      <c r="B207" s="1" t="n">
        <v>44810.56636574074</v>
      </c>
      <c r="C207" s="1" t="n">
        <v>45916</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46616-2020</t>
        </is>
      </c>
      <c r="B208" s="1" t="n">
        <v>44095</v>
      </c>
      <c r="C208" s="1" t="n">
        <v>45916</v>
      </c>
      <c r="D208" t="inlineStr">
        <is>
          <t>JÄMTLANDS LÄN</t>
        </is>
      </c>
      <c r="E208" t="inlineStr">
        <is>
          <t>BERG</t>
        </is>
      </c>
      <c r="F208" t="inlineStr">
        <is>
          <t>Kommuner</t>
        </is>
      </c>
      <c r="G208" t="n">
        <v>42.8</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45916</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44442-2022</t>
        </is>
      </c>
      <c r="B210" s="1" t="n">
        <v>44839</v>
      </c>
      <c r="C210" s="1" t="n">
        <v>45916</v>
      </c>
      <c r="D210" t="inlineStr">
        <is>
          <t>JÄMTLANDS LÄN</t>
        </is>
      </c>
      <c r="E210" t="inlineStr">
        <is>
          <t>BERG</t>
        </is>
      </c>
      <c r="F210" t="inlineStr">
        <is>
          <t>SCA</t>
        </is>
      </c>
      <c r="G210" t="n">
        <v>3.5</v>
      </c>
      <c r="H210" t="n">
        <v>0</v>
      </c>
      <c r="I210" t="n">
        <v>0</v>
      </c>
      <c r="J210" t="n">
        <v>0</v>
      </c>
      <c r="K210" t="n">
        <v>0</v>
      </c>
      <c r="L210" t="n">
        <v>0</v>
      </c>
      <c r="M210" t="n">
        <v>0</v>
      </c>
      <c r="N210" t="n">
        <v>0</v>
      </c>
      <c r="O210" t="n">
        <v>0</v>
      </c>
      <c r="P210" t="n">
        <v>0</v>
      </c>
      <c r="Q210" t="n">
        <v>0</v>
      </c>
      <c r="R210" s="2" t="inlineStr"/>
    </row>
    <row r="211" ht="15" customHeight="1">
      <c r="A211" t="inlineStr">
        <is>
          <t>A 2009-2022</t>
        </is>
      </c>
      <c r="B211" s="1" t="n">
        <v>44575</v>
      </c>
      <c r="C211" s="1" t="n">
        <v>45916</v>
      </c>
      <c r="D211" t="inlineStr">
        <is>
          <t>JÄMTLANDS LÄN</t>
        </is>
      </c>
      <c r="E211" t="inlineStr">
        <is>
          <t>BERG</t>
        </is>
      </c>
      <c r="G211" t="n">
        <v>11.9</v>
      </c>
      <c r="H211" t="n">
        <v>0</v>
      </c>
      <c r="I211" t="n">
        <v>0</v>
      </c>
      <c r="J211" t="n">
        <v>0</v>
      </c>
      <c r="K211" t="n">
        <v>0</v>
      </c>
      <c r="L211" t="n">
        <v>0</v>
      </c>
      <c r="M211" t="n">
        <v>0</v>
      </c>
      <c r="N211" t="n">
        <v>0</v>
      </c>
      <c r="O211" t="n">
        <v>0</v>
      </c>
      <c r="P211" t="n">
        <v>0</v>
      </c>
      <c r="Q211" t="n">
        <v>0</v>
      </c>
      <c r="R211" s="2" t="inlineStr"/>
    </row>
    <row r="212" ht="15" customHeight="1">
      <c r="A212" t="inlineStr">
        <is>
          <t>A 33878-2021</t>
        </is>
      </c>
      <c r="B212" s="1" t="n">
        <v>44378.64378472222</v>
      </c>
      <c r="C212" s="1" t="n">
        <v>45916</v>
      </c>
      <c r="D212" t="inlineStr">
        <is>
          <t>JÄMTLANDS LÄN</t>
        </is>
      </c>
      <c r="E212" t="inlineStr">
        <is>
          <t>BERG</t>
        </is>
      </c>
      <c r="G212" t="n">
        <v>6.6</v>
      </c>
      <c r="H212" t="n">
        <v>0</v>
      </c>
      <c r="I212" t="n">
        <v>0</v>
      </c>
      <c r="J212" t="n">
        <v>0</v>
      </c>
      <c r="K212" t="n">
        <v>0</v>
      </c>
      <c r="L212" t="n">
        <v>0</v>
      </c>
      <c r="M212" t="n">
        <v>0</v>
      </c>
      <c r="N212" t="n">
        <v>0</v>
      </c>
      <c r="O212" t="n">
        <v>0</v>
      </c>
      <c r="P212" t="n">
        <v>0</v>
      </c>
      <c r="Q212" t="n">
        <v>0</v>
      </c>
      <c r="R212" s="2" t="inlineStr"/>
    </row>
    <row r="213" ht="15" customHeight="1">
      <c r="A213" t="inlineStr">
        <is>
          <t>A 5221-2022</t>
        </is>
      </c>
      <c r="B213" s="1" t="n">
        <v>44594.48864583333</v>
      </c>
      <c r="C213" s="1" t="n">
        <v>45916</v>
      </c>
      <c r="D213" t="inlineStr">
        <is>
          <t>JÄMTLANDS LÄN</t>
        </is>
      </c>
      <c r="E213" t="inlineStr">
        <is>
          <t>BERG</t>
        </is>
      </c>
      <c r="G213" t="n">
        <v>4.9</v>
      </c>
      <c r="H213" t="n">
        <v>0</v>
      </c>
      <c r="I213" t="n">
        <v>0</v>
      </c>
      <c r="J213" t="n">
        <v>0</v>
      </c>
      <c r="K213" t="n">
        <v>0</v>
      </c>
      <c r="L213" t="n">
        <v>0</v>
      </c>
      <c r="M213" t="n">
        <v>0</v>
      </c>
      <c r="N213" t="n">
        <v>0</v>
      </c>
      <c r="O213" t="n">
        <v>0</v>
      </c>
      <c r="P213" t="n">
        <v>0</v>
      </c>
      <c r="Q213" t="n">
        <v>0</v>
      </c>
      <c r="R213" s="2" t="inlineStr"/>
    </row>
    <row r="214" ht="15" customHeight="1">
      <c r="A214" t="inlineStr">
        <is>
          <t>A 5222-2022</t>
        </is>
      </c>
      <c r="B214" s="1" t="n">
        <v>44594.4892824074</v>
      </c>
      <c r="C214" s="1" t="n">
        <v>45916</v>
      </c>
      <c r="D214" t="inlineStr">
        <is>
          <t>JÄMTLANDS LÄN</t>
        </is>
      </c>
      <c r="E214" t="inlineStr">
        <is>
          <t>BERG</t>
        </is>
      </c>
      <c r="G214" t="n">
        <v>12.3</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45916</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9920-2021</t>
        </is>
      </c>
      <c r="B216" s="1" t="n">
        <v>44253</v>
      </c>
      <c r="C216" s="1" t="n">
        <v>45916</v>
      </c>
      <c r="D216" t="inlineStr">
        <is>
          <t>JÄMTLANDS LÄN</t>
        </is>
      </c>
      <c r="E216" t="inlineStr">
        <is>
          <t>BERG</t>
        </is>
      </c>
      <c r="G216" t="n">
        <v>3.5</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45916</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63002-2020</t>
        </is>
      </c>
      <c r="B218" s="1" t="n">
        <v>44162.47145833333</v>
      </c>
      <c r="C218" s="1" t="n">
        <v>45916</v>
      </c>
      <c r="D218" t="inlineStr">
        <is>
          <t>JÄMTLANDS LÄN</t>
        </is>
      </c>
      <c r="E218" t="inlineStr">
        <is>
          <t>BERG</t>
        </is>
      </c>
      <c r="G218" t="n">
        <v>6.6</v>
      </c>
      <c r="H218" t="n">
        <v>0</v>
      </c>
      <c r="I218" t="n">
        <v>0</v>
      </c>
      <c r="J218" t="n">
        <v>0</v>
      </c>
      <c r="K218" t="n">
        <v>0</v>
      </c>
      <c r="L218" t="n">
        <v>0</v>
      </c>
      <c r="M218" t="n">
        <v>0</v>
      </c>
      <c r="N218" t="n">
        <v>0</v>
      </c>
      <c r="O218" t="n">
        <v>0</v>
      </c>
      <c r="P218" t="n">
        <v>0</v>
      </c>
      <c r="Q218" t="n">
        <v>0</v>
      </c>
      <c r="R218" s="2" t="inlineStr"/>
    </row>
    <row r="219" ht="15" customHeight="1">
      <c r="A219" t="inlineStr">
        <is>
          <t>A 63009-2020</t>
        </is>
      </c>
      <c r="B219" s="1" t="n">
        <v>44162.48234953704</v>
      </c>
      <c r="C219" s="1" t="n">
        <v>45916</v>
      </c>
      <c r="D219" t="inlineStr">
        <is>
          <t>JÄMTLANDS LÄN</t>
        </is>
      </c>
      <c r="E219" t="inlineStr">
        <is>
          <t>BERG</t>
        </is>
      </c>
      <c r="G219" t="n">
        <v>4.9</v>
      </c>
      <c r="H219" t="n">
        <v>0</v>
      </c>
      <c r="I219" t="n">
        <v>0</v>
      </c>
      <c r="J219" t="n">
        <v>0</v>
      </c>
      <c r="K219" t="n">
        <v>0</v>
      </c>
      <c r="L219" t="n">
        <v>0</v>
      </c>
      <c r="M219" t="n">
        <v>0</v>
      </c>
      <c r="N219" t="n">
        <v>0</v>
      </c>
      <c r="O219" t="n">
        <v>0</v>
      </c>
      <c r="P219" t="n">
        <v>0</v>
      </c>
      <c r="Q219" t="n">
        <v>0</v>
      </c>
      <c r="R219" s="2" t="inlineStr"/>
    </row>
    <row r="220" ht="15" customHeight="1">
      <c r="A220" t="inlineStr">
        <is>
          <t>A 46660-2020</t>
        </is>
      </c>
      <c r="B220" s="1" t="n">
        <v>44095.59981481481</v>
      </c>
      <c r="C220" s="1" t="n">
        <v>45916</v>
      </c>
      <c r="D220" t="inlineStr">
        <is>
          <t>JÄMTLANDS LÄN</t>
        </is>
      </c>
      <c r="E220" t="inlineStr">
        <is>
          <t>BERG</t>
        </is>
      </c>
      <c r="F220" t="inlineStr">
        <is>
          <t>Kommuner</t>
        </is>
      </c>
      <c r="G220" t="n">
        <v>2.1</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45916</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45916</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45916</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68483-2021</t>
        </is>
      </c>
      <c r="B224" s="1" t="n">
        <v>44529</v>
      </c>
      <c r="C224" s="1" t="n">
        <v>45916</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46657-2020</t>
        </is>
      </c>
      <c r="B225" s="1" t="n">
        <v>44095</v>
      </c>
      <c r="C225" s="1" t="n">
        <v>45916</v>
      </c>
      <c r="D225" t="inlineStr">
        <is>
          <t>JÄMTLANDS LÄN</t>
        </is>
      </c>
      <c r="E225" t="inlineStr">
        <is>
          <t>BERG</t>
        </is>
      </c>
      <c r="F225" t="inlineStr">
        <is>
          <t>Kommuner</t>
        </is>
      </c>
      <c r="G225" t="n">
        <v>3.8</v>
      </c>
      <c r="H225" t="n">
        <v>0</v>
      </c>
      <c r="I225" t="n">
        <v>0</v>
      </c>
      <c r="J225" t="n">
        <v>0</v>
      </c>
      <c r="K225" t="n">
        <v>0</v>
      </c>
      <c r="L225" t="n">
        <v>0</v>
      </c>
      <c r="M225" t="n">
        <v>0</v>
      </c>
      <c r="N225" t="n">
        <v>0</v>
      </c>
      <c r="O225" t="n">
        <v>0</v>
      </c>
      <c r="P225" t="n">
        <v>0</v>
      </c>
      <c r="Q225" t="n">
        <v>0</v>
      </c>
      <c r="R225" s="2" t="inlineStr"/>
    </row>
    <row r="226" ht="15" customHeight="1">
      <c r="A226" t="inlineStr">
        <is>
          <t>A 20179-2021</t>
        </is>
      </c>
      <c r="B226" s="1" t="n">
        <v>44314.56744212963</v>
      </c>
      <c r="C226" s="1" t="n">
        <v>45916</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46515-2021</t>
        </is>
      </c>
      <c r="B227" s="1" t="n">
        <v>44445</v>
      </c>
      <c r="C227" s="1" t="n">
        <v>45916</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68896-2020</t>
        </is>
      </c>
      <c r="B228" s="1" t="n">
        <v>44187</v>
      </c>
      <c r="C228" s="1" t="n">
        <v>45916</v>
      </c>
      <c r="D228" t="inlineStr">
        <is>
          <t>JÄMTLANDS LÄN</t>
        </is>
      </c>
      <c r="E228" t="inlineStr">
        <is>
          <t>BERG</t>
        </is>
      </c>
      <c r="G228" t="n">
        <v>9.6</v>
      </c>
      <c r="H228" t="n">
        <v>0</v>
      </c>
      <c r="I228" t="n">
        <v>0</v>
      </c>
      <c r="J228" t="n">
        <v>0</v>
      </c>
      <c r="K228" t="n">
        <v>0</v>
      </c>
      <c r="L228" t="n">
        <v>0</v>
      </c>
      <c r="M228" t="n">
        <v>0</v>
      </c>
      <c r="N228" t="n">
        <v>0</v>
      </c>
      <c r="O228" t="n">
        <v>0</v>
      </c>
      <c r="P228" t="n">
        <v>0</v>
      </c>
      <c r="Q228" t="n">
        <v>0</v>
      </c>
      <c r="R228" s="2" t="inlineStr"/>
    </row>
    <row r="229" ht="15" customHeight="1">
      <c r="A229" t="inlineStr">
        <is>
          <t>A 37711-2022</t>
        </is>
      </c>
      <c r="B229" s="1" t="n">
        <v>44810.54903935185</v>
      </c>
      <c r="C229" s="1" t="n">
        <v>45916</v>
      </c>
      <c r="D229" t="inlineStr">
        <is>
          <t>JÄMTLANDS LÄN</t>
        </is>
      </c>
      <c r="E229" t="inlineStr">
        <is>
          <t>BERG</t>
        </is>
      </c>
      <c r="G229" t="n">
        <v>0.6</v>
      </c>
      <c r="H229" t="n">
        <v>0</v>
      </c>
      <c r="I229" t="n">
        <v>0</v>
      </c>
      <c r="J229" t="n">
        <v>0</v>
      </c>
      <c r="K229" t="n">
        <v>0</v>
      </c>
      <c r="L229" t="n">
        <v>0</v>
      </c>
      <c r="M229" t="n">
        <v>0</v>
      </c>
      <c r="N229" t="n">
        <v>0</v>
      </c>
      <c r="O229" t="n">
        <v>0</v>
      </c>
      <c r="P229" t="n">
        <v>0</v>
      </c>
      <c r="Q229" t="n">
        <v>0</v>
      </c>
      <c r="R229" s="2" t="inlineStr"/>
    </row>
    <row r="230" ht="15" customHeight="1">
      <c r="A230" t="inlineStr">
        <is>
          <t>A 34803-2022</t>
        </is>
      </c>
      <c r="B230" s="1" t="n">
        <v>44795.94754629629</v>
      </c>
      <c r="C230" s="1" t="n">
        <v>45916</v>
      </c>
      <c r="D230" t="inlineStr">
        <is>
          <t>JÄMTLANDS LÄN</t>
        </is>
      </c>
      <c r="E230" t="inlineStr">
        <is>
          <t>BERG</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45916</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18567-2021</t>
        </is>
      </c>
      <c r="B232" s="1" t="n">
        <v>44306.55199074074</v>
      </c>
      <c r="C232" s="1" t="n">
        <v>45916</v>
      </c>
      <c r="D232" t="inlineStr">
        <is>
          <t>JÄMTLANDS LÄN</t>
        </is>
      </c>
      <c r="E232" t="inlineStr">
        <is>
          <t>BERG</t>
        </is>
      </c>
      <c r="G232" t="n">
        <v>3</v>
      </c>
      <c r="H232" t="n">
        <v>0</v>
      </c>
      <c r="I232" t="n">
        <v>0</v>
      </c>
      <c r="J232" t="n">
        <v>0</v>
      </c>
      <c r="K232" t="n">
        <v>0</v>
      </c>
      <c r="L232" t="n">
        <v>0</v>
      </c>
      <c r="M232" t="n">
        <v>0</v>
      </c>
      <c r="N232" t="n">
        <v>0</v>
      </c>
      <c r="O232" t="n">
        <v>0</v>
      </c>
      <c r="P232" t="n">
        <v>0</v>
      </c>
      <c r="Q232" t="n">
        <v>0</v>
      </c>
      <c r="R232" s="2" t="inlineStr"/>
    </row>
    <row r="233" ht="15" customHeight="1">
      <c r="A233" t="inlineStr">
        <is>
          <t>A 18569-2021</t>
        </is>
      </c>
      <c r="B233" s="1" t="n">
        <v>44306.55394675926</v>
      </c>
      <c r="C233" s="1" t="n">
        <v>45916</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45916</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6090-2022</t>
        </is>
      </c>
      <c r="B235" s="1" t="n">
        <v>44599</v>
      </c>
      <c r="C235" s="1" t="n">
        <v>45916</v>
      </c>
      <c r="D235" t="inlineStr">
        <is>
          <t>JÄMTLANDS LÄN</t>
        </is>
      </c>
      <c r="E235" t="inlineStr">
        <is>
          <t>BERG</t>
        </is>
      </c>
      <c r="G235" t="n">
        <v>1.3</v>
      </c>
      <c r="H235" t="n">
        <v>0</v>
      </c>
      <c r="I235" t="n">
        <v>0</v>
      </c>
      <c r="J235" t="n">
        <v>0</v>
      </c>
      <c r="K235" t="n">
        <v>0</v>
      </c>
      <c r="L235" t="n">
        <v>0</v>
      </c>
      <c r="M235" t="n">
        <v>0</v>
      </c>
      <c r="N235" t="n">
        <v>0</v>
      </c>
      <c r="O235" t="n">
        <v>0</v>
      </c>
      <c r="P235" t="n">
        <v>0</v>
      </c>
      <c r="Q235" t="n">
        <v>0</v>
      </c>
      <c r="R235" s="2" t="inlineStr"/>
    </row>
    <row r="236" ht="15" customHeight="1">
      <c r="A236" t="inlineStr">
        <is>
          <t>A 63522-2020</t>
        </is>
      </c>
      <c r="B236" s="1" t="n">
        <v>44165</v>
      </c>
      <c r="C236" s="1" t="n">
        <v>45916</v>
      </c>
      <c r="D236" t="inlineStr">
        <is>
          <t>JÄMTLANDS LÄN</t>
        </is>
      </c>
      <c r="E236" t="inlineStr">
        <is>
          <t>BERG</t>
        </is>
      </c>
      <c r="G236" t="n">
        <v>2.4</v>
      </c>
      <c r="H236" t="n">
        <v>0</v>
      </c>
      <c r="I236" t="n">
        <v>0</v>
      </c>
      <c r="J236" t="n">
        <v>0</v>
      </c>
      <c r="K236" t="n">
        <v>0</v>
      </c>
      <c r="L236" t="n">
        <v>0</v>
      </c>
      <c r="M236" t="n">
        <v>0</v>
      </c>
      <c r="N236" t="n">
        <v>0</v>
      </c>
      <c r="O236" t="n">
        <v>0</v>
      </c>
      <c r="P236" t="n">
        <v>0</v>
      </c>
      <c r="Q236" t="n">
        <v>0</v>
      </c>
      <c r="R236" s="2" t="inlineStr"/>
    </row>
    <row r="237" ht="15" customHeight="1">
      <c r="A237" t="inlineStr">
        <is>
          <t>A 21629-2021</t>
        </is>
      </c>
      <c r="B237" s="1" t="n">
        <v>44321</v>
      </c>
      <c r="C237" s="1" t="n">
        <v>45916</v>
      </c>
      <c r="D237" t="inlineStr">
        <is>
          <t>JÄMTLANDS LÄN</t>
        </is>
      </c>
      <c r="E237" t="inlineStr">
        <is>
          <t>BERG</t>
        </is>
      </c>
      <c r="G237" t="n">
        <v>15.9</v>
      </c>
      <c r="H237" t="n">
        <v>0</v>
      </c>
      <c r="I237" t="n">
        <v>0</v>
      </c>
      <c r="J237" t="n">
        <v>0</v>
      </c>
      <c r="K237" t="n">
        <v>0</v>
      </c>
      <c r="L237" t="n">
        <v>0</v>
      </c>
      <c r="M237" t="n">
        <v>0</v>
      </c>
      <c r="N237" t="n">
        <v>0</v>
      </c>
      <c r="O237" t="n">
        <v>0</v>
      </c>
      <c r="P237" t="n">
        <v>0</v>
      </c>
      <c r="Q237" t="n">
        <v>0</v>
      </c>
      <c r="R237" s="2" t="inlineStr"/>
    </row>
    <row r="238" ht="15" customHeight="1">
      <c r="A238" t="inlineStr">
        <is>
          <t>A 16819-2021</t>
        </is>
      </c>
      <c r="B238" s="1" t="n">
        <v>44293</v>
      </c>
      <c r="C238" s="1" t="n">
        <v>45916</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68468-2021</t>
        </is>
      </c>
      <c r="B239" s="1" t="n">
        <v>44529</v>
      </c>
      <c r="C239" s="1" t="n">
        <v>45916</v>
      </c>
      <c r="D239" t="inlineStr">
        <is>
          <t>JÄMTLANDS LÄN</t>
        </is>
      </c>
      <c r="E239" t="inlineStr">
        <is>
          <t>BERG</t>
        </is>
      </c>
      <c r="G239" t="n">
        <v>4.6</v>
      </c>
      <c r="H239" t="n">
        <v>0</v>
      </c>
      <c r="I239" t="n">
        <v>0</v>
      </c>
      <c r="J239" t="n">
        <v>0</v>
      </c>
      <c r="K239" t="n">
        <v>0</v>
      </c>
      <c r="L239" t="n">
        <v>0</v>
      </c>
      <c r="M239" t="n">
        <v>0</v>
      </c>
      <c r="N239" t="n">
        <v>0</v>
      </c>
      <c r="O239" t="n">
        <v>0</v>
      </c>
      <c r="P239" t="n">
        <v>0</v>
      </c>
      <c r="Q239" t="n">
        <v>0</v>
      </c>
      <c r="R239" s="2" t="inlineStr"/>
    </row>
    <row r="240" ht="15" customHeight="1">
      <c r="A240" t="inlineStr">
        <is>
          <t>A 29019-2021</t>
        </is>
      </c>
      <c r="B240" s="1" t="n">
        <v>44358</v>
      </c>
      <c r="C240" s="1" t="n">
        <v>45916</v>
      </c>
      <c r="D240" t="inlineStr">
        <is>
          <t>JÄMTLANDS LÄN</t>
        </is>
      </c>
      <c r="E240" t="inlineStr">
        <is>
          <t>BERG</t>
        </is>
      </c>
      <c r="F240" t="inlineStr">
        <is>
          <t>Sveaskog</t>
        </is>
      </c>
      <c r="G240" t="n">
        <v>27.1</v>
      </c>
      <c r="H240" t="n">
        <v>0</v>
      </c>
      <c r="I240" t="n">
        <v>0</v>
      </c>
      <c r="J240" t="n">
        <v>0</v>
      </c>
      <c r="K240" t="n">
        <v>0</v>
      </c>
      <c r="L240" t="n">
        <v>0</v>
      </c>
      <c r="M240" t="n">
        <v>0</v>
      </c>
      <c r="N240" t="n">
        <v>0</v>
      </c>
      <c r="O240" t="n">
        <v>0</v>
      </c>
      <c r="P240" t="n">
        <v>0</v>
      </c>
      <c r="Q240" t="n">
        <v>0</v>
      </c>
      <c r="R240" s="2" t="inlineStr"/>
    </row>
    <row r="241" ht="15" customHeight="1">
      <c r="A241" t="inlineStr">
        <is>
          <t>A 68854-2021</t>
        </is>
      </c>
      <c r="B241" s="1" t="n">
        <v>44530</v>
      </c>
      <c r="C241" s="1" t="n">
        <v>45916</v>
      </c>
      <c r="D241" t="inlineStr">
        <is>
          <t>JÄMTLANDS LÄN</t>
        </is>
      </c>
      <c r="E241" t="inlineStr">
        <is>
          <t>BERG</t>
        </is>
      </c>
      <c r="G241" t="n">
        <v>3.3</v>
      </c>
      <c r="H241" t="n">
        <v>0</v>
      </c>
      <c r="I241" t="n">
        <v>0</v>
      </c>
      <c r="J241" t="n">
        <v>0</v>
      </c>
      <c r="K241" t="n">
        <v>0</v>
      </c>
      <c r="L241" t="n">
        <v>0</v>
      </c>
      <c r="M241" t="n">
        <v>0</v>
      </c>
      <c r="N241" t="n">
        <v>0</v>
      </c>
      <c r="O241" t="n">
        <v>0</v>
      </c>
      <c r="P241" t="n">
        <v>0</v>
      </c>
      <c r="Q241" t="n">
        <v>0</v>
      </c>
      <c r="R241" s="2" t="inlineStr"/>
    </row>
    <row r="242" ht="15" customHeight="1">
      <c r="A242" t="inlineStr">
        <is>
          <t>A 22680-2022</t>
        </is>
      </c>
      <c r="B242" s="1" t="n">
        <v>44714</v>
      </c>
      <c r="C242" s="1" t="n">
        <v>45916</v>
      </c>
      <c r="D242" t="inlineStr">
        <is>
          <t>JÄMTLANDS LÄN</t>
        </is>
      </c>
      <c r="E242" t="inlineStr">
        <is>
          <t>BERG</t>
        </is>
      </c>
      <c r="G242" t="n">
        <v>15.4</v>
      </c>
      <c r="H242" t="n">
        <v>0</v>
      </c>
      <c r="I242" t="n">
        <v>0</v>
      </c>
      <c r="J242" t="n">
        <v>0</v>
      </c>
      <c r="K242" t="n">
        <v>0</v>
      </c>
      <c r="L242" t="n">
        <v>0</v>
      </c>
      <c r="M242" t="n">
        <v>0</v>
      </c>
      <c r="N242" t="n">
        <v>0</v>
      </c>
      <c r="O242" t="n">
        <v>0</v>
      </c>
      <c r="P242" t="n">
        <v>0</v>
      </c>
      <c r="Q242" t="n">
        <v>0</v>
      </c>
      <c r="R242" s="2" t="inlineStr"/>
    </row>
    <row r="243" ht="15" customHeight="1">
      <c r="A243" t="inlineStr">
        <is>
          <t>A 35308-2021</t>
        </is>
      </c>
      <c r="B243" s="1" t="n">
        <v>44384</v>
      </c>
      <c r="C243" s="1" t="n">
        <v>45916</v>
      </c>
      <c r="D243" t="inlineStr">
        <is>
          <t>JÄMTLANDS LÄN</t>
        </is>
      </c>
      <c r="E243" t="inlineStr">
        <is>
          <t>BERG</t>
        </is>
      </c>
      <c r="G243" t="n">
        <v>2.9</v>
      </c>
      <c r="H243" t="n">
        <v>0</v>
      </c>
      <c r="I243" t="n">
        <v>0</v>
      </c>
      <c r="J243" t="n">
        <v>0</v>
      </c>
      <c r="K243" t="n">
        <v>0</v>
      </c>
      <c r="L243" t="n">
        <v>0</v>
      </c>
      <c r="M243" t="n">
        <v>0</v>
      </c>
      <c r="N243" t="n">
        <v>0</v>
      </c>
      <c r="O243" t="n">
        <v>0</v>
      </c>
      <c r="P243" t="n">
        <v>0</v>
      </c>
      <c r="Q243" t="n">
        <v>0</v>
      </c>
      <c r="R243" s="2" t="inlineStr"/>
      <c r="U243">
        <f>HYPERLINK("https://klasma.github.io/Logging_2326/knärot/A 35308-2021 karta knärot.png", "A 35308-2021")</f>
        <v/>
      </c>
      <c r="V243">
        <f>HYPERLINK("https://klasma.github.io/Logging_2326/klagomål/A 35308-2021 FSC-klagomål.docx", "A 35308-2021")</f>
        <v/>
      </c>
      <c r="W243">
        <f>HYPERLINK("https://klasma.github.io/Logging_2326/klagomålsmail/A 35308-2021 FSC-klagomål mail.docx", "A 35308-2021")</f>
        <v/>
      </c>
      <c r="X243">
        <f>HYPERLINK("https://klasma.github.io/Logging_2326/tillsyn/A 35308-2021 tillsynsbegäran.docx", "A 35308-2021")</f>
        <v/>
      </c>
      <c r="Y243">
        <f>HYPERLINK("https://klasma.github.io/Logging_2326/tillsynsmail/A 35308-2021 tillsynsbegäran mail.docx", "A 35308-2021")</f>
        <v/>
      </c>
    </row>
    <row r="244" ht="15" customHeight="1">
      <c r="A244" t="inlineStr">
        <is>
          <t>A 51951-2021</t>
        </is>
      </c>
      <c r="B244" s="1" t="n">
        <v>44462</v>
      </c>
      <c r="C244" s="1" t="n">
        <v>45916</v>
      </c>
      <c r="D244" t="inlineStr">
        <is>
          <t>JÄMTLANDS LÄN</t>
        </is>
      </c>
      <c r="E244" t="inlineStr">
        <is>
          <t>BERG</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41866-2024</t>
        </is>
      </c>
      <c r="B245" s="1" t="n">
        <v>45561.46454861111</v>
      </c>
      <c r="C245" s="1" t="n">
        <v>45916</v>
      </c>
      <c r="D245" t="inlineStr">
        <is>
          <t>JÄMTLANDS LÄN</t>
        </is>
      </c>
      <c r="E245" t="inlineStr">
        <is>
          <t>BERG</t>
        </is>
      </c>
      <c r="G245" t="n">
        <v>2.8</v>
      </c>
      <c r="H245" t="n">
        <v>0</v>
      </c>
      <c r="I245" t="n">
        <v>0</v>
      </c>
      <c r="J245" t="n">
        <v>0</v>
      </c>
      <c r="K245" t="n">
        <v>0</v>
      </c>
      <c r="L245" t="n">
        <v>0</v>
      </c>
      <c r="M245" t="n">
        <v>0</v>
      </c>
      <c r="N245" t="n">
        <v>0</v>
      </c>
      <c r="O245" t="n">
        <v>0</v>
      </c>
      <c r="P245" t="n">
        <v>0</v>
      </c>
      <c r="Q245" t="n">
        <v>0</v>
      </c>
      <c r="R245" s="2" t="inlineStr"/>
    </row>
    <row r="246" ht="15" customHeight="1">
      <c r="A246" t="inlineStr">
        <is>
          <t>A 9482-2024</t>
        </is>
      </c>
      <c r="B246" s="1" t="n">
        <v>45359.57847222222</v>
      </c>
      <c r="C246" s="1" t="n">
        <v>45916</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46199-2022</t>
        </is>
      </c>
      <c r="B247" s="1" t="n">
        <v>44847.53822916667</v>
      </c>
      <c r="C247" s="1" t="n">
        <v>45916</v>
      </c>
      <c r="D247" t="inlineStr">
        <is>
          <t>JÄMTLANDS LÄN</t>
        </is>
      </c>
      <c r="E247" t="inlineStr">
        <is>
          <t>BERG</t>
        </is>
      </c>
      <c r="G247" t="n">
        <v>5.6</v>
      </c>
      <c r="H247" t="n">
        <v>0</v>
      </c>
      <c r="I247" t="n">
        <v>0</v>
      </c>
      <c r="J247" t="n">
        <v>0</v>
      </c>
      <c r="K247" t="n">
        <v>0</v>
      </c>
      <c r="L247" t="n">
        <v>0</v>
      </c>
      <c r="M247" t="n">
        <v>0</v>
      </c>
      <c r="N247" t="n">
        <v>0</v>
      </c>
      <c r="O247" t="n">
        <v>0</v>
      </c>
      <c r="P247" t="n">
        <v>0</v>
      </c>
      <c r="Q247" t="n">
        <v>0</v>
      </c>
      <c r="R247" s="2" t="inlineStr"/>
    </row>
    <row r="248" ht="15" customHeight="1">
      <c r="A248" t="inlineStr">
        <is>
          <t>A 65209-2023</t>
        </is>
      </c>
      <c r="B248" s="1" t="n">
        <v>45289</v>
      </c>
      <c r="C248" s="1" t="n">
        <v>45916</v>
      </c>
      <c r="D248" t="inlineStr">
        <is>
          <t>JÄMTLANDS LÄN</t>
        </is>
      </c>
      <c r="E248" t="inlineStr">
        <is>
          <t>BERG</t>
        </is>
      </c>
      <c r="G248" t="n">
        <v>1</v>
      </c>
      <c r="H248" t="n">
        <v>0</v>
      </c>
      <c r="I248" t="n">
        <v>0</v>
      </c>
      <c r="J248" t="n">
        <v>0</v>
      </c>
      <c r="K248" t="n">
        <v>0</v>
      </c>
      <c r="L248" t="n">
        <v>0</v>
      </c>
      <c r="M248" t="n">
        <v>0</v>
      </c>
      <c r="N248" t="n">
        <v>0</v>
      </c>
      <c r="O248" t="n">
        <v>0</v>
      </c>
      <c r="P248" t="n">
        <v>0</v>
      </c>
      <c r="Q248" t="n">
        <v>0</v>
      </c>
      <c r="R248" s="2" t="inlineStr"/>
    </row>
    <row r="249" ht="15" customHeight="1">
      <c r="A249" t="inlineStr">
        <is>
          <t>A 18685-2024</t>
        </is>
      </c>
      <c r="B249" s="1" t="n">
        <v>45426.38322916667</v>
      </c>
      <c r="C249" s="1" t="n">
        <v>45916</v>
      </c>
      <c r="D249" t="inlineStr">
        <is>
          <t>JÄMTLANDS LÄN</t>
        </is>
      </c>
      <c r="E249" t="inlineStr">
        <is>
          <t>BERG</t>
        </is>
      </c>
      <c r="G249" t="n">
        <v>5.1</v>
      </c>
      <c r="H249" t="n">
        <v>0</v>
      </c>
      <c r="I249" t="n">
        <v>0</v>
      </c>
      <c r="J249" t="n">
        <v>0</v>
      </c>
      <c r="K249" t="n">
        <v>0</v>
      </c>
      <c r="L249" t="n">
        <v>0</v>
      </c>
      <c r="M249" t="n">
        <v>0</v>
      </c>
      <c r="N249" t="n">
        <v>0</v>
      </c>
      <c r="O249" t="n">
        <v>0</v>
      </c>
      <c r="P249" t="n">
        <v>0</v>
      </c>
      <c r="Q249" t="n">
        <v>0</v>
      </c>
      <c r="R249" s="2" t="inlineStr"/>
    </row>
    <row r="250" ht="15" customHeight="1">
      <c r="A250" t="inlineStr">
        <is>
          <t>A 13636-2022</t>
        </is>
      </c>
      <c r="B250" s="1" t="n">
        <v>44648</v>
      </c>
      <c r="C250" s="1" t="n">
        <v>45916</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45916</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36079-2024</t>
        </is>
      </c>
      <c r="B252" s="1" t="n">
        <v>45533.66685185185</v>
      </c>
      <c r="C252" s="1" t="n">
        <v>45916</v>
      </c>
      <c r="D252" t="inlineStr">
        <is>
          <t>JÄMTLANDS LÄN</t>
        </is>
      </c>
      <c r="E252" t="inlineStr">
        <is>
          <t>BERG</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59526-2024</t>
        </is>
      </c>
      <c r="B253" s="1" t="n">
        <v>45638.58019675926</v>
      </c>
      <c r="C253" s="1" t="n">
        <v>45916</v>
      </c>
      <c r="D253" t="inlineStr">
        <is>
          <t>JÄMTLANDS LÄN</t>
        </is>
      </c>
      <c r="E253" t="inlineStr">
        <is>
          <t>BERG</t>
        </is>
      </c>
      <c r="G253" t="n">
        <v>1</v>
      </c>
      <c r="H253" t="n">
        <v>0</v>
      </c>
      <c r="I253" t="n">
        <v>0</v>
      </c>
      <c r="J253" t="n">
        <v>0</v>
      </c>
      <c r="K253" t="n">
        <v>0</v>
      </c>
      <c r="L253" t="n">
        <v>0</v>
      </c>
      <c r="M253" t="n">
        <v>0</v>
      </c>
      <c r="N253" t="n">
        <v>0</v>
      </c>
      <c r="O253" t="n">
        <v>0</v>
      </c>
      <c r="P253" t="n">
        <v>0</v>
      </c>
      <c r="Q253" t="n">
        <v>0</v>
      </c>
      <c r="R253" s="2" t="inlineStr"/>
    </row>
    <row r="254" ht="15" customHeight="1">
      <c r="A254" t="inlineStr">
        <is>
          <t>A 29511-2021</t>
        </is>
      </c>
      <c r="B254" s="1" t="n">
        <v>44361</v>
      </c>
      <c r="C254" s="1" t="n">
        <v>45916</v>
      </c>
      <c r="D254" t="inlineStr">
        <is>
          <t>JÄMTLANDS LÄN</t>
        </is>
      </c>
      <c r="E254" t="inlineStr">
        <is>
          <t>BERG</t>
        </is>
      </c>
      <c r="G254" t="n">
        <v>5.6</v>
      </c>
      <c r="H254" t="n">
        <v>0</v>
      </c>
      <c r="I254" t="n">
        <v>0</v>
      </c>
      <c r="J254" t="n">
        <v>0</v>
      </c>
      <c r="K254" t="n">
        <v>0</v>
      </c>
      <c r="L254" t="n">
        <v>0</v>
      </c>
      <c r="M254" t="n">
        <v>0</v>
      </c>
      <c r="N254" t="n">
        <v>0</v>
      </c>
      <c r="O254" t="n">
        <v>0</v>
      </c>
      <c r="P254" t="n">
        <v>0</v>
      </c>
      <c r="Q254" t="n">
        <v>0</v>
      </c>
      <c r="R254" s="2" t="inlineStr"/>
    </row>
    <row r="255" ht="15" customHeight="1">
      <c r="A255" t="inlineStr">
        <is>
          <t>A 36287-2024</t>
        </is>
      </c>
      <c r="B255" s="1" t="n">
        <v>45534</v>
      </c>
      <c r="C255" s="1" t="n">
        <v>45916</v>
      </c>
      <c r="D255" t="inlineStr">
        <is>
          <t>JÄMTLANDS LÄN</t>
        </is>
      </c>
      <c r="E255" t="inlineStr">
        <is>
          <t>BERG</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30992-2024</t>
        </is>
      </c>
      <c r="B256" s="1" t="n">
        <v>45499</v>
      </c>
      <c r="C256" s="1" t="n">
        <v>45916</v>
      </c>
      <c r="D256" t="inlineStr">
        <is>
          <t>JÄMTLANDS LÄN</t>
        </is>
      </c>
      <c r="E256" t="inlineStr">
        <is>
          <t>BERG</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21717-2023</t>
        </is>
      </c>
      <c r="B257" s="1" t="n">
        <v>45063</v>
      </c>
      <c r="C257" s="1" t="n">
        <v>45916</v>
      </c>
      <c r="D257" t="inlineStr">
        <is>
          <t>JÄMTLANDS LÄN</t>
        </is>
      </c>
      <c r="E257" t="inlineStr">
        <is>
          <t>BERG</t>
        </is>
      </c>
      <c r="G257" t="n">
        <v>6</v>
      </c>
      <c r="H257" t="n">
        <v>0</v>
      </c>
      <c r="I257" t="n">
        <v>0</v>
      </c>
      <c r="J257" t="n">
        <v>0</v>
      </c>
      <c r="K257" t="n">
        <v>0</v>
      </c>
      <c r="L257" t="n">
        <v>0</v>
      </c>
      <c r="M257" t="n">
        <v>0</v>
      </c>
      <c r="N257" t="n">
        <v>0</v>
      </c>
      <c r="O257" t="n">
        <v>0</v>
      </c>
      <c r="P257" t="n">
        <v>0</v>
      </c>
      <c r="Q257" t="n">
        <v>0</v>
      </c>
      <c r="R257" s="2" t="inlineStr"/>
    </row>
    <row r="258" ht="15" customHeight="1">
      <c r="A258" t="inlineStr">
        <is>
          <t>A 43616-2024</t>
        </is>
      </c>
      <c r="B258" s="1" t="n">
        <v>45569</v>
      </c>
      <c r="C258" s="1" t="n">
        <v>45916</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45916</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56490-2024</t>
        </is>
      </c>
      <c r="B260" s="1" t="n">
        <v>45625.48765046296</v>
      </c>
      <c r="C260" s="1" t="n">
        <v>45916</v>
      </c>
      <c r="D260" t="inlineStr">
        <is>
          <t>JÄMTLANDS LÄN</t>
        </is>
      </c>
      <c r="E260" t="inlineStr">
        <is>
          <t>BERG</t>
        </is>
      </c>
      <c r="G260" t="n">
        <v>5.9</v>
      </c>
      <c r="H260" t="n">
        <v>0</v>
      </c>
      <c r="I260" t="n">
        <v>0</v>
      </c>
      <c r="J260" t="n">
        <v>0</v>
      </c>
      <c r="K260" t="n">
        <v>0</v>
      </c>
      <c r="L260" t="n">
        <v>0</v>
      </c>
      <c r="M260" t="n">
        <v>0</v>
      </c>
      <c r="N260" t="n">
        <v>0</v>
      </c>
      <c r="O260" t="n">
        <v>0</v>
      </c>
      <c r="P260" t="n">
        <v>0</v>
      </c>
      <c r="Q260" t="n">
        <v>0</v>
      </c>
      <c r="R260" s="2" t="inlineStr"/>
    </row>
    <row r="261" ht="15" customHeight="1">
      <c r="A261" t="inlineStr">
        <is>
          <t>A 1657-2021</t>
        </is>
      </c>
      <c r="B261" s="1" t="n">
        <v>44209</v>
      </c>
      <c r="C261" s="1" t="n">
        <v>45916</v>
      </c>
      <c r="D261" t="inlineStr">
        <is>
          <t>JÄMTLANDS LÄN</t>
        </is>
      </c>
      <c r="E261" t="inlineStr">
        <is>
          <t>BERG</t>
        </is>
      </c>
      <c r="G261" t="n">
        <v>0.1</v>
      </c>
      <c r="H261" t="n">
        <v>0</v>
      </c>
      <c r="I261" t="n">
        <v>0</v>
      </c>
      <c r="J261" t="n">
        <v>0</v>
      </c>
      <c r="K261" t="n">
        <v>0</v>
      </c>
      <c r="L261" t="n">
        <v>0</v>
      </c>
      <c r="M261" t="n">
        <v>0</v>
      </c>
      <c r="N261" t="n">
        <v>0</v>
      </c>
      <c r="O261" t="n">
        <v>0</v>
      </c>
      <c r="P261" t="n">
        <v>0</v>
      </c>
      <c r="Q261" t="n">
        <v>0</v>
      </c>
      <c r="R261" s="2" t="inlineStr"/>
    </row>
    <row r="262" ht="15" customHeight="1">
      <c r="A262" t="inlineStr">
        <is>
          <t>A 49048-2024</t>
        </is>
      </c>
      <c r="B262" s="1" t="n">
        <v>45594.57427083333</v>
      </c>
      <c r="C262" s="1" t="n">
        <v>45916</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10974-2025</t>
        </is>
      </c>
      <c r="B263" s="1" t="n">
        <v>45723.38790509259</v>
      </c>
      <c r="C263" s="1" t="n">
        <v>45916</v>
      </c>
      <c r="D263" t="inlineStr">
        <is>
          <t>JÄMTLANDS LÄN</t>
        </is>
      </c>
      <c r="E263" t="inlineStr">
        <is>
          <t>BERG</t>
        </is>
      </c>
      <c r="G263" t="n">
        <v>6.9</v>
      </c>
      <c r="H263" t="n">
        <v>0</v>
      </c>
      <c r="I263" t="n">
        <v>0</v>
      </c>
      <c r="J263" t="n">
        <v>0</v>
      </c>
      <c r="K263" t="n">
        <v>0</v>
      </c>
      <c r="L263" t="n">
        <v>0</v>
      </c>
      <c r="M263" t="n">
        <v>0</v>
      </c>
      <c r="N263" t="n">
        <v>0</v>
      </c>
      <c r="O263" t="n">
        <v>0</v>
      </c>
      <c r="P263" t="n">
        <v>0</v>
      </c>
      <c r="Q263" t="n">
        <v>0</v>
      </c>
      <c r="R263" s="2" t="inlineStr"/>
    </row>
    <row r="264" ht="15" customHeight="1">
      <c r="A264" t="inlineStr">
        <is>
          <t>A 47674-2024</t>
        </is>
      </c>
      <c r="B264" s="1" t="n">
        <v>45588.40413194444</v>
      </c>
      <c r="C264" s="1" t="n">
        <v>45916</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9114-2022</t>
        </is>
      </c>
      <c r="B265" s="1" t="n">
        <v>44615</v>
      </c>
      <c r="C265" s="1" t="n">
        <v>45916</v>
      </c>
      <c r="D265" t="inlineStr">
        <is>
          <t>JÄMTLANDS LÄN</t>
        </is>
      </c>
      <c r="E265" t="inlineStr">
        <is>
          <t>BERG</t>
        </is>
      </c>
      <c r="G265" t="n">
        <v>2.9</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45916</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54071-2023</t>
        </is>
      </c>
      <c r="B267" s="1" t="n">
        <v>45231</v>
      </c>
      <c r="C267" s="1" t="n">
        <v>45916</v>
      </c>
      <c r="D267" t="inlineStr">
        <is>
          <t>JÄMTLANDS LÄN</t>
        </is>
      </c>
      <c r="E267" t="inlineStr">
        <is>
          <t>BERG</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62360-2023</t>
        </is>
      </c>
      <c r="B268" s="1" t="n">
        <v>45267</v>
      </c>
      <c r="C268" s="1" t="n">
        <v>45916</v>
      </c>
      <c r="D268" t="inlineStr">
        <is>
          <t>JÄMTLANDS LÄN</t>
        </is>
      </c>
      <c r="E268" t="inlineStr">
        <is>
          <t>BERG</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23026-2025</t>
        </is>
      </c>
      <c r="B269" s="1" t="n">
        <v>45790.65690972222</v>
      </c>
      <c r="C269" s="1" t="n">
        <v>45916</v>
      </c>
      <c r="D269" t="inlineStr">
        <is>
          <t>JÄMTLANDS LÄN</t>
        </is>
      </c>
      <c r="E269" t="inlineStr">
        <is>
          <t>BERG</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22995-2025</t>
        </is>
      </c>
      <c r="B270" s="1" t="n">
        <v>45790.58265046297</v>
      </c>
      <c r="C270" s="1" t="n">
        <v>45916</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41098-2023</t>
        </is>
      </c>
      <c r="B271" s="1" t="n">
        <v>45170</v>
      </c>
      <c r="C271" s="1" t="n">
        <v>45916</v>
      </c>
      <c r="D271" t="inlineStr">
        <is>
          <t>JÄMTLANDS LÄN</t>
        </is>
      </c>
      <c r="E271" t="inlineStr">
        <is>
          <t>BERG</t>
        </is>
      </c>
      <c r="G271" t="n">
        <v>3.1</v>
      </c>
      <c r="H271" t="n">
        <v>0</v>
      </c>
      <c r="I271" t="n">
        <v>0</v>
      </c>
      <c r="J271" t="n">
        <v>0</v>
      </c>
      <c r="K271" t="n">
        <v>0</v>
      </c>
      <c r="L271" t="n">
        <v>0</v>
      </c>
      <c r="M271" t="n">
        <v>0</v>
      </c>
      <c r="N271" t="n">
        <v>0</v>
      </c>
      <c r="O271" t="n">
        <v>0</v>
      </c>
      <c r="P271" t="n">
        <v>0</v>
      </c>
      <c r="Q271" t="n">
        <v>0</v>
      </c>
      <c r="R271" s="2" t="inlineStr"/>
    </row>
    <row r="272" ht="15" customHeight="1">
      <c r="A272" t="inlineStr">
        <is>
          <t>A 433-2023</t>
        </is>
      </c>
      <c r="B272" s="1" t="n">
        <v>44923</v>
      </c>
      <c r="C272" s="1" t="n">
        <v>45916</v>
      </c>
      <c r="D272" t="inlineStr">
        <is>
          <t>JÄMTLANDS LÄN</t>
        </is>
      </c>
      <c r="E272" t="inlineStr">
        <is>
          <t>BERG</t>
        </is>
      </c>
      <c r="G272" t="n">
        <v>1.5</v>
      </c>
      <c r="H272" t="n">
        <v>0</v>
      </c>
      <c r="I272" t="n">
        <v>0</v>
      </c>
      <c r="J272" t="n">
        <v>0</v>
      </c>
      <c r="K272" t="n">
        <v>0</v>
      </c>
      <c r="L272" t="n">
        <v>0</v>
      </c>
      <c r="M272" t="n">
        <v>0</v>
      </c>
      <c r="N272" t="n">
        <v>0</v>
      </c>
      <c r="O272" t="n">
        <v>0</v>
      </c>
      <c r="P272" t="n">
        <v>0</v>
      </c>
      <c r="Q272" t="n">
        <v>0</v>
      </c>
      <c r="R272" s="2" t="inlineStr"/>
    </row>
    <row r="273" ht="15" customHeight="1">
      <c r="A273" t="inlineStr">
        <is>
          <t>A 1499-2025</t>
        </is>
      </c>
      <c r="B273" s="1" t="n">
        <v>45670.41112268518</v>
      </c>
      <c r="C273" s="1" t="n">
        <v>45916</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32147-2024</t>
        </is>
      </c>
      <c r="B274" s="1" t="n">
        <v>45511.55600694445</v>
      </c>
      <c r="C274" s="1" t="n">
        <v>45916</v>
      </c>
      <c r="D274" t="inlineStr">
        <is>
          <t>JÄMTLANDS LÄN</t>
        </is>
      </c>
      <c r="E274" t="inlineStr">
        <is>
          <t>BERG</t>
        </is>
      </c>
      <c r="G274" t="n">
        <v>2.3</v>
      </c>
      <c r="H274" t="n">
        <v>0</v>
      </c>
      <c r="I274" t="n">
        <v>0</v>
      </c>
      <c r="J274" t="n">
        <v>0</v>
      </c>
      <c r="K274" t="n">
        <v>0</v>
      </c>
      <c r="L274" t="n">
        <v>0</v>
      </c>
      <c r="M274" t="n">
        <v>0</v>
      </c>
      <c r="N274" t="n">
        <v>0</v>
      </c>
      <c r="O274" t="n">
        <v>0</v>
      </c>
      <c r="P274" t="n">
        <v>0</v>
      </c>
      <c r="Q274" t="n">
        <v>0</v>
      </c>
      <c r="R274" s="2" t="inlineStr"/>
    </row>
    <row r="275" ht="15" customHeight="1">
      <c r="A275" t="inlineStr">
        <is>
          <t>A 46872-2023</t>
        </is>
      </c>
      <c r="B275" s="1" t="n">
        <v>45200</v>
      </c>
      <c r="C275" s="1" t="n">
        <v>45916</v>
      </c>
      <c r="D275" t="inlineStr">
        <is>
          <t>JÄMTLANDS LÄN</t>
        </is>
      </c>
      <c r="E275" t="inlineStr">
        <is>
          <t>BERG</t>
        </is>
      </c>
      <c r="F275" t="inlineStr">
        <is>
          <t>Naturvårdsverket</t>
        </is>
      </c>
      <c r="G275" t="n">
        <v>1.2</v>
      </c>
      <c r="H275" t="n">
        <v>0</v>
      </c>
      <c r="I275" t="n">
        <v>0</v>
      </c>
      <c r="J275" t="n">
        <v>0</v>
      </c>
      <c r="K275" t="n">
        <v>0</v>
      </c>
      <c r="L275" t="n">
        <v>0</v>
      </c>
      <c r="M275" t="n">
        <v>0</v>
      </c>
      <c r="N275" t="n">
        <v>0</v>
      </c>
      <c r="O275" t="n">
        <v>0</v>
      </c>
      <c r="P275" t="n">
        <v>0</v>
      </c>
      <c r="Q275" t="n">
        <v>0</v>
      </c>
      <c r="R275" s="2" t="inlineStr"/>
      <c r="U275">
        <f>HYPERLINK("https://klasma.github.io/Logging_2326/knärot/A 46872-2023 karta knärot.png", "A 46872-2023")</f>
        <v/>
      </c>
      <c r="V275">
        <f>HYPERLINK("https://klasma.github.io/Logging_2326/klagomål/A 46872-2023 FSC-klagomål.docx", "A 46872-2023")</f>
        <v/>
      </c>
      <c r="W275">
        <f>HYPERLINK("https://klasma.github.io/Logging_2326/klagomålsmail/A 46872-2023 FSC-klagomål mail.docx", "A 46872-2023")</f>
        <v/>
      </c>
      <c r="X275">
        <f>HYPERLINK("https://klasma.github.io/Logging_2326/tillsyn/A 46872-2023 tillsynsbegäran.docx", "A 46872-2023")</f>
        <v/>
      </c>
      <c r="Y275">
        <f>HYPERLINK("https://klasma.github.io/Logging_2326/tillsynsmail/A 46872-2023 tillsynsbegäran mail.docx", "A 46872-2023")</f>
        <v/>
      </c>
    </row>
    <row r="276" ht="15" customHeight="1">
      <c r="A276" t="inlineStr">
        <is>
          <t>A 48069-2023</t>
        </is>
      </c>
      <c r="B276" s="1" t="n">
        <v>45204</v>
      </c>
      <c r="C276" s="1" t="n">
        <v>45916</v>
      </c>
      <c r="D276" t="inlineStr">
        <is>
          <t>JÄMTLANDS LÄN</t>
        </is>
      </c>
      <c r="E276" t="inlineStr">
        <is>
          <t>BERG</t>
        </is>
      </c>
      <c r="F276" t="inlineStr">
        <is>
          <t>SCA</t>
        </is>
      </c>
      <c r="G276" t="n">
        <v>11.2</v>
      </c>
      <c r="H276" t="n">
        <v>0</v>
      </c>
      <c r="I276" t="n">
        <v>0</v>
      </c>
      <c r="J276" t="n">
        <v>0</v>
      </c>
      <c r="K276" t="n">
        <v>0</v>
      </c>
      <c r="L276" t="n">
        <v>0</v>
      </c>
      <c r="M276" t="n">
        <v>0</v>
      </c>
      <c r="N276" t="n">
        <v>0</v>
      </c>
      <c r="O276" t="n">
        <v>0</v>
      </c>
      <c r="P276" t="n">
        <v>0</v>
      </c>
      <c r="Q276" t="n">
        <v>0</v>
      </c>
      <c r="R276" s="2" t="inlineStr"/>
    </row>
    <row r="277" ht="15" customHeight="1">
      <c r="A277" t="inlineStr">
        <is>
          <t>A 23766-2025</t>
        </is>
      </c>
      <c r="B277" s="1" t="n">
        <v>45793.46954861111</v>
      </c>
      <c r="C277" s="1" t="n">
        <v>45916</v>
      </c>
      <c r="D277" t="inlineStr">
        <is>
          <t>JÄMTLANDS LÄN</t>
        </is>
      </c>
      <c r="E277" t="inlineStr">
        <is>
          <t>BERG</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461-2023</t>
        </is>
      </c>
      <c r="B278" s="1" t="n">
        <v>44929</v>
      </c>
      <c r="C278" s="1" t="n">
        <v>45916</v>
      </c>
      <c r="D278" t="inlineStr">
        <is>
          <t>JÄMTLANDS LÄN</t>
        </is>
      </c>
      <c r="E278" t="inlineStr">
        <is>
          <t>BERG</t>
        </is>
      </c>
      <c r="G278" t="n">
        <v>5.8</v>
      </c>
      <c r="H278" t="n">
        <v>0</v>
      </c>
      <c r="I278" t="n">
        <v>0</v>
      </c>
      <c r="J278" t="n">
        <v>0</v>
      </c>
      <c r="K278" t="n">
        <v>0</v>
      </c>
      <c r="L278" t="n">
        <v>0</v>
      </c>
      <c r="M278" t="n">
        <v>0</v>
      </c>
      <c r="N278" t="n">
        <v>0</v>
      </c>
      <c r="O278" t="n">
        <v>0</v>
      </c>
      <c r="P278" t="n">
        <v>0</v>
      </c>
      <c r="Q278" t="n">
        <v>0</v>
      </c>
      <c r="R278" s="2" t="inlineStr"/>
    </row>
    <row r="279" ht="15" customHeight="1">
      <c r="A279" t="inlineStr">
        <is>
          <t>A 23913-2025</t>
        </is>
      </c>
      <c r="B279" s="1" t="n">
        <v>45795.34442129629</v>
      </c>
      <c r="C279" s="1" t="n">
        <v>45916</v>
      </c>
      <c r="D279" t="inlineStr">
        <is>
          <t>JÄMTLANDS LÄN</t>
        </is>
      </c>
      <c r="E279" t="inlineStr">
        <is>
          <t>BERG</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23919-2025</t>
        </is>
      </c>
      <c r="B280" s="1" t="n">
        <v>45795.34497685185</v>
      </c>
      <c r="C280" s="1" t="n">
        <v>45916</v>
      </c>
      <c r="D280" t="inlineStr">
        <is>
          <t>JÄMTLANDS LÄN</t>
        </is>
      </c>
      <c r="E280" t="inlineStr">
        <is>
          <t>BERG</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525-2023</t>
        </is>
      </c>
      <c r="B281" s="1" t="n">
        <v>44924</v>
      </c>
      <c r="C281" s="1" t="n">
        <v>45916</v>
      </c>
      <c r="D281" t="inlineStr">
        <is>
          <t>JÄMTLANDS LÄN</t>
        </is>
      </c>
      <c r="E281" t="inlineStr">
        <is>
          <t>BERG</t>
        </is>
      </c>
      <c r="G281" t="n">
        <v>4</v>
      </c>
      <c r="H281" t="n">
        <v>0</v>
      </c>
      <c r="I281" t="n">
        <v>0</v>
      </c>
      <c r="J281" t="n">
        <v>0</v>
      </c>
      <c r="K281" t="n">
        <v>0</v>
      </c>
      <c r="L281" t="n">
        <v>0</v>
      </c>
      <c r="M281" t="n">
        <v>0</v>
      </c>
      <c r="N281" t="n">
        <v>0</v>
      </c>
      <c r="O281" t="n">
        <v>0</v>
      </c>
      <c r="P281" t="n">
        <v>0</v>
      </c>
      <c r="Q281" t="n">
        <v>0</v>
      </c>
      <c r="R281" s="2" t="inlineStr"/>
    </row>
    <row r="282" ht="15" customHeight="1">
      <c r="A282" t="inlineStr">
        <is>
          <t>A 24324-2025</t>
        </is>
      </c>
      <c r="B282" s="1" t="n">
        <v>45797.56049768518</v>
      </c>
      <c r="C282" s="1" t="n">
        <v>45916</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38682-2023</t>
        </is>
      </c>
      <c r="B283" s="1" t="n">
        <v>45162</v>
      </c>
      <c r="C283" s="1" t="n">
        <v>45916</v>
      </c>
      <c r="D283" t="inlineStr">
        <is>
          <t>JÄMTLANDS LÄN</t>
        </is>
      </c>
      <c r="E283" t="inlineStr">
        <is>
          <t>BERG</t>
        </is>
      </c>
      <c r="F283" t="inlineStr">
        <is>
          <t>SCA</t>
        </is>
      </c>
      <c r="G283" t="n">
        <v>21.3</v>
      </c>
      <c r="H283" t="n">
        <v>0</v>
      </c>
      <c r="I283" t="n">
        <v>0</v>
      </c>
      <c r="J283" t="n">
        <v>0</v>
      </c>
      <c r="K283" t="n">
        <v>0</v>
      </c>
      <c r="L283" t="n">
        <v>0</v>
      </c>
      <c r="M283" t="n">
        <v>0</v>
      </c>
      <c r="N283" t="n">
        <v>0</v>
      </c>
      <c r="O283" t="n">
        <v>0</v>
      </c>
      <c r="P283" t="n">
        <v>0</v>
      </c>
      <c r="Q283" t="n">
        <v>0</v>
      </c>
      <c r="R283" s="2" t="inlineStr"/>
    </row>
    <row r="284" ht="15" customHeight="1">
      <c r="A284" t="inlineStr">
        <is>
          <t>A 45346-2023</t>
        </is>
      </c>
      <c r="B284" s="1" t="n">
        <v>45191</v>
      </c>
      <c r="C284" s="1" t="n">
        <v>45916</v>
      </c>
      <c r="D284" t="inlineStr">
        <is>
          <t>JÄMTLANDS LÄN</t>
        </is>
      </c>
      <c r="E284" t="inlineStr">
        <is>
          <t>BERG</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26918-2024</t>
        </is>
      </c>
      <c r="B285" s="1" t="n">
        <v>45470</v>
      </c>
      <c r="C285" s="1" t="n">
        <v>45916</v>
      </c>
      <c r="D285" t="inlineStr">
        <is>
          <t>JÄMTLANDS LÄN</t>
        </is>
      </c>
      <c r="E285" t="inlineStr">
        <is>
          <t>BERG</t>
        </is>
      </c>
      <c r="G285" t="n">
        <v>0.4</v>
      </c>
      <c r="H285" t="n">
        <v>0</v>
      </c>
      <c r="I285" t="n">
        <v>0</v>
      </c>
      <c r="J285" t="n">
        <v>0</v>
      </c>
      <c r="K285" t="n">
        <v>0</v>
      </c>
      <c r="L285" t="n">
        <v>0</v>
      </c>
      <c r="M285" t="n">
        <v>0</v>
      </c>
      <c r="N285" t="n">
        <v>0</v>
      </c>
      <c r="O285" t="n">
        <v>0</v>
      </c>
      <c r="P285" t="n">
        <v>0</v>
      </c>
      <c r="Q285" t="n">
        <v>0</v>
      </c>
      <c r="R285" s="2" t="inlineStr"/>
    </row>
    <row r="286" ht="15" customHeight="1">
      <c r="A286" t="inlineStr">
        <is>
          <t>A 22297-2022</t>
        </is>
      </c>
      <c r="B286" s="1" t="n">
        <v>44712</v>
      </c>
      <c r="C286" s="1" t="n">
        <v>45916</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27579-2024</t>
        </is>
      </c>
      <c r="B287" s="1" t="n">
        <v>45474.65244212963</v>
      </c>
      <c r="C287" s="1" t="n">
        <v>45916</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23900-2025</t>
        </is>
      </c>
      <c r="B288" s="1" t="n">
        <v>45794.34425925926</v>
      </c>
      <c r="C288" s="1" t="n">
        <v>45916</v>
      </c>
      <c r="D288" t="inlineStr">
        <is>
          <t>JÄMTLANDS LÄN</t>
        </is>
      </c>
      <c r="E288" t="inlineStr">
        <is>
          <t>BERG</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23915-2025</t>
        </is>
      </c>
      <c r="B289" s="1" t="n">
        <v>45795.3446412037</v>
      </c>
      <c r="C289" s="1" t="n">
        <v>45916</v>
      </c>
      <c r="D289" t="inlineStr">
        <is>
          <t>JÄMTLANDS LÄN</t>
        </is>
      </c>
      <c r="E289" t="inlineStr">
        <is>
          <t>BERG</t>
        </is>
      </c>
      <c r="F289" t="inlineStr">
        <is>
          <t>SCA</t>
        </is>
      </c>
      <c r="G289" t="n">
        <v>16.7</v>
      </c>
      <c r="H289" t="n">
        <v>0</v>
      </c>
      <c r="I289" t="n">
        <v>0</v>
      </c>
      <c r="J289" t="n">
        <v>0</v>
      </c>
      <c r="K289" t="n">
        <v>0</v>
      </c>
      <c r="L289" t="n">
        <v>0</v>
      </c>
      <c r="M289" t="n">
        <v>0</v>
      </c>
      <c r="N289" t="n">
        <v>0</v>
      </c>
      <c r="O289" t="n">
        <v>0</v>
      </c>
      <c r="P289" t="n">
        <v>0</v>
      </c>
      <c r="Q289" t="n">
        <v>0</v>
      </c>
      <c r="R289" s="2" t="inlineStr"/>
    </row>
    <row r="290" ht="15" customHeight="1">
      <c r="A290" t="inlineStr">
        <is>
          <t>A 53894-2023</t>
        </is>
      </c>
      <c r="B290" s="1" t="n">
        <v>45231.53321759259</v>
      </c>
      <c r="C290" s="1" t="n">
        <v>45916</v>
      </c>
      <c r="D290" t="inlineStr">
        <is>
          <t>JÄMTLANDS LÄN</t>
        </is>
      </c>
      <c r="E290" t="inlineStr">
        <is>
          <t>BERG</t>
        </is>
      </c>
      <c r="G290" t="n">
        <v>0.5</v>
      </c>
      <c r="H290" t="n">
        <v>0</v>
      </c>
      <c r="I290" t="n">
        <v>0</v>
      </c>
      <c r="J290" t="n">
        <v>0</v>
      </c>
      <c r="K290" t="n">
        <v>0</v>
      </c>
      <c r="L290" t="n">
        <v>0</v>
      </c>
      <c r="M290" t="n">
        <v>0</v>
      </c>
      <c r="N290" t="n">
        <v>0</v>
      </c>
      <c r="O290" t="n">
        <v>0</v>
      </c>
      <c r="P290" t="n">
        <v>0</v>
      </c>
      <c r="Q290" t="n">
        <v>0</v>
      </c>
      <c r="R290" s="2" t="inlineStr"/>
    </row>
    <row r="291" ht="15" customHeight="1">
      <c r="A291" t="inlineStr">
        <is>
          <t>A 23916-2025</t>
        </is>
      </c>
      <c r="B291" s="1" t="n">
        <v>45795.34472222222</v>
      </c>
      <c r="C291" s="1" t="n">
        <v>45916</v>
      </c>
      <c r="D291" t="inlineStr">
        <is>
          <t>JÄMTLANDS LÄN</t>
        </is>
      </c>
      <c r="E291" t="inlineStr">
        <is>
          <t>BERG</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17056-2025</t>
        </is>
      </c>
      <c r="B292" s="1" t="n">
        <v>45755.60469907407</v>
      </c>
      <c r="C292" s="1" t="n">
        <v>45916</v>
      </c>
      <c r="D292" t="inlineStr">
        <is>
          <t>JÄMTLANDS LÄN</t>
        </is>
      </c>
      <c r="E292" t="inlineStr">
        <is>
          <t>BERG</t>
        </is>
      </c>
      <c r="G292" t="n">
        <v>13.9</v>
      </c>
      <c r="H292" t="n">
        <v>0</v>
      </c>
      <c r="I292" t="n">
        <v>0</v>
      </c>
      <c r="J292" t="n">
        <v>0</v>
      </c>
      <c r="K292" t="n">
        <v>0</v>
      </c>
      <c r="L292" t="n">
        <v>0</v>
      </c>
      <c r="M292" t="n">
        <v>0</v>
      </c>
      <c r="N292" t="n">
        <v>0</v>
      </c>
      <c r="O292" t="n">
        <v>0</v>
      </c>
      <c r="P292" t="n">
        <v>0</v>
      </c>
      <c r="Q292" t="n">
        <v>0</v>
      </c>
      <c r="R292" s="2" t="inlineStr"/>
    </row>
    <row r="293" ht="15" customHeight="1">
      <c r="A293" t="inlineStr">
        <is>
          <t>A 24360-2025</t>
        </is>
      </c>
      <c r="B293" s="1" t="n">
        <v>45797.59502314815</v>
      </c>
      <c r="C293" s="1" t="n">
        <v>45916</v>
      </c>
      <c r="D293" t="inlineStr">
        <is>
          <t>JÄMTLANDS LÄN</t>
        </is>
      </c>
      <c r="E293" t="inlineStr">
        <is>
          <t>BERG</t>
        </is>
      </c>
      <c r="F293" t="inlineStr">
        <is>
          <t>SCA</t>
        </is>
      </c>
      <c r="G293" t="n">
        <v>10.5</v>
      </c>
      <c r="H293" t="n">
        <v>0</v>
      </c>
      <c r="I293" t="n">
        <v>0</v>
      </c>
      <c r="J293" t="n">
        <v>0</v>
      </c>
      <c r="K293" t="n">
        <v>0</v>
      </c>
      <c r="L293" t="n">
        <v>0</v>
      </c>
      <c r="M293" t="n">
        <v>0</v>
      </c>
      <c r="N293" t="n">
        <v>0</v>
      </c>
      <c r="O293" t="n">
        <v>0</v>
      </c>
      <c r="P293" t="n">
        <v>0</v>
      </c>
      <c r="Q293" t="n">
        <v>0</v>
      </c>
      <c r="R293" s="2" t="inlineStr"/>
    </row>
    <row r="294" ht="15" customHeight="1">
      <c r="A294" t="inlineStr">
        <is>
          <t>A 24060-2025</t>
        </is>
      </c>
      <c r="B294" s="1" t="n">
        <v>45796.5216087963</v>
      </c>
      <c r="C294" s="1" t="n">
        <v>45916</v>
      </c>
      <c r="D294" t="inlineStr">
        <is>
          <t>JÄMTLANDS LÄN</t>
        </is>
      </c>
      <c r="E294" t="inlineStr">
        <is>
          <t>BERG</t>
        </is>
      </c>
      <c r="G294" t="n">
        <v>4.7</v>
      </c>
      <c r="H294" t="n">
        <v>0</v>
      </c>
      <c r="I294" t="n">
        <v>0</v>
      </c>
      <c r="J294" t="n">
        <v>0</v>
      </c>
      <c r="K294" t="n">
        <v>0</v>
      </c>
      <c r="L294" t="n">
        <v>0</v>
      </c>
      <c r="M294" t="n">
        <v>0</v>
      </c>
      <c r="N294" t="n">
        <v>0</v>
      </c>
      <c r="O294" t="n">
        <v>0</v>
      </c>
      <c r="P294" t="n">
        <v>0</v>
      </c>
      <c r="Q294" t="n">
        <v>0</v>
      </c>
      <c r="R294" s="2" t="inlineStr"/>
    </row>
    <row r="295" ht="15" customHeight="1">
      <c r="A295" t="inlineStr">
        <is>
          <t>A 54992-2023</t>
        </is>
      </c>
      <c r="B295" s="1" t="n">
        <v>45236.96789351852</v>
      </c>
      <c r="C295" s="1" t="n">
        <v>45916</v>
      </c>
      <c r="D295" t="inlineStr">
        <is>
          <t>JÄMTLANDS LÄN</t>
        </is>
      </c>
      <c r="E295" t="inlineStr">
        <is>
          <t>BERG</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54994-2023</t>
        </is>
      </c>
      <c r="B296" s="1" t="n">
        <v>45236</v>
      </c>
      <c r="C296" s="1" t="n">
        <v>45916</v>
      </c>
      <c r="D296" t="inlineStr">
        <is>
          <t>JÄMTLANDS LÄN</t>
        </is>
      </c>
      <c r="E296" t="inlineStr">
        <is>
          <t>BERG</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57226-2022</t>
        </is>
      </c>
      <c r="B297" s="1" t="n">
        <v>44895.66629629629</v>
      </c>
      <c r="C297" s="1" t="n">
        <v>45916</v>
      </c>
      <c r="D297" t="inlineStr">
        <is>
          <t>JÄMTLANDS LÄN</t>
        </is>
      </c>
      <c r="E297" t="inlineStr">
        <is>
          <t>BERG</t>
        </is>
      </c>
      <c r="G297" t="n">
        <v>4.6</v>
      </c>
      <c r="H297" t="n">
        <v>0</v>
      </c>
      <c r="I297" t="n">
        <v>0</v>
      </c>
      <c r="J297" t="n">
        <v>0</v>
      </c>
      <c r="K297" t="n">
        <v>0</v>
      </c>
      <c r="L297" t="n">
        <v>0</v>
      </c>
      <c r="M297" t="n">
        <v>0</v>
      </c>
      <c r="N297" t="n">
        <v>0</v>
      </c>
      <c r="O297" t="n">
        <v>0</v>
      </c>
      <c r="P297" t="n">
        <v>0</v>
      </c>
      <c r="Q297" t="n">
        <v>0</v>
      </c>
      <c r="R297" s="2" t="inlineStr"/>
    </row>
    <row r="298" ht="15" customHeight="1">
      <c r="A298" t="inlineStr">
        <is>
          <t>A 24390-2025</t>
        </is>
      </c>
      <c r="B298" s="1" t="n">
        <v>45797.63576388889</v>
      </c>
      <c r="C298" s="1" t="n">
        <v>45916</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23901-2025</t>
        </is>
      </c>
      <c r="B299" s="1" t="n">
        <v>45794.34436342592</v>
      </c>
      <c r="C299" s="1" t="n">
        <v>45916</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5911-2024</t>
        </is>
      </c>
      <c r="B300" s="1" t="n">
        <v>45335</v>
      </c>
      <c r="C300" s="1" t="n">
        <v>45916</v>
      </c>
      <c r="D300" t="inlineStr">
        <is>
          <t>JÄMTLANDS LÄN</t>
        </is>
      </c>
      <c r="E300" t="inlineStr">
        <is>
          <t>BERG</t>
        </is>
      </c>
      <c r="F300" t="inlineStr">
        <is>
          <t>SCA</t>
        </is>
      </c>
      <c r="G300" t="n">
        <v>28.6</v>
      </c>
      <c r="H300" t="n">
        <v>0</v>
      </c>
      <c r="I300" t="n">
        <v>0</v>
      </c>
      <c r="J300" t="n">
        <v>0</v>
      </c>
      <c r="K300" t="n">
        <v>0</v>
      </c>
      <c r="L300" t="n">
        <v>0</v>
      </c>
      <c r="M300" t="n">
        <v>0</v>
      </c>
      <c r="N300" t="n">
        <v>0</v>
      </c>
      <c r="O300" t="n">
        <v>0</v>
      </c>
      <c r="P300" t="n">
        <v>0</v>
      </c>
      <c r="Q300" t="n">
        <v>0</v>
      </c>
      <c r="R300" s="2" t="inlineStr"/>
    </row>
    <row r="301" ht="15" customHeight="1">
      <c r="A301" t="inlineStr">
        <is>
          <t>A 25306-2023</t>
        </is>
      </c>
      <c r="B301" s="1" t="n">
        <v>45086</v>
      </c>
      <c r="C301" s="1" t="n">
        <v>45916</v>
      </c>
      <c r="D301" t="inlineStr">
        <is>
          <t>JÄMTLANDS LÄN</t>
        </is>
      </c>
      <c r="E301" t="inlineStr">
        <is>
          <t>BERG</t>
        </is>
      </c>
      <c r="G301" t="n">
        <v>23.3</v>
      </c>
      <c r="H301" t="n">
        <v>0</v>
      </c>
      <c r="I301" t="n">
        <v>0</v>
      </c>
      <c r="J301" t="n">
        <v>0</v>
      </c>
      <c r="K301" t="n">
        <v>0</v>
      </c>
      <c r="L301" t="n">
        <v>0</v>
      </c>
      <c r="M301" t="n">
        <v>0</v>
      </c>
      <c r="N301" t="n">
        <v>0</v>
      </c>
      <c r="O301" t="n">
        <v>0</v>
      </c>
      <c r="P301" t="n">
        <v>0</v>
      </c>
      <c r="Q301" t="n">
        <v>0</v>
      </c>
      <c r="R301" s="2" t="inlineStr"/>
    </row>
    <row r="302" ht="15" customHeight="1">
      <c r="A302" t="inlineStr">
        <is>
          <t>A 61251-2022</t>
        </is>
      </c>
      <c r="B302" s="1" t="n">
        <v>44909</v>
      </c>
      <c r="C302" s="1" t="n">
        <v>45916</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61255-2022</t>
        </is>
      </c>
      <c r="B303" s="1" t="n">
        <v>44909</v>
      </c>
      <c r="C303" s="1" t="n">
        <v>45916</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8238-2024</t>
        </is>
      </c>
      <c r="B304" s="1" t="n">
        <v>45351.98450231482</v>
      </c>
      <c r="C304" s="1" t="n">
        <v>45916</v>
      </c>
      <c r="D304" t="inlineStr">
        <is>
          <t>JÄMTLANDS LÄN</t>
        </is>
      </c>
      <c r="E304" t="inlineStr">
        <is>
          <t>BERG</t>
        </is>
      </c>
      <c r="F304" t="inlineStr">
        <is>
          <t>SCA</t>
        </is>
      </c>
      <c r="G304" t="n">
        <v>5.6</v>
      </c>
      <c r="H304" t="n">
        <v>0</v>
      </c>
      <c r="I304" t="n">
        <v>0</v>
      </c>
      <c r="J304" t="n">
        <v>0</v>
      </c>
      <c r="K304" t="n">
        <v>0</v>
      </c>
      <c r="L304" t="n">
        <v>0</v>
      </c>
      <c r="M304" t="n">
        <v>0</v>
      </c>
      <c r="N304" t="n">
        <v>0</v>
      </c>
      <c r="O304" t="n">
        <v>0</v>
      </c>
      <c r="P304" t="n">
        <v>0</v>
      </c>
      <c r="Q304" t="n">
        <v>0</v>
      </c>
      <c r="R304" s="2" t="inlineStr"/>
    </row>
    <row r="305" ht="15" customHeight="1">
      <c r="A305" t="inlineStr">
        <is>
          <t>A 23920-2025</t>
        </is>
      </c>
      <c r="B305" s="1" t="n">
        <v>45795.34505787037</v>
      </c>
      <c r="C305" s="1" t="n">
        <v>45916</v>
      </c>
      <c r="D305" t="inlineStr">
        <is>
          <t>JÄMTLANDS LÄN</t>
        </is>
      </c>
      <c r="E305" t="inlineStr">
        <is>
          <t>BERG</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47626-2023</t>
        </is>
      </c>
      <c r="B306" s="1" t="n">
        <v>45203</v>
      </c>
      <c r="C306" s="1" t="n">
        <v>45916</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60331-2023</t>
        </is>
      </c>
      <c r="B307" s="1" t="n">
        <v>45258</v>
      </c>
      <c r="C307" s="1" t="n">
        <v>45916</v>
      </c>
      <c r="D307" t="inlineStr">
        <is>
          <t>JÄMTLANDS LÄN</t>
        </is>
      </c>
      <c r="E307" t="inlineStr">
        <is>
          <t>BERG</t>
        </is>
      </c>
      <c r="G307" t="n">
        <v>2.6</v>
      </c>
      <c r="H307" t="n">
        <v>0</v>
      </c>
      <c r="I307" t="n">
        <v>0</v>
      </c>
      <c r="J307" t="n">
        <v>0</v>
      </c>
      <c r="K307" t="n">
        <v>0</v>
      </c>
      <c r="L307" t="n">
        <v>0</v>
      </c>
      <c r="M307" t="n">
        <v>0</v>
      </c>
      <c r="N307" t="n">
        <v>0</v>
      </c>
      <c r="O307" t="n">
        <v>0</v>
      </c>
      <c r="P307" t="n">
        <v>0</v>
      </c>
      <c r="Q307" t="n">
        <v>0</v>
      </c>
      <c r="R307" s="2" t="inlineStr"/>
    </row>
    <row r="308" ht="15" customHeight="1">
      <c r="A308" t="inlineStr">
        <is>
          <t>A 47083-2024</t>
        </is>
      </c>
      <c r="B308" s="1" t="n">
        <v>45586.50625</v>
      </c>
      <c r="C308" s="1" t="n">
        <v>45916</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29581-2024</t>
        </is>
      </c>
      <c r="B309" s="1" t="n">
        <v>45484.5740162037</v>
      </c>
      <c r="C309" s="1" t="n">
        <v>45916</v>
      </c>
      <c r="D309" t="inlineStr">
        <is>
          <t>JÄMTLANDS LÄN</t>
        </is>
      </c>
      <c r="E309" t="inlineStr">
        <is>
          <t>BERG</t>
        </is>
      </c>
      <c r="G309" t="n">
        <v>16.7</v>
      </c>
      <c r="H309" t="n">
        <v>0</v>
      </c>
      <c r="I309" t="n">
        <v>0</v>
      </c>
      <c r="J309" t="n">
        <v>0</v>
      </c>
      <c r="K309" t="n">
        <v>0</v>
      </c>
      <c r="L309" t="n">
        <v>0</v>
      </c>
      <c r="M309" t="n">
        <v>0</v>
      </c>
      <c r="N309" t="n">
        <v>0</v>
      </c>
      <c r="O309" t="n">
        <v>0</v>
      </c>
      <c r="P309" t="n">
        <v>0</v>
      </c>
      <c r="Q309" t="n">
        <v>0</v>
      </c>
      <c r="R309" s="2" t="inlineStr"/>
    </row>
    <row r="310" ht="15" customHeight="1">
      <c r="A310" t="inlineStr">
        <is>
          <t>A 23902-2025</t>
        </is>
      </c>
      <c r="B310" s="1" t="n">
        <v>45794.34447916667</v>
      </c>
      <c r="C310" s="1" t="n">
        <v>45916</v>
      </c>
      <c r="D310" t="inlineStr">
        <is>
          <t>JÄMTLANDS LÄN</t>
        </is>
      </c>
      <c r="E310" t="inlineStr">
        <is>
          <t>BERG</t>
        </is>
      </c>
      <c r="F310" t="inlineStr">
        <is>
          <t>SCA</t>
        </is>
      </c>
      <c r="G310" t="n">
        <v>14.3</v>
      </c>
      <c r="H310" t="n">
        <v>0</v>
      </c>
      <c r="I310" t="n">
        <v>0</v>
      </c>
      <c r="J310" t="n">
        <v>0</v>
      </c>
      <c r="K310" t="n">
        <v>0</v>
      </c>
      <c r="L310" t="n">
        <v>0</v>
      </c>
      <c r="M310" t="n">
        <v>0</v>
      </c>
      <c r="N310" t="n">
        <v>0</v>
      </c>
      <c r="O310" t="n">
        <v>0</v>
      </c>
      <c r="P310" t="n">
        <v>0</v>
      </c>
      <c r="Q310" t="n">
        <v>0</v>
      </c>
      <c r="R310" s="2" t="inlineStr"/>
    </row>
    <row r="311" ht="15" customHeight="1">
      <c r="A311" t="inlineStr">
        <is>
          <t>A 24644-2025</t>
        </is>
      </c>
      <c r="B311" s="1" t="n">
        <v>45798.63278935185</v>
      </c>
      <c r="C311" s="1" t="n">
        <v>45916</v>
      </c>
      <c r="D311" t="inlineStr">
        <is>
          <t>JÄMTLANDS LÄN</t>
        </is>
      </c>
      <c r="E311" t="inlineStr">
        <is>
          <t>BERG</t>
        </is>
      </c>
      <c r="G311" t="n">
        <v>24.4</v>
      </c>
      <c r="H311" t="n">
        <v>0</v>
      </c>
      <c r="I311" t="n">
        <v>0</v>
      </c>
      <c r="J311" t="n">
        <v>0</v>
      </c>
      <c r="K311" t="n">
        <v>0</v>
      </c>
      <c r="L311" t="n">
        <v>0</v>
      </c>
      <c r="M311" t="n">
        <v>0</v>
      </c>
      <c r="N311" t="n">
        <v>0</v>
      </c>
      <c r="O311" t="n">
        <v>0</v>
      </c>
      <c r="P311" t="n">
        <v>0</v>
      </c>
      <c r="Q311" t="n">
        <v>0</v>
      </c>
      <c r="R311" s="2" t="inlineStr"/>
    </row>
    <row r="312" ht="15" customHeight="1">
      <c r="A312" t="inlineStr">
        <is>
          <t>A 43403-2023</t>
        </is>
      </c>
      <c r="B312" s="1" t="n">
        <v>45183</v>
      </c>
      <c r="C312" s="1" t="n">
        <v>45916</v>
      </c>
      <c r="D312" t="inlineStr">
        <is>
          <t>JÄMTLANDS LÄN</t>
        </is>
      </c>
      <c r="E312" t="inlineStr">
        <is>
          <t>BERG</t>
        </is>
      </c>
      <c r="F312" t="inlineStr">
        <is>
          <t>SCA</t>
        </is>
      </c>
      <c r="G312" t="n">
        <v>0.1</v>
      </c>
      <c r="H312" t="n">
        <v>0</v>
      </c>
      <c r="I312" t="n">
        <v>0</v>
      </c>
      <c r="J312" t="n">
        <v>0</v>
      </c>
      <c r="K312" t="n">
        <v>0</v>
      </c>
      <c r="L312" t="n">
        <v>0</v>
      </c>
      <c r="M312" t="n">
        <v>0</v>
      </c>
      <c r="N312" t="n">
        <v>0</v>
      </c>
      <c r="O312" t="n">
        <v>0</v>
      </c>
      <c r="P312" t="n">
        <v>0</v>
      </c>
      <c r="Q312" t="n">
        <v>0</v>
      </c>
      <c r="R312" s="2" t="inlineStr"/>
    </row>
    <row r="313" ht="15" customHeight="1">
      <c r="A313" t="inlineStr">
        <is>
          <t>A 13373-2024</t>
        </is>
      </c>
      <c r="B313" s="1" t="n">
        <v>45387.37010416666</v>
      </c>
      <c r="C313" s="1" t="n">
        <v>45916</v>
      </c>
      <c r="D313" t="inlineStr">
        <is>
          <t>JÄMTLANDS LÄN</t>
        </is>
      </c>
      <c r="E313" t="inlineStr">
        <is>
          <t>BERG</t>
        </is>
      </c>
      <c r="G313" t="n">
        <v>3.8</v>
      </c>
      <c r="H313" t="n">
        <v>0</v>
      </c>
      <c r="I313" t="n">
        <v>0</v>
      </c>
      <c r="J313" t="n">
        <v>0</v>
      </c>
      <c r="K313" t="n">
        <v>0</v>
      </c>
      <c r="L313" t="n">
        <v>0</v>
      </c>
      <c r="M313" t="n">
        <v>0</v>
      </c>
      <c r="N313" t="n">
        <v>0</v>
      </c>
      <c r="O313" t="n">
        <v>0</v>
      </c>
      <c r="P313" t="n">
        <v>0</v>
      </c>
      <c r="Q313" t="n">
        <v>0</v>
      </c>
      <c r="R313" s="2" t="inlineStr"/>
    </row>
    <row r="314" ht="15" customHeight="1">
      <c r="A314" t="inlineStr">
        <is>
          <t>A 52774-2023</t>
        </is>
      </c>
      <c r="B314" s="1" t="n">
        <v>45219</v>
      </c>
      <c r="C314" s="1" t="n">
        <v>45916</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33386-2025</t>
        </is>
      </c>
      <c r="B315" s="1" t="n">
        <v>45841.40587962963</v>
      </c>
      <c r="C315" s="1" t="n">
        <v>45916</v>
      </c>
      <c r="D315" t="inlineStr">
        <is>
          <t>JÄMTLANDS LÄN</t>
        </is>
      </c>
      <c r="E315" t="inlineStr">
        <is>
          <t>BERG</t>
        </is>
      </c>
      <c r="G315" t="n">
        <v>37.7</v>
      </c>
      <c r="H315" t="n">
        <v>0</v>
      </c>
      <c r="I315" t="n">
        <v>0</v>
      </c>
      <c r="J315" t="n">
        <v>0</v>
      </c>
      <c r="K315" t="n">
        <v>0</v>
      </c>
      <c r="L315" t="n">
        <v>0</v>
      </c>
      <c r="M315" t="n">
        <v>0</v>
      </c>
      <c r="N315" t="n">
        <v>0</v>
      </c>
      <c r="O315" t="n">
        <v>0</v>
      </c>
      <c r="P315" t="n">
        <v>0</v>
      </c>
      <c r="Q315" t="n">
        <v>0</v>
      </c>
      <c r="R315" s="2" t="inlineStr"/>
    </row>
    <row r="316" ht="15" customHeight="1">
      <c r="A316" t="inlineStr">
        <is>
          <t>A 17899-2024</t>
        </is>
      </c>
      <c r="B316" s="1" t="n">
        <v>45419.49334490741</v>
      </c>
      <c r="C316" s="1" t="n">
        <v>45916</v>
      </c>
      <c r="D316" t="inlineStr">
        <is>
          <t>JÄMTLANDS LÄN</t>
        </is>
      </c>
      <c r="E316" t="inlineStr">
        <is>
          <t>BERG</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17922-2024</t>
        </is>
      </c>
      <c r="B317" s="1" t="n">
        <v>45419.5853587963</v>
      </c>
      <c r="C317" s="1" t="n">
        <v>45916</v>
      </c>
      <c r="D317" t="inlineStr">
        <is>
          <t>JÄMTLANDS LÄN</t>
        </is>
      </c>
      <c r="E317" t="inlineStr">
        <is>
          <t>BERG</t>
        </is>
      </c>
      <c r="F317" t="inlineStr">
        <is>
          <t>Holmen skog AB</t>
        </is>
      </c>
      <c r="G317" t="n">
        <v>6.8</v>
      </c>
      <c r="H317" t="n">
        <v>0</v>
      </c>
      <c r="I317" t="n">
        <v>0</v>
      </c>
      <c r="J317" t="n">
        <v>0</v>
      </c>
      <c r="K317" t="n">
        <v>0</v>
      </c>
      <c r="L317" t="n">
        <v>0</v>
      </c>
      <c r="M317" t="n">
        <v>0</v>
      </c>
      <c r="N317" t="n">
        <v>0</v>
      </c>
      <c r="O317" t="n">
        <v>0</v>
      </c>
      <c r="P317" t="n">
        <v>0</v>
      </c>
      <c r="Q317" t="n">
        <v>0</v>
      </c>
      <c r="R317" s="2" t="inlineStr"/>
    </row>
    <row r="318" ht="15" customHeight="1">
      <c r="A318" t="inlineStr">
        <is>
          <t>A 46902-2024</t>
        </is>
      </c>
      <c r="B318" s="1" t="n">
        <v>45583.69847222222</v>
      </c>
      <c r="C318" s="1" t="n">
        <v>45916</v>
      </c>
      <c r="D318" t="inlineStr">
        <is>
          <t>JÄMTLANDS LÄN</t>
        </is>
      </c>
      <c r="E318" t="inlineStr">
        <is>
          <t>BERG</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14834-2025</t>
        </is>
      </c>
      <c r="B319" s="1" t="n">
        <v>45743.38224537037</v>
      </c>
      <c r="C319" s="1" t="n">
        <v>45916</v>
      </c>
      <c r="D319" t="inlineStr">
        <is>
          <t>JÄMTLANDS LÄN</t>
        </is>
      </c>
      <c r="E319" t="inlineStr">
        <is>
          <t>BERG</t>
        </is>
      </c>
      <c r="G319" t="n">
        <v>3.8</v>
      </c>
      <c r="H319" t="n">
        <v>0</v>
      </c>
      <c r="I319" t="n">
        <v>0</v>
      </c>
      <c r="J319" t="n">
        <v>0</v>
      </c>
      <c r="K319" t="n">
        <v>0</v>
      </c>
      <c r="L319" t="n">
        <v>0</v>
      </c>
      <c r="M319" t="n">
        <v>0</v>
      </c>
      <c r="N319" t="n">
        <v>0</v>
      </c>
      <c r="O319" t="n">
        <v>0</v>
      </c>
      <c r="P319" t="n">
        <v>0</v>
      </c>
      <c r="Q319" t="n">
        <v>0</v>
      </c>
      <c r="R319" s="2" t="inlineStr"/>
    </row>
    <row r="320" ht="15" customHeight="1">
      <c r="A320" t="inlineStr">
        <is>
          <t>A 44911-2021</t>
        </is>
      </c>
      <c r="B320" s="1" t="n">
        <v>44435</v>
      </c>
      <c r="C320" s="1" t="n">
        <v>45916</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24954-2025</t>
        </is>
      </c>
      <c r="B321" s="1" t="n">
        <v>45799.57385416667</v>
      </c>
      <c r="C321" s="1" t="n">
        <v>45916</v>
      </c>
      <c r="D321" t="inlineStr">
        <is>
          <t>JÄMTLANDS LÄN</t>
        </is>
      </c>
      <c r="E321" t="inlineStr">
        <is>
          <t>BERG</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24786-2025</t>
        </is>
      </c>
      <c r="B322" s="1" t="n">
        <v>45799.42777777778</v>
      </c>
      <c r="C322" s="1" t="n">
        <v>45916</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24869-2025</t>
        </is>
      </c>
      <c r="B323" s="1" t="n">
        <v>45799.48994212963</v>
      </c>
      <c r="C323" s="1" t="n">
        <v>45916</v>
      </c>
      <c r="D323" t="inlineStr">
        <is>
          <t>JÄMTLANDS LÄN</t>
        </is>
      </c>
      <c r="E323" t="inlineStr">
        <is>
          <t>BERG</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4476-2025</t>
        </is>
      </c>
      <c r="B324" s="1" t="n">
        <v>45686.62828703703</v>
      </c>
      <c r="C324" s="1" t="n">
        <v>45916</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24442-2025</t>
        </is>
      </c>
      <c r="B325" s="1" t="n">
        <v>45797.96236111111</v>
      </c>
      <c r="C325" s="1" t="n">
        <v>45916</v>
      </c>
      <c r="D325" t="inlineStr">
        <is>
          <t>JÄMTLANDS LÄN</t>
        </is>
      </c>
      <c r="E325" t="inlineStr">
        <is>
          <t>BERG</t>
        </is>
      </c>
      <c r="G325" t="n">
        <v>9</v>
      </c>
      <c r="H325" t="n">
        <v>0</v>
      </c>
      <c r="I325" t="n">
        <v>0</v>
      </c>
      <c r="J325" t="n">
        <v>0</v>
      </c>
      <c r="K325" t="n">
        <v>0</v>
      </c>
      <c r="L325" t="n">
        <v>0</v>
      </c>
      <c r="M325" t="n">
        <v>0</v>
      </c>
      <c r="N325" t="n">
        <v>0</v>
      </c>
      <c r="O325" t="n">
        <v>0</v>
      </c>
      <c r="P325" t="n">
        <v>0</v>
      </c>
      <c r="Q325" t="n">
        <v>0</v>
      </c>
      <c r="R325" s="2" t="inlineStr"/>
    </row>
    <row r="326" ht="15" customHeight="1">
      <c r="A326" t="inlineStr">
        <is>
          <t>A 58157-2021</t>
        </is>
      </c>
      <c r="B326" s="1" t="n">
        <v>44487.60703703704</v>
      </c>
      <c r="C326" s="1" t="n">
        <v>45916</v>
      </c>
      <c r="D326" t="inlineStr">
        <is>
          <t>JÄMTLANDS LÄN</t>
        </is>
      </c>
      <c r="E326" t="inlineStr">
        <is>
          <t>BERG</t>
        </is>
      </c>
      <c r="G326" t="n">
        <v>4.5</v>
      </c>
      <c r="H326" t="n">
        <v>0</v>
      </c>
      <c r="I326" t="n">
        <v>0</v>
      </c>
      <c r="J326" t="n">
        <v>0</v>
      </c>
      <c r="K326" t="n">
        <v>0</v>
      </c>
      <c r="L326" t="n">
        <v>0</v>
      </c>
      <c r="M326" t="n">
        <v>0</v>
      </c>
      <c r="N326" t="n">
        <v>0</v>
      </c>
      <c r="O326" t="n">
        <v>0</v>
      </c>
      <c r="P326" t="n">
        <v>0</v>
      </c>
      <c r="Q326" t="n">
        <v>0</v>
      </c>
      <c r="R326" s="2" t="inlineStr"/>
    </row>
    <row r="327" ht="15" customHeight="1">
      <c r="A327" t="inlineStr">
        <is>
          <t>A 24849-2025</t>
        </is>
      </c>
      <c r="B327" s="1" t="n">
        <v>45799.46949074074</v>
      </c>
      <c r="C327" s="1" t="n">
        <v>45916</v>
      </c>
      <c r="D327" t="inlineStr">
        <is>
          <t>JÄMTLANDS LÄN</t>
        </is>
      </c>
      <c r="E327" t="inlineStr">
        <is>
          <t>BERG</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592-2021</t>
        </is>
      </c>
      <c r="B328" s="1" t="n">
        <v>44201</v>
      </c>
      <c r="C328" s="1" t="n">
        <v>45916</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26944-2022</t>
        </is>
      </c>
      <c r="B329" s="1" t="n">
        <v>44740</v>
      </c>
      <c r="C329" s="1" t="n">
        <v>45916</v>
      </c>
      <c r="D329" t="inlineStr">
        <is>
          <t>JÄMTLANDS LÄN</t>
        </is>
      </c>
      <c r="E329" t="inlineStr">
        <is>
          <t>BERG</t>
        </is>
      </c>
      <c r="G329" t="n">
        <v>3.3</v>
      </c>
      <c r="H329" t="n">
        <v>0</v>
      </c>
      <c r="I329" t="n">
        <v>0</v>
      </c>
      <c r="J329" t="n">
        <v>0</v>
      </c>
      <c r="K329" t="n">
        <v>0</v>
      </c>
      <c r="L329" t="n">
        <v>0</v>
      </c>
      <c r="M329" t="n">
        <v>0</v>
      </c>
      <c r="N329" t="n">
        <v>0</v>
      </c>
      <c r="O329" t="n">
        <v>0</v>
      </c>
      <c r="P329" t="n">
        <v>0</v>
      </c>
      <c r="Q329" t="n">
        <v>0</v>
      </c>
      <c r="R329" s="2" t="inlineStr"/>
    </row>
    <row r="330" ht="15" customHeight="1">
      <c r="A330" t="inlineStr">
        <is>
          <t>A 24011-2023</t>
        </is>
      </c>
      <c r="B330" s="1" t="n">
        <v>45078</v>
      </c>
      <c r="C330" s="1" t="n">
        <v>45916</v>
      </c>
      <c r="D330" t="inlineStr">
        <is>
          <t>JÄMTLANDS LÄN</t>
        </is>
      </c>
      <c r="E330" t="inlineStr">
        <is>
          <t>BERG</t>
        </is>
      </c>
      <c r="G330" t="n">
        <v>1.4</v>
      </c>
      <c r="H330" t="n">
        <v>0</v>
      </c>
      <c r="I330" t="n">
        <v>0</v>
      </c>
      <c r="J330" t="n">
        <v>0</v>
      </c>
      <c r="K330" t="n">
        <v>0</v>
      </c>
      <c r="L330" t="n">
        <v>0</v>
      </c>
      <c r="M330" t="n">
        <v>0</v>
      </c>
      <c r="N330" t="n">
        <v>0</v>
      </c>
      <c r="O330" t="n">
        <v>0</v>
      </c>
      <c r="P330" t="n">
        <v>0</v>
      </c>
      <c r="Q330" t="n">
        <v>0</v>
      </c>
      <c r="R330" s="2" t="inlineStr"/>
    </row>
    <row r="331" ht="15" customHeight="1">
      <c r="A331" t="inlineStr">
        <is>
          <t>A 11704-2023</t>
        </is>
      </c>
      <c r="B331" s="1" t="n">
        <v>44994.54274305556</v>
      </c>
      <c r="C331" s="1" t="n">
        <v>45916</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62555-2023</t>
        </is>
      </c>
      <c r="B332" s="1" t="n">
        <v>45268.9262962963</v>
      </c>
      <c r="C332" s="1" t="n">
        <v>45916</v>
      </c>
      <c r="D332" t="inlineStr">
        <is>
          <t>JÄMTLANDS LÄN</t>
        </is>
      </c>
      <c r="E332" t="inlineStr">
        <is>
          <t>BERG</t>
        </is>
      </c>
      <c r="G332" t="n">
        <v>5</v>
      </c>
      <c r="H332" t="n">
        <v>0</v>
      </c>
      <c r="I332" t="n">
        <v>0</v>
      </c>
      <c r="J332" t="n">
        <v>0</v>
      </c>
      <c r="K332" t="n">
        <v>0</v>
      </c>
      <c r="L332" t="n">
        <v>0</v>
      </c>
      <c r="M332" t="n">
        <v>0</v>
      </c>
      <c r="N332" t="n">
        <v>0</v>
      </c>
      <c r="O332" t="n">
        <v>0</v>
      </c>
      <c r="P332" t="n">
        <v>0</v>
      </c>
      <c r="Q332" t="n">
        <v>0</v>
      </c>
      <c r="R332" s="2" t="inlineStr"/>
    </row>
    <row r="333" ht="15" customHeight="1">
      <c r="A333" t="inlineStr">
        <is>
          <t>A 47407-2024</t>
        </is>
      </c>
      <c r="B333" s="1" t="n">
        <v>45587.47828703704</v>
      </c>
      <c r="C333" s="1" t="n">
        <v>45916</v>
      </c>
      <c r="D333" t="inlineStr">
        <is>
          <t>JÄMTLANDS LÄN</t>
        </is>
      </c>
      <c r="E333" t="inlineStr">
        <is>
          <t>BERG</t>
        </is>
      </c>
      <c r="G333" t="n">
        <v>2.7</v>
      </c>
      <c r="H333" t="n">
        <v>0</v>
      </c>
      <c r="I333" t="n">
        <v>0</v>
      </c>
      <c r="J333" t="n">
        <v>0</v>
      </c>
      <c r="K333" t="n">
        <v>0</v>
      </c>
      <c r="L333" t="n">
        <v>0</v>
      </c>
      <c r="M333" t="n">
        <v>0</v>
      </c>
      <c r="N333" t="n">
        <v>0</v>
      </c>
      <c r="O333" t="n">
        <v>0</v>
      </c>
      <c r="P333" t="n">
        <v>0</v>
      </c>
      <c r="Q333" t="n">
        <v>0</v>
      </c>
      <c r="R333" s="2" t="inlineStr"/>
    </row>
    <row r="334" ht="15" customHeight="1">
      <c r="A334" t="inlineStr">
        <is>
          <t>A 13524-2024</t>
        </is>
      </c>
      <c r="B334" s="1" t="n">
        <v>45387.78174768519</v>
      </c>
      <c r="C334" s="1" t="n">
        <v>45916</v>
      </c>
      <c r="D334" t="inlineStr">
        <is>
          <t>JÄMTLANDS LÄN</t>
        </is>
      </c>
      <c r="E334" t="inlineStr">
        <is>
          <t>BERG</t>
        </is>
      </c>
      <c r="G334" t="n">
        <v>0.6</v>
      </c>
      <c r="H334" t="n">
        <v>0</v>
      </c>
      <c r="I334" t="n">
        <v>0</v>
      </c>
      <c r="J334" t="n">
        <v>0</v>
      </c>
      <c r="K334" t="n">
        <v>0</v>
      </c>
      <c r="L334" t="n">
        <v>0</v>
      </c>
      <c r="M334" t="n">
        <v>0</v>
      </c>
      <c r="N334" t="n">
        <v>0</v>
      </c>
      <c r="O334" t="n">
        <v>0</v>
      </c>
      <c r="P334" t="n">
        <v>0</v>
      </c>
      <c r="Q334" t="n">
        <v>0</v>
      </c>
      <c r="R334" s="2" t="inlineStr"/>
    </row>
    <row r="335" ht="15" customHeight="1">
      <c r="A335" t="inlineStr">
        <is>
          <t>A 4527-2025</t>
        </is>
      </c>
      <c r="B335" s="1" t="n">
        <v>45686</v>
      </c>
      <c r="C335" s="1" t="n">
        <v>45916</v>
      </c>
      <c r="D335" t="inlineStr">
        <is>
          <t>JÄMTLANDS LÄN</t>
        </is>
      </c>
      <c r="E335" t="inlineStr">
        <is>
          <t>BERG</t>
        </is>
      </c>
      <c r="G335" t="n">
        <v>17.8</v>
      </c>
      <c r="H335" t="n">
        <v>0</v>
      </c>
      <c r="I335" t="n">
        <v>0</v>
      </c>
      <c r="J335" t="n">
        <v>0</v>
      </c>
      <c r="K335" t="n">
        <v>0</v>
      </c>
      <c r="L335" t="n">
        <v>0</v>
      </c>
      <c r="M335" t="n">
        <v>0</v>
      </c>
      <c r="N335" t="n">
        <v>0</v>
      </c>
      <c r="O335" t="n">
        <v>0</v>
      </c>
      <c r="P335" t="n">
        <v>0</v>
      </c>
      <c r="Q335" t="n">
        <v>0</v>
      </c>
      <c r="R335" s="2" t="inlineStr"/>
    </row>
    <row r="336" ht="15" customHeight="1">
      <c r="A336" t="inlineStr">
        <is>
          <t>A 7040-2024</t>
        </is>
      </c>
      <c r="B336" s="1" t="n">
        <v>45343</v>
      </c>
      <c r="C336" s="1" t="n">
        <v>45916</v>
      </c>
      <c r="D336" t="inlineStr">
        <is>
          <t>JÄMTLANDS LÄN</t>
        </is>
      </c>
      <c r="E336" t="inlineStr">
        <is>
          <t>BERG</t>
        </is>
      </c>
      <c r="G336" t="n">
        <v>15.9</v>
      </c>
      <c r="H336" t="n">
        <v>0</v>
      </c>
      <c r="I336" t="n">
        <v>0</v>
      </c>
      <c r="J336" t="n">
        <v>0</v>
      </c>
      <c r="K336" t="n">
        <v>0</v>
      </c>
      <c r="L336" t="n">
        <v>0</v>
      </c>
      <c r="M336" t="n">
        <v>0</v>
      </c>
      <c r="N336" t="n">
        <v>0</v>
      </c>
      <c r="O336" t="n">
        <v>0</v>
      </c>
      <c r="P336" t="n">
        <v>0</v>
      </c>
      <c r="Q336" t="n">
        <v>0</v>
      </c>
      <c r="R336" s="2" t="inlineStr"/>
    </row>
    <row r="337" ht="15" customHeight="1">
      <c r="A337" t="inlineStr">
        <is>
          <t>A 18217-2023</t>
        </is>
      </c>
      <c r="B337" s="1" t="n">
        <v>45040</v>
      </c>
      <c r="C337" s="1" t="n">
        <v>45916</v>
      </c>
      <c r="D337" t="inlineStr">
        <is>
          <t>JÄMTLANDS LÄN</t>
        </is>
      </c>
      <c r="E337" t="inlineStr">
        <is>
          <t>BERG</t>
        </is>
      </c>
      <c r="G337" t="n">
        <v>4.5</v>
      </c>
      <c r="H337" t="n">
        <v>0</v>
      </c>
      <c r="I337" t="n">
        <v>0</v>
      </c>
      <c r="J337" t="n">
        <v>0</v>
      </c>
      <c r="K337" t="n">
        <v>0</v>
      </c>
      <c r="L337" t="n">
        <v>0</v>
      </c>
      <c r="M337" t="n">
        <v>0</v>
      </c>
      <c r="N337" t="n">
        <v>0</v>
      </c>
      <c r="O337" t="n">
        <v>0</v>
      </c>
      <c r="P337" t="n">
        <v>0</v>
      </c>
      <c r="Q337" t="n">
        <v>0</v>
      </c>
      <c r="R337" s="2" t="inlineStr"/>
    </row>
    <row r="338" ht="15" customHeight="1">
      <c r="A338" t="inlineStr">
        <is>
          <t>A 25452-2025</t>
        </is>
      </c>
      <c r="B338" s="1" t="n">
        <v>45802.34440972222</v>
      </c>
      <c r="C338" s="1" t="n">
        <v>45916</v>
      </c>
      <c r="D338" t="inlineStr">
        <is>
          <t>JÄMTLANDS LÄN</t>
        </is>
      </c>
      <c r="E338" t="inlineStr">
        <is>
          <t>BERG</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14431-2025</t>
        </is>
      </c>
      <c r="B339" s="1" t="n">
        <v>45741</v>
      </c>
      <c r="C339" s="1" t="n">
        <v>45916</v>
      </c>
      <c r="D339" t="inlineStr">
        <is>
          <t>JÄMTLANDS LÄN</t>
        </is>
      </c>
      <c r="E339" t="inlineStr">
        <is>
          <t>BERG</t>
        </is>
      </c>
      <c r="G339" t="n">
        <v>1.7</v>
      </c>
      <c r="H339" t="n">
        <v>0</v>
      </c>
      <c r="I339" t="n">
        <v>0</v>
      </c>
      <c r="J339" t="n">
        <v>0</v>
      </c>
      <c r="K339" t="n">
        <v>0</v>
      </c>
      <c r="L339" t="n">
        <v>0</v>
      </c>
      <c r="M339" t="n">
        <v>0</v>
      </c>
      <c r="N339" t="n">
        <v>0</v>
      </c>
      <c r="O339" t="n">
        <v>0</v>
      </c>
      <c r="P339" t="n">
        <v>0</v>
      </c>
      <c r="Q339" t="n">
        <v>0</v>
      </c>
      <c r="R339" s="2" t="inlineStr"/>
    </row>
    <row r="340" ht="15" customHeight="1">
      <c r="A340" t="inlineStr">
        <is>
          <t>A 31682-2022</t>
        </is>
      </c>
      <c r="B340" s="1" t="n">
        <v>44776</v>
      </c>
      <c r="C340" s="1" t="n">
        <v>45916</v>
      </c>
      <c r="D340" t="inlineStr">
        <is>
          <t>JÄMTLANDS LÄN</t>
        </is>
      </c>
      <c r="E340" t="inlineStr">
        <is>
          <t>BERG</t>
        </is>
      </c>
      <c r="G340" t="n">
        <v>8</v>
      </c>
      <c r="H340" t="n">
        <v>0</v>
      </c>
      <c r="I340" t="n">
        <v>0</v>
      </c>
      <c r="J340" t="n">
        <v>0</v>
      </c>
      <c r="K340" t="n">
        <v>0</v>
      </c>
      <c r="L340" t="n">
        <v>0</v>
      </c>
      <c r="M340" t="n">
        <v>0</v>
      </c>
      <c r="N340" t="n">
        <v>0</v>
      </c>
      <c r="O340" t="n">
        <v>0</v>
      </c>
      <c r="P340" t="n">
        <v>0</v>
      </c>
      <c r="Q340" t="n">
        <v>0</v>
      </c>
      <c r="R340" s="2" t="inlineStr"/>
    </row>
    <row r="341" ht="15" customHeight="1">
      <c r="A341" t="inlineStr">
        <is>
          <t>A 37248-2023</t>
        </is>
      </c>
      <c r="B341" s="1" t="n">
        <v>45155.954375</v>
      </c>
      <c r="C341" s="1" t="n">
        <v>45916</v>
      </c>
      <c r="D341" t="inlineStr">
        <is>
          <t>JÄMTLANDS LÄN</t>
        </is>
      </c>
      <c r="E341" t="inlineStr">
        <is>
          <t>BERG</t>
        </is>
      </c>
      <c r="F341" t="inlineStr">
        <is>
          <t>SCA</t>
        </is>
      </c>
      <c r="G341" t="n">
        <v>5.9</v>
      </c>
      <c r="H341" t="n">
        <v>0</v>
      </c>
      <c r="I341" t="n">
        <v>0</v>
      </c>
      <c r="J341" t="n">
        <v>0</v>
      </c>
      <c r="K341" t="n">
        <v>0</v>
      </c>
      <c r="L341" t="n">
        <v>0</v>
      </c>
      <c r="M341" t="n">
        <v>0</v>
      </c>
      <c r="N341" t="n">
        <v>0</v>
      </c>
      <c r="O341" t="n">
        <v>0</v>
      </c>
      <c r="P341" t="n">
        <v>0</v>
      </c>
      <c r="Q341" t="n">
        <v>0</v>
      </c>
      <c r="R341" s="2" t="inlineStr"/>
    </row>
    <row r="342" ht="15" customHeight="1">
      <c r="A342" t="inlineStr">
        <is>
          <t>A 60409-2023</t>
        </is>
      </c>
      <c r="B342" s="1" t="n">
        <v>45259.47972222222</v>
      </c>
      <c r="C342" s="1" t="n">
        <v>45916</v>
      </c>
      <c r="D342" t="inlineStr">
        <is>
          <t>JÄMTLANDS LÄN</t>
        </is>
      </c>
      <c r="E342" t="inlineStr">
        <is>
          <t>BERG</t>
        </is>
      </c>
      <c r="G342" t="n">
        <v>5.8</v>
      </c>
      <c r="H342" t="n">
        <v>0</v>
      </c>
      <c r="I342" t="n">
        <v>0</v>
      </c>
      <c r="J342" t="n">
        <v>0</v>
      </c>
      <c r="K342" t="n">
        <v>0</v>
      </c>
      <c r="L342" t="n">
        <v>0</v>
      </c>
      <c r="M342" t="n">
        <v>0</v>
      </c>
      <c r="N342" t="n">
        <v>0</v>
      </c>
      <c r="O342" t="n">
        <v>0</v>
      </c>
      <c r="P342" t="n">
        <v>0</v>
      </c>
      <c r="Q342" t="n">
        <v>0</v>
      </c>
      <c r="R342" s="2" t="inlineStr"/>
    </row>
    <row r="343" ht="15" customHeight="1">
      <c r="A343" t="inlineStr">
        <is>
          <t>A 29378-2024</t>
        </is>
      </c>
      <c r="B343" s="1" t="n">
        <v>45483.59328703704</v>
      </c>
      <c r="C343" s="1" t="n">
        <v>45916</v>
      </c>
      <c r="D343" t="inlineStr">
        <is>
          <t>JÄMTLANDS LÄN</t>
        </is>
      </c>
      <c r="E343" t="inlineStr">
        <is>
          <t>BERG</t>
        </is>
      </c>
      <c r="G343" t="n">
        <v>5.6</v>
      </c>
      <c r="H343" t="n">
        <v>0</v>
      </c>
      <c r="I343" t="n">
        <v>0</v>
      </c>
      <c r="J343" t="n">
        <v>0</v>
      </c>
      <c r="K343" t="n">
        <v>0</v>
      </c>
      <c r="L343" t="n">
        <v>0</v>
      </c>
      <c r="M343" t="n">
        <v>0</v>
      </c>
      <c r="N343" t="n">
        <v>0</v>
      </c>
      <c r="O343" t="n">
        <v>0</v>
      </c>
      <c r="P343" t="n">
        <v>0</v>
      </c>
      <c r="Q343" t="n">
        <v>0</v>
      </c>
      <c r="R343" s="2" t="inlineStr"/>
    </row>
    <row r="344" ht="15" customHeight="1">
      <c r="A344" t="inlineStr">
        <is>
          <t>A 21508-2024</t>
        </is>
      </c>
      <c r="B344" s="1" t="n">
        <v>45441.56905092593</v>
      </c>
      <c r="C344" s="1" t="n">
        <v>45916</v>
      </c>
      <c r="D344" t="inlineStr">
        <is>
          <t>JÄMTLANDS LÄN</t>
        </is>
      </c>
      <c r="E344" t="inlineStr">
        <is>
          <t>BERG</t>
        </is>
      </c>
      <c r="G344" t="n">
        <v>3.2</v>
      </c>
      <c r="H344" t="n">
        <v>0</v>
      </c>
      <c r="I344" t="n">
        <v>0</v>
      </c>
      <c r="J344" t="n">
        <v>0</v>
      </c>
      <c r="K344" t="n">
        <v>0</v>
      </c>
      <c r="L344" t="n">
        <v>0</v>
      </c>
      <c r="M344" t="n">
        <v>0</v>
      </c>
      <c r="N344" t="n">
        <v>0</v>
      </c>
      <c r="O344" t="n">
        <v>0</v>
      </c>
      <c r="P344" t="n">
        <v>0</v>
      </c>
      <c r="Q344" t="n">
        <v>0</v>
      </c>
      <c r="R344" s="2" t="inlineStr"/>
    </row>
    <row r="345" ht="15" customHeight="1">
      <c r="A345" t="inlineStr">
        <is>
          <t>A 63819-2023</t>
        </is>
      </c>
      <c r="B345" s="1" t="n">
        <v>45278.44128472222</v>
      </c>
      <c r="C345" s="1" t="n">
        <v>45916</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64490-2023</t>
        </is>
      </c>
      <c r="B346" s="1" t="n">
        <v>45280</v>
      </c>
      <c r="C346" s="1" t="n">
        <v>45916</v>
      </c>
      <c r="D346" t="inlineStr">
        <is>
          <t>JÄMTLANDS LÄN</t>
        </is>
      </c>
      <c r="E346" t="inlineStr">
        <is>
          <t>BERG</t>
        </is>
      </c>
      <c r="F346" t="inlineStr">
        <is>
          <t>Övriga Aktiebolag</t>
        </is>
      </c>
      <c r="G346" t="n">
        <v>7.7</v>
      </c>
      <c r="H346" t="n">
        <v>0</v>
      </c>
      <c r="I346" t="n">
        <v>0</v>
      </c>
      <c r="J346" t="n">
        <v>0</v>
      </c>
      <c r="K346" t="n">
        <v>0</v>
      </c>
      <c r="L346" t="n">
        <v>0</v>
      </c>
      <c r="M346" t="n">
        <v>0</v>
      </c>
      <c r="N346" t="n">
        <v>0</v>
      </c>
      <c r="O346" t="n">
        <v>0</v>
      </c>
      <c r="P346" t="n">
        <v>0</v>
      </c>
      <c r="Q346" t="n">
        <v>0</v>
      </c>
      <c r="R346" s="2" t="inlineStr"/>
    </row>
    <row r="347" ht="15" customHeight="1">
      <c r="A347" t="inlineStr">
        <is>
          <t>A 25454-2025</t>
        </is>
      </c>
      <c r="B347" s="1" t="n">
        <v>45802.34460648148</v>
      </c>
      <c r="C347" s="1" t="n">
        <v>45916</v>
      </c>
      <c r="D347" t="inlineStr">
        <is>
          <t>JÄMTLANDS LÄN</t>
        </is>
      </c>
      <c r="E347" t="inlineStr">
        <is>
          <t>BERG</t>
        </is>
      </c>
      <c r="F347" t="inlineStr">
        <is>
          <t>SCA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59459-2024</t>
        </is>
      </c>
      <c r="B348" s="1" t="n">
        <v>45638</v>
      </c>
      <c r="C348" s="1" t="n">
        <v>45916</v>
      </c>
      <c r="D348" t="inlineStr">
        <is>
          <t>JÄMTLANDS LÄN</t>
        </is>
      </c>
      <c r="E348" t="inlineStr">
        <is>
          <t>BERG</t>
        </is>
      </c>
      <c r="G348" t="n">
        <v>1.1</v>
      </c>
      <c r="H348" t="n">
        <v>0</v>
      </c>
      <c r="I348" t="n">
        <v>0</v>
      </c>
      <c r="J348" t="n">
        <v>0</v>
      </c>
      <c r="K348" t="n">
        <v>0</v>
      </c>
      <c r="L348" t="n">
        <v>0</v>
      </c>
      <c r="M348" t="n">
        <v>0</v>
      </c>
      <c r="N348" t="n">
        <v>0</v>
      </c>
      <c r="O348" t="n">
        <v>0</v>
      </c>
      <c r="P348" t="n">
        <v>0</v>
      </c>
      <c r="Q348" t="n">
        <v>0</v>
      </c>
      <c r="R348" s="2" t="inlineStr"/>
    </row>
    <row r="349" ht="15" customHeight="1">
      <c r="A349" t="inlineStr">
        <is>
          <t>A 14153-2023</t>
        </is>
      </c>
      <c r="B349" s="1" t="n">
        <v>45008</v>
      </c>
      <c r="C349" s="1" t="n">
        <v>45916</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20899-2023</t>
        </is>
      </c>
      <c r="B350" s="1" t="n">
        <v>45060</v>
      </c>
      <c r="C350" s="1" t="n">
        <v>45916</v>
      </c>
      <c r="D350" t="inlineStr">
        <is>
          <t>JÄMTLANDS LÄN</t>
        </is>
      </c>
      <c r="E350" t="inlineStr">
        <is>
          <t>BERG</t>
        </is>
      </c>
      <c r="G350" t="n">
        <v>1.9</v>
      </c>
      <c r="H350" t="n">
        <v>0</v>
      </c>
      <c r="I350" t="n">
        <v>0</v>
      </c>
      <c r="J350" t="n">
        <v>0</v>
      </c>
      <c r="K350" t="n">
        <v>0</v>
      </c>
      <c r="L350" t="n">
        <v>0</v>
      </c>
      <c r="M350" t="n">
        <v>0</v>
      </c>
      <c r="N350" t="n">
        <v>0</v>
      </c>
      <c r="O350" t="n">
        <v>0</v>
      </c>
      <c r="P350" t="n">
        <v>0</v>
      </c>
      <c r="Q350" t="n">
        <v>0</v>
      </c>
      <c r="R350" s="2" t="inlineStr"/>
    </row>
    <row r="351" ht="15" customHeight="1">
      <c r="A351" t="inlineStr">
        <is>
          <t>A 25453-2025</t>
        </is>
      </c>
      <c r="B351" s="1" t="n">
        <v>45802.34451388889</v>
      </c>
      <c r="C351" s="1" t="n">
        <v>45916</v>
      </c>
      <c r="D351" t="inlineStr">
        <is>
          <t>JÄMTLANDS LÄN</t>
        </is>
      </c>
      <c r="E351" t="inlineStr">
        <is>
          <t>BERG</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53958-2020</t>
        </is>
      </c>
      <c r="B352" s="1" t="n">
        <v>44123</v>
      </c>
      <c r="C352" s="1" t="n">
        <v>45916</v>
      </c>
      <c r="D352" t="inlineStr">
        <is>
          <t>JÄMTLANDS LÄN</t>
        </is>
      </c>
      <c r="E352" t="inlineStr">
        <is>
          <t>BERG</t>
        </is>
      </c>
      <c r="G352" t="n">
        <v>27.9</v>
      </c>
      <c r="H352" t="n">
        <v>0</v>
      </c>
      <c r="I352" t="n">
        <v>0</v>
      </c>
      <c r="J352" t="n">
        <v>0</v>
      </c>
      <c r="K352" t="n">
        <v>0</v>
      </c>
      <c r="L352" t="n">
        <v>0</v>
      </c>
      <c r="M352" t="n">
        <v>0</v>
      </c>
      <c r="N352" t="n">
        <v>0</v>
      </c>
      <c r="O352" t="n">
        <v>0</v>
      </c>
      <c r="P352" t="n">
        <v>0</v>
      </c>
      <c r="Q352" t="n">
        <v>0</v>
      </c>
      <c r="R352" s="2" t="inlineStr"/>
    </row>
    <row r="353" ht="15" customHeight="1">
      <c r="A353" t="inlineStr">
        <is>
          <t>A 41106-2023</t>
        </is>
      </c>
      <c r="B353" s="1" t="n">
        <v>45170</v>
      </c>
      <c r="C353" s="1" t="n">
        <v>45916</v>
      </c>
      <c r="D353" t="inlineStr">
        <is>
          <t>JÄMTLANDS LÄN</t>
        </is>
      </c>
      <c r="E353" t="inlineStr">
        <is>
          <t>BERG</t>
        </is>
      </c>
      <c r="G353" t="n">
        <v>0.7</v>
      </c>
      <c r="H353" t="n">
        <v>0</v>
      </c>
      <c r="I353" t="n">
        <v>0</v>
      </c>
      <c r="J353" t="n">
        <v>0</v>
      </c>
      <c r="K353" t="n">
        <v>0</v>
      </c>
      <c r="L353" t="n">
        <v>0</v>
      </c>
      <c r="M353" t="n">
        <v>0</v>
      </c>
      <c r="N353" t="n">
        <v>0</v>
      </c>
      <c r="O353" t="n">
        <v>0</v>
      </c>
      <c r="P353" t="n">
        <v>0</v>
      </c>
      <c r="Q353" t="n">
        <v>0</v>
      </c>
      <c r="R353" s="2" t="inlineStr"/>
    </row>
    <row r="354" ht="15" customHeight="1">
      <c r="A354" t="inlineStr">
        <is>
          <t>A 25441-2025</t>
        </is>
      </c>
      <c r="B354" s="1" t="n">
        <v>45801.34476851852</v>
      </c>
      <c r="C354" s="1" t="n">
        <v>45916</v>
      </c>
      <c r="D354" t="inlineStr">
        <is>
          <t>JÄMTLANDS LÄN</t>
        </is>
      </c>
      <c r="E354" t="inlineStr">
        <is>
          <t>BERG</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7744-2024</t>
        </is>
      </c>
      <c r="B355" s="1" t="n">
        <v>45349</v>
      </c>
      <c r="C355" s="1" t="n">
        <v>45916</v>
      </c>
      <c r="D355" t="inlineStr">
        <is>
          <t>JÄMTLANDS LÄN</t>
        </is>
      </c>
      <c r="E355" t="inlineStr">
        <is>
          <t>BERG</t>
        </is>
      </c>
      <c r="G355" t="n">
        <v>1.7</v>
      </c>
      <c r="H355" t="n">
        <v>0</v>
      </c>
      <c r="I355" t="n">
        <v>0</v>
      </c>
      <c r="J355" t="n">
        <v>0</v>
      </c>
      <c r="K355" t="n">
        <v>0</v>
      </c>
      <c r="L355" t="n">
        <v>0</v>
      </c>
      <c r="M355" t="n">
        <v>0</v>
      </c>
      <c r="N355" t="n">
        <v>0</v>
      </c>
      <c r="O355" t="n">
        <v>0</v>
      </c>
      <c r="P355" t="n">
        <v>0</v>
      </c>
      <c r="Q355" t="n">
        <v>0</v>
      </c>
      <c r="R355" s="2" t="inlineStr"/>
    </row>
    <row r="356" ht="15" customHeight="1">
      <c r="A356" t="inlineStr">
        <is>
          <t>A 511-2025</t>
        </is>
      </c>
      <c r="B356" s="1" t="n">
        <v>45664.47284722222</v>
      </c>
      <c r="C356" s="1" t="n">
        <v>45916</v>
      </c>
      <c r="D356" t="inlineStr">
        <is>
          <t>JÄMTLANDS LÄN</t>
        </is>
      </c>
      <c r="E356" t="inlineStr">
        <is>
          <t>BERG</t>
        </is>
      </c>
      <c r="G356" t="n">
        <v>4.5</v>
      </c>
      <c r="H356" t="n">
        <v>0</v>
      </c>
      <c r="I356" t="n">
        <v>0</v>
      </c>
      <c r="J356" t="n">
        <v>0</v>
      </c>
      <c r="K356" t="n">
        <v>0</v>
      </c>
      <c r="L356" t="n">
        <v>0</v>
      </c>
      <c r="M356" t="n">
        <v>0</v>
      </c>
      <c r="N356" t="n">
        <v>0</v>
      </c>
      <c r="O356" t="n">
        <v>0</v>
      </c>
      <c r="P356" t="n">
        <v>0</v>
      </c>
      <c r="Q356" t="n">
        <v>0</v>
      </c>
      <c r="R356" s="2" t="inlineStr"/>
    </row>
    <row r="357" ht="15" customHeight="1">
      <c r="A357" t="inlineStr">
        <is>
          <t>A 26013-2025</t>
        </is>
      </c>
      <c r="B357" s="1" t="n">
        <v>45804.67760416667</v>
      </c>
      <c r="C357" s="1" t="n">
        <v>45916</v>
      </c>
      <c r="D357" t="inlineStr">
        <is>
          <t>JÄMTLANDS LÄN</t>
        </is>
      </c>
      <c r="E357" t="inlineStr">
        <is>
          <t>BERG</t>
        </is>
      </c>
      <c r="F357" t="inlineStr">
        <is>
          <t>SCA</t>
        </is>
      </c>
      <c r="G357" t="n">
        <v>11.7</v>
      </c>
      <c r="H357" t="n">
        <v>0</v>
      </c>
      <c r="I357" t="n">
        <v>0</v>
      </c>
      <c r="J357" t="n">
        <v>0</v>
      </c>
      <c r="K357" t="n">
        <v>0</v>
      </c>
      <c r="L357" t="n">
        <v>0</v>
      </c>
      <c r="M357" t="n">
        <v>0</v>
      </c>
      <c r="N357" t="n">
        <v>0</v>
      </c>
      <c r="O357" t="n">
        <v>0</v>
      </c>
      <c r="P357" t="n">
        <v>0</v>
      </c>
      <c r="Q357" t="n">
        <v>0</v>
      </c>
      <c r="R357" s="2" t="inlineStr"/>
    </row>
    <row r="358" ht="15" customHeight="1">
      <c r="A358" t="inlineStr">
        <is>
          <t>A 25976-2025</t>
        </is>
      </c>
      <c r="B358" s="1" t="n">
        <v>45804.63596064815</v>
      </c>
      <c r="C358" s="1" t="n">
        <v>45916</v>
      </c>
      <c r="D358" t="inlineStr">
        <is>
          <t>JÄMTLANDS LÄN</t>
        </is>
      </c>
      <c r="E358" t="inlineStr">
        <is>
          <t>BERG</t>
        </is>
      </c>
      <c r="F358" t="inlineStr">
        <is>
          <t>SCA</t>
        </is>
      </c>
      <c r="G358" t="n">
        <v>5.5</v>
      </c>
      <c r="H358" t="n">
        <v>0</v>
      </c>
      <c r="I358" t="n">
        <v>0</v>
      </c>
      <c r="J358" t="n">
        <v>0</v>
      </c>
      <c r="K358" t="n">
        <v>0</v>
      </c>
      <c r="L358" t="n">
        <v>0</v>
      </c>
      <c r="M358" t="n">
        <v>0</v>
      </c>
      <c r="N358" t="n">
        <v>0</v>
      </c>
      <c r="O358" t="n">
        <v>0</v>
      </c>
      <c r="P358" t="n">
        <v>0</v>
      </c>
      <c r="Q358" t="n">
        <v>0</v>
      </c>
      <c r="R358" s="2" t="inlineStr"/>
    </row>
    <row r="359" ht="15" customHeight="1">
      <c r="A359" t="inlineStr">
        <is>
          <t>A 25979-2025</t>
        </is>
      </c>
      <c r="B359" s="1" t="n">
        <v>45804.63642361111</v>
      </c>
      <c r="C359" s="1" t="n">
        <v>45916</v>
      </c>
      <c r="D359" t="inlineStr">
        <is>
          <t>JÄMTLANDS LÄN</t>
        </is>
      </c>
      <c r="E359" t="inlineStr">
        <is>
          <t>BERG</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3419-2025</t>
        </is>
      </c>
      <c r="B360" s="1" t="n">
        <v>45680.4165625</v>
      </c>
      <c r="C360" s="1" t="n">
        <v>45916</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26053-2025</t>
        </is>
      </c>
      <c r="B361" s="1" t="n">
        <v>45804.75445601852</v>
      </c>
      <c r="C361" s="1" t="n">
        <v>45916</v>
      </c>
      <c r="D361" t="inlineStr">
        <is>
          <t>JÄMTLANDS LÄN</t>
        </is>
      </c>
      <c r="E361" t="inlineStr">
        <is>
          <t>BERG</t>
        </is>
      </c>
      <c r="G361" t="n">
        <v>6</v>
      </c>
      <c r="H361" t="n">
        <v>0</v>
      </c>
      <c r="I361" t="n">
        <v>0</v>
      </c>
      <c r="J361" t="n">
        <v>0</v>
      </c>
      <c r="K361" t="n">
        <v>0</v>
      </c>
      <c r="L361" t="n">
        <v>0</v>
      </c>
      <c r="M361" t="n">
        <v>0</v>
      </c>
      <c r="N361" t="n">
        <v>0</v>
      </c>
      <c r="O361" t="n">
        <v>0</v>
      </c>
      <c r="P361" t="n">
        <v>0</v>
      </c>
      <c r="Q361" t="n">
        <v>0</v>
      </c>
      <c r="R361" s="2" t="inlineStr"/>
    </row>
    <row r="362" ht="15" customHeight="1">
      <c r="A362" t="inlineStr">
        <is>
          <t>A 40415-2023</t>
        </is>
      </c>
      <c r="B362" s="1" t="n">
        <v>45169.93925925926</v>
      </c>
      <c r="C362" s="1" t="n">
        <v>45916</v>
      </c>
      <c r="D362" t="inlineStr">
        <is>
          <t>JÄMTLANDS LÄN</t>
        </is>
      </c>
      <c r="E362" t="inlineStr">
        <is>
          <t>BERG</t>
        </is>
      </c>
      <c r="F362" t="inlineStr">
        <is>
          <t>SCA</t>
        </is>
      </c>
      <c r="G362" t="n">
        <v>10.2</v>
      </c>
      <c r="H362" t="n">
        <v>0</v>
      </c>
      <c r="I362" t="n">
        <v>0</v>
      </c>
      <c r="J362" t="n">
        <v>0</v>
      </c>
      <c r="K362" t="n">
        <v>0</v>
      </c>
      <c r="L362" t="n">
        <v>0</v>
      </c>
      <c r="M362" t="n">
        <v>0</v>
      </c>
      <c r="N362" t="n">
        <v>0</v>
      </c>
      <c r="O362" t="n">
        <v>0</v>
      </c>
      <c r="P362" t="n">
        <v>0</v>
      </c>
      <c r="Q362" t="n">
        <v>0</v>
      </c>
      <c r="R362" s="2" t="inlineStr"/>
    </row>
    <row r="363" ht="15" customHeight="1">
      <c r="A363" t="inlineStr">
        <is>
          <t>A 17266-2025</t>
        </is>
      </c>
      <c r="B363" s="1" t="n">
        <v>45756</v>
      </c>
      <c r="C363" s="1" t="n">
        <v>45916</v>
      </c>
      <c r="D363" t="inlineStr">
        <is>
          <t>JÄMTLANDS LÄN</t>
        </is>
      </c>
      <c r="E363" t="inlineStr">
        <is>
          <t>BERG</t>
        </is>
      </c>
      <c r="G363" t="n">
        <v>20.1</v>
      </c>
      <c r="H363" t="n">
        <v>0</v>
      </c>
      <c r="I363" t="n">
        <v>0</v>
      </c>
      <c r="J363" t="n">
        <v>0</v>
      </c>
      <c r="K363" t="n">
        <v>0</v>
      </c>
      <c r="L363" t="n">
        <v>0</v>
      </c>
      <c r="M363" t="n">
        <v>0</v>
      </c>
      <c r="N363" t="n">
        <v>0</v>
      </c>
      <c r="O363" t="n">
        <v>0</v>
      </c>
      <c r="P363" t="n">
        <v>0</v>
      </c>
      <c r="Q363" t="n">
        <v>0</v>
      </c>
      <c r="R363" s="2" t="inlineStr"/>
    </row>
    <row r="364" ht="15" customHeight="1">
      <c r="A364" t="inlineStr">
        <is>
          <t>A 12611-2025</t>
        </is>
      </c>
      <c r="B364" s="1" t="n">
        <v>45733.33921296296</v>
      </c>
      <c r="C364" s="1" t="n">
        <v>45916</v>
      </c>
      <c r="D364" t="inlineStr">
        <is>
          <t>JÄMTLANDS LÄN</t>
        </is>
      </c>
      <c r="E364" t="inlineStr">
        <is>
          <t>BERG</t>
        </is>
      </c>
      <c r="G364" t="n">
        <v>7.7</v>
      </c>
      <c r="H364" t="n">
        <v>0</v>
      </c>
      <c r="I364" t="n">
        <v>0</v>
      </c>
      <c r="J364" t="n">
        <v>0</v>
      </c>
      <c r="K364" t="n">
        <v>0</v>
      </c>
      <c r="L364" t="n">
        <v>0</v>
      </c>
      <c r="M364" t="n">
        <v>0</v>
      </c>
      <c r="N364" t="n">
        <v>0</v>
      </c>
      <c r="O364" t="n">
        <v>0</v>
      </c>
      <c r="P364" t="n">
        <v>0</v>
      </c>
      <c r="Q364" t="n">
        <v>0</v>
      </c>
      <c r="R364" s="2" t="inlineStr"/>
    </row>
    <row r="365" ht="15" customHeight="1">
      <c r="A365" t="inlineStr">
        <is>
          <t>A 25951-2025</t>
        </is>
      </c>
      <c r="B365" s="1" t="n">
        <v>45804.5984375</v>
      </c>
      <c r="C365" s="1" t="n">
        <v>45916</v>
      </c>
      <c r="D365" t="inlineStr">
        <is>
          <t>JÄMTLANDS LÄN</t>
        </is>
      </c>
      <c r="E365" t="inlineStr">
        <is>
          <t>BERG</t>
        </is>
      </c>
      <c r="G365" t="n">
        <v>0.9</v>
      </c>
      <c r="H365" t="n">
        <v>0</v>
      </c>
      <c r="I365" t="n">
        <v>0</v>
      </c>
      <c r="J365" t="n">
        <v>0</v>
      </c>
      <c r="K365" t="n">
        <v>0</v>
      </c>
      <c r="L365" t="n">
        <v>0</v>
      </c>
      <c r="M365" t="n">
        <v>0</v>
      </c>
      <c r="N365" t="n">
        <v>0</v>
      </c>
      <c r="O365" t="n">
        <v>0</v>
      </c>
      <c r="P365" t="n">
        <v>0</v>
      </c>
      <c r="Q365" t="n">
        <v>0</v>
      </c>
      <c r="R365" s="2" t="inlineStr"/>
    </row>
    <row r="366" ht="15" customHeight="1">
      <c r="A366" t="inlineStr">
        <is>
          <t>A 25885-2025</t>
        </is>
      </c>
      <c r="B366" s="1" t="n">
        <v>45804.51075231482</v>
      </c>
      <c r="C366" s="1" t="n">
        <v>45916</v>
      </c>
      <c r="D366" t="inlineStr">
        <is>
          <t>JÄMTLANDS LÄN</t>
        </is>
      </c>
      <c r="E366" t="inlineStr">
        <is>
          <t>BERG</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25887-2025</t>
        </is>
      </c>
      <c r="B367" s="1" t="n">
        <v>45804.51104166666</v>
      </c>
      <c r="C367" s="1" t="n">
        <v>45916</v>
      </c>
      <c r="D367" t="inlineStr">
        <is>
          <t>JÄMTLANDS LÄN</t>
        </is>
      </c>
      <c r="E367" t="inlineStr">
        <is>
          <t>BERG</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25960-2025</t>
        </is>
      </c>
      <c r="B368" s="1" t="n">
        <v>45804.60972222222</v>
      </c>
      <c r="C368" s="1" t="n">
        <v>45916</v>
      </c>
      <c r="D368" t="inlineStr">
        <is>
          <t>JÄMTLANDS LÄN</t>
        </is>
      </c>
      <c r="E368" t="inlineStr">
        <is>
          <t>BERG</t>
        </is>
      </c>
      <c r="G368" t="n">
        <v>7.3</v>
      </c>
      <c r="H368" t="n">
        <v>0</v>
      </c>
      <c r="I368" t="n">
        <v>0</v>
      </c>
      <c r="J368" t="n">
        <v>0</v>
      </c>
      <c r="K368" t="n">
        <v>0</v>
      </c>
      <c r="L368" t="n">
        <v>0</v>
      </c>
      <c r="M368" t="n">
        <v>0</v>
      </c>
      <c r="N368" t="n">
        <v>0</v>
      </c>
      <c r="O368" t="n">
        <v>0</v>
      </c>
      <c r="P368" t="n">
        <v>0</v>
      </c>
      <c r="Q368" t="n">
        <v>0</v>
      </c>
      <c r="R368" s="2" t="inlineStr"/>
    </row>
    <row r="369" ht="15" customHeight="1">
      <c r="A369" t="inlineStr">
        <is>
          <t>A 64709-2021</t>
        </is>
      </c>
      <c r="B369" s="1" t="n">
        <v>44512</v>
      </c>
      <c r="C369" s="1" t="n">
        <v>45916</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14226-2021</t>
        </is>
      </c>
      <c r="B370" s="1" t="n">
        <v>44277</v>
      </c>
      <c r="C370" s="1" t="n">
        <v>45916</v>
      </c>
      <c r="D370" t="inlineStr">
        <is>
          <t>JÄMTLANDS LÄN</t>
        </is>
      </c>
      <c r="E370" t="inlineStr">
        <is>
          <t>BERG</t>
        </is>
      </c>
      <c r="G370" t="n">
        <v>23.7</v>
      </c>
      <c r="H370" t="n">
        <v>0</v>
      </c>
      <c r="I370" t="n">
        <v>0</v>
      </c>
      <c r="J370" t="n">
        <v>0</v>
      </c>
      <c r="K370" t="n">
        <v>0</v>
      </c>
      <c r="L370" t="n">
        <v>0</v>
      </c>
      <c r="M370" t="n">
        <v>0</v>
      </c>
      <c r="N370" t="n">
        <v>0</v>
      </c>
      <c r="O370" t="n">
        <v>0</v>
      </c>
      <c r="P370" t="n">
        <v>0</v>
      </c>
      <c r="Q370" t="n">
        <v>0</v>
      </c>
      <c r="R370" s="2" t="inlineStr"/>
    </row>
    <row r="371" ht="15" customHeight="1">
      <c r="A371" t="inlineStr">
        <is>
          <t>A 25938-2025</t>
        </is>
      </c>
      <c r="B371" s="1" t="n">
        <v>45804.59414351852</v>
      </c>
      <c r="C371" s="1" t="n">
        <v>45916</v>
      </c>
      <c r="D371" t="inlineStr">
        <is>
          <t>JÄMTLANDS LÄN</t>
        </is>
      </c>
      <c r="E371" t="inlineStr">
        <is>
          <t>BERG</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29540-2024</t>
        </is>
      </c>
      <c r="B372" s="1" t="n">
        <v>45484</v>
      </c>
      <c r="C372" s="1" t="n">
        <v>45916</v>
      </c>
      <c r="D372" t="inlineStr">
        <is>
          <t>JÄMTLANDS LÄN</t>
        </is>
      </c>
      <c r="E372" t="inlineStr">
        <is>
          <t>BERG</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25886-2025</t>
        </is>
      </c>
      <c r="B373" s="1" t="n">
        <v>45804.51092592593</v>
      </c>
      <c r="C373" s="1" t="n">
        <v>45916</v>
      </c>
      <c r="D373" t="inlineStr">
        <is>
          <t>JÄMTLANDS LÄN</t>
        </is>
      </c>
      <c r="E373" t="inlineStr">
        <is>
          <t>BERG</t>
        </is>
      </c>
      <c r="F373" t="inlineStr">
        <is>
          <t>SCA</t>
        </is>
      </c>
      <c r="G373" t="n">
        <v>18.3</v>
      </c>
      <c r="H373" t="n">
        <v>0</v>
      </c>
      <c r="I373" t="n">
        <v>0</v>
      </c>
      <c r="J373" t="n">
        <v>0</v>
      </c>
      <c r="K373" t="n">
        <v>0</v>
      </c>
      <c r="L373" t="n">
        <v>0</v>
      </c>
      <c r="M373" t="n">
        <v>0</v>
      </c>
      <c r="N373" t="n">
        <v>0</v>
      </c>
      <c r="O373" t="n">
        <v>0</v>
      </c>
      <c r="P373" t="n">
        <v>0</v>
      </c>
      <c r="Q373" t="n">
        <v>0</v>
      </c>
      <c r="R373" s="2" t="inlineStr"/>
    </row>
    <row r="374" ht="15" customHeight="1">
      <c r="A374" t="inlineStr">
        <is>
          <t>A 26186-2025</t>
        </is>
      </c>
      <c r="B374" s="1" t="n">
        <v>45805.47840277778</v>
      </c>
      <c r="C374" s="1" t="n">
        <v>45916</v>
      </c>
      <c r="D374" t="inlineStr">
        <is>
          <t>JÄMTLANDS LÄN</t>
        </is>
      </c>
      <c r="E374" t="inlineStr">
        <is>
          <t>BERG</t>
        </is>
      </c>
      <c r="G374" t="n">
        <v>5.3</v>
      </c>
      <c r="H374" t="n">
        <v>0</v>
      </c>
      <c r="I374" t="n">
        <v>0</v>
      </c>
      <c r="J374" t="n">
        <v>0</v>
      </c>
      <c r="K374" t="n">
        <v>0</v>
      </c>
      <c r="L374" t="n">
        <v>0</v>
      </c>
      <c r="M374" t="n">
        <v>0</v>
      </c>
      <c r="N374" t="n">
        <v>0</v>
      </c>
      <c r="O374" t="n">
        <v>0</v>
      </c>
      <c r="P374" t="n">
        <v>0</v>
      </c>
      <c r="Q374" t="n">
        <v>0</v>
      </c>
      <c r="R374" s="2" t="inlineStr"/>
    </row>
    <row r="375" ht="15" customHeight="1">
      <c r="A375" t="inlineStr">
        <is>
          <t>A 26275-2025</t>
        </is>
      </c>
      <c r="B375" s="1" t="n">
        <v>45805.60230324074</v>
      </c>
      <c r="C375" s="1" t="n">
        <v>45916</v>
      </c>
      <c r="D375" t="inlineStr">
        <is>
          <t>JÄMTLANDS LÄN</t>
        </is>
      </c>
      <c r="E375" t="inlineStr">
        <is>
          <t>BERG</t>
        </is>
      </c>
      <c r="G375" t="n">
        <v>10.2</v>
      </c>
      <c r="H375" t="n">
        <v>0</v>
      </c>
      <c r="I375" t="n">
        <v>0</v>
      </c>
      <c r="J375" t="n">
        <v>0</v>
      </c>
      <c r="K375" t="n">
        <v>0</v>
      </c>
      <c r="L375" t="n">
        <v>0</v>
      </c>
      <c r="M375" t="n">
        <v>0</v>
      </c>
      <c r="N375" t="n">
        <v>0</v>
      </c>
      <c r="O375" t="n">
        <v>0</v>
      </c>
      <c r="P375" t="n">
        <v>0</v>
      </c>
      <c r="Q375" t="n">
        <v>0</v>
      </c>
      <c r="R375" s="2" t="inlineStr"/>
    </row>
    <row r="376" ht="15" customHeight="1">
      <c r="A376" t="inlineStr">
        <is>
          <t>A 25980-2025</t>
        </is>
      </c>
      <c r="B376" s="1" t="n">
        <v>45804.63658564815</v>
      </c>
      <c r="C376" s="1" t="n">
        <v>45916</v>
      </c>
      <c r="D376" t="inlineStr">
        <is>
          <t>JÄMTLANDS LÄN</t>
        </is>
      </c>
      <c r="E376" t="inlineStr">
        <is>
          <t>BERG</t>
        </is>
      </c>
      <c r="F376" t="inlineStr">
        <is>
          <t>SCA</t>
        </is>
      </c>
      <c r="G376" t="n">
        <v>8.9</v>
      </c>
      <c r="H376" t="n">
        <v>0</v>
      </c>
      <c r="I376" t="n">
        <v>0</v>
      </c>
      <c r="J376" t="n">
        <v>0</v>
      </c>
      <c r="K376" t="n">
        <v>0</v>
      </c>
      <c r="L376" t="n">
        <v>0</v>
      </c>
      <c r="M376" t="n">
        <v>0</v>
      </c>
      <c r="N376" t="n">
        <v>0</v>
      </c>
      <c r="O376" t="n">
        <v>0</v>
      </c>
      <c r="P376" t="n">
        <v>0</v>
      </c>
      <c r="Q376" t="n">
        <v>0</v>
      </c>
      <c r="R376" s="2" t="inlineStr"/>
    </row>
    <row r="377" ht="15" customHeight="1">
      <c r="A377" t="inlineStr">
        <is>
          <t>A 38962-2024</t>
        </is>
      </c>
      <c r="B377" s="1" t="n">
        <v>45548.36175925926</v>
      </c>
      <c r="C377" s="1" t="n">
        <v>45916</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54799-2021</t>
        </is>
      </c>
      <c r="B378" s="1" t="n">
        <v>44473</v>
      </c>
      <c r="C378" s="1" t="n">
        <v>45916</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32879-2024</t>
        </is>
      </c>
      <c r="B379" s="1" t="n">
        <v>45516.68450231481</v>
      </c>
      <c r="C379" s="1" t="n">
        <v>45916</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2247-2025</t>
        </is>
      </c>
      <c r="B380" s="1" t="n">
        <v>45673.49039351852</v>
      </c>
      <c r="C380" s="1" t="n">
        <v>45916</v>
      </c>
      <c r="D380" t="inlineStr">
        <is>
          <t>JÄMTLANDS LÄN</t>
        </is>
      </c>
      <c r="E380" t="inlineStr">
        <is>
          <t>BERG</t>
        </is>
      </c>
      <c r="F380" t="inlineStr">
        <is>
          <t>SCA</t>
        </is>
      </c>
      <c r="G380" t="n">
        <v>13.3</v>
      </c>
      <c r="H380" t="n">
        <v>0</v>
      </c>
      <c r="I380" t="n">
        <v>0</v>
      </c>
      <c r="J380" t="n">
        <v>0</v>
      </c>
      <c r="K380" t="n">
        <v>0</v>
      </c>
      <c r="L380" t="n">
        <v>0</v>
      </c>
      <c r="M380" t="n">
        <v>0</v>
      </c>
      <c r="N380" t="n">
        <v>0</v>
      </c>
      <c r="O380" t="n">
        <v>0</v>
      </c>
      <c r="P380" t="n">
        <v>0</v>
      </c>
      <c r="Q380" t="n">
        <v>0</v>
      </c>
      <c r="R380" s="2" t="inlineStr"/>
    </row>
    <row r="381" ht="15" customHeight="1">
      <c r="A381" t="inlineStr">
        <is>
          <t>A 5014-2024</t>
        </is>
      </c>
      <c r="B381" s="1" t="n">
        <v>45329</v>
      </c>
      <c r="C381" s="1" t="n">
        <v>45916</v>
      </c>
      <c r="D381" t="inlineStr">
        <is>
          <t>JÄMTLANDS LÄN</t>
        </is>
      </c>
      <c r="E381" t="inlineStr">
        <is>
          <t>BERG</t>
        </is>
      </c>
      <c r="G381" t="n">
        <v>1.1</v>
      </c>
      <c r="H381" t="n">
        <v>0</v>
      </c>
      <c r="I381" t="n">
        <v>0</v>
      </c>
      <c r="J381" t="n">
        <v>0</v>
      </c>
      <c r="K381" t="n">
        <v>0</v>
      </c>
      <c r="L381" t="n">
        <v>0</v>
      </c>
      <c r="M381" t="n">
        <v>0</v>
      </c>
      <c r="N381" t="n">
        <v>0</v>
      </c>
      <c r="O381" t="n">
        <v>0</v>
      </c>
      <c r="P381" t="n">
        <v>0</v>
      </c>
      <c r="Q381" t="n">
        <v>0</v>
      </c>
      <c r="R381" s="2" t="inlineStr"/>
    </row>
    <row r="382" ht="15" customHeight="1">
      <c r="A382" t="inlineStr">
        <is>
          <t>A 26378-2025</t>
        </is>
      </c>
      <c r="B382" s="1" t="n">
        <v>45806.48989583334</v>
      </c>
      <c r="C382" s="1" t="n">
        <v>45916</v>
      </c>
      <c r="D382" t="inlineStr">
        <is>
          <t>JÄMTLANDS LÄN</t>
        </is>
      </c>
      <c r="E382" t="inlineStr">
        <is>
          <t>BERG</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22020-2024</t>
        </is>
      </c>
      <c r="B383" s="1" t="n">
        <v>45443.5894675926</v>
      </c>
      <c r="C383" s="1" t="n">
        <v>45916</v>
      </c>
      <c r="D383" t="inlineStr">
        <is>
          <t>JÄMTLANDS LÄN</t>
        </is>
      </c>
      <c r="E383" t="inlineStr">
        <is>
          <t>BERG</t>
        </is>
      </c>
      <c r="G383" t="n">
        <v>4.9</v>
      </c>
      <c r="H383" t="n">
        <v>0</v>
      </c>
      <c r="I383" t="n">
        <v>0</v>
      </c>
      <c r="J383" t="n">
        <v>0</v>
      </c>
      <c r="K383" t="n">
        <v>0</v>
      </c>
      <c r="L383" t="n">
        <v>0</v>
      </c>
      <c r="M383" t="n">
        <v>0</v>
      </c>
      <c r="N383" t="n">
        <v>0</v>
      </c>
      <c r="O383" t="n">
        <v>0</v>
      </c>
      <c r="P383" t="n">
        <v>0</v>
      </c>
      <c r="Q383" t="n">
        <v>0</v>
      </c>
      <c r="R383" s="2" t="inlineStr"/>
    </row>
    <row r="384" ht="15" customHeight="1">
      <c r="A384" t="inlineStr">
        <is>
          <t>A 17748-2024</t>
        </is>
      </c>
      <c r="B384" s="1" t="n">
        <v>45418</v>
      </c>
      <c r="C384" s="1" t="n">
        <v>45916</v>
      </c>
      <c r="D384" t="inlineStr">
        <is>
          <t>JÄMTLANDS LÄN</t>
        </is>
      </c>
      <c r="E384" t="inlineStr">
        <is>
          <t>BERG</t>
        </is>
      </c>
      <c r="G384" t="n">
        <v>0.9</v>
      </c>
      <c r="H384" t="n">
        <v>0</v>
      </c>
      <c r="I384" t="n">
        <v>0</v>
      </c>
      <c r="J384" t="n">
        <v>0</v>
      </c>
      <c r="K384" t="n">
        <v>0</v>
      </c>
      <c r="L384" t="n">
        <v>0</v>
      </c>
      <c r="M384" t="n">
        <v>0</v>
      </c>
      <c r="N384" t="n">
        <v>0</v>
      </c>
      <c r="O384" t="n">
        <v>0</v>
      </c>
      <c r="P384" t="n">
        <v>0</v>
      </c>
      <c r="Q384" t="n">
        <v>0</v>
      </c>
      <c r="R384" s="2" t="inlineStr"/>
    </row>
    <row r="385" ht="15" customHeight="1">
      <c r="A385" t="inlineStr">
        <is>
          <t>A 18833-2024</t>
        </is>
      </c>
      <c r="B385" s="1" t="n">
        <v>45426.65157407407</v>
      </c>
      <c r="C385" s="1" t="n">
        <v>45916</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1983-2022</t>
        </is>
      </c>
      <c r="B386" s="1" t="n">
        <v>44575</v>
      </c>
      <c r="C386" s="1" t="n">
        <v>45916</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53877-2020</t>
        </is>
      </c>
      <c r="B387" s="1" t="n">
        <v>44123</v>
      </c>
      <c r="C387" s="1" t="n">
        <v>45916</v>
      </c>
      <c r="D387" t="inlineStr">
        <is>
          <t>JÄMTLANDS LÄN</t>
        </is>
      </c>
      <c r="E387" t="inlineStr">
        <is>
          <t>BERG</t>
        </is>
      </c>
      <c r="G387" t="n">
        <v>32.8</v>
      </c>
      <c r="H387" t="n">
        <v>0</v>
      </c>
      <c r="I387" t="n">
        <v>0</v>
      </c>
      <c r="J387" t="n">
        <v>0</v>
      </c>
      <c r="K387" t="n">
        <v>0</v>
      </c>
      <c r="L387" t="n">
        <v>0</v>
      </c>
      <c r="M387" t="n">
        <v>0</v>
      </c>
      <c r="N387" t="n">
        <v>0</v>
      </c>
      <c r="O387" t="n">
        <v>0</v>
      </c>
      <c r="P387" t="n">
        <v>0</v>
      </c>
      <c r="Q387" t="n">
        <v>0</v>
      </c>
      <c r="R387" s="2" t="inlineStr"/>
    </row>
    <row r="388" ht="15" customHeight="1">
      <c r="A388" t="inlineStr">
        <is>
          <t>A 26374-2025</t>
        </is>
      </c>
      <c r="B388" s="1" t="n">
        <v>45806.42745370371</v>
      </c>
      <c r="C388" s="1" t="n">
        <v>45916</v>
      </c>
      <c r="D388" t="inlineStr">
        <is>
          <t>JÄMTLANDS LÄN</t>
        </is>
      </c>
      <c r="E388" t="inlineStr">
        <is>
          <t>BERG</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13936-2024</t>
        </is>
      </c>
      <c r="B389" s="1" t="n">
        <v>45391.9533912037</v>
      </c>
      <c r="C389" s="1" t="n">
        <v>45916</v>
      </c>
      <c r="D389" t="inlineStr">
        <is>
          <t>JÄMTLANDS LÄN</t>
        </is>
      </c>
      <c r="E389" t="inlineStr">
        <is>
          <t>BERG</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33962-2024</t>
        </is>
      </c>
      <c r="B390" s="1" t="n">
        <v>45523.48854166667</v>
      </c>
      <c r="C390" s="1" t="n">
        <v>45916</v>
      </c>
      <c r="D390" t="inlineStr">
        <is>
          <t>JÄMTLANDS LÄN</t>
        </is>
      </c>
      <c r="E390" t="inlineStr">
        <is>
          <t>BERG</t>
        </is>
      </c>
      <c r="G390" t="n">
        <v>2.2</v>
      </c>
      <c r="H390" t="n">
        <v>0</v>
      </c>
      <c r="I390" t="n">
        <v>0</v>
      </c>
      <c r="J390" t="n">
        <v>0</v>
      </c>
      <c r="K390" t="n">
        <v>0</v>
      </c>
      <c r="L390" t="n">
        <v>0</v>
      </c>
      <c r="M390" t="n">
        <v>0</v>
      </c>
      <c r="N390" t="n">
        <v>0</v>
      </c>
      <c r="O390" t="n">
        <v>0</v>
      </c>
      <c r="P390" t="n">
        <v>0</v>
      </c>
      <c r="Q390" t="n">
        <v>0</v>
      </c>
      <c r="R390" s="2" t="inlineStr"/>
    </row>
    <row r="391" ht="15" customHeight="1">
      <c r="A391" t="inlineStr">
        <is>
          <t>A 26743-2025</t>
        </is>
      </c>
      <c r="B391" s="1" t="n">
        <v>45810.53163194445</v>
      </c>
      <c r="C391" s="1" t="n">
        <v>45916</v>
      </c>
      <c r="D391" t="inlineStr">
        <is>
          <t>JÄMTLANDS LÄN</t>
        </is>
      </c>
      <c r="E391" t="inlineStr">
        <is>
          <t>BERG</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58176-2024</t>
        </is>
      </c>
      <c r="B392" s="1" t="n">
        <v>45632.46771990741</v>
      </c>
      <c r="C392" s="1" t="n">
        <v>45916</v>
      </c>
      <c r="D392" t="inlineStr">
        <is>
          <t>JÄMTLANDS LÄN</t>
        </is>
      </c>
      <c r="E392" t="inlineStr">
        <is>
          <t>BERG</t>
        </is>
      </c>
      <c r="G392" t="n">
        <v>14.4</v>
      </c>
      <c r="H392" t="n">
        <v>0</v>
      </c>
      <c r="I392" t="n">
        <v>0</v>
      </c>
      <c r="J392" t="n">
        <v>0</v>
      </c>
      <c r="K392" t="n">
        <v>0</v>
      </c>
      <c r="L392" t="n">
        <v>0</v>
      </c>
      <c r="M392" t="n">
        <v>0</v>
      </c>
      <c r="N392" t="n">
        <v>0</v>
      </c>
      <c r="O392" t="n">
        <v>0</v>
      </c>
      <c r="P392" t="n">
        <v>0</v>
      </c>
      <c r="Q392" t="n">
        <v>0</v>
      </c>
      <c r="R392" s="2" t="inlineStr"/>
    </row>
    <row r="393" ht="15" customHeight="1">
      <c r="A393" t="inlineStr">
        <is>
          <t>A 37098-2024</t>
        </is>
      </c>
      <c r="B393" s="1" t="n">
        <v>45539.50243055556</v>
      </c>
      <c r="C393" s="1" t="n">
        <v>45916</v>
      </c>
      <c r="D393" t="inlineStr">
        <is>
          <t>JÄMTLANDS LÄN</t>
        </is>
      </c>
      <c r="E393" t="inlineStr">
        <is>
          <t>BERG</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45916</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27044-2025</t>
        </is>
      </c>
      <c r="B395" s="1" t="n">
        <v>45811.61496527777</v>
      </c>
      <c r="C395" s="1" t="n">
        <v>45916</v>
      </c>
      <c r="D395" t="inlineStr">
        <is>
          <t>JÄMTLANDS LÄN</t>
        </is>
      </c>
      <c r="E395" t="inlineStr">
        <is>
          <t>BERG</t>
        </is>
      </c>
      <c r="F395" t="inlineStr">
        <is>
          <t>SCA</t>
        </is>
      </c>
      <c r="G395" t="n">
        <v>26.1</v>
      </c>
      <c r="H395" t="n">
        <v>0</v>
      </c>
      <c r="I395" t="n">
        <v>0</v>
      </c>
      <c r="J395" t="n">
        <v>0</v>
      </c>
      <c r="K395" t="n">
        <v>0</v>
      </c>
      <c r="L395" t="n">
        <v>0</v>
      </c>
      <c r="M395" t="n">
        <v>0</v>
      </c>
      <c r="N395" t="n">
        <v>0</v>
      </c>
      <c r="O395" t="n">
        <v>0</v>
      </c>
      <c r="P395" t="n">
        <v>0</v>
      </c>
      <c r="Q395" t="n">
        <v>0</v>
      </c>
      <c r="R395" s="2" t="inlineStr"/>
    </row>
    <row r="396" ht="15" customHeight="1">
      <c r="A396" t="inlineStr">
        <is>
          <t>A 26959-2022</t>
        </is>
      </c>
      <c r="B396" s="1" t="n">
        <v>44740.66048611111</v>
      </c>
      <c r="C396" s="1" t="n">
        <v>45916</v>
      </c>
      <c r="D396" t="inlineStr">
        <is>
          <t>JÄMTLANDS LÄN</t>
        </is>
      </c>
      <c r="E396" t="inlineStr">
        <is>
          <t>BERG</t>
        </is>
      </c>
      <c r="G396" t="n">
        <v>2.8</v>
      </c>
      <c r="H396" t="n">
        <v>0</v>
      </c>
      <c r="I396" t="n">
        <v>0</v>
      </c>
      <c r="J396" t="n">
        <v>0</v>
      </c>
      <c r="K396" t="n">
        <v>0</v>
      </c>
      <c r="L396" t="n">
        <v>0</v>
      </c>
      <c r="M396" t="n">
        <v>0</v>
      </c>
      <c r="N396" t="n">
        <v>0</v>
      </c>
      <c r="O396" t="n">
        <v>0</v>
      </c>
      <c r="P396" t="n">
        <v>0</v>
      </c>
      <c r="Q396" t="n">
        <v>0</v>
      </c>
      <c r="R396" s="2" t="inlineStr"/>
    </row>
    <row r="397" ht="15" customHeight="1">
      <c r="A397" t="inlineStr">
        <is>
          <t>A 2855-2025</t>
        </is>
      </c>
      <c r="B397" s="1" t="n">
        <v>45678</v>
      </c>
      <c r="C397" s="1" t="n">
        <v>45916</v>
      </c>
      <c r="D397" t="inlineStr">
        <is>
          <t>JÄMTLANDS LÄN</t>
        </is>
      </c>
      <c r="E397" t="inlineStr">
        <is>
          <t>BERG</t>
        </is>
      </c>
      <c r="G397" t="n">
        <v>1</v>
      </c>
      <c r="H397" t="n">
        <v>0</v>
      </c>
      <c r="I397" t="n">
        <v>0</v>
      </c>
      <c r="J397" t="n">
        <v>0</v>
      </c>
      <c r="K397" t="n">
        <v>0</v>
      </c>
      <c r="L397" t="n">
        <v>0</v>
      </c>
      <c r="M397" t="n">
        <v>0</v>
      </c>
      <c r="N397" t="n">
        <v>0</v>
      </c>
      <c r="O397" t="n">
        <v>0</v>
      </c>
      <c r="P397" t="n">
        <v>0</v>
      </c>
      <c r="Q397" t="n">
        <v>0</v>
      </c>
      <c r="R397" s="2" t="inlineStr"/>
    </row>
    <row r="398" ht="15" customHeight="1">
      <c r="A398" t="inlineStr">
        <is>
          <t>A 53085-2024</t>
        </is>
      </c>
      <c r="B398" s="1" t="n">
        <v>45611.51072916666</v>
      </c>
      <c r="C398" s="1" t="n">
        <v>45916</v>
      </c>
      <c r="D398" t="inlineStr">
        <is>
          <t>JÄMTLANDS LÄN</t>
        </is>
      </c>
      <c r="E398" t="inlineStr">
        <is>
          <t>BERG</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53902-2020</t>
        </is>
      </c>
      <c r="B399" s="1" t="n">
        <v>44123</v>
      </c>
      <c r="C399" s="1" t="n">
        <v>45916</v>
      </c>
      <c r="D399" t="inlineStr">
        <is>
          <t>JÄMTLANDS LÄN</t>
        </is>
      </c>
      <c r="E399" t="inlineStr">
        <is>
          <t>BERG</t>
        </is>
      </c>
      <c r="G399" t="n">
        <v>22.5</v>
      </c>
      <c r="H399" t="n">
        <v>0</v>
      </c>
      <c r="I399" t="n">
        <v>0</v>
      </c>
      <c r="J399" t="n">
        <v>0</v>
      </c>
      <c r="K399" t="n">
        <v>0</v>
      </c>
      <c r="L399" t="n">
        <v>0</v>
      </c>
      <c r="M399" t="n">
        <v>0</v>
      </c>
      <c r="N399" t="n">
        <v>0</v>
      </c>
      <c r="O399" t="n">
        <v>0</v>
      </c>
      <c r="P399" t="n">
        <v>0</v>
      </c>
      <c r="Q399" t="n">
        <v>0</v>
      </c>
      <c r="R399" s="2" t="inlineStr"/>
    </row>
    <row r="400" ht="15" customHeight="1">
      <c r="A400" t="inlineStr">
        <is>
          <t>A 27063-2025</t>
        </is>
      </c>
      <c r="B400" s="1" t="n">
        <v>45811.63626157407</v>
      </c>
      <c r="C400" s="1" t="n">
        <v>45916</v>
      </c>
      <c r="D400" t="inlineStr">
        <is>
          <t>JÄMTLANDS LÄN</t>
        </is>
      </c>
      <c r="E400" t="inlineStr">
        <is>
          <t>BERG</t>
        </is>
      </c>
      <c r="F400" t="inlineStr">
        <is>
          <t>SCA</t>
        </is>
      </c>
      <c r="G400" t="n">
        <v>18.9</v>
      </c>
      <c r="H400" t="n">
        <v>0</v>
      </c>
      <c r="I400" t="n">
        <v>0</v>
      </c>
      <c r="J400" t="n">
        <v>0</v>
      </c>
      <c r="K400" t="n">
        <v>0</v>
      </c>
      <c r="L400" t="n">
        <v>0</v>
      </c>
      <c r="M400" t="n">
        <v>0</v>
      </c>
      <c r="N400" t="n">
        <v>0</v>
      </c>
      <c r="O400" t="n">
        <v>0</v>
      </c>
      <c r="P400" t="n">
        <v>0</v>
      </c>
      <c r="Q400" t="n">
        <v>0</v>
      </c>
      <c r="R400" s="2" t="inlineStr"/>
    </row>
    <row r="401" ht="15" customHeight="1">
      <c r="A401" t="inlineStr">
        <is>
          <t>A 61085-2024</t>
        </is>
      </c>
      <c r="B401" s="1" t="n">
        <v>45645.53202546296</v>
      </c>
      <c r="C401" s="1" t="n">
        <v>45916</v>
      </c>
      <c r="D401" t="inlineStr">
        <is>
          <t>JÄMTLANDS LÄN</t>
        </is>
      </c>
      <c r="E401" t="inlineStr">
        <is>
          <t>BERG</t>
        </is>
      </c>
      <c r="F401" t="inlineStr">
        <is>
          <t>SCA</t>
        </is>
      </c>
      <c r="G401" t="n">
        <v>12.2</v>
      </c>
      <c r="H401" t="n">
        <v>0</v>
      </c>
      <c r="I401" t="n">
        <v>0</v>
      </c>
      <c r="J401" t="n">
        <v>0</v>
      </c>
      <c r="K401" t="n">
        <v>0</v>
      </c>
      <c r="L401" t="n">
        <v>0</v>
      </c>
      <c r="M401" t="n">
        <v>0</v>
      </c>
      <c r="N401" t="n">
        <v>0</v>
      </c>
      <c r="O401" t="n">
        <v>0</v>
      </c>
      <c r="P401" t="n">
        <v>0</v>
      </c>
      <c r="Q401" t="n">
        <v>0</v>
      </c>
      <c r="R401" s="2" t="inlineStr"/>
    </row>
    <row r="402" ht="15" customHeight="1">
      <c r="A402" t="inlineStr">
        <is>
          <t>A 57905-2024</t>
        </is>
      </c>
      <c r="B402" s="1" t="n">
        <v>45631.48989583334</v>
      </c>
      <c r="C402" s="1" t="n">
        <v>45916</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6982-2025</t>
        </is>
      </c>
      <c r="B403" s="1" t="n">
        <v>45701.55769675926</v>
      </c>
      <c r="C403" s="1" t="n">
        <v>45916</v>
      </c>
      <c r="D403" t="inlineStr">
        <is>
          <t>JÄMTLANDS LÄN</t>
        </is>
      </c>
      <c r="E403" t="inlineStr">
        <is>
          <t>BERG</t>
        </is>
      </c>
      <c r="G403" t="n">
        <v>6.8</v>
      </c>
      <c r="H403" t="n">
        <v>0</v>
      </c>
      <c r="I403" t="n">
        <v>0</v>
      </c>
      <c r="J403" t="n">
        <v>0</v>
      </c>
      <c r="K403" t="n">
        <v>0</v>
      </c>
      <c r="L403" t="n">
        <v>0</v>
      </c>
      <c r="M403" t="n">
        <v>0</v>
      </c>
      <c r="N403" t="n">
        <v>0</v>
      </c>
      <c r="O403" t="n">
        <v>0</v>
      </c>
      <c r="P403" t="n">
        <v>0</v>
      </c>
      <c r="Q403" t="n">
        <v>0</v>
      </c>
      <c r="R403" s="2" t="inlineStr"/>
    </row>
    <row r="404" ht="15" customHeight="1">
      <c r="A404" t="inlineStr">
        <is>
          <t>A 41927-2023</t>
        </is>
      </c>
      <c r="B404" s="1" t="n">
        <v>45176</v>
      </c>
      <c r="C404" s="1" t="n">
        <v>45916</v>
      </c>
      <c r="D404" t="inlineStr">
        <is>
          <t>JÄMTLANDS LÄN</t>
        </is>
      </c>
      <c r="E404" t="inlineStr">
        <is>
          <t>BERG</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5187-2025</t>
        </is>
      </c>
      <c r="B405" s="1" t="n">
        <v>45691.64266203704</v>
      </c>
      <c r="C405" s="1" t="n">
        <v>45916</v>
      </c>
      <c r="D405" t="inlineStr">
        <is>
          <t>JÄMTLANDS LÄN</t>
        </is>
      </c>
      <c r="E405" t="inlineStr">
        <is>
          <t>BERG</t>
        </is>
      </c>
      <c r="G405" t="n">
        <v>2.5</v>
      </c>
      <c r="H405" t="n">
        <v>0</v>
      </c>
      <c r="I405" t="n">
        <v>0</v>
      </c>
      <c r="J405" t="n">
        <v>0</v>
      </c>
      <c r="K405" t="n">
        <v>0</v>
      </c>
      <c r="L405" t="n">
        <v>0</v>
      </c>
      <c r="M405" t="n">
        <v>0</v>
      </c>
      <c r="N405" t="n">
        <v>0</v>
      </c>
      <c r="O405" t="n">
        <v>0</v>
      </c>
      <c r="P405" t="n">
        <v>0</v>
      </c>
      <c r="Q405" t="n">
        <v>0</v>
      </c>
      <c r="R405" s="2" t="inlineStr"/>
    </row>
    <row r="406" ht="15" customHeight="1">
      <c r="A406" t="inlineStr">
        <is>
          <t>A 53950-2020</t>
        </is>
      </c>
      <c r="B406" s="1" t="n">
        <v>44123</v>
      </c>
      <c r="C406" s="1" t="n">
        <v>45916</v>
      </c>
      <c r="D406" t="inlineStr">
        <is>
          <t>JÄMTLANDS LÄN</t>
        </is>
      </c>
      <c r="E406" t="inlineStr">
        <is>
          <t>BERG</t>
        </is>
      </c>
      <c r="G406" t="n">
        <v>11.8</v>
      </c>
      <c r="H406" t="n">
        <v>0</v>
      </c>
      <c r="I406" t="n">
        <v>0</v>
      </c>
      <c r="J406" t="n">
        <v>0</v>
      </c>
      <c r="K406" t="n">
        <v>0</v>
      </c>
      <c r="L406" t="n">
        <v>0</v>
      </c>
      <c r="M406" t="n">
        <v>0</v>
      </c>
      <c r="N406" t="n">
        <v>0</v>
      </c>
      <c r="O406" t="n">
        <v>0</v>
      </c>
      <c r="P406" t="n">
        <v>0</v>
      </c>
      <c r="Q406" t="n">
        <v>0</v>
      </c>
      <c r="R406" s="2" t="inlineStr"/>
    </row>
    <row r="407" ht="15" customHeight="1">
      <c r="A407" t="inlineStr">
        <is>
          <t>A 18007-2024</t>
        </is>
      </c>
      <c r="B407" s="1" t="n">
        <v>45419.94912037037</v>
      </c>
      <c r="C407" s="1" t="n">
        <v>45916</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32064-2023</t>
        </is>
      </c>
      <c r="B408" s="1" t="n">
        <v>45119.57108796296</v>
      </c>
      <c r="C408" s="1" t="n">
        <v>45916</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27317-2025</t>
        </is>
      </c>
      <c r="B409" s="1" t="n">
        <v>45812.59011574074</v>
      </c>
      <c r="C409" s="1" t="n">
        <v>45916</v>
      </c>
      <c r="D409" t="inlineStr">
        <is>
          <t>JÄMTLANDS LÄN</t>
        </is>
      </c>
      <c r="E409" t="inlineStr">
        <is>
          <t>BERG</t>
        </is>
      </c>
      <c r="G409" t="n">
        <v>6.2</v>
      </c>
      <c r="H409" t="n">
        <v>0</v>
      </c>
      <c r="I409" t="n">
        <v>0</v>
      </c>
      <c r="J409" t="n">
        <v>0</v>
      </c>
      <c r="K409" t="n">
        <v>0</v>
      </c>
      <c r="L409" t="n">
        <v>0</v>
      </c>
      <c r="M409" t="n">
        <v>0</v>
      </c>
      <c r="N409" t="n">
        <v>0</v>
      </c>
      <c r="O409" t="n">
        <v>0</v>
      </c>
      <c r="P409" t="n">
        <v>0</v>
      </c>
      <c r="Q409" t="n">
        <v>0</v>
      </c>
      <c r="R409" s="2" t="inlineStr"/>
    </row>
    <row r="410" ht="15" customHeight="1">
      <c r="A410" t="inlineStr">
        <is>
          <t>A 27459-2025</t>
        </is>
      </c>
      <c r="B410" s="1" t="n">
        <v>45813.34561342592</v>
      </c>
      <c r="C410" s="1" t="n">
        <v>45916</v>
      </c>
      <c r="D410" t="inlineStr">
        <is>
          <t>JÄMTLANDS LÄN</t>
        </is>
      </c>
      <c r="E410" t="inlineStr">
        <is>
          <t>BERG</t>
        </is>
      </c>
      <c r="F410" t="inlineStr">
        <is>
          <t>SCA</t>
        </is>
      </c>
      <c r="G410" t="n">
        <v>19.2</v>
      </c>
      <c r="H410" t="n">
        <v>0</v>
      </c>
      <c r="I410" t="n">
        <v>0</v>
      </c>
      <c r="J410" t="n">
        <v>0</v>
      </c>
      <c r="K410" t="n">
        <v>0</v>
      </c>
      <c r="L410" t="n">
        <v>0</v>
      </c>
      <c r="M410" t="n">
        <v>0</v>
      </c>
      <c r="N410" t="n">
        <v>0</v>
      </c>
      <c r="O410" t="n">
        <v>0</v>
      </c>
      <c r="P410" t="n">
        <v>0</v>
      </c>
      <c r="Q410" t="n">
        <v>0</v>
      </c>
      <c r="R410" s="2" t="inlineStr"/>
    </row>
    <row r="411" ht="15" customHeight="1">
      <c r="A411" t="inlineStr">
        <is>
          <t>A 27575-2025</t>
        </is>
      </c>
      <c r="B411" s="1" t="n">
        <v>45813.49083333334</v>
      </c>
      <c r="C411" s="1" t="n">
        <v>45916</v>
      </c>
      <c r="D411" t="inlineStr">
        <is>
          <t>JÄMTLANDS LÄN</t>
        </is>
      </c>
      <c r="E411" t="inlineStr">
        <is>
          <t>BERG</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27603-2025</t>
        </is>
      </c>
      <c r="B412" s="1" t="n">
        <v>45813.53174768519</v>
      </c>
      <c r="C412" s="1" t="n">
        <v>45916</v>
      </c>
      <c r="D412" t="inlineStr">
        <is>
          <t>JÄMTLANDS LÄN</t>
        </is>
      </c>
      <c r="E412" t="inlineStr">
        <is>
          <t>BERG</t>
        </is>
      </c>
      <c r="F412" t="inlineStr">
        <is>
          <t>SCA</t>
        </is>
      </c>
      <c r="G412" t="n">
        <v>11.3</v>
      </c>
      <c r="H412" t="n">
        <v>0</v>
      </c>
      <c r="I412" t="n">
        <v>0</v>
      </c>
      <c r="J412" t="n">
        <v>0</v>
      </c>
      <c r="K412" t="n">
        <v>0</v>
      </c>
      <c r="L412" t="n">
        <v>0</v>
      </c>
      <c r="M412" t="n">
        <v>0</v>
      </c>
      <c r="N412" t="n">
        <v>0</v>
      </c>
      <c r="O412" t="n">
        <v>0</v>
      </c>
      <c r="P412" t="n">
        <v>0</v>
      </c>
      <c r="Q412" t="n">
        <v>0</v>
      </c>
      <c r="R412" s="2" t="inlineStr"/>
    </row>
    <row r="413" ht="15" customHeight="1">
      <c r="A413" t="inlineStr">
        <is>
          <t>A 27569-2025</t>
        </is>
      </c>
      <c r="B413" s="1" t="n">
        <v>45813.49018518518</v>
      </c>
      <c r="C413" s="1" t="n">
        <v>45916</v>
      </c>
      <c r="D413" t="inlineStr">
        <is>
          <t>JÄMTLANDS LÄN</t>
        </is>
      </c>
      <c r="E413" t="inlineStr">
        <is>
          <t>BERG</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27312-2025</t>
        </is>
      </c>
      <c r="B414" s="1" t="n">
        <v>45812.58002314815</v>
      </c>
      <c r="C414" s="1" t="n">
        <v>45916</v>
      </c>
      <c r="D414" t="inlineStr">
        <is>
          <t>JÄMTLANDS LÄN</t>
        </is>
      </c>
      <c r="E414" t="inlineStr">
        <is>
          <t>BERG</t>
        </is>
      </c>
      <c r="G414" t="n">
        <v>6</v>
      </c>
      <c r="H414" t="n">
        <v>0</v>
      </c>
      <c r="I414" t="n">
        <v>0</v>
      </c>
      <c r="J414" t="n">
        <v>0</v>
      </c>
      <c r="K414" t="n">
        <v>0</v>
      </c>
      <c r="L414" t="n">
        <v>0</v>
      </c>
      <c r="M414" t="n">
        <v>0</v>
      </c>
      <c r="N414" t="n">
        <v>0</v>
      </c>
      <c r="O414" t="n">
        <v>0</v>
      </c>
      <c r="P414" t="n">
        <v>0</v>
      </c>
      <c r="Q414" t="n">
        <v>0</v>
      </c>
      <c r="R414" s="2" t="inlineStr"/>
    </row>
    <row r="415" ht="15" customHeight="1">
      <c r="A415" t="inlineStr">
        <is>
          <t>A 3842-2023</t>
        </is>
      </c>
      <c r="B415" s="1" t="n">
        <v>44951</v>
      </c>
      <c r="C415" s="1" t="n">
        <v>45916</v>
      </c>
      <c r="D415" t="inlineStr">
        <is>
          <t>JÄMTLANDS LÄN</t>
        </is>
      </c>
      <c r="E415" t="inlineStr">
        <is>
          <t>BERG</t>
        </is>
      </c>
      <c r="G415" t="n">
        <v>0.3</v>
      </c>
      <c r="H415" t="n">
        <v>0</v>
      </c>
      <c r="I415" t="n">
        <v>0</v>
      </c>
      <c r="J415" t="n">
        <v>0</v>
      </c>
      <c r="K415" t="n">
        <v>0</v>
      </c>
      <c r="L415" t="n">
        <v>0</v>
      </c>
      <c r="M415" t="n">
        <v>0</v>
      </c>
      <c r="N415" t="n">
        <v>0</v>
      </c>
      <c r="O415" t="n">
        <v>0</v>
      </c>
      <c r="P415" t="n">
        <v>0</v>
      </c>
      <c r="Q415" t="n">
        <v>0</v>
      </c>
      <c r="R415" s="2" t="inlineStr"/>
    </row>
    <row r="416" ht="15" customHeight="1">
      <c r="A416" t="inlineStr">
        <is>
          <t>A 34819-2023</t>
        </is>
      </c>
      <c r="B416" s="1" t="n">
        <v>45140</v>
      </c>
      <c r="C416" s="1" t="n">
        <v>45916</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41782-2024</t>
        </is>
      </c>
      <c r="B417" s="1" t="n">
        <v>45561</v>
      </c>
      <c r="C417" s="1" t="n">
        <v>45916</v>
      </c>
      <c r="D417" t="inlineStr">
        <is>
          <t>JÄMTLANDS LÄN</t>
        </is>
      </c>
      <c r="E417" t="inlineStr">
        <is>
          <t>BERG</t>
        </is>
      </c>
      <c r="F417" t="inlineStr">
        <is>
          <t>SCA</t>
        </is>
      </c>
      <c r="G417" t="n">
        <v>0.1</v>
      </c>
      <c r="H417" t="n">
        <v>0</v>
      </c>
      <c r="I417" t="n">
        <v>0</v>
      </c>
      <c r="J417" t="n">
        <v>0</v>
      </c>
      <c r="K417" t="n">
        <v>0</v>
      </c>
      <c r="L417" t="n">
        <v>0</v>
      </c>
      <c r="M417" t="n">
        <v>0</v>
      </c>
      <c r="N417" t="n">
        <v>0</v>
      </c>
      <c r="O417" t="n">
        <v>0</v>
      </c>
      <c r="P417" t="n">
        <v>0</v>
      </c>
      <c r="Q417" t="n">
        <v>0</v>
      </c>
      <c r="R417" s="2" t="inlineStr"/>
    </row>
    <row r="418" ht="15" customHeight="1">
      <c r="A418" t="inlineStr">
        <is>
          <t>A 27737-2025</t>
        </is>
      </c>
      <c r="B418" s="1" t="n">
        <v>45815.34414351852</v>
      </c>
      <c r="C418" s="1" t="n">
        <v>45916</v>
      </c>
      <c r="D418" t="inlineStr">
        <is>
          <t>JÄMTLANDS LÄN</t>
        </is>
      </c>
      <c r="E418" t="inlineStr">
        <is>
          <t>BERG</t>
        </is>
      </c>
      <c r="F418" t="inlineStr">
        <is>
          <t>SCA</t>
        </is>
      </c>
      <c r="G418" t="n">
        <v>10.9</v>
      </c>
      <c r="H418" t="n">
        <v>0</v>
      </c>
      <c r="I418" t="n">
        <v>0</v>
      </c>
      <c r="J418" t="n">
        <v>0</v>
      </c>
      <c r="K418" t="n">
        <v>0</v>
      </c>
      <c r="L418" t="n">
        <v>0</v>
      </c>
      <c r="M418" t="n">
        <v>0</v>
      </c>
      <c r="N418" t="n">
        <v>0</v>
      </c>
      <c r="O418" t="n">
        <v>0</v>
      </c>
      <c r="P418" t="n">
        <v>0</v>
      </c>
      <c r="Q418" t="n">
        <v>0</v>
      </c>
      <c r="R418" s="2" t="inlineStr"/>
    </row>
    <row r="419" ht="15" customHeight="1">
      <c r="A419" t="inlineStr">
        <is>
          <t>A 28079-2025</t>
        </is>
      </c>
      <c r="B419" s="1" t="n">
        <v>45817.69681712963</v>
      </c>
      <c r="C419" s="1" t="n">
        <v>45916</v>
      </c>
      <c r="D419" t="inlineStr">
        <is>
          <t>JÄMTLANDS LÄN</t>
        </is>
      </c>
      <c r="E419" t="inlineStr">
        <is>
          <t>BERG</t>
        </is>
      </c>
      <c r="G419" t="n">
        <v>3.7</v>
      </c>
      <c r="H419" t="n">
        <v>0</v>
      </c>
      <c r="I419" t="n">
        <v>0</v>
      </c>
      <c r="J419" t="n">
        <v>0</v>
      </c>
      <c r="K419" t="n">
        <v>0</v>
      </c>
      <c r="L419" t="n">
        <v>0</v>
      </c>
      <c r="M419" t="n">
        <v>0</v>
      </c>
      <c r="N419" t="n">
        <v>0</v>
      </c>
      <c r="O419" t="n">
        <v>0</v>
      </c>
      <c r="P419" t="n">
        <v>0</v>
      </c>
      <c r="Q419" t="n">
        <v>0</v>
      </c>
      <c r="R419" s="2" t="inlineStr"/>
    </row>
    <row r="420" ht="15" customHeight="1">
      <c r="A420" t="inlineStr">
        <is>
          <t>A 28077-2025</t>
        </is>
      </c>
      <c r="B420" s="1" t="n">
        <v>45817.68596064814</v>
      </c>
      <c r="C420" s="1" t="n">
        <v>45916</v>
      </c>
      <c r="D420" t="inlineStr">
        <is>
          <t>JÄMTLANDS LÄN</t>
        </is>
      </c>
      <c r="E420" t="inlineStr">
        <is>
          <t>BERG</t>
        </is>
      </c>
      <c r="G420" t="n">
        <v>6</v>
      </c>
      <c r="H420" t="n">
        <v>0</v>
      </c>
      <c r="I420" t="n">
        <v>0</v>
      </c>
      <c r="J420" t="n">
        <v>0</v>
      </c>
      <c r="K420" t="n">
        <v>0</v>
      </c>
      <c r="L420" t="n">
        <v>0</v>
      </c>
      <c r="M420" t="n">
        <v>0</v>
      </c>
      <c r="N420" t="n">
        <v>0</v>
      </c>
      <c r="O420" t="n">
        <v>0</v>
      </c>
      <c r="P420" t="n">
        <v>0</v>
      </c>
      <c r="Q420" t="n">
        <v>0</v>
      </c>
      <c r="R420" s="2" t="inlineStr"/>
    </row>
    <row r="421" ht="15" customHeight="1">
      <c r="A421" t="inlineStr">
        <is>
          <t>A 27716-2025</t>
        </is>
      </c>
      <c r="B421" s="1" t="n">
        <v>45813.961875</v>
      </c>
      <c r="C421" s="1" t="n">
        <v>45916</v>
      </c>
      <c r="D421" t="inlineStr">
        <is>
          <t>JÄMTLANDS LÄN</t>
        </is>
      </c>
      <c r="E421" t="inlineStr">
        <is>
          <t>BERG</t>
        </is>
      </c>
      <c r="G421" t="n">
        <v>6.7</v>
      </c>
      <c r="H421" t="n">
        <v>0</v>
      </c>
      <c r="I421" t="n">
        <v>0</v>
      </c>
      <c r="J421" t="n">
        <v>0</v>
      </c>
      <c r="K421" t="n">
        <v>0</v>
      </c>
      <c r="L421" t="n">
        <v>0</v>
      </c>
      <c r="M421" t="n">
        <v>0</v>
      </c>
      <c r="N421" t="n">
        <v>0</v>
      </c>
      <c r="O421" t="n">
        <v>0</v>
      </c>
      <c r="P421" t="n">
        <v>0</v>
      </c>
      <c r="Q421" t="n">
        <v>0</v>
      </c>
      <c r="R421" s="2" t="inlineStr"/>
    </row>
    <row r="422" ht="15" customHeight="1">
      <c r="A422" t="inlineStr">
        <is>
          <t>A 27750-2025</t>
        </is>
      </c>
      <c r="B422" s="1" t="n">
        <v>45815.68543981481</v>
      </c>
      <c r="C422" s="1" t="n">
        <v>45916</v>
      </c>
      <c r="D422" t="inlineStr">
        <is>
          <t>JÄMTLANDS LÄN</t>
        </is>
      </c>
      <c r="E422" t="inlineStr">
        <is>
          <t>BERG</t>
        </is>
      </c>
      <c r="G422" t="n">
        <v>2.4</v>
      </c>
      <c r="H422" t="n">
        <v>0</v>
      </c>
      <c r="I422" t="n">
        <v>0</v>
      </c>
      <c r="J422" t="n">
        <v>0</v>
      </c>
      <c r="K422" t="n">
        <v>0</v>
      </c>
      <c r="L422" t="n">
        <v>0</v>
      </c>
      <c r="M422" t="n">
        <v>0</v>
      </c>
      <c r="N422" t="n">
        <v>0</v>
      </c>
      <c r="O422" t="n">
        <v>0</v>
      </c>
      <c r="P422" t="n">
        <v>0</v>
      </c>
      <c r="Q422" t="n">
        <v>0</v>
      </c>
      <c r="R422" s="2" t="inlineStr"/>
    </row>
    <row r="423" ht="15" customHeight="1">
      <c r="A423" t="inlineStr">
        <is>
          <t>A 50780-2021</t>
        </is>
      </c>
      <c r="B423" s="1" t="n">
        <v>44459</v>
      </c>
      <c r="C423" s="1" t="n">
        <v>45916</v>
      </c>
      <c r="D423" t="inlineStr">
        <is>
          <t>JÄMTLANDS LÄN</t>
        </is>
      </c>
      <c r="E423" t="inlineStr">
        <is>
          <t>BERG</t>
        </is>
      </c>
      <c r="G423" t="n">
        <v>3.5</v>
      </c>
      <c r="H423" t="n">
        <v>0</v>
      </c>
      <c r="I423" t="n">
        <v>0</v>
      </c>
      <c r="J423" t="n">
        <v>0</v>
      </c>
      <c r="K423" t="n">
        <v>0</v>
      </c>
      <c r="L423" t="n">
        <v>0</v>
      </c>
      <c r="M423" t="n">
        <v>0</v>
      </c>
      <c r="N423" t="n">
        <v>0</v>
      </c>
      <c r="O423" t="n">
        <v>0</v>
      </c>
      <c r="P423" t="n">
        <v>0</v>
      </c>
      <c r="Q423" t="n">
        <v>0</v>
      </c>
      <c r="R423" s="2" t="inlineStr"/>
    </row>
    <row r="424" ht="15" customHeight="1">
      <c r="A424" t="inlineStr">
        <is>
          <t>A 28232-2025</t>
        </is>
      </c>
      <c r="B424" s="1" t="n">
        <v>45818.48989583334</v>
      </c>
      <c r="C424" s="1" t="n">
        <v>45916</v>
      </c>
      <c r="D424" t="inlineStr">
        <is>
          <t>JÄMTLANDS LÄN</t>
        </is>
      </c>
      <c r="E424" t="inlineStr">
        <is>
          <t>BERG</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28257-2025</t>
        </is>
      </c>
      <c r="B425" s="1" t="n">
        <v>45818.55263888889</v>
      </c>
      <c r="C425" s="1" t="n">
        <v>45916</v>
      </c>
      <c r="D425" t="inlineStr">
        <is>
          <t>JÄMTLANDS LÄN</t>
        </is>
      </c>
      <c r="E425" t="inlineStr">
        <is>
          <t>BERG</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28657-2025</t>
        </is>
      </c>
      <c r="B426" s="1" t="n">
        <v>45819.65709490741</v>
      </c>
      <c r="C426" s="1" t="n">
        <v>45916</v>
      </c>
      <c r="D426" t="inlineStr">
        <is>
          <t>JÄMTLANDS LÄN</t>
        </is>
      </c>
      <c r="E426" t="inlineStr">
        <is>
          <t>BERG</t>
        </is>
      </c>
      <c r="G426" t="n">
        <v>2.4</v>
      </c>
      <c r="H426" t="n">
        <v>0</v>
      </c>
      <c r="I426" t="n">
        <v>0</v>
      </c>
      <c r="J426" t="n">
        <v>0</v>
      </c>
      <c r="K426" t="n">
        <v>0</v>
      </c>
      <c r="L426" t="n">
        <v>0</v>
      </c>
      <c r="M426" t="n">
        <v>0</v>
      </c>
      <c r="N426" t="n">
        <v>0</v>
      </c>
      <c r="O426" t="n">
        <v>0</v>
      </c>
      <c r="P426" t="n">
        <v>0</v>
      </c>
      <c r="Q426" t="n">
        <v>0</v>
      </c>
      <c r="R426" s="2" t="inlineStr"/>
    </row>
    <row r="427" ht="15" customHeight="1">
      <c r="A427" t="inlineStr">
        <is>
          <t>A 28196-2025</t>
        </is>
      </c>
      <c r="B427" s="1" t="n">
        <v>45818.42753472222</v>
      </c>
      <c r="C427" s="1" t="n">
        <v>45916</v>
      </c>
      <c r="D427" t="inlineStr">
        <is>
          <t>JÄMTLANDS LÄN</t>
        </is>
      </c>
      <c r="E427" t="inlineStr">
        <is>
          <t>BERG</t>
        </is>
      </c>
      <c r="F427" t="inlineStr">
        <is>
          <t>SCA</t>
        </is>
      </c>
      <c r="G427" t="n">
        <v>6.6</v>
      </c>
      <c r="H427" t="n">
        <v>0</v>
      </c>
      <c r="I427" t="n">
        <v>0</v>
      </c>
      <c r="J427" t="n">
        <v>0</v>
      </c>
      <c r="K427" t="n">
        <v>0</v>
      </c>
      <c r="L427" t="n">
        <v>0</v>
      </c>
      <c r="M427" t="n">
        <v>0</v>
      </c>
      <c r="N427" t="n">
        <v>0</v>
      </c>
      <c r="O427" t="n">
        <v>0</v>
      </c>
      <c r="P427" t="n">
        <v>0</v>
      </c>
      <c r="Q427" t="n">
        <v>0</v>
      </c>
      <c r="R427" s="2" t="inlineStr"/>
    </row>
    <row r="428" ht="15" customHeight="1">
      <c r="A428" t="inlineStr">
        <is>
          <t>A 10465-2023</t>
        </is>
      </c>
      <c r="B428" s="1" t="n">
        <v>44987.60319444445</v>
      </c>
      <c r="C428" s="1" t="n">
        <v>45916</v>
      </c>
      <c r="D428" t="inlineStr">
        <is>
          <t>JÄMTLANDS LÄN</t>
        </is>
      </c>
      <c r="E428" t="inlineStr">
        <is>
          <t>BERG</t>
        </is>
      </c>
      <c r="G428" t="n">
        <v>3.4</v>
      </c>
      <c r="H428" t="n">
        <v>0</v>
      </c>
      <c r="I428" t="n">
        <v>0</v>
      </c>
      <c r="J428" t="n">
        <v>0</v>
      </c>
      <c r="K428" t="n">
        <v>0</v>
      </c>
      <c r="L428" t="n">
        <v>0</v>
      </c>
      <c r="M428" t="n">
        <v>0</v>
      </c>
      <c r="N428" t="n">
        <v>0</v>
      </c>
      <c r="O428" t="n">
        <v>0</v>
      </c>
      <c r="P428" t="n">
        <v>0</v>
      </c>
      <c r="Q428" t="n">
        <v>0</v>
      </c>
      <c r="R428" s="2" t="inlineStr"/>
    </row>
    <row r="429" ht="15" customHeight="1">
      <c r="A429" t="inlineStr">
        <is>
          <t>A 43279-2024</t>
        </is>
      </c>
      <c r="B429" s="1" t="n">
        <v>45568.3975462963</v>
      </c>
      <c r="C429" s="1" t="n">
        <v>45916</v>
      </c>
      <c r="D429" t="inlineStr">
        <is>
          <t>JÄMTLANDS LÄN</t>
        </is>
      </c>
      <c r="E429" t="inlineStr">
        <is>
          <t>BERG</t>
        </is>
      </c>
      <c r="G429" t="n">
        <v>7.6</v>
      </c>
      <c r="H429" t="n">
        <v>0</v>
      </c>
      <c r="I429" t="n">
        <v>0</v>
      </c>
      <c r="J429" t="n">
        <v>0</v>
      </c>
      <c r="K429" t="n">
        <v>0</v>
      </c>
      <c r="L429" t="n">
        <v>0</v>
      </c>
      <c r="M429" t="n">
        <v>0</v>
      </c>
      <c r="N429" t="n">
        <v>0</v>
      </c>
      <c r="O429" t="n">
        <v>0</v>
      </c>
      <c r="P429" t="n">
        <v>0</v>
      </c>
      <c r="Q429" t="n">
        <v>0</v>
      </c>
      <c r="R429" s="2" t="inlineStr"/>
    </row>
    <row r="430" ht="15" customHeight="1">
      <c r="A430" t="inlineStr">
        <is>
          <t>A 28401-2025</t>
        </is>
      </c>
      <c r="B430" s="1" t="n">
        <v>45819.34469907408</v>
      </c>
      <c r="C430" s="1" t="n">
        <v>45916</v>
      </c>
      <c r="D430" t="inlineStr">
        <is>
          <t>JÄMTLANDS LÄN</t>
        </is>
      </c>
      <c r="E430" t="inlineStr">
        <is>
          <t>BERG</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28453-2025</t>
        </is>
      </c>
      <c r="B431" s="1" t="n">
        <v>45819.40668981482</v>
      </c>
      <c r="C431" s="1" t="n">
        <v>45916</v>
      </c>
      <c r="D431" t="inlineStr">
        <is>
          <t>JÄMTLANDS LÄN</t>
        </is>
      </c>
      <c r="E431" t="inlineStr">
        <is>
          <t>BERG</t>
        </is>
      </c>
      <c r="G431" t="n">
        <v>4.1</v>
      </c>
      <c r="H431" t="n">
        <v>0</v>
      </c>
      <c r="I431" t="n">
        <v>0</v>
      </c>
      <c r="J431" t="n">
        <v>0</v>
      </c>
      <c r="K431" t="n">
        <v>0</v>
      </c>
      <c r="L431" t="n">
        <v>0</v>
      </c>
      <c r="M431" t="n">
        <v>0</v>
      </c>
      <c r="N431" t="n">
        <v>0</v>
      </c>
      <c r="O431" t="n">
        <v>0</v>
      </c>
      <c r="P431" t="n">
        <v>0</v>
      </c>
      <c r="Q431" t="n">
        <v>0</v>
      </c>
      <c r="R431" s="2" t="inlineStr"/>
    </row>
    <row r="432" ht="15" customHeight="1">
      <c r="A432" t="inlineStr">
        <is>
          <t>A 28157-2025</t>
        </is>
      </c>
      <c r="B432" s="1" t="n">
        <v>45818.36512731481</v>
      </c>
      <c r="C432" s="1" t="n">
        <v>45916</v>
      </c>
      <c r="D432" t="inlineStr">
        <is>
          <t>JÄMTLANDS LÄN</t>
        </is>
      </c>
      <c r="E432" t="inlineStr">
        <is>
          <t>BERG</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28538-2025</t>
        </is>
      </c>
      <c r="B433" s="1" t="n">
        <v>45819.51086805556</v>
      </c>
      <c r="C433" s="1" t="n">
        <v>45916</v>
      </c>
      <c r="D433" t="inlineStr">
        <is>
          <t>JÄMTLANDS LÄN</t>
        </is>
      </c>
      <c r="E433" t="inlineStr">
        <is>
          <t>BERG</t>
        </is>
      </c>
      <c r="G433" t="n">
        <v>4.9</v>
      </c>
      <c r="H433" t="n">
        <v>0</v>
      </c>
      <c r="I433" t="n">
        <v>0</v>
      </c>
      <c r="J433" t="n">
        <v>0</v>
      </c>
      <c r="K433" t="n">
        <v>0</v>
      </c>
      <c r="L433" t="n">
        <v>0</v>
      </c>
      <c r="M433" t="n">
        <v>0</v>
      </c>
      <c r="N433" t="n">
        <v>0</v>
      </c>
      <c r="O433" t="n">
        <v>0</v>
      </c>
      <c r="P433" t="n">
        <v>0</v>
      </c>
      <c r="Q433" t="n">
        <v>0</v>
      </c>
      <c r="R433" s="2" t="inlineStr"/>
    </row>
    <row r="434" ht="15" customHeight="1">
      <c r="A434" t="inlineStr">
        <is>
          <t>A 18551-2025</t>
        </is>
      </c>
      <c r="B434" s="1" t="n">
        <v>45763.43650462963</v>
      </c>
      <c r="C434" s="1" t="n">
        <v>45916</v>
      </c>
      <c r="D434" t="inlineStr">
        <is>
          <t>JÄMTLANDS LÄN</t>
        </is>
      </c>
      <c r="E434" t="inlineStr">
        <is>
          <t>BERG</t>
        </is>
      </c>
      <c r="G434" t="n">
        <v>3.5</v>
      </c>
      <c r="H434" t="n">
        <v>0</v>
      </c>
      <c r="I434" t="n">
        <v>0</v>
      </c>
      <c r="J434" t="n">
        <v>0</v>
      </c>
      <c r="K434" t="n">
        <v>0</v>
      </c>
      <c r="L434" t="n">
        <v>0</v>
      </c>
      <c r="M434" t="n">
        <v>0</v>
      </c>
      <c r="N434" t="n">
        <v>0</v>
      </c>
      <c r="O434" t="n">
        <v>0</v>
      </c>
      <c r="P434" t="n">
        <v>0</v>
      </c>
      <c r="Q434" t="n">
        <v>0</v>
      </c>
      <c r="R434" s="2" t="inlineStr"/>
    </row>
    <row r="435" ht="15" customHeight="1">
      <c r="A435" t="inlineStr">
        <is>
          <t>A 28454-2025</t>
        </is>
      </c>
      <c r="B435" s="1" t="n">
        <v>45819.40679398148</v>
      </c>
      <c r="C435" s="1" t="n">
        <v>45916</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31131-2024</t>
        </is>
      </c>
      <c r="B436" s="1" t="n">
        <v>45502</v>
      </c>
      <c r="C436" s="1" t="n">
        <v>45916</v>
      </c>
      <c r="D436" t="inlineStr">
        <is>
          <t>JÄMTLANDS LÄN</t>
        </is>
      </c>
      <c r="E436" t="inlineStr">
        <is>
          <t>BERG</t>
        </is>
      </c>
      <c r="G436" t="n">
        <v>2.1</v>
      </c>
      <c r="H436" t="n">
        <v>0</v>
      </c>
      <c r="I436" t="n">
        <v>0</v>
      </c>
      <c r="J436" t="n">
        <v>0</v>
      </c>
      <c r="K436" t="n">
        <v>0</v>
      </c>
      <c r="L436" t="n">
        <v>0</v>
      </c>
      <c r="M436" t="n">
        <v>0</v>
      </c>
      <c r="N436" t="n">
        <v>0</v>
      </c>
      <c r="O436" t="n">
        <v>0</v>
      </c>
      <c r="P436" t="n">
        <v>0</v>
      </c>
      <c r="Q436" t="n">
        <v>0</v>
      </c>
      <c r="R436" s="2" t="inlineStr"/>
    </row>
    <row r="437" ht="15" customHeight="1">
      <c r="A437" t="inlineStr">
        <is>
          <t>A 31154-2024</t>
        </is>
      </c>
      <c r="B437" s="1" t="n">
        <v>45503.32976851852</v>
      </c>
      <c r="C437" s="1" t="n">
        <v>45916</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17929-2024</t>
        </is>
      </c>
      <c r="B438" s="1" t="n">
        <v>45419.60266203704</v>
      </c>
      <c r="C438" s="1" t="n">
        <v>45916</v>
      </c>
      <c r="D438" t="inlineStr">
        <is>
          <t>JÄMTLANDS LÄN</t>
        </is>
      </c>
      <c r="E438" t="inlineStr">
        <is>
          <t>BERG</t>
        </is>
      </c>
      <c r="F438" t="inlineStr">
        <is>
          <t>Holmen skog AB</t>
        </is>
      </c>
      <c r="G438" t="n">
        <v>3</v>
      </c>
      <c r="H438" t="n">
        <v>0</v>
      </c>
      <c r="I438" t="n">
        <v>0</v>
      </c>
      <c r="J438" t="n">
        <v>0</v>
      </c>
      <c r="K438" t="n">
        <v>0</v>
      </c>
      <c r="L438" t="n">
        <v>0</v>
      </c>
      <c r="M438" t="n">
        <v>0</v>
      </c>
      <c r="N438" t="n">
        <v>0</v>
      </c>
      <c r="O438" t="n">
        <v>0</v>
      </c>
      <c r="P438" t="n">
        <v>0</v>
      </c>
      <c r="Q438" t="n">
        <v>0</v>
      </c>
      <c r="R438" s="2" t="inlineStr"/>
    </row>
    <row r="439" ht="15" customHeight="1">
      <c r="A439" t="inlineStr">
        <is>
          <t>A 7447-2022</t>
        </is>
      </c>
      <c r="B439" s="1" t="n">
        <v>44606</v>
      </c>
      <c r="C439" s="1" t="n">
        <v>45916</v>
      </c>
      <c r="D439" t="inlineStr">
        <is>
          <t>JÄMTLANDS LÄN</t>
        </is>
      </c>
      <c r="E439" t="inlineStr">
        <is>
          <t>BERG</t>
        </is>
      </c>
      <c r="G439" t="n">
        <v>0.9</v>
      </c>
      <c r="H439" t="n">
        <v>0</v>
      </c>
      <c r="I439" t="n">
        <v>0</v>
      </c>
      <c r="J439" t="n">
        <v>0</v>
      </c>
      <c r="K439" t="n">
        <v>0</v>
      </c>
      <c r="L439" t="n">
        <v>0</v>
      </c>
      <c r="M439" t="n">
        <v>0</v>
      </c>
      <c r="N439" t="n">
        <v>0</v>
      </c>
      <c r="O439" t="n">
        <v>0</v>
      </c>
      <c r="P439" t="n">
        <v>0</v>
      </c>
      <c r="Q439" t="n">
        <v>0</v>
      </c>
      <c r="R439" s="2" t="inlineStr"/>
    </row>
    <row r="440" ht="15" customHeight="1">
      <c r="A440" t="inlineStr">
        <is>
          <t>A 29199-2025</t>
        </is>
      </c>
      <c r="B440" s="1" t="n">
        <v>45823.34459490741</v>
      </c>
      <c r="C440" s="1" t="n">
        <v>45916</v>
      </c>
      <c r="D440" t="inlineStr">
        <is>
          <t>JÄMTLANDS LÄN</t>
        </is>
      </c>
      <c r="E440" t="inlineStr">
        <is>
          <t>BERG</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29197-2025</t>
        </is>
      </c>
      <c r="B441" s="1" t="n">
        <v>45823.34438657408</v>
      </c>
      <c r="C441" s="1" t="n">
        <v>45916</v>
      </c>
      <c r="D441" t="inlineStr">
        <is>
          <t>JÄMTLANDS LÄN</t>
        </is>
      </c>
      <c r="E441" t="inlineStr">
        <is>
          <t>BERG</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41105-2023</t>
        </is>
      </c>
      <c r="B442" s="1" t="n">
        <v>45170</v>
      </c>
      <c r="C442" s="1" t="n">
        <v>45916</v>
      </c>
      <c r="D442" t="inlineStr">
        <is>
          <t>JÄMTLANDS LÄN</t>
        </is>
      </c>
      <c r="E442" t="inlineStr">
        <is>
          <t>BERG</t>
        </is>
      </c>
      <c r="G442" t="n">
        <v>0.9</v>
      </c>
      <c r="H442" t="n">
        <v>0</v>
      </c>
      <c r="I442" t="n">
        <v>0</v>
      </c>
      <c r="J442" t="n">
        <v>0</v>
      </c>
      <c r="K442" t="n">
        <v>0</v>
      </c>
      <c r="L442" t="n">
        <v>0</v>
      </c>
      <c r="M442" t="n">
        <v>0</v>
      </c>
      <c r="N442" t="n">
        <v>0</v>
      </c>
      <c r="O442" t="n">
        <v>0</v>
      </c>
      <c r="P442" t="n">
        <v>0</v>
      </c>
      <c r="Q442" t="n">
        <v>0</v>
      </c>
      <c r="R442" s="2" t="inlineStr"/>
    </row>
    <row r="443" ht="15" customHeight="1">
      <c r="A443" t="inlineStr">
        <is>
          <t>A 29310-2025</t>
        </is>
      </c>
      <c r="B443" s="1" t="n">
        <v>45824.46353009259</v>
      </c>
      <c r="C443" s="1" t="n">
        <v>45916</v>
      </c>
      <c r="D443" t="inlineStr">
        <is>
          <t>JÄMTLANDS LÄN</t>
        </is>
      </c>
      <c r="E443" t="inlineStr">
        <is>
          <t>BERG</t>
        </is>
      </c>
      <c r="G443" t="n">
        <v>5.6</v>
      </c>
      <c r="H443" t="n">
        <v>0</v>
      </c>
      <c r="I443" t="n">
        <v>0</v>
      </c>
      <c r="J443" t="n">
        <v>0</v>
      </c>
      <c r="K443" t="n">
        <v>0</v>
      </c>
      <c r="L443" t="n">
        <v>0</v>
      </c>
      <c r="M443" t="n">
        <v>0</v>
      </c>
      <c r="N443" t="n">
        <v>0</v>
      </c>
      <c r="O443" t="n">
        <v>0</v>
      </c>
      <c r="P443" t="n">
        <v>0</v>
      </c>
      <c r="Q443" t="n">
        <v>0</v>
      </c>
      <c r="R443" s="2" t="inlineStr"/>
    </row>
    <row r="444" ht="15" customHeight="1">
      <c r="A444" t="inlineStr">
        <is>
          <t>A 37093-2024</t>
        </is>
      </c>
      <c r="B444" s="1" t="n">
        <v>45539.50018518518</v>
      </c>
      <c r="C444" s="1" t="n">
        <v>45916</v>
      </c>
      <c r="D444" t="inlineStr">
        <is>
          <t>JÄMTLANDS LÄN</t>
        </is>
      </c>
      <c r="E444" t="inlineStr">
        <is>
          <t>BERG</t>
        </is>
      </c>
      <c r="F444" t="inlineStr">
        <is>
          <t>Övriga Aktiebolag</t>
        </is>
      </c>
      <c r="G444" t="n">
        <v>15.4</v>
      </c>
      <c r="H444" t="n">
        <v>0</v>
      </c>
      <c r="I444" t="n">
        <v>0</v>
      </c>
      <c r="J444" t="n">
        <v>0</v>
      </c>
      <c r="K444" t="n">
        <v>0</v>
      </c>
      <c r="L444" t="n">
        <v>0</v>
      </c>
      <c r="M444" t="n">
        <v>0</v>
      </c>
      <c r="N444" t="n">
        <v>0</v>
      </c>
      <c r="O444" t="n">
        <v>0</v>
      </c>
      <c r="P444" t="n">
        <v>0</v>
      </c>
      <c r="Q444" t="n">
        <v>0</v>
      </c>
      <c r="R444" s="2" t="inlineStr"/>
    </row>
    <row r="445" ht="15" customHeight="1">
      <c r="A445" t="inlineStr">
        <is>
          <t>A 29538-2025</t>
        </is>
      </c>
      <c r="B445" s="1" t="n">
        <v>45825.34517361111</v>
      </c>
      <c r="C445" s="1" t="n">
        <v>45916</v>
      </c>
      <c r="D445" t="inlineStr">
        <is>
          <t>JÄMTLANDS LÄN</t>
        </is>
      </c>
      <c r="E445" t="inlineStr">
        <is>
          <t>BERG</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29533-2025</t>
        </is>
      </c>
      <c r="B446" s="1" t="n">
        <v>45825.34466435185</v>
      </c>
      <c r="C446" s="1" t="n">
        <v>45916</v>
      </c>
      <c r="D446" t="inlineStr">
        <is>
          <t>JÄMTLANDS LÄN</t>
        </is>
      </c>
      <c r="E446" t="inlineStr">
        <is>
          <t>BERG</t>
        </is>
      </c>
      <c r="F446" t="inlineStr">
        <is>
          <t>SCA</t>
        </is>
      </c>
      <c r="G446" t="n">
        <v>10</v>
      </c>
      <c r="H446" t="n">
        <v>0</v>
      </c>
      <c r="I446" t="n">
        <v>0</v>
      </c>
      <c r="J446" t="n">
        <v>0</v>
      </c>
      <c r="K446" t="n">
        <v>0</v>
      </c>
      <c r="L446" t="n">
        <v>0</v>
      </c>
      <c r="M446" t="n">
        <v>0</v>
      </c>
      <c r="N446" t="n">
        <v>0</v>
      </c>
      <c r="O446" t="n">
        <v>0</v>
      </c>
      <c r="P446" t="n">
        <v>0</v>
      </c>
      <c r="Q446" t="n">
        <v>0</v>
      </c>
      <c r="R446" s="2" t="inlineStr"/>
    </row>
    <row r="447" ht="15" customHeight="1">
      <c r="A447" t="inlineStr">
        <is>
          <t>A 61980-2024</t>
        </is>
      </c>
      <c r="B447" s="1" t="n">
        <v>45653.66269675926</v>
      </c>
      <c r="C447" s="1" t="n">
        <v>45916</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29279-2025</t>
        </is>
      </c>
      <c r="B448" s="1" t="n">
        <v>45824.42381944445</v>
      </c>
      <c r="C448" s="1" t="n">
        <v>45916</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29198-2025</t>
        </is>
      </c>
      <c r="B449" s="1" t="n">
        <v>45823.34451388889</v>
      </c>
      <c r="C449" s="1" t="n">
        <v>45916</v>
      </c>
      <c r="D449" t="inlineStr">
        <is>
          <t>JÄMTLANDS LÄN</t>
        </is>
      </c>
      <c r="E449" t="inlineStr">
        <is>
          <t>BERG</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18112-2024</t>
        </is>
      </c>
      <c r="B450" s="1" t="n">
        <v>45420.49851851852</v>
      </c>
      <c r="C450" s="1" t="n">
        <v>45916</v>
      </c>
      <c r="D450" t="inlineStr">
        <is>
          <t>JÄMTLANDS LÄN</t>
        </is>
      </c>
      <c r="E450" t="inlineStr">
        <is>
          <t>BERG</t>
        </is>
      </c>
      <c r="F450" t="inlineStr">
        <is>
          <t>Holmen skog AB</t>
        </is>
      </c>
      <c r="G450" t="n">
        <v>16.6</v>
      </c>
      <c r="H450" t="n">
        <v>0</v>
      </c>
      <c r="I450" t="n">
        <v>0</v>
      </c>
      <c r="J450" t="n">
        <v>0</v>
      </c>
      <c r="K450" t="n">
        <v>0</v>
      </c>
      <c r="L450" t="n">
        <v>0</v>
      </c>
      <c r="M450" t="n">
        <v>0</v>
      </c>
      <c r="N450" t="n">
        <v>0</v>
      </c>
      <c r="O450" t="n">
        <v>0</v>
      </c>
      <c r="P450" t="n">
        <v>0</v>
      </c>
      <c r="Q450" t="n">
        <v>0</v>
      </c>
      <c r="R450" s="2" t="inlineStr"/>
    </row>
    <row r="451" ht="15" customHeight="1">
      <c r="A451" t="inlineStr">
        <is>
          <t>A 29836-2025</t>
        </is>
      </c>
      <c r="B451" s="1" t="n">
        <v>45825.9468287037</v>
      </c>
      <c r="C451" s="1" t="n">
        <v>45916</v>
      </c>
      <c r="D451" t="inlineStr">
        <is>
          <t>JÄMTLANDS LÄN</t>
        </is>
      </c>
      <c r="E451" t="inlineStr">
        <is>
          <t>BERG</t>
        </is>
      </c>
      <c r="G451" t="n">
        <v>12.7</v>
      </c>
      <c r="H451" t="n">
        <v>0</v>
      </c>
      <c r="I451" t="n">
        <v>0</v>
      </c>
      <c r="J451" t="n">
        <v>0</v>
      </c>
      <c r="K451" t="n">
        <v>0</v>
      </c>
      <c r="L451" t="n">
        <v>0</v>
      </c>
      <c r="M451" t="n">
        <v>0</v>
      </c>
      <c r="N451" t="n">
        <v>0</v>
      </c>
      <c r="O451" t="n">
        <v>0</v>
      </c>
      <c r="P451" t="n">
        <v>0</v>
      </c>
      <c r="Q451" t="n">
        <v>0</v>
      </c>
      <c r="R451" s="2" t="inlineStr"/>
    </row>
    <row r="452" ht="15" customHeight="1">
      <c r="A452" t="inlineStr">
        <is>
          <t>A 13436-2024</t>
        </is>
      </c>
      <c r="B452" s="1" t="n">
        <v>45387.4865625</v>
      </c>
      <c r="C452" s="1" t="n">
        <v>45916</v>
      </c>
      <c r="D452" t="inlineStr">
        <is>
          <t>JÄMTLANDS LÄN</t>
        </is>
      </c>
      <c r="E452" t="inlineStr">
        <is>
          <t>BERG</t>
        </is>
      </c>
      <c r="G452" t="n">
        <v>28.9</v>
      </c>
      <c r="H452" t="n">
        <v>0</v>
      </c>
      <c r="I452" t="n">
        <v>0</v>
      </c>
      <c r="J452" t="n">
        <v>0</v>
      </c>
      <c r="K452" t="n">
        <v>0</v>
      </c>
      <c r="L452" t="n">
        <v>0</v>
      </c>
      <c r="M452" t="n">
        <v>0</v>
      </c>
      <c r="N452" t="n">
        <v>0</v>
      </c>
      <c r="O452" t="n">
        <v>0</v>
      </c>
      <c r="P452" t="n">
        <v>0</v>
      </c>
      <c r="Q452" t="n">
        <v>0</v>
      </c>
      <c r="R452" s="2" t="inlineStr"/>
    </row>
    <row r="453" ht="15" customHeight="1">
      <c r="A453" t="inlineStr">
        <is>
          <t>A 30017-2025</t>
        </is>
      </c>
      <c r="B453" s="1" t="n">
        <v>45826.55306712963</v>
      </c>
      <c r="C453" s="1" t="n">
        <v>45916</v>
      </c>
      <c r="D453" t="inlineStr">
        <is>
          <t>JÄMTLANDS LÄN</t>
        </is>
      </c>
      <c r="E453" t="inlineStr">
        <is>
          <t>BERG</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10861-2024</t>
        </is>
      </c>
      <c r="B454" s="1" t="n">
        <v>45370.01967592593</v>
      </c>
      <c r="C454" s="1" t="n">
        <v>45916</v>
      </c>
      <c r="D454" t="inlineStr">
        <is>
          <t>JÄMTLANDS LÄN</t>
        </is>
      </c>
      <c r="E454" t="inlineStr">
        <is>
          <t>BERG</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30314-2025</t>
        </is>
      </c>
      <c r="B455" s="1" t="n">
        <v>45827.49047453704</v>
      </c>
      <c r="C455" s="1" t="n">
        <v>45916</v>
      </c>
      <c r="D455" t="inlineStr">
        <is>
          <t>JÄMTLANDS LÄN</t>
        </is>
      </c>
      <c r="E455" t="inlineStr">
        <is>
          <t>BERG</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29902-2025</t>
        </is>
      </c>
      <c r="B456" s="1" t="n">
        <v>45826</v>
      </c>
      <c r="C456" s="1" t="n">
        <v>45916</v>
      </c>
      <c r="D456" t="inlineStr">
        <is>
          <t>JÄMTLANDS LÄN</t>
        </is>
      </c>
      <c r="E456" t="inlineStr">
        <is>
          <t>BERG</t>
        </is>
      </c>
      <c r="G456" t="n">
        <v>9.1</v>
      </c>
      <c r="H456" t="n">
        <v>0</v>
      </c>
      <c r="I456" t="n">
        <v>0</v>
      </c>
      <c r="J456" t="n">
        <v>0</v>
      </c>
      <c r="K456" t="n">
        <v>0</v>
      </c>
      <c r="L456" t="n">
        <v>0</v>
      </c>
      <c r="M456" t="n">
        <v>0</v>
      </c>
      <c r="N456" t="n">
        <v>0</v>
      </c>
      <c r="O456" t="n">
        <v>0</v>
      </c>
      <c r="P456" t="n">
        <v>0</v>
      </c>
      <c r="Q456" t="n">
        <v>0</v>
      </c>
      <c r="R456" s="2" t="inlineStr"/>
    </row>
    <row r="457" ht="15" customHeight="1">
      <c r="A457" t="inlineStr">
        <is>
          <t>A 29908-2025</t>
        </is>
      </c>
      <c r="B457" s="1" t="n">
        <v>45826</v>
      </c>
      <c r="C457" s="1" t="n">
        <v>45916</v>
      </c>
      <c r="D457" t="inlineStr">
        <is>
          <t>JÄMTLANDS LÄN</t>
        </is>
      </c>
      <c r="E457" t="inlineStr">
        <is>
          <t>BERG</t>
        </is>
      </c>
      <c r="G457" t="n">
        <v>2.2</v>
      </c>
      <c r="H457" t="n">
        <v>0</v>
      </c>
      <c r="I457" t="n">
        <v>0</v>
      </c>
      <c r="J457" t="n">
        <v>0</v>
      </c>
      <c r="K457" t="n">
        <v>0</v>
      </c>
      <c r="L457" t="n">
        <v>0</v>
      </c>
      <c r="M457" t="n">
        <v>0</v>
      </c>
      <c r="N457" t="n">
        <v>0</v>
      </c>
      <c r="O457" t="n">
        <v>0</v>
      </c>
      <c r="P457" t="n">
        <v>0</v>
      </c>
      <c r="Q457" t="n">
        <v>0</v>
      </c>
      <c r="R457" s="2" t="inlineStr"/>
    </row>
    <row r="458" ht="15" customHeight="1">
      <c r="A458" t="inlineStr">
        <is>
          <t>A 10957-2025</t>
        </is>
      </c>
      <c r="B458" s="1" t="n">
        <v>45723.3624537037</v>
      </c>
      <c r="C458" s="1" t="n">
        <v>45916</v>
      </c>
      <c r="D458" t="inlineStr">
        <is>
          <t>JÄMTLANDS LÄN</t>
        </is>
      </c>
      <c r="E458" t="inlineStr">
        <is>
          <t>BERG</t>
        </is>
      </c>
      <c r="G458" t="n">
        <v>5.6</v>
      </c>
      <c r="H458" t="n">
        <v>0</v>
      </c>
      <c r="I458" t="n">
        <v>0</v>
      </c>
      <c r="J458" t="n">
        <v>0</v>
      </c>
      <c r="K458" t="n">
        <v>0</v>
      </c>
      <c r="L458" t="n">
        <v>0</v>
      </c>
      <c r="M458" t="n">
        <v>0</v>
      </c>
      <c r="N458" t="n">
        <v>0</v>
      </c>
      <c r="O458" t="n">
        <v>0</v>
      </c>
      <c r="P458" t="n">
        <v>0</v>
      </c>
      <c r="Q458" t="n">
        <v>0</v>
      </c>
      <c r="R458" s="2" t="inlineStr"/>
    </row>
    <row r="459" ht="15" customHeight="1">
      <c r="A459" t="inlineStr">
        <is>
          <t>A 36714-2025</t>
        </is>
      </c>
      <c r="B459" s="1" t="n">
        <v>45873.46881944445</v>
      </c>
      <c r="C459" s="1" t="n">
        <v>45916</v>
      </c>
      <c r="D459" t="inlineStr">
        <is>
          <t>JÄMTLANDS LÄN</t>
        </is>
      </c>
      <c r="E459" t="inlineStr">
        <is>
          <t>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36718-2025</t>
        </is>
      </c>
      <c r="B460" s="1" t="n">
        <v>45873.47069444445</v>
      </c>
      <c r="C460" s="1" t="n">
        <v>45916</v>
      </c>
      <c r="D460" t="inlineStr">
        <is>
          <t>JÄMTLANDS LÄN</t>
        </is>
      </c>
      <c r="E460" t="inlineStr">
        <is>
          <t>BERG</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21679-2023</t>
        </is>
      </c>
      <c r="B461" s="1" t="n">
        <v>45063.94199074074</v>
      </c>
      <c r="C461" s="1" t="n">
        <v>45916</v>
      </c>
      <c r="D461" t="inlineStr">
        <is>
          <t>JÄMTLANDS LÄN</t>
        </is>
      </c>
      <c r="E461" t="inlineStr">
        <is>
          <t>BERG</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31015-2025</t>
        </is>
      </c>
      <c r="B462" s="1" t="n">
        <v>45832.51086805556</v>
      </c>
      <c r="C462" s="1" t="n">
        <v>45916</v>
      </c>
      <c r="D462" t="inlineStr">
        <is>
          <t>JÄMTLANDS LÄN</t>
        </is>
      </c>
      <c r="E462" t="inlineStr">
        <is>
          <t>BERG</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31017-2025</t>
        </is>
      </c>
      <c r="B463" s="1" t="n">
        <v>45832.51111111111</v>
      </c>
      <c r="C463" s="1" t="n">
        <v>45916</v>
      </c>
      <c r="D463" t="inlineStr">
        <is>
          <t>JÄMTLANDS LÄN</t>
        </is>
      </c>
      <c r="E463" t="inlineStr">
        <is>
          <t>BERG</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37201-2025</t>
        </is>
      </c>
      <c r="B464" s="1" t="n">
        <v>45875.67797453704</v>
      </c>
      <c r="C464" s="1" t="n">
        <v>45916</v>
      </c>
      <c r="D464" t="inlineStr">
        <is>
          <t>JÄMTLANDS LÄN</t>
        </is>
      </c>
      <c r="E464" t="inlineStr">
        <is>
          <t>BERG</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18153-2024</t>
        </is>
      </c>
      <c r="B465" s="1" t="n">
        <v>45420</v>
      </c>
      <c r="C465" s="1" t="n">
        <v>45916</v>
      </c>
      <c r="D465" t="inlineStr">
        <is>
          <t>JÄMTLANDS LÄN</t>
        </is>
      </c>
      <c r="E465" t="inlineStr">
        <is>
          <t>BERG</t>
        </is>
      </c>
      <c r="F465" t="inlineStr">
        <is>
          <t>Holmen skog AB</t>
        </is>
      </c>
      <c r="G465" t="n">
        <v>2.8</v>
      </c>
      <c r="H465" t="n">
        <v>0</v>
      </c>
      <c r="I465" t="n">
        <v>0</v>
      </c>
      <c r="J465" t="n">
        <v>0</v>
      </c>
      <c r="K465" t="n">
        <v>0</v>
      </c>
      <c r="L465" t="n">
        <v>0</v>
      </c>
      <c r="M465" t="n">
        <v>0</v>
      </c>
      <c r="N465" t="n">
        <v>0</v>
      </c>
      <c r="O465" t="n">
        <v>0</v>
      </c>
      <c r="P465" t="n">
        <v>0</v>
      </c>
      <c r="Q465" t="n">
        <v>0</v>
      </c>
      <c r="R465" s="2" t="inlineStr"/>
    </row>
    <row r="466" ht="15" customHeight="1">
      <c r="A466" t="inlineStr">
        <is>
          <t>A 31070-2025</t>
        </is>
      </c>
      <c r="B466" s="1" t="n">
        <v>45832.57887731482</v>
      </c>
      <c r="C466" s="1" t="n">
        <v>45916</v>
      </c>
      <c r="D466" t="inlineStr">
        <is>
          <t>JÄMTLANDS LÄN</t>
        </is>
      </c>
      <c r="E466" t="inlineStr">
        <is>
          <t>BERG</t>
        </is>
      </c>
      <c r="G466" t="n">
        <v>3.7</v>
      </c>
      <c r="H466" t="n">
        <v>0</v>
      </c>
      <c r="I466" t="n">
        <v>0</v>
      </c>
      <c r="J466" t="n">
        <v>0</v>
      </c>
      <c r="K466" t="n">
        <v>0</v>
      </c>
      <c r="L466" t="n">
        <v>0</v>
      </c>
      <c r="M466" t="n">
        <v>0</v>
      </c>
      <c r="N466" t="n">
        <v>0</v>
      </c>
      <c r="O466" t="n">
        <v>0</v>
      </c>
      <c r="P466" t="n">
        <v>0</v>
      </c>
      <c r="Q466" t="n">
        <v>0</v>
      </c>
      <c r="R466" s="2" t="inlineStr"/>
    </row>
    <row r="467" ht="15" customHeight="1">
      <c r="A467" t="inlineStr">
        <is>
          <t>A 31090-2025</t>
        </is>
      </c>
      <c r="B467" s="1" t="n">
        <v>45832.59436342592</v>
      </c>
      <c r="C467" s="1" t="n">
        <v>45916</v>
      </c>
      <c r="D467" t="inlineStr">
        <is>
          <t>JÄMTLANDS LÄN</t>
        </is>
      </c>
      <c r="E467" t="inlineStr">
        <is>
          <t>BERG</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22947-2022</t>
        </is>
      </c>
      <c r="B468" s="1" t="n">
        <v>44715.92443287037</v>
      </c>
      <c r="C468" s="1" t="n">
        <v>45916</v>
      </c>
      <c r="D468" t="inlineStr">
        <is>
          <t>JÄMTLANDS LÄN</t>
        </is>
      </c>
      <c r="E468" t="inlineStr">
        <is>
          <t>BERG</t>
        </is>
      </c>
      <c r="G468" t="n">
        <v>1</v>
      </c>
      <c r="H468" t="n">
        <v>0</v>
      </c>
      <c r="I468" t="n">
        <v>0</v>
      </c>
      <c r="J468" t="n">
        <v>0</v>
      </c>
      <c r="K468" t="n">
        <v>0</v>
      </c>
      <c r="L468" t="n">
        <v>0</v>
      </c>
      <c r="M468" t="n">
        <v>0</v>
      </c>
      <c r="N468" t="n">
        <v>0</v>
      </c>
      <c r="O468" t="n">
        <v>0</v>
      </c>
      <c r="P468" t="n">
        <v>0</v>
      </c>
      <c r="Q468" t="n">
        <v>0</v>
      </c>
      <c r="R468" s="2" t="inlineStr"/>
    </row>
    <row r="469" ht="15" customHeight="1">
      <c r="A469" t="inlineStr">
        <is>
          <t>A 31024-2025</t>
        </is>
      </c>
      <c r="B469" s="1" t="n">
        <v>45832.52571759259</v>
      </c>
      <c r="C469" s="1" t="n">
        <v>45916</v>
      </c>
      <c r="D469" t="inlineStr">
        <is>
          <t>JÄMTLANDS LÄN</t>
        </is>
      </c>
      <c r="E469" t="inlineStr">
        <is>
          <t>BERG</t>
        </is>
      </c>
      <c r="G469" t="n">
        <v>3.6</v>
      </c>
      <c r="H469" t="n">
        <v>0</v>
      </c>
      <c r="I469" t="n">
        <v>0</v>
      </c>
      <c r="J469" t="n">
        <v>0</v>
      </c>
      <c r="K469" t="n">
        <v>0</v>
      </c>
      <c r="L469" t="n">
        <v>0</v>
      </c>
      <c r="M469" t="n">
        <v>0</v>
      </c>
      <c r="N469" t="n">
        <v>0</v>
      </c>
      <c r="O469" t="n">
        <v>0</v>
      </c>
      <c r="P469" t="n">
        <v>0</v>
      </c>
      <c r="Q469" t="n">
        <v>0</v>
      </c>
      <c r="R469" s="2" t="inlineStr"/>
    </row>
    <row r="470" ht="15" customHeight="1">
      <c r="A470" t="inlineStr">
        <is>
          <t>A 20268-2024</t>
        </is>
      </c>
      <c r="B470" s="1" t="n">
        <v>45434.94887731481</v>
      </c>
      <c r="C470" s="1" t="n">
        <v>45916</v>
      </c>
      <c r="D470" t="inlineStr">
        <is>
          <t>JÄMTLANDS LÄN</t>
        </is>
      </c>
      <c r="E470" t="inlineStr">
        <is>
          <t>BERG</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36341-2025</t>
        </is>
      </c>
      <c r="B471" s="1" t="n">
        <v>45868</v>
      </c>
      <c r="C471" s="1" t="n">
        <v>45916</v>
      </c>
      <c r="D471" t="inlineStr">
        <is>
          <t>JÄMTLANDS LÄN</t>
        </is>
      </c>
      <c r="E471" t="inlineStr">
        <is>
          <t>BERG</t>
        </is>
      </c>
      <c r="G471" t="n">
        <v>3.1</v>
      </c>
      <c r="H471" t="n">
        <v>0</v>
      </c>
      <c r="I471" t="n">
        <v>0</v>
      </c>
      <c r="J471" t="n">
        <v>0</v>
      </c>
      <c r="K471" t="n">
        <v>0</v>
      </c>
      <c r="L471" t="n">
        <v>0</v>
      </c>
      <c r="M471" t="n">
        <v>0</v>
      </c>
      <c r="N471" t="n">
        <v>0</v>
      </c>
      <c r="O471" t="n">
        <v>0</v>
      </c>
      <c r="P471" t="n">
        <v>0</v>
      </c>
      <c r="Q471" t="n">
        <v>0</v>
      </c>
      <c r="R471" s="2" t="inlineStr"/>
    </row>
    <row r="472" ht="15" customHeight="1">
      <c r="A472" t="inlineStr">
        <is>
          <t>A 37062-2025</t>
        </is>
      </c>
      <c r="B472" s="1" t="n">
        <v>45875.38579861111</v>
      </c>
      <c r="C472" s="1" t="n">
        <v>45916</v>
      </c>
      <c r="D472" t="inlineStr">
        <is>
          <t>JÄMTLANDS LÄN</t>
        </is>
      </c>
      <c r="E472" t="inlineStr">
        <is>
          <t>BERG</t>
        </is>
      </c>
      <c r="F472" t="inlineStr">
        <is>
          <t>SCA</t>
        </is>
      </c>
      <c r="G472" t="n">
        <v>8.5</v>
      </c>
      <c r="H472" t="n">
        <v>0</v>
      </c>
      <c r="I472" t="n">
        <v>0</v>
      </c>
      <c r="J472" t="n">
        <v>0</v>
      </c>
      <c r="K472" t="n">
        <v>0</v>
      </c>
      <c r="L472" t="n">
        <v>0</v>
      </c>
      <c r="M472" t="n">
        <v>0</v>
      </c>
      <c r="N472" t="n">
        <v>0</v>
      </c>
      <c r="O472" t="n">
        <v>0</v>
      </c>
      <c r="P472" t="n">
        <v>0</v>
      </c>
      <c r="Q472" t="n">
        <v>0</v>
      </c>
      <c r="R472" s="2" t="inlineStr"/>
    </row>
    <row r="473" ht="15" customHeight="1">
      <c r="A473" t="inlineStr">
        <is>
          <t>A 12342-2023</t>
        </is>
      </c>
      <c r="B473" s="1" t="n">
        <v>44998</v>
      </c>
      <c r="C473" s="1" t="n">
        <v>45916</v>
      </c>
      <c r="D473" t="inlineStr">
        <is>
          <t>JÄMTLANDS LÄN</t>
        </is>
      </c>
      <c r="E473" t="inlineStr">
        <is>
          <t>BERG</t>
        </is>
      </c>
      <c r="G473" t="n">
        <v>11</v>
      </c>
      <c r="H473" t="n">
        <v>0</v>
      </c>
      <c r="I473" t="n">
        <v>0</v>
      </c>
      <c r="J473" t="n">
        <v>0</v>
      </c>
      <c r="K473" t="n">
        <v>0</v>
      </c>
      <c r="L473" t="n">
        <v>0</v>
      </c>
      <c r="M473" t="n">
        <v>0</v>
      </c>
      <c r="N473" t="n">
        <v>0</v>
      </c>
      <c r="O473" t="n">
        <v>0</v>
      </c>
      <c r="P473" t="n">
        <v>0</v>
      </c>
      <c r="Q473" t="n">
        <v>0</v>
      </c>
      <c r="R473" s="2" t="inlineStr"/>
    </row>
    <row r="474" ht="15" customHeight="1">
      <c r="A474" t="inlineStr">
        <is>
          <t>A 36896-2025</t>
        </is>
      </c>
      <c r="B474" s="1" t="n">
        <v>45874.4740625</v>
      </c>
      <c r="C474" s="1" t="n">
        <v>45916</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37066-2025</t>
        </is>
      </c>
      <c r="B475" s="1" t="n">
        <v>45875.3862962963</v>
      </c>
      <c r="C475" s="1" t="n">
        <v>45916</v>
      </c>
      <c r="D475" t="inlineStr">
        <is>
          <t>JÄMTLANDS LÄN</t>
        </is>
      </c>
      <c r="E475" t="inlineStr">
        <is>
          <t>BERG</t>
        </is>
      </c>
      <c r="F475" t="inlineStr">
        <is>
          <t>SCA</t>
        </is>
      </c>
      <c r="G475" t="n">
        <v>9.6</v>
      </c>
      <c r="H475" t="n">
        <v>0</v>
      </c>
      <c r="I475" t="n">
        <v>0</v>
      </c>
      <c r="J475" t="n">
        <v>0</v>
      </c>
      <c r="K475" t="n">
        <v>0</v>
      </c>
      <c r="L475" t="n">
        <v>0</v>
      </c>
      <c r="M475" t="n">
        <v>0</v>
      </c>
      <c r="N475" t="n">
        <v>0</v>
      </c>
      <c r="O475" t="n">
        <v>0</v>
      </c>
      <c r="P475" t="n">
        <v>0</v>
      </c>
      <c r="Q475" t="n">
        <v>0</v>
      </c>
      <c r="R475" s="2" t="inlineStr"/>
    </row>
    <row r="476" ht="15" customHeight="1">
      <c r="A476" t="inlineStr">
        <is>
          <t>A 31136-2025</t>
        </is>
      </c>
      <c r="B476" s="1" t="n">
        <v>45832.63599537037</v>
      </c>
      <c r="C476" s="1" t="n">
        <v>45916</v>
      </c>
      <c r="D476" t="inlineStr">
        <is>
          <t>JÄMTLANDS LÄN</t>
        </is>
      </c>
      <c r="E476" t="inlineStr">
        <is>
          <t>BERG</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37431-2025</t>
        </is>
      </c>
      <c r="B477" s="1" t="n">
        <v>45877.51092592593</v>
      </c>
      <c r="C477" s="1" t="n">
        <v>45916</v>
      </c>
      <c r="D477" t="inlineStr">
        <is>
          <t>JÄMTLANDS LÄN</t>
        </is>
      </c>
      <c r="E477" t="inlineStr">
        <is>
          <t>BERG</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31155-2024</t>
        </is>
      </c>
      <c r="B478" s="1" t="n">
        <v>45503</v>
      </c>
      <c r="C478" s="1" t="n">
        <v>45916</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37455-2025</t>
        </is>
      </c>
      <c r="B479" s="1" t="n">
        <v>45877.56710648148</v>
      </c>
      <c r="C479" s="1" t="n">
        <v>45916</v>
      </c>
      <c r="D479" t="inlineStr">
        <is>
          <t>JÄMTLANDS LÄN</t>
        </is>
      </c>
      <c r="E479" t="inlineStr">
        <is>
          <t>BERG</t>
        </is>
      </c>
      <c r="G479" t="n">
        <v>5.6</v>
      </c>
      <c r="H479" t="n">
        <v>0</v>
      </c>
      <c r="I479" t="n">
        <v>0</v>
      </c>
      <c r="J479" t="n">
        <v>0</v>
      </c>
      <c r="K479" t="n">
        <v>0</v>
      </c>
      <c r="L479" t="n">
        <v>0</v>
      </c>
      <c r="M479" t="n">
        <v>0</v>
      </c>
      <c r="N479" t="n">
        <v>0</v>
      </c>
      <c r="O479" t="n">
        <v>0</v>
      </c>
      <c r="P479" t="n">
        <v>0</v>
      </c>
      <c r="Q479" t="n">
        <v>0</v>
      </c>
      <c r="R479" s="2" t="inlineStr"/>
    </row>
    <row r="480" ht="15" customHeight="1">
      <c r="A480" t="inlineStr">
        <is>
          <t>A 51172-2024</t>
        </is>
      </c>
      <c r="B480" s="1" t="n">
        <v>45603.59056712963</v>
      </c>
      <c r="C480" s="1" t="n">
        <v>45916</v>
      </c>
      <c r="D480" t="inlineStr">
        <is>
          <t>JÄMTLANDS LÄN</t>
        </is>
      </c>
      <c r="E480" t="inlineStr">
        <is>
          <t>BERG</t>
        </is>
      </c>
      <c r="G480" t="n">
        <v>12.2</v>
      </c>
      <c r="H480" t="n">
        <v>0</v>
      </c>
      <c r="I480" t="n">
        <v>0</v>
      </c>
      <c r="J480" t="n">
        <v>0</v>
      </c>
      <c r="K480" t="n">
        <v>0</v>
      </c>
      <c r="L480" t="n">
        <v>0</v>
      </c>
      <c r="M480" t="n">
        <v>0</v>
      </c>
      <c r="N480" t="n">
        <v>0</v>
      </c>
      <c r="O480" t="n">
        <v>0</v>
      </c>
      <c r="P480" t="n">
        <v>0</v>
      </c>
      <c r="Q480" t="n">
        <v>0</v>
      </c>
      <c r="R480" s="2" t="inlineStr"/>
    </row>
    <row r="481" ht="15" customHeight="1">
      <c r="A481" t="inlineStr">
        <is>
          <t>A 32160-2025</t>
        </is>
      </c>
      <c r="B481" s="1" t="n">
        <v>45835.54142361111</v>
      </c>
      <c r="C481" s="1" t="n">
        <v>45916</v>
      </c>
      <c r="D481" t="inlineStr">
        <is>
          <t>JÄMTLANDS LÄN</t>
        </is>
      </c>
      <c r="E481" t="inlineStr">
        <is>
          <t>BERG</t>
        </is>
      </c>
      <c r="G481" t="n">
        <v>10.3</v>
      </c>
      <c r="H481" t="n">
        <v>0</v>
      </c>
      <c r="I481" t="n">
        <v>0</v>
      </c>
      <c r="J481" t="n">
        <v>0</v>
      </c>
      <c r="K481" t="n">
        <v>0</v>
      </c>
      <c r="L481" t="n">
        <v>0</v>
      </c>
      <c r="M481" t="n">
        <v>0</v>
      </c>
      <c r="N481" t="n">
        <v>0</v>
      </c>
      <c r="O481" t="n">
        <v>0</v>
      </c>
      <c r="P481" t="n">
        <v>0</v>
      </c>
      <c r="Q481" t="n">
        <v>0</v>
      </c>
      <c r="R481" s="2" t="inlineStr"/>
    </row>
    <row r="482" ht="15" customHeight="1">
      <c r="A482" t="inlineStr">
        <is>
          <t>A 46874-2023</t>
        </is>
      </c>
      <c r="B482" s="1" t="n">
        <v>45200</v>
      </c>
      <c r="C482" s="1" t="n">
        <v>45916</v>
      </c>
      <c r="D482" t="inlineStr">
        <is>
          <t>JÄMTLANDS LÄN</t>
        </is>
      </c>
      <c r="E482" t="inlineStr">
        <is>
          <t>BERG</t>
        </is>
      </c>
      <c r="F482" t="inlineStr">
        <is>
          <t>Naturvårdsverket</t>
        </is>
      </c>
      <c r="G482" t="n">
        <v>1.1</v>
      </c>
      <c r="H482" t="n">
        <v>0</v>
      </c>
      <c r="I482" t="n">
        <v>0</v>
      </c>
      <c r="J482" t="n">
        <v>0</v>
      </c>
      <c r="K482" t="n">
        <v>0</v>
      </c>
      <c r="L482" t="n">
        <v>0</v>
      </c>
      <c r="M482" t="n">
        <v>0</v>
      </c>
      <c r="N482" t="n">
        <v>0</v>
      </c>
      <c r="O482" t="n">
        <v>0</v>
      </c>
      <c r="P482" t="n">
        <v>0</v>
      </c>
      <c r="Q482" t="n">
        <v>0</v>
      </c>
      <c r="R482" s="2" t="inlineStr"/>
    </row>
    <row r="483" ht="15" customHeight="1">
      <c r="A483" t="inlineStr">
        <is>
          <t>A 31820-2025</t>
        </is>
      </c>
      <c r="B483" s="1" t="n">
        <v>45834.57930555556</v>
      </c>
      <c r="C483" s="1" t="n">
        <v>45916</v>
      </c>
      <c r="D483" t="inlineStr">
        <is>
          <t>JÄMTLANDS LÄN</t>
        </is>
      </c>
      <c r="E483" t="inlineStr">
        <is>
          <t>BERG</t>
        </is>
      </c>
      <c r="G483" t="n">
        <v>13.9</v>
      </c>
      <c r="H483" t="n">
        <v>0</v>
      </c>
      <c r="I483" t="n">
        <v>0</v>
      </c>
      <c r="J483" t="n">
        <v>0</v>
      </c>
      <c r="K483" t="n">
        <v>0</v>
      </c>
      <c r="L483" t="n">
        <v>0</v>
      </c>
      <c r="M483" t="n">
        <v>0</v>
      </c>
      <c r="N483" t="n">
        <v>0</v>
      </c>
      <c r="O483" t="n">
        <v>0</v>
      </c>
      <c r="P483" t="n">
        <v>0</v>
      </c>
      <c r="Q483" t="n">
        <v>0</v>
      </c>
      <c r="R483" s="2" t="inlineStr"/>
    </row>
    <row r="484" ht="15" customHeight="1">
      <c r="A484" t="inlineStr">
        <is>
          <t>A 65210-2023</t>
        </is>
      </c>
      <c r="B484" s="1" t="n">
        <v>45289</v>
      </c>
      <c r="C484" s="1" t="n">
        <v>45916</v>
      </c>
      <c r="D484" t="inlineStr">
        <is>
          <t>JÄMTLANDS LÄN</t>
        </is>
      </c>
      <c r="E484" t="inlineStr">
        <is>
          <t>BERG</t>
        </is>
      </c>
      <c r="G484" t="n">
        <v>0.4</v>
      </c>
      <c r="H484" t="n">
        <v>0</v>
      </c>
      <c r="I484" t="n">
        <v>0</v>
      </c>
      <c r="J484" t="n">
        <v>0</v>
      </c>
      <c r="K484" t="n">
        <v>0</v>
      </c>
      <c r="L484" t="n">
        <v>0</v>
      </c>
      <c r="M484" t="n">
        <v>0</v>
      </c>
      <c r="N484" t="n">
        <v>0</v>
      </c>
      <c r="O484" t="n">
        <v>0</v>
      </c>
      <c r="P484" t="n">
        <v>0</v>
      </c>
      <c r="Q484" t="n">
        <v>0</v>
      </c>
      <c r="R484" s="2" t="inlineStr"/>
    </row>
    <row r="485" ht="15" customHeight="1">
      <c r="A485" t="inlineStr">
        <is>
          <t>A 37463-2025</t>
        </is>
      </c>
      <c r="B485" s="1" t="n">
        <v>45877.5738425926</v>
      </c>
      <c r="C485" s="1" t="n">
        <v>45916</v>
      </c>
      <c r="D485" t="inlineStr">
        <is>
          <t>JÄMTLANDS LÄN</t>
        </is>
      </c>
      <c r="E485" t="inlineStr">
        <is>
          <t>BERG</t>
        </is>
      </c>
      <c r="F485" t="inlineStr">
        <is>
          <t>SCA</t>
        </is>
      </c>
      <c r="G485" t="n">
        <v>13.3</v>
      </c>
      <c r="H485" t="n">
        <v>0</v>
      </c>
      <c r="I485" t="n">
        <v>0</v>
      </c>
      <c r="J485" t="n">
        <v>0</v>
      </c>
      <c r="K485" t="n">
        <v>0</v>
      </c>
      <c r="L485" t="n">
        <v>0</v>
      </c>
      <c r="M485" t="n">
        <v>0</v>
      </c>
      <c r="N485" t="n">
        <v>0</v>
      </c>
      <c r="O485" t="n">
        <v>0</v>
      </c>
      <c r="P485" t="n">
        <v>0</v>
      </c>
      <c r="Q485" t="n">
        <v>0</v>
      </c>
      <c r="R485" s="2" t="inlineStr"/>
    </row>
    <row r="486" ht="15" customHeight="1">
      <c r="A486" t="inlineStr">
        <is>
          <t>A 12392-2025</t>
        </is>
      </c>
      <c r="B486" s="1" t="n">
        <v>45730.40104166666</v>
      </c>
      <c r="C486" s="1" t="n">
        <v>45916</v>
      </c>
      <c r="D486" t="inlineStr">
        <is>
          <t>JÄMTLANDS LÄN</t>
        </is>
      </c>
      <c r="E486" t="inlineStr">
        <is>
          <t>BERG</t>
        </is>
      </c>
      <c r="G486" t="n">
        <v>5.1</v>
      </c>
      <c r="H486" t="n">
        <v>0</v>
      </c>
      <c r="I486" t="n">
        <v>0</v>
      </c>
      <c r="J486" t="n">
        <v>0</v>
      </c>
      <c r="K486" t="n">
        <v>0</v>
      </c>
      <c r="L486" t="n">
        <v>0</v>
      </c>
      <c r="M486" t="n">
        <v>0</v>
      </c>
      <c r="N486" t="n">
        <v>0</v>
      </c>
      <c r="O486" t="n">
        <v>0</v>
      </c>
      <c r="P486" t="n">
        <v>0</v>
      </c>
      <c r="Q486" t="n">
        <v>0</v>
      </c>
      <c r="R486" s="2" t="inlineStr"/>
    </row>
    <row r="487" ht="15" customHeight="1">
      <c r="A487" t="inlineStr">
        <is>
          <t>A 64251-2023</t>
        </is>
      </c>
      <c r="B487" s="1" t="n">
        <v>45279.92756944444</v>
      </c>
      <c r="C487" s="1" t="n">
        <v>45916</v>
      </c>
      <c r="D487" t="inlineStr">
        <is>
          <t>JÄMTLANDS LÄN</t>
        </is>
      </c>
      <c r="E487" t="inlineStr">
        <is>
          <t>BERG</t>
        </is>
      </c>
      <c r="G487" t="n">
        <v>0.4</v>
      </c>
      <c r="H487" t="n">
        <v>0</v>
      </c>
      <c r="I487" t="n">
        <v>0</v>
      </c>
      <c r="J487" t="n">
        <v>0</v>
      </c>
      <c r="K487" t="n">
        <v>0</v>
      </c>
      <c r="L487" t="n">
        <v>0</v>
      </c>
      <c r="M487" t="n">
        <v>0</v>
      </c>
      <c r="N487" t="n">
        <v>0</v>
      </c>
      <c r="O487" t="n">
        <v>0</v>
      </c>
      <c r="P487" t="n">
        <v>0</v>
      </c>
      <c r="Q487" t="n">
        <v>0</v>
      </c>
      <c r="R487" s="2" t="inlineStr"/>
    </row>
    <row r="488" ht="15" customHeight="1">
      <c r="A488" t="inlineStr">
        <is>
          <t>A 33481-2023</t>
        </is>
      </c>
      <c r="B488" s="1" t="n">
        <v>45131</v>
      </c>
      <c r="C488" s="1" t="n">
        <v>45916</v>
      </c>
      <c r="D488" t="inlineStr">
        <is>
          <t>JÄMTLANDS LÄN</t>
        </is>
      </c>
      <c r="E488" t="inlineStr">
        <is>
          <t>BERG</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47304-2023</t>
        </is>
      </c>
      <c r="B489" s="1" t="n">
        <v>45202.48180555556</v>
      </c>
      <c r="C489" s="1" t="n">
        <v>45916</v>
      </c>
      <c r="D489" t="inlineStr">
        <is>
          <t>JÄMTLANDS LÄN</t>
        </is>
      </c>
      <c r="E489" t="inlineStr">
        <is>
          <t>BERG</t>
        </is>
      </c>
      <c r="G489" t="n">
        <v>3.4</v>
      </c>
      <c r="H489" t="n">
        <v>0</v>
      </c>
      <c r="I489" t="n">
        <v>0</v>
      </c>
      <c r="J489" t="n">
        <v>0</v>
      </c>
      <c r="K489" t="n">
        <v>0</v>
      </c>
      <c r="L489" t="n">
        <v>0</v>
      </c>
      <c r="M489" t="n">
        <v>0</v>
      </c>
      <c r="N489" t="n">
        <v>0</v>
      </c>
      <c r="O489" t="n">
        <v>0</v>
      </c>
      <c r="P489" t="n">
        <v>0</v>
      </c>
      <c r="Q489" t="n">
        <v>0</v>
      </c>
      <c r="R489" s="2" t="inlineStr"/>
    </row>
    <row r="490" ht="15" customHeight="1">
      <c r="A490" t="inlineStr">
        <is>
          <t>A 32654-2025</t>
        </is>
      </c>
      <c r="B490" s="1" t="n">
        <v>45838.6778587963</v>
      </c>
      <c r="C490" s="1" t="n">
        <v>45916</v>
      </c>
      <c r="D490" t="inlineStr">
        <is>
          <t>JÄMTLANDS LÄN</t>
        </is>
      </c>
      <c r="E490" t="inlineStr">
        <is>
          <t>BERG</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14697-2025</t>
        </is>
      </c>
      <c r="B491" s="1" t="n">
        <v>45742.59415509259</v>
      </c>
      <c r="C491" s="1" t="n">
        <v>45916</v>
      </c>
      <c r="D491" t="inlineStr">
        <is>
          <t>JÄMTLANDS LÄN</t>
        </is>
      </c>
      <c r="E491" t="inlineStr">
        <is>
          <t>BERG</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32713-2025</t>
        </is>
      </c>
      <c r="B492" s="1" t="n">
        <v>45839.36935185185</v>
      </c>
      <c r="C492" s="1" t="n">
        <v>45916</v>
      </c>
      <c r="D492" t="inlineStr">
        <is>
          <t>JÄMTLANDS LÄN</t>
        </is>
      </c>
      <c r="E492" t="inlineStr">
        <is>
          <t>BERG</t>
        </is>
      </c>
      <c r="G492" t="n">
        <v>1.5</v>
      </c>
      <c r="H492" t="n">
        <v>0</v>
      </c>
      <c r="I492" t="n">
        <v>0</v>
      </c>
      <c r="J492" t="n">
        <v>0</v>
      </c>
      <c r="K492" t="n">
        <v>0</v>
      </c>
      <c r="L492" t="n">
        <v>0</v>
      </c>
      <c r="M492" t="n">
        <v>0</v>
      </c>
      <c r="N492" t="n">
        <v>0</v>
      </c>
      <c r="O492" t="n">
        <v>0</v>
      </c>
      <c r="P492" t="n">
        <v>0</v>
      </c>
      <c r="Q492" t="n">
        <v>0</v>
      </c>
      <c r="R492" s="2" t="inlineStr"/>
    </row>
    <row r="493" ht="15" customHeight="1">
      <c r="A493" t="inlineStr">
        <is>
          <t>A 28403-2025</t>
        </is>
      </c>
      <c r="B493" s="1" t="n">
        <v>45819</v>
      </c>
      <c r="C493" s="1" t="n">
        <v>45916</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54415-2023</t>
        </is>
      </c>
      <c r="B494" s="1" t="n">
        <v>45233.40039351852</v>
      </c>
      <c r="C494" s="1" t="n">
        <v>45916</v>
      </c>
      <c r="D494" t="inlineStr">
        <is>
          <t>JÄMTLANDS LÄN</t>
        </is>
      </c>
      <c r="E494" t="inlineStr">
        <is>
          <t>BERG</t>
        </is>
      </c>
      <c r="G494" t="n">
        <v>1.5</v>
      </c>
      <c r="H494" t="n">
        <v>0</v>
      </c>
      <c r="I494" t="n">
        <v>0</v>
      </c>
      <c r="J494" t="n">
        <v>0</v>
      </c>
      <c r="K494" t="n">
        <v>0</v>
      </c>
      <c r="L494" t="n">
        <v>0</v>
      </c>
      <c r="M494" t="n">
        <v>0</v>
      </c>
      <c r="N494" t="n">
        <v>0</v>
      </c>
      <c r="O494" t="n">
        <v>0</v>
      </c>
      <c r="P494" t="n">
        <v>0</v>
      </c>
      <c r="Q494" t="n">
        <v>0</v>
      </c>
      <c r="R494" s="2" t="inlineStr"/>
    </row>
    <row r="495" ht="15" customHeight="1">
      <c r="A495" t="inlineStr">
        <is>
          <t>A 32919-2025</t>
        </is>
      </c>
      <c r="B495" s="1" t="n">
        <v>45839.64721064815</v>
      </c>
      <c r="C495" s="1" t="n">
        <v>45916</v>
      </c>
      <c r="D495" t="inlineStr">
        <is>
          <t>JÄMTLANDS LÄN</t>
        </is>
      </c>
      <c r="E495" t="inlineStr">
        <is>
          <t>BERG</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8711-2024</t>
        </is>
      </c>
      <c r="B496" s="1" t="n">
        <v>45356</v>
      </c>
      <c r="C496" s="1" t="n">
        <v>45916</v>
      </c>
      <c r="D496" t="inlineStr">
        <is>
          <t>JÄMTLANDS LÄN</t>
        </is>
      </c>
      <c r="E496" t="inlineStr">
        <is>
          <t>BERG</t>
        </is>
      </c>
      <c r="G496" t="n">
        <v>5.2</v>
      </c>
      <c r="H496" t="n">
        <v>0</v>
      </c>
      <c r="I496" t="n">
        <v>0</v>
      </c>
      <c r="J496" t="n">
        <v>0</v>
      </c>
      <c r="K496" t="n">
        <v>0</v>
      </c>
      <c r="L496" t="n">
        <v>0</v>
      </c>
      <c r="M496" t="n">
        <v>0</v>
      </c>
      <c r="N496" t="n">
        <v>0</v>
      </c>
      <c r="O496" t="n">
        <v>0</v>
      </c>
      <c r="P496" t="n">
        <v>0</v>
      </c>
      <c r="Q496" t="n">
        <v>0</v>
      </c>
      <c r="R496" s="2" t="inlineStr"/>
    </row>
    <row r="497" ht="15" customHeight="1">
      <c r="A497" t="inlineStr">
        <is>
          <t>A 14198-2023</t>
        </is>
      </c>
      <c r="B497" s="1" t="n">
        <v>45009.57518518518</v>
      </c>
      <c r="C497" s="1" t="n">
        <v>45916</v>
      </c>
      <c r="D497" t="inlineStr">
        <is>
          <t>JÄMTLANDS LÄN</t>
        </is>
      </c>
      <c r="E497" t="inlineStr">
        <is>
          <t>BERG</t>
        </is>
      </c>
      <c r="G497" t="n">
        <v>2.3</v>
      </c>
      <c r="H497" t="n">
        <v>0</v>
      </c>
      <c r="I497" t="n">
        <v>0</v>
      </c>
      <c r="J497" t="n">
        <v>0</v>
      </c>
      <c r="K497" t="n">
        <v>0</v>
      </c>
      <c r="L497" t="n">
        <v>0</v>
      </c>
      <c r="M497" t="n">
        <v>0</v>
      </c>
      <c r="N497" t="n">
        <v>0</v>
      </c>
      <c r="O497" t="n">
        <v>0</v>
      </c>
      <c r="P497" t="n">
        <v>0</v>
      </c>
      <c r="Q497" t="n">
        <v>0</v>
      </c>
      <c r="R497" s="2" t="inlineStr"/>
    </row>
    <row r="498" ht="15" customHeight="1">
      <c r="A498" t="inlineStr">
        <is>
          <t>A 1596-2024</t>
        </is>
      </c>
      <c r="B498" s="1" t="n">
        <v>45306</v>
      </c>
      <c r="C498" s="1" t="n">
        <v>45916</v>
      </c>
      <c r="D498" t="inlineStr">
        <is>
          <t>JÄMTLANDS LÄN</t>
        </is>
      </c>
      <c r="E498" t="inlineStr">
        <is>
          <t>BERG</t>
        </is>
      </c>
      <c r="G498" t="n">
        <v>0.8</v>
      </c>
      <c r="H498" t="n">
        <v>0</v>
      </c>
      <c r="I498" t="n">
        <v>0</v>
      </c>
      <c r="J498" t="n">
        <v>0</v>
      </c>
      <c r="K498" t="n">
        <v>0</v>
      </c>
      <c r="L498" t="n">
        <v>0</v>
      </c>
      <c r="M498" t="n">
        <v>0</v>
      </c>
      <c r="N498" t="n">
        <v>0</v>
      </c>
      <c r="O498" t="n">
        <v>0</v>
      </c>
      <c r="P498" t="n">
        <v>0</v>
      </c>
      <c r="Q498" t="n">
        <v>0</v>
      </c>
      <c r="R498" s="2" t="inlineStr"/>
    </row>
    <row r="499" ht="15" customHeight="1">
      <c r="A499" t="inlineStr">
        <is>
          <t>A 38428-2025</t>
        </is>
      </c>
      <c r="B499" s="1" t="n">
        <v>45883.63628472222</v>
      </c>
      <c r="C499" s="1" t="n">
        <v>45916</v>
      </c>
      <c r="D499" t="inlineStr">
        <is>
          <t>JÄMTLANDS LÄN</t>
        </is>
      </c>
      <c r="E499" t="inlineStr">
        <is>
          <t>BERG</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24307-2023</t>
        </is>
      </c>
      <c r="B500" s="1" t="n">
        <v>45079.94229166667</v>
      </c>
      <c r="C500" s="1" t="n">
        <v>45916</v>
      </c>
      <c r="D500" t="inlineStr">
        <is>
          <t>JÄMTLANDS LÄN</t>
        </is>
      </c>
      <c r="E500" t="inlineStr">
        <is>
          <t>BERG</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40990-2022</t>
        </is>
      </c>
      <c r="B501" s="1" t="n">
        <v>44823</v>
      </c>
      <c r="C501" s="1" t="n">
        <v>45916</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21521-2024</t>
        </is>
      </c>
      <c r="B502" s="1" t="n">
        <v>45441.58313657407</v>
      </c>
      <c r="C502" s="1" t="n">
        <v>45916</v>
      </c>
      <c r="D502" t="inlineStr">
        <is>
          <t>JÄMTLANDS LÄN</t>
        </is>
      </c>
      <c r="E502" t="inlineStr">
        <is>
          <t>BERG</t>
        </is>
      </c>
      <c r="G502" t="n">
        <v>1.2</v>
      </c>
      <c r="H502" t="n">
        <v>0</v>
      </c>
      <c r="I502" t="n">
        <v>0</v>
      </c>
      <c r="J502" t="n">
        <v>0</v>
      </c>
      <c r="K502" t="n">
        <v>0</v>
      </c>
      <c r="L502" t="n">
        <v>0</v>
      </c>
      <c r="M502" t="n">
        <v>0</v>
      </c>
      <c r="N502" t="n">
        <v>0</v>
      </c>
      <c r="O502" t="n">
        <v>0</v>
      </c>
      <c r="P502" t="n">
        <v>0</v>
      </c>
      <c r="Q502" t="n">
        <v>0</v>
      </c>
      <c r="R502" s="2" t="inlineStr"/>
    </row>
    <row r="503" ht="15" customHeight="1">
      <c r="A503" t="inlineStr">
        <is>
          <t>A 54998-2023</t>
        </is>
      </c>
      <c r="B503" s="1" t="n">
        <v>45236</v>
      </c>
      <c r="C503" s="1" t="n">
        <v>45916</v>
      </c>
      <c r="D503" t="inlineStr">
        <is>
          <t>JÄMTLANDS LÄN</t>
        </is>
      </c>
      <c r="E503" t="inlineStr">
        <is>
          <t>BERG</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33054-2025</t>
        </is>
      </c>
      <c r="B504" s="1" t="n">
        <v>45840.42746527777</v>
      </c>
      <c r="C504" s="1" t="n">
        <v>45916</v>
      </c>
      <c r="D504" t="inlineStr">
        <is>
          <t>JÄMTLANDS LÄN</t>
        </is>
      </c>
      <c r="E504" t="inlineStr">
        <is>
          <t>BERG</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32156-2024</t>
        </is>
      </c>
      <c r="B505" s="1" t="n">
        <v>45511</v>
      </c>
      <c r="C505" s="1" t="n">
        <v>45916</v>
      </c>
      <c r="D505" t="inlineStr">
        <is>
          <t>JÄMTLANDS LÄN</t>
        </is>
      </c>
      <c r="E505" t="inlineStr">
        <is>
          <t>BERG</t>
        </is>
      </c>
      <c r="G505" t="n">
        <v>3.4</v>
      </c>
      <c r="H505" t="n">
        <v>0</v>
      </c>
      <c r="I505" t="n">
        <v>0</v>
      </c>
      <c r="J505" t="n">
        <v>0</v>
      </c>
      <c r="K505" t="n">
        <v>0</v>
      </c>
      <c r="L505" t="n">
        <v>0</v>
      </c>
      <c r="M505" t="n">
        <v>0</v>
      </c>
      <c r="N505" t="n">
        <v>0</v>
      </c>
      <c r="O505" t="n">
        <v>0</v>
      </c>
      <c r="P505" t="n">
        <v>0</v>
      </c>
      <c r="Q505" t="n">
        <v>0</v>
      </c>
      <c r="R505" s="2" t="inlineStr"/>
    </row>
    <row r="506" ht="15" customHeight="1">
      <c r="A506" t="inlineStr">
        <is>
          <t>A 1520-2022</t>
        </is>
      </c>
      <c r="B506" s="1" t="n">
        <v>44572</v>
      </c>
      <c r="C506" s="1" t="n">
        <v>45916</v>
      </c>
      <c r="D506" t="inlineStr">
        <is>
          <t>JÄMTLANDS LÄN</t>
        </is>
      </c>
      <c r="E506" t="inlineStr">
        <is>
          <t>BERG</t>
        </is>
      </c>
      <c r="G506" t="n">
        <v>7.7</v>
      </c>
      <c r="H506" t="n">
        <v>0</v>
      </c>
      <c r="I506" t="n">
        <v>0</v>
      </c>
      <c r="J506" t="n">
        <v>0</v>
      </c>
      <c r="K506" t="n">
        <v>0</v>
      </c>
      <c r="L506" t="n">
        <v>0</v>
      </c>
      <c r="M506" t="n">
        <v>0</v>
      </c>
      <c r="N506" t="n">
        <v>0</v>
      </c>
      <c r="O506" t="n">
        <v>0</v>
      </c>
      <c r="P506" t="n">
        <v>0</v>
      </c>
      <c r="Q506" t="n">
        <v>0</v>
      </c>
      <c r="R506" s="2" t="inlineStr"/>
    </row>
    <row r="507" ht="15" customHeight="1">
      <c r="A507" t="inlineStr">
        <is>
          <t>A 27239-2023</t>
        </is>
      </c>
      <c r="B507" s="1" t="n">
        <v>45092</v>
      </c>
      <c r="C507" s="1" t="n">
        <v>45916</v>
      </c>
      <c r="D507" t="inlineStr">
        <is>
          <t>JÄMTLANDS LÄN</t>
        </is>
      </c>
      <c r="E507" t="inlineStr">
        <is>
          <t>BERG</t>
        </is>
      </c>
      <c r="G507" t="n">
        <v>5.3</v>
      </c>
      <c r="H507" t="n">
        <v>0</v>
      </c>
      <c r="I507" t="n">
        <v>0</v>
      </c>
      <c r="J507" t="n">
        <v>0</v>
      </c>
      <c r="K507" t="n">
        <v>0</v>
      </c>
      <c r="L507" t="n">
        <v>0</v>
      </c>
      <c r="M507" t="n">
        <v>0</v>
      </c>
      <c r="N507" t="n">
        <v>0</v>
      </c>
      <c r="O507" t="n">
        <v>0</v>
      </c>
      <c r="P507" t="n">
        <v>0</v>
      </c>
      <c r="Q507" t="n">
        <v>0</v>
      </c>
      <c r="R507" s="2" t="inlineStr"/>
    </row>
    <row r="508" ht="15" customHeight="1">
      <c r="A508" t="inlineStr">
        <is>
          <t>A 38388-2025</t>
        </is>
      </c>
      <c r="B508" s="1" t="n">
        <v>45883.57467592593</v>
      </c>
      <c r="C508" s="1" t="n">
        <v>45916</v>
      </c>
      <c r="D508" t="inlineStr">
        <is>
          <t>JÄMTLANDS LÄN</t>
        </is>
      </c>
      <c r="E508" t="inlineStr">
        <is>
          <t>BERG</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38408-2025</t>
        </is>
      </c>
      <c r="B509" s="1" t="n">
        <v>45883.59412037037</v>
      </c>
      <c r="C509" s="1" t="n">
        <v>45916</v>
      </c>
      <c r="D509" t="inlineStr">
        <is>
          <t>JÄMTLANDS LÄN</t>
        </is>
      </c>
      <c r="E509" t="inlineStr">
        <is>
          <t>BERG</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32248-2024</t>
        </is>
      </c>
      <c r="B510" s="1" t="n">
        <v>45511.95144675926</v>
      </c>
      <c r="C510" s="1" t="n">
        <v>45916</v>
      </c>
      <c r="D510" t="inlineStr">
        <is>
          <t>JÄMTLANDS LÄN</t>
        </is>
      </c>
      <c r="E510" t="inlineStr">
        <is>
          <t>BERG</t>
        </is>
      </c>
      <c r="F510" t="inlineStr">
        <is>
          <t>SCA</t>
        </is>
      </c>
      <c r="G510" t="n">
        <v>0.4</v>
      </c>
      <c r="H510" t="n">
        <v>0</v>
      </c>
      <c r="I510" t="n">
        <v>0</v>
      </c>
      <c r="J510" t="n">
        <v>0</v>
      </c>
      <c r="K510" t="n">
        <v>0</v>
      </c>
      <c r="L510" t="n">
        <v>0</v>
      </c>
      <c r="M510" t="n">
        <v>0</v>
      </c>
      <c r="N510" t="n">
        <v>0</v>
      </c>
      <c r="O510" t="n">
        <v>0</v>
      </c>
      <c r="P510" t="n">
        <v>0</v>
      </c>
      <c r="Q510" t="n">
        <v>0</v>
      </c>
      <c r="R510" s="2" t="inlineStr"/>
    </row>
    <row r="511" ht="15" customHeight="1">
      <c r="A511" t="inlineStr">
        <is>
          <t>A 39103-2024</t>
        </is>
      </c>
      <c r="B511" s="1" t="n">
        <v>45548.57025462963</v>
      </c>
      <c r="C511" s="1" t="n">
        <v>45916</v>
      </c>
      <c r="D511" t="inlineStr">
        <is>
          <t>JÄMTLANDS LÄN</t>
        </is>
      </c>
      <c r="E511" t="inlineStr">
        <is>
          <t>BERG</t>
        </is>
      </c>
      <c r="G511" t="n">
        <v>38.4</v>
      </c>
      <c r="H511" t="n">
        <v>0</v>
      </c>
      <c r="I511" t="n">
        <v>0</v>
      </c>
      <c r="J511" t="n">
        <v>0</v>
      </c>
      <c r="K511" t="n">
        <v>0</v>
      </c>
      <c r="L511" t="n">
        <v>0</v>
      </c>
      <c r="M511" t="n">
        <v>0</v>
      </c>
      <c r="N511" t="n">
        <v>0</v>
      </c>
      <c r="O511" t="n">
        <v>0</v>
      </c>
      <c r="P511" t="n">
        <v>0</v>
      </c>
      <c r="Q511" t="n">
        <v>0</v>
      </c>
      <c r="R511" s="2" t="inlineStr"/>
    </row>
    <row r="512" ht="15" customHeight="1">
      <c r="A512" t="inlineStr">
        <is>
          <t>A 8191-2025</t>
        </is>
      </c>
      <c r="B512" s="1" t="n">
        <v>45708.40821759259</v>
      </c>
      <c r="C512" s="1" t="n">
        <v>45916</v>
      </c>
      <c r="D512" t="inlineStr">
        <is>
          <t>JÄMTLANDS LÄN</t>
        </is>
      </c>
      <c r="E512" t="inlineStr">
        <is>
          <t>BERG</t>
        </is>
      </c>
      <c r="G512" t="n">
        <v>1.1</v>
      </c>
      <c r="H512" t="n">
        <v>0</v>
      </c>
      <c r="I512" t="n">
        <v>0</v>
      </c>
      <c r="J512" t="n">
        <v>0</v>
      </c>
      <c r="K512" t="n">
        <v>0</v>
      </c>
      <c r="L512" t="n">
        <v>0</v>
      </c>
      <c r="M512" t="n">
        <v>0</v>
      </c>
      <c r="N512" t="n">
        <v>0</v>
      </c>
      <c r="O512" t="n">
        <v>0</v>
      </c>
      <c r="P512" t="n">
        <v>0</v>
      </c>
      <c r="Q512" t="n">
        <v>0</v>
      </c>
      <c r="R512" s="2" t="inlineStr"/>
    </row>
    <row r="513" ht="15" customHeight="1">
      <c r="A513" t="inlineStr">
        <is>
          <t>A 33750-2025</t>
        </is>
      </c>
      <c r="B513" s="1" t="n">
        <v>45842.36243055556</v>
      </c>
      <c r="C513" s="1" t="n">
        <v>45916</v>
      </c>
      <c r="D513" t="inlineStr">
        <is>
          <t>JÄMTLANDS LÄN</t>
        </is>
      </c>
      <c r="E513" t="inlineStr">
        <is>
          <t>BERG</t>
        </is>
      </c>
      <c r="G513" t="n">
        <v>0.9</v>
      </c>
      <c r="H513" t="n">
        <v>0</v>
      </c>
      <c r="I513" t="n">
        <v>0</v>
      </c>
      <c r="J513" t="n">
        <v>0</v>
      </c>
      <c r="K513" t="n">
        <v>0</v>
      </c>
      <c r="L513" t="n">
        <v>0</v>
      </c>
      <c r="M513" t="n">
        <v>0</v>
      </c>
      <c r="N513" t="n">
        <v>0</v>
      </c>
      <c r="O513" t="n">
        <v>0</v>
      </c>
      <c r="P513" t="n">
        <v>0</v>
      </c>
      <c r="Q513" t="n">
        <v>0</v>
      </c>
      <c r="R513" s="2" t="inlineStr"/>
    </row>
    <row r="514" ht="15" customHeight="1">
      <c r="A514" t="inlineStr">
        <is>
          <t>A 33748-2025</t>
        </is>
      </c>
      <c r="B514" s="1" t="n">
        <v>45842.35685185185</v>
      </c>
      <c r="C514" s="1" t="n">
        <v>45916</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34030-2025</t>
        </is>
      </c>
      <c r="B515" s="1" t="n">
        <v>45845.3633912037</v>
      </c>
      <c r="C515" s="1" t="n">
        <v>45916</v>
      </c>
      <c r="D515" t="inlineStr">
        <is>
          <t>JÄMTLANDS LÄN</t>
        </is>
      </c>
      <c r="E515" t="inlineStr">
        <is>
          <t>BERG</t>
        </is>
      </c>
      <c r="G515" t="n">
        <v>13.5</v>
      </c>
      <c r="H515" t="n">
        <v>0</v>
      </c>
      <c r="I515" t="n">
        <v>0</v>
      </c>
      <c r="J515" t="n">
        <v>0</v>
      </c>
      <c r="K515" t="n">
        <v>0</v>
      </c>
      <c r="L515" t="n">
        <v>0</v>
      </c>
      <c r="M515" t="n">
        <v>0</v>
      </c>
      <c r="N515" t="n">
        <v>0</v>
      </c>
      <c r="O515" t="n">
        <v>0</v>
      </c>
      <c r="P515" t="n">
        <v>0</v>
      </c>
      <c r="Q515" t="n">
        <v>0</v>
      </c>
      <c r="R515" s="2" t="inlineStr"/>
    </row>
    <row r="516" ht="15" customHeight="1">
      <c r="A516" t="inlineStr">
        <is>
          <t>A 33753-2025</t>
        </is>
      </c>
      <c r="B516" s="1" t="n">
        <v>45842.37199074074</v>
      </c>
      <c r="C516" s="1" t="n">
        <v>45916</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34036-2025</t>
        </is>
      </c>
      <c r="B517" s="1" t="n">
        <v>45845.36954861111</v>
      </c>
      <c r="C517" s="1" t="n">
        <v>45916</v>
      </c>
      <c r="D517" t="inlineStr">
        <is>
          <t>JÄMTLANDS LÄN</t>
        </is>
      </c>
      <c r="E517" t="inlineStr">
        <is>
          <t>BERG</t>
        </is>
      </c>
      <c r="G517" t="n">
        <v>4.8</v>
      </c>
      <c r="H517" t="n">
        <v>0</v>
      </c>
      <c r="I517" t="n">
        <v>0</v>
      </c>
      <c r="J517" t="n">
        <v>0</v>
      </c>
      <c r="K517" t="n">
        <v>0</v>
      </c>
      <c r="L517" t="n">
        <v>0</v>
      </c>
      <c r="M517" t="n">
        <v>0</v>
      </c>
      <c r="N517" t="n">
        <v>0</v>
      </c>
      <c r="O517" t="n">
        <v>0</v>
      </c>
      <c r="P517" t="n">
        <v>0</v>
      </c>
      <c r="Q517" t="n">
        <v>0</v>
      </c>
      <c r="R517" s="2" t="inlineStr"/>
    </row>
    <row r="518" ht="15" customHeight="1">
      <c r="A518" t="inlineStr">
        <is>
          <t>A 23165-2024</t>
        </is>
      </c>
      <c r="B518" s="1" t="n">
        <v>45450</v>
      </c>
      <c r="C518" s="1" t="n">
        <v>45916</v>
      </c>
      <c r="D518" t="inlineStr">
        <is>
          <t>JÄMTLANDS LÄN</t>
        </is>
      </c>
      <c r="E518" t="inlineStr">
        <is>
          <t>BERG</t>
        </is>
      </c>
      <c r="G518" t="n">
        <v>1.3</v>
      </c>
      <c r="H518" t="n">
        <v>0</v>
      </c>
      <c r="I518" t="n">
        <v>0</v>
      </c>
      <c r="J518" t="n">
        <v>0</v>
      </c>
      <c r="K518" t="n">
        <v>0</v>
      </c>
      <c r="L518" t="n">
        <v>0</v>
      </c>
      <c r="M518" t="n">
        <v>0</v>
      </c>
      <c r="N518" t="n">
        <v>0</v>
      </c>
      <c r="O518" t="n">
        <v>0</v>
      </c>
      <c r="P518" t="n">
        <v>0</v>
      </c>
      <c r="Q518" t="n">
        <v>0</v>
      </c>
      <c r="R518" s="2" t="inlineStr"/>
    </row>
    <row r="519" ht="15" customHeight="1">
      <c r="A519" t="inlineStr">
        <is>
          <t>A 19345-2024</t>
        </is>
      </c>
      <c r="B519" s="1" t="n">
        <v>45428.97185185185</v>
      </c>
      <c r="C519" s="1" t="n">
        <v>45916</v>
      </c>
      <c r="D519" t="inlineStr">
        <is>
          <t>JÄMTLANDS LÄN</t>
        </is>
      </c>
      <c r="E519" t="inlineStr">
        <is>
          <t>BERG</t>
        </is>
      </c>
      <c r="F519" t="inlineStr">
        <is>
          <t>SCA</t>
        </is>
      </c>
      <c r="G519" t="n">
        <v>14.7</v>
      </c>
      <c r="H519" t="n">
        <v>0</v>
      </c>
      <c r="I519" t="n">
        <v>0</v>
      </c>
      <c r="J519" t="n">
        <v>0</v>
      </c>
      <c r="K519" t="n">
        <v>0</v>
      </c>
      <c r="L519" t="n">
        <v>0</v>
      </c>
      <c r="M519" t="n">
        <v>0</v>
      </c>
      <c r="N519" t="n">
        <v>0</v>
      </c>
      <c r="O519" t="n">
        <v>0</v>
      </c>
      <c r="P519" t="n">
        <v>0</v>
      </c>
      <c r="Q519" t="n">
        <v>0</v>
      </c>
      <c r="R519" s="2" t="inlineStr"/>
    </row>
    <row r="520" ht="15" customHeight="1">
      <c r="A520" t="inlineStr">
        <is>
          <t>A 25565-2023</t>
        </is>
      </c>
      <c r="B520" s="1" t="n">
        <v>45082</v>
      </c>
      <c r="C520" s="1" t="n">
        <v>45916</v>
      </c>
      <c r="D520" t="inlineStr">
        <is>
          <t>JÄMTLANDS LÄN</t>
        </is>
      </c>
      <c r="E520" t="inlineStr">
        <is>
          <t>BERG</t>
        </is>
      </c>
      <c r="G520" t="n">
        <v>3.1</v>
      </c>
      <c r="H520" t="n">
        <v>0</v>
      </c>
      <c r="I520" t="n">
        <v>0</v>
      </c>
      <c r="J520" t="n">
        <v>0</v>
      </c>
      <c r="K520" t="n">
        <v>0</v>
      </c>
      <c r="L520" t="n">
        <v>0</v>
      </c>
      <c r="M520" t="n">
        <v>0</v>
      </c>
      <c r="N520" t="n">
        <v>0</v>
      </c>
      <c r="O520" t="n">
        <v>0</v>
      </c>
      <c r="P520" t="n">
        <v>0</v>
      </c>
      <c r="Q520" t="n">
        <v>0</v>
      </c>
      <c r="R520" s="2" t="inlineStr"/>
    </row>
    <row r="521" ht="15" customHeight="1">
      <c r="A521" t="inlineStr">
        <is>
          <t>A 39004-2025</t>
        </is>
      </c>
      <c r="B521" s="1" t="n">
        <v>45888.34472222222</v>
      </c>
      <c r="C521" s="1" t="n">
        <v>45916</v>
      </c>
      <c r="D521" t="inlineStr">
        <is>
          <t>JÄMTLANDS LÄN</t>
        </is>
      </c>
      <c r="E521" t="inlineStr">
        <is>
          <t>BERG</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57661-2024</t>
        </is>
      </c>
      <c r="B522" s="1" t="n">
        <v>45630.6140162037</v>
      </c>
      <c r="C522" s="1" t="n">
        <v>45916</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53456-2022</t>
        </is>
      </c>
      <c r="B523" s="1" t="n">
        <v>44874</v>
      </c>
      <c r="C523" s="1" t="n">
        <v>45916</v>
      </c>
      <c r="D523" t="inlineStr">
        <is>
          <t>JÄMTLANDS LÄN</t>
        </is>
      </c>
      <c r="E523" t="inlineStr">
        <is>
          <t>BERG</t>
        </is>
      </c>
      <c r="G523" t="n">
        <v>13.3</v>
      </c>
      <c r="H523" t="n">
        <v>0</v>
      </c>
      <c r="I523" t="n">
        <v>0</v>
      </c>
      <c r="J523" t="n">
        <v>0</v>
      </c>
      <c r="K523" t="n">
        <v>0</v>
      </c>
      <c r="L523" t="n">
        <v>0</v>
      </c>
      <c r="M523" t="n">
        <v>0</v>
      </c>
      <c r="N523" t="n">
        <v>0</v>
      </c>
      <c r="O523" t="n">
        <v>0</v>
      </c>
      <c r="P523" t="n">
        <v>0</v>
      </c>
      <c r="Q523" t="n">
        <v>0</v>
      </c>
      <c r="R523" s="2" t="inlineStr"/>
    </row>
    <row r="524" ht="15" customHeight="1">
      <c r="A524" t="inlineStr">
        <is>
          <t>A 45208-2024</t>
        </is>
      </c>
      <c r="B524" s="1" t="n">
        <v>45575.7077662037</v>
      </c>
      <c r="C524" s="1" t="n">
        <v>45916</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35866-2024</t>
        </is>
      </c>
      <c r="B525" s="1" t="n">
        <v>45533.3422337963</v>
      </c>
      <c r="C525" s="1" t="n">
        <v>45916</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34892-2025</t>
        </is>
      </c>
      <c r="B526" s="1" t="n">
        <v>45849.49047453704</v>
      </c>
      <c r="C526" s="1" t="n">
        <v>45916</v>
      </c>
      <c r="D526" t="inlineStr">
        <is>
          <t>JÄMTLANDS LÄN</t>
        </is>
      </c>
      <c r="E526" t="inlineStr">
        <is>
          <t>BERG</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14772-2021</t>
        </is>
      </c>
      <c r="B527" s="1" t="n">
        <v>44280.62068287037</v>
      </c>
      <c r="C527" s="1" t="n">
        <v>45916</v>
      </c>
      <c r="D527" t="inlineStr">
        <is>
          <t>JÄMTLANDS LÄN</t>
        </is>
      </c>
      <c r="E527" t="inlineStr">
        <is>
          <t>BERG</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39601-2025</t>
        </is>
      </c>
      <c r="B528" s="1" t="n">
        <v>45890.55284722222</v>
      </c>
      <c r="C528" s="1" t="n">
        <v>45916</v>
      </c>
      <c r="D528" t="inlineStr">
        <is>
          <t>JÄMTLANDS LÄN</t>
        </is>
      </c>
      <c r="E528" t="inlineStr">
        <is>
          <t>BERG</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39544-2025</t>
        </is>
      </c>
      <c r="B529" s="1" t="n">
        <v>45890.45547453704</v>
      </c>
      <c r="C529" s="1" t="n">
        <v>45916</v>
      </c>
      <c r="D529" t="inlineStr">
        <is>
          <t>JÄMTLANDS LÄN</t>
        </is>
      </c>
      <c r="E529" t="inlineStr">
        <is>
          <t>BERG</t>
        </is>
      </c>
      <c r="G529" t="n">
        <v>7.5</v>
      </c>
      <c r="H529" t="n">
        <v>0</v>
      </c>
      <c r="I529" t="n">
        <v>0</v>
      </c>
      <c r="J529" t="n">
        <v>0</v>
      </c>
      <c r="K529" t="n">
        <v>0</v>
      </c>
      <c r="L529" t="n">
        <v>0</v>
      </c>
      <c r="M529" t="n">
        <v>0</v>
      </c>
      <c r="N529" t="n">
        <v>0</v>
      </c>
      <c r="O529" t="n">
        <v>0</v>
      </c>
      <c r="P529" t="n">
        <v>0</v>
      </c>
      <c r="Q529" t="n">
        <v>0</v>
      </c>
      <c r="R529" s="2" t="inlineStr"/>
    </row>
    <row r="530" ht="15" customHeight="1">
      <c r="A530" t="inlineStr">
        <is>
          <t>A 9252-2025</t>
        </is>
      </c>
      <c r="B530" s="1" t="n">
        <v>45714.59415509259</v>
      </c>
      <c r="C530" s="1" t="n">
        <v>45916</v>
      </c>
      <c r="D530" t="inlineStr">
        <is>
          <t>JÄMTLANDS LÄN</t>
        </is>
      </c>
      <c r="E530" t="inlineStr">
        <is>
          <t>BERG</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64247-2023</t>
        </is>
      </c>
      <c r="B531" s="1" t="n">
        <v>45279.92739583334</v>
      </c>
      <c r="C531" s="1" t="n">
        <v>45916</v>
      </c>
      <c r="D531" t="inlineStr">
        <is>
          <t>JÄMTLANDS LÄN</t>
        </is>
      </c>
      <c r="E531" t="inlineStr">
        <is>
          <t>BERG</t>
        </is>
      </c>
      <c r="G531" t="n">
        <v>0.9</v>
      </c>
      <c r="H531" t="n">
        <v>0</v>
      </c>
      <c r="I531" t="n">
        <v>0</v>
      </c>
      <c r="J531" t="n">
        <v>0</v>
      </c>
      <c r="K531" t="n">
        <v>0</v>
      </c>
      <c r="L531" t="n">
        <v>0</v>
      </c>
      <c r="M531" t="n">
        <v>0</v>
      </c>
      <c r="N531" t="n">
        <v>0</v>
      </c>
      <c r="O531" t="n">
        <v>0</v>
      </c>
      <c r="P531" t="n">
        <v>0</v>
      </c>
      <c r="Q531" t="n">
        <v>0</v>
      </c>
      <c r="R531" s="2" t="inlineStr"/>
    </row>
    <row r="532" ht="15" customHeight="1">
      <c r="A532" t="inlineStr">
        <is>
          <t>A 39539-2025</t>
        </is>
      </c>
      <c r="B532" s="1" t="n">
        <v>45890.4525</v>
      </c>
      <c r="C532" s="1" t="n">
        <v>45916</v>
      </c>
      <c r="D532" t="inlineStr">
        <is>
          <t>JÄMTLANDS LÄN</t>
        </is>
      </c>
      <c r="E532" t="inlineStr">
        <is>
          <t>BERG</t>
        </is>
      </c>
      <c r="G532" t="n">
        <v>7.7</v>
      </c>
      <c r="H532" t="n">
        <v>0</v>
      </c>
      <c r="I532" t="n">
        <v>0</v>
      </c>
      <c r="J532" t="n">
        <v>0</v>
      </c>
      <c r="K532" t="n">
        <v>0</v>
      </c>
      <c r="L532" t="n">
        <v>0</v>
      </c>
      <c r="M532" t="n">
        <v>0</v>
      </c>
      <c r="N532" t="n">
        <v>0</v>
      </c>
      <c r="O532" t="n">
        <v>0</v>
      </c>
      <c r="P532" t="n">
        <v>0</v>
      </c>
      <c r="Q532" t="n">
        <v>0</v>
      </c>
      <c r="R532" s="2" t="inlineStr"/>
    </row>
    <row r="533" ht="15" customHeight="1">
      <c r="A533" t="inlineStr">
        <is>
          <t>A 39698-2025</t>
        </is>
      </c>
      <c r="B533" s="1" t="n">
        <v>45890.69837962963</v>
      </c>
      <c r="C533" s="1" t="n">
        <v>45916</v>
      </c>
      <c r="D533" t="inlineStr">
        <is>
          <t>JÄMTLANDS LÄN</t>
        </is>
      </c>
      <c r="E533" t="inlineStr">
        <is>
          <t>BERG</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31330-2024</t>
        </is>
      </c>
      <c r="B534" s="1" t="n">
        <v>45504</v>
      </c>
      <c r="C534" s="1" t="n">
        <v>45916</v>
      </c>
      <c r="D534" t="inlineStr">
        <is>
          <t>JÄMTLANDS LÄN</t>
        </is>
      </c>
      <c r="E534" t="inlineStr">
        <is>
          <t>BERG</t>
        </is>
      </c>
      <c r="G534" t="n">
        <v>30.5</v>
      </c>
      <c r="H534" t="n">
        <v>0</v>
      </c>
      <c r="I534" t="n">
        <v>0</v>
      </c>
      <c r="J534" t="n">
        <v>0</v>
      </c>
      <c r="K534" t="n">
        <v>0</v>
      </c>
      <c r="L534" t="n">
        <v>0</v>
      </c>
      <c r="M534" t="n">
        <v>0</v>
      </c>
      <c r="N534" t="n">
        <v>0</v>
      </c>
      <c r="O534" t="n">
        <v>0</v>
      </c>
      <c r="P534" t="n">
        <v>0</v>
      </c>
      <c r="Q534" t="n">
        <v>0</v>
      </c>
      <c r="R534" s="2" t="inlineStr"/>
    </row>
    <row r="535" ht="15" customHeight="1">
      <c r="A535" t="inlineStr">
        <is>
          <t>A 35183-2025</t>
        </is>
      </c>
      <c r="B535" s="1" t="n">
        <v>45853.29931712963</v>
      </c>
      <c r="C535" s="1" t="n">
        <v>45916</v>
      </c>
      <c r="D535" t="inlineStr">
        <is>
          <t>JÄMTLANDS LÄN</t>
        </is>
      </c>
      <c r="E535" t="inlineStr">
        <is>
          <t>BERG</t>
        </is>
      </c>
      <c r="G535" t="n">
        <v>2.8</v>
      </c>
      <c r="H535" t="n">
        <v>0</v>
      </c>
      <c r="I535" t="n">
        <v>0</v>
      </c>
      <c r="J535" t="n">
        <v>0</v>
      </c>
      <c r="K535" t="n">
        <v>0</v>
      </c>
      <c r="L535" t="n">
        <v>0</v>
      </c>
      <c r="M535" t="n">
        <v>0</v>
      </c>
      <c r="N535" t="n">
        <v>0</v>
      </c>
      <c r="O535" t="n">
        <v>0</v>
      </c>
      <c r="P535" t="n">
        <v>0</v>
      </c>
      <c r="Q535" t="n">
        <v>0</v>
      </c>
      <c r="R535" s="2" t="inlineStr"/>
    </row>
    <row r="536" ht="15" customHeight="1">
      <c r="A536" t="inlineStr">
        <is>
          <t>A 60404-2023</t>
        </is>
      </c>
      <c r="B536" s="1" t="n">
        <v>45259.46332175926</v>
      </c>
      <c r="C536" s="1" t="n">
        <v>45916</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37101-2024</t>
        </is>
      </c>
      <c r="B537" s="1" t="n">
        <v>45539.5029050926</v>
      </c>
      <c r="C537" s="1" t="n">
        <v>45916</v>
      </c>
      <c r="D537" t="inlineStr">
        <is>
          <t>JÄMTLANDS LÄN</t>
        </is>
      </c>
      <c r="E537" t="inlineStr">
        <is>
          <t>BERG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37067-2023</t>
        </is>
      </c>
      <c r="B538" s="1" t="n">
        <v>45154</v>
      </c>
      <c r="C538" s="1" t="n">
        <v>45916</v>
      </c>
      <c r="D538" t="inlineStr">
        <is>
          <t>JÄMTLANDS LÄN</t>
        </is>
      </c>
      <c r="E538" t="inlineStr">
        <is>
          <t>BERG</t>
        </is>
      </c>
      <c r="G538" t="n">
        <v>7.4</v>
      </c>
      <c r="H538" t="n">
        <v>0</v>
      </c>
      <c r="I538" t="n">
        <v>0</v>
      </c>
      <c r="J538" t="n">
        <v>0</v>
      </c>
      <c r="K538" t="n">
        <v>0</v>
      </c>
      <c r="L538" t="n">
        <v>0</v>
      </c>
      <c r="M538" t="n">
        <v>0</v>
      </c>
      <c r="N538" t="n">
        <v>0</v>
      </c>
      <c r="O538" t="n">
        <v>0</v>
      </c>
      <c r="P538" t="n">
        <v>0</v>
      </c>
      <c r="Q538" t="n">
        <v>0</v>
      </c>
      <c r="R538" s="2" t="inlineStr"/>
    </row>
    <row r="539" ht="15" customHeight="1">
      <c r="A539" t="inlineStr">
        <is>
          <t>A 35213-2025</t>
        </is>
      </c>
      <c r="B539" s="1" t="n">
        <v>45853.46494212963</v>
      </c>
      <c r="C539" s="1" t="n">
        <v>45916</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35184-2025</t>
        </is>
      </c>
      <c r="B540" s="1" t="n">
        <v>45853.30270833334</v>
      </c>
      <c r="C540" s="1" t="n">
        <v>45916</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8733-2025</t>
        </is>
      </c>
      <c r="B541" s="1" t="n">
        <v>45712.53197916667</v>
      </c>
      <c r="C541" s="1" t="n">
        <v>45916</v>
      </c>
      <c r="D541" t="inlineStr">
        <is>
          <t>JÄMTLANDS LÄN</t>
        </is>
      </c>
      <c r="E541" t="inlineStr">
        <is>
          <t>BERG</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34601-2024</t>
        </is>
      </c>
      <c r="B542" s="1" t="n">
        <v>45526.4034375</v>
      </c>
      <c r="C542" s="1" t="n">
        <v>45916</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40060-2025</t>
        </is>
      </c>
      <c r="B543" s="1" t="n">
        <v>45894.42746527777</v>
      </c>
      <c r="C543" s="1" t="n">
        <v>45916</v>
      </c>
      <c r="D543" t="inlineStr">
        <is>
          <t>JÄMTLANDS LÄN</t>
        </is>
      </c>
      <c r="E543" t="inlineStr">
        <is>
          <t>BERG</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40410-2025</t>
        </is>
      </c>
      <c r="B544" s="1" t="n">
        <v>45895.57349537037</v>
      </c>
      <c r="C544" s="1" t="n">
        <v>45916</v>
      </c>
      <c r="D544" t="inlineStr">
        <is>
          <t>JÄMTLANDS LÄN</t>
        </is>
      </c>
      <c r="E544" t="inlineStr">
        <is>
          <t>BERG</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39186-2024</t>
        </is>
      </c>
      <c r="B545" s="1" t="n">
        <v>45548.66489583333</v>
      </c>
      <c r="C545" s="1" t="n">
        <v>45916</v>
      </c>
      <c r="D545" t="inlineStr">
        <is>
          <t>JÄMTLANDS LÄN</t>
        </is>
      </c>
      <c r="E545" t="inlineStr">
        <is>
          <t>BERG</t>
        </is>
      </c>
      <c r="G545" t="n">
        <v>38.4</v>
      </c>
      <c r="H545" t="n">
        <v>0</v>
      </c>
      <c r="I545" t="n">
        <v>0</v>
      </c>
      <c r="J545" t="n">
        <v>0</v>
      </c>
      <c r="K545" t="n">
        <v>0</v>
      </c>
      <c r="L545" t="n">
        <v>0</v>
      </c>
      <c r="M545" t="n">
        <v>0</v>
      </c>
      <c r="N545" t="n">
        <v>0</v>
      </c>
      <c r="O545" t="n">
        <v>0</v>
      </c>
      <c r="P545" t="n">
        <v>0</v>
      </c>
      <c r="Q545" t="n">
        <v>0</v>
      </c>
      <c r="R545" s="2" t="inlineStr"/>
    </row>
    <row r="546" ht="15" customHeight="1">
      <c r="A546" t="inlineStr">
        <is>
          <t>A 35363-2025</t>
        </is>
      </c>
      <c r="B546" s="1" t="n">
        <v>45854.67538194444</v>
      </c>
      <c r="C546" s="1" t="n">
        <v>45916</v>
      </c>
      <c r="D546" t="inlineStr">
        <is>
          <t>JÄMTLANDS LÄN</t>
        </is>
      </c>
      <c r="E546" t="inlineStr">
        <is>
          <t>BERG</t>
        </is>
      </c>
      <c r="G546" t="n">
        <v>9.5</v>
      </c>
      <c r="H546" t="n">
        <v>0</v>
      </c>
      <c r="I546" t="n">
        <v>0</v>
      </c>
      <c r="J546" t="n">
        <v>0</v>
      </c>
      <c r="K546" t="n">
        <v>0</v>
      </c>
      <c r="L546" t="n">
        <v>0</v>
      </c>
      <c r="M546" t="n">
        <v>0</v>
      </c>
      <c r="N546" t="n">
        <v>0</v>
      </c>
      <c r="O546" t="n">
        <v>0</v>
      </c>
      <c r="P546" t="n">
        <v>0</v>
      </c>
      <c r="Q546" t="n">
        <v>0</v>
      </c>
      <c r="R546" s="2" t="inlineStr"/>
    </row>
    <row r="547" ht="15" customHeight="1">
      <c r="A547" t="inlineStr">
        <is>
          <t>A 40918-2025</t>
        </is>
      </c>
      <c r="B547" s="1" t="n">
        <v>45897.6292824074</v>
      </c>
      <c r="C547" s="1" t="n">
        <v>45916</v>
      </c>
      <c r="D547" t="inlineStr">
        <is>
          <t>JÄMTLANDS LÄN</t>
        </is>
      </c>
      <c r="E547" t="inlineStr">
        <is>
          <t>BERG</t>
        </is>
      </c>
      <c r="G547" t="n">
        <v>1.7</v>
      </c>
      <c r="H547" t="n">
        <v>0</v>
      </c>
      <c r="I547" t="n">
        <v>0</v>
      </c>
      <c r="J547" t="n">
        <v>0</v>
      </c>
      <c r="K547" t="n">
        <v>0</v>
      </c>
      <c r="L547" t="n">
        <v>0</v>
      </c>
      <c r="M547" t="n">
        <v>0</v>
      </c>
      <c r="N547" t="n">
        <v>0</v>
      </c>
      <c r="O547" t="n">
        <v>0</v>
      </c>
      <c r="P547" t="n">
        <v>0</v>
      </c>
      <c r="Q547" t="n">
        <v>0</v>
      </c>
      <c r="R547" s="2" t="inlineStr"/>
    </row>
    <row r="548" ht="15" customHeight="1">
      <c r="A548" t="inlineStr">
        <is>
          <t>A 40617-2025</t>
        </is>
      </c>
      <c r="B548" s="1" t="n">
        <v>45896.58326388889</v>
      </c>
      <c r="C548" s="1" t="n">
        <v>45916</v>
      </c>
      <c r="D548" t="inlineStr">
        <is>
          <t>JÄMTLANDS LÄN</t>
        </is>
      </c>
      <c r="E548" t="inlineStr">
        <is>
          <t>BERG</t>
        </is>
      </c>
      <c r="G548" t="n">
        <v>3.5</v>
      </c>
      <c r="H548" t="n">
        <v>0</v>
      </c>
      <c r="I548" t="n">
        <v>0</v>
      </c>
      <c r="J548" t="n">
        <v>0</v>
      </c>
      <c r="K548" t="n">
        <v>0</v>
      </c>
      <c r="L548" t="n">
        <v>0</v>
      </c>
      <c r="M548" t="n">
        <v>0</v>
      </c>
      <c r="N548" t="n">
        <v>0</v>
      </c>
      <c r="O548" t="n">
        <v>0</v>
      </c>
      <c r="P548" t="n">
        <v>0</v>
      </c>
      <c r="Q548" t="n">
        <v>0</v>
      </c>
      <c r="R548" s="2" t="inlineStr"/>
    </row>
    <row r="549" ht="15" customHeight="1">
      <c r="A549" t="inlineStr">
        <is>
          <t>A 40708-2025</t>
        </is>
      </c>
      <c r="B549" s="1" t="n">
        <v>45897</v>
      </c>
      <c r="C549" s="1" t="n">
        <v>45916</v>
      </c>
      <c r="D549" t="inlineStr">
        <is>
          <t>JÄMTLANDS LÄN</t>
        </is>
      </c>
      <c r="E549" t="inlineStr">
        <is>
          <t>BERG</t>
        </is>
      </c>
      <c r="G549" t="n">
        <v>6.6</v>
      </c>
      <c r="H549" t="n">
        <v>0</v>
      </c>
      <c r="I549" t="n">
        <v>0</v>
      </c>
      <c r="J549" t="n">
        <v>0</v>
      </c>
      <c r="K549" t="n">
        <v>0</v>
      </c>
      <c r="L549" t="n">
        <v>0</v>
      </c>
      <c r="M549" t="n">
        <v>0</v>
      </c>
      <c r="N549" t="n">
        <v>0</v>
      </c>
      <c r="O549" t="n">
        <v>0</v>
      </c>
      <c r="P549" t="n">
        <v>0</v>
      </c>
      <c r="Q549" t="n">
        <v>0</v>
      </c>
      <c r="R549" s="2" t="inlineStr"/>
    </row>
    <row r="550" ht="15" customHeight="1">
      <c r="A550" t="inlineStr">
        <is>
          <t>A 40737-2025</t>
        </is>
      </c>
      <c r="B550" s="1" t="n">
        <v>45897.36572916667</v>
      </c>
      <c r="C550" s="1" t="n">
        <v>45916</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19258-2025</t>
        </is>
      </c>
      <c r="B551" s="1" t="n">
        <v>45769.49987268518</v>
      </c>
      <c r="C551" s="1" t="n">
        <v>45916</v>
      </c>
      <c r="D551" t="inlineStr">
        <is>
          <t>JÄMTLANDS LÄN</t>
        </is>
      </c>
      <c r="E551" t="inlineStr">
        <is>
          <t>BERG</t>
        </is>
      </c>
      <c r="G551" t="n">
        <v>10.9</v>
      </c>
      <c r="H551" t="n">
        <v>0</v>
      </c>
      <c r="I551" t="n">
        <v>0</v>
      </c>
      <c r="J551" t="n">
        <v>0</v>
      </c>
      <c r="K551" t="n">
        <v>0</v>
      </c>
      <c r="L551" t="n">
        <v>0</v>
      </c>
      <c r="M551" t="n">
        <v>0</v>
      </c>
      <c r="N551" t="n">
        <v>0</v>
      </c>
      <c r="O551" t="n">
        <v>0</v>
      </c>
      <c r="P551" t="n">
        <v>0</v>
      </c>
      <c r="Q551" t="n">
        <v>0</v>
      </c>
      <c r="R551" s="2" t="inlineStr"/>
    </row>
    <row r="552" ht="15" customHeight="1">
      <c r="A552" t="inlineStr">
        <is>
          <t>A 40873-2025</t>
        </is>
      </c>
      <c r="B552" s="1" t="n">
        <v>45897.5744675926</v>
      </c>
      <c r="C552" s="1" t="n">
        <v>45916</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50706-2023</t>
        </is>
      </c>
      <c r="B553" s="1" t="n">
        <v>45217.55832175926</v>
      </c>
      <c r="C553" s="1" t="n">
        <v>45916</v>
      </c>
      <c r="D553" t="inlineStr">
        <is>
          <t>JÄMTLANDS LÄN</t>
        </is>
      </c>
      <c r="E553" t="inlineStr">
        <is>
          <t>BERG</t>
        </is>
      </c>
      <c r="G553" t="n">
        <v>4.1</v>
      </c>
      <c r="H553" t="n">
        <v>0</v>
      </c>
      <c r="I553" t="n">
        <v>0</v>
      </c>
      <c r="J553" t="n">
        <v>0</v>
      </c>
      <c r="K553" t="n">
        <v>0</v>
      </c>
      <c r="L553" t="n">
        <v>0</v>
      </c>
      <c r="M553" t="n">
        <v>0</v>
      </c>
      <c r="N553" t="n">
        <v>0</v>
      </c>
      <c r="O553" t="n">
        <v>0</v>
      </c>
      <c r="P553" t="n">
        <v>0</v>
      </c>
      <c r="Q553" t="n">
        <v>0</v>
      </c>
      <c r="R553" s="2" t="inlineStr"/>
    </row>
    <row r="554" ht="15" customHeight="1">
      <c r="A554" t="inlineStr">
        <is>
          <t>A 29087-2024</t>
        </is>
      </c>
      <c r="B554" s="1" t="n">
        <v>45481.92946759259</v>
      </c>
      <c r="C554" s="1" t="n">
        <v>45916</v>
      </c>
      <c r="D554" t="inlineStr">
        <is>
          <t>JÄMTLANDS LÄN</t>
        </is>
      </c>
      <c r="E554" t="inlineStr">
        <is>
          <t>BERG</t>
        </is>
      </c>
      <c r="G554" t="n">
        <v>10.7</v>
      </c>
      <c r="H554" t="n">
        <v>0</v>
      </c>
      <c r="I554" t="n">
        <v>0</v>
      </c>
      <c r="J554" t="n">
        <v>0</v>
      </c>
      <c r="K554" t="n">
        <v>0</v>
      </c>
      <c r="L554" t="n">
        <v>0</v>
      </c>
      <c r="M554" t="n">
        <v>0</v>
      </c>
      <c r="N554" t="n">
        <v>0</v>
      </c>
      <c r="O554" t="n">
        <v>0</v>
      </c>
      <c r="P554" t="n">
        <v>0</v>
      </c>
      <c r="Q554" t="n">
        <v>0</v>
      </c>
      <c r="R554" s="2" t="inlineStr"/>
    </row>
    <row r="555" ht="15" customHeight="1">
      <c r="A555" t="inlineStr">
        <is>
          <t>A 16022-2025</t>
        </is>
      </c>
      <c r="B555" s="1" t="n">
        <v>45749.60973379629</v>
      </c>
      <c r="C555" s="1" t="n">
        <v>45916</v>
      </c>
      <c r="D555" t="inlineStr">
        <is>
          <t>JÄMTLANDS LÄN</t>
        </is>
      </c>
      <c r="E555" t="inlineStr">
        <is>
          <t>BERG</t>
        </is>
      </c>
      <c r="G555" t="n">
        <v>2</v>
      </c>
      <c r="H555" t="n">
        <v>0</v>
      </c>
      <c r="I555" t="n">
        <v>0</v>
      </c>
      <c r="J555" t="n">
        <v>0</v>
      </c>
      <c r="K555" t="n">
        <v>0</v>
      </c>
      <c r="L555" t="n">
        <v>0</v>
      </c>
      <c r="M555" t="n">
        <v>0</v>
      </c>
      <c r="N555" t="n">
        <v>0</v>
      </c>
      <c r="O555" t="n">
        <v>0</v>
      </c>
      <c r="P555" t="n">
        <v>0</v>
      </c>
      <c r="Q555" t="n">
        <v>0</v>
      </c>
      <c r="R555" s="2" t="inlineStr"/>
    </row>
    <row r="556" ht="15" customHeight="1">
      <c r="A556" t="inlineStr">
        <is>
          <t>A 35360-2025</t>
        </is>
      </c>
      <c r="B556" s="1" t="n">
        <v>45854.66877314815</v>
      </c>
      <c r="C556" s="1" t="n">
        <v>45916</v>
      </c>
      <c r="D556" t="inlineStr">
        <is>
          <t>JÄMTLANDS LÄN</t>
        </is>
      </c>
      <c r="E556" t="inlineStr">
        <is>
          <t>BERG</t>
        </is>
      </c>
      <c r="G556" t="n">
        <v>3.7</v>
      </c>
      <c r="H556" t="n">
        <v>0</v>
      </c>
      <c r="I556" t="n">
        <v>0</v>
      </c>
      <c r="J556" t="n">
        <v>0</v>
      </c>
      <c r="K556" t="n">
        <v>0</v>
      </c>
      <c r="L556" t="n">
        <v>0</v>
      </c>
      <c r="M556" t="n">
        <v>0</v>
      </c>
      <c r="N556" t="n">
        <v>0</v>
      </c>
      <c r="O556" t="n">
        <v>0</v>
      </c>
      <c r="P556" t="n">
        <v>0</v>
      </c>
      <c r="Q556" t="n">
        <v>0</v>
      </c>
      <c r="R556" s="2" t="inlineStr"/>
    </row>
    <row r="557" ht="15" customHeight="1">
      <c r="A557" t="inlineStr">
        <is>
          <t>A 35576-2025</t>
        </is>
      </c>
      <c r="B557" s="1" t="n">
        <v>45856.63608796296</v>
      </c>
      <c r="C557" s="1" t="n">
        <v>45916</v>
      </c>
      <c r="D557" t="inlineStr">
        <is>
          <t>JÄMTLANDS LÄN</t>
        </is>
      </c>
      <c r="E557" t="inlineStr">
        <is>
          <t>BERG</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28098-2024</t>
        </is>
      </c>
      <c r="B558" s="1" t="n">
        <v>45476.61347222222</v>
      </c>
      <c r="C558" s="1" t="n">
        <v>45916</v>
      </c>
      <c r="D558" t="inlineStr">
        <is>
          <t>JÄMTLANDS LÄN</t>
        </is>
      </c>
      <c r="E558" t="inlineStr">
        <is>
          <t>BERG</t>
        </is>
      </c>
      <c r="G558" t="n">
        <v>0.4</v>
      </c>
      <c r="H558" t="n">
        <v>0</v>
      </c>
      <c r="I558" t="n">
        <v>0</v>
      </c>
      <c r="J558" t="n">
        <v>0</v>
      </c>
      <c r="K558" t="n">
        <v>0</v>
      </c>
      <c r="L558" t="n">
        <v>0</v>
      </c>
      <c r="M558" t="n">
        <v>0</v>
      </c>
      <c r="N558" t="n">
        <v>0</v>
      </c>
      <c r="O558" t="n">
        <v>0</v>
      </c>
      <c r="P558" t="n">
        <v>0</v>
      </c>
      <c r="Q558" t="n">
        <v>0</v>
      </c>
      <c r="R558" s="2" t="inlineStr"/>
    </row>
    <row r="559" ht="15" customHeight="1">
      <c r="A559" t="inlineStr">
        <is>
          <t>A 3625-2024</t>
        </is>
      </c>
      <c r="B559" s="1" t="n">
        <v>45320</v>
      </c>
      <c r="C559" s="1" t="n">
        <v>45916</v>
      </c>
      <c r="D559" t="inlineStr">
        <is>
          <t>JÄMTLANDS LÄN</t>
        </is>
      </c>
      <c r="E559" t="inlineStr">
        <is>
          <t>BERG</t>
        </is>
      </c>
      <c r="F559" t="inlineStr">
        <is>
          <t>SCA</t>
        </is>
      </c>
      <c r="G559" t="n">
        <v>23.7</v>
      </c>
      <c r="H559" t="n">
        <v>0</v>
      </c>
      <c r="I559" t="n">
        <v>0</v>
      </c>
      <c r="J559" t="n">
        <v>0</v>
      </c>
      <c r="K559" t="n">
        <v>0</v>
      </c>
      <c r="L559" t="n">
        <v>0</v>
      </c>
      <c r="M559" t="n">
        <v>0</v>
      </c>
      <c r="N559" t="n">
        <v>0</v>
      </c>
      <c r="O559" t="n">
        <v>0</v>
      </c>
      <c r="P559" t="n">
        <v>0</v>
      </c>
      <c r="Q559" t="n">
        <v>0</v>
      </c>
      <c r="R559" s="2" t="inlineStr"/>
    </row>
    <row r="560" ht="15" customHeight="1">
      <c r="A560" t="inlineStr">
        <is>
          <t>A 12499-2021</t>
        </is>
      </c>
      <c r="B560" s="1" t="n">
        <v>44267</v>
      </c>
      <c r="C560" s="1" t="n">
        <v>45916</v>
      </c>
      <c r="D560" t="inlineStr">
        <is>
          <t>JÄMTLANDS LÄN</t>
        </is>
      </c>
      <c r="E560" t="inlineStr">
        <is>
          <t>BERG</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47099-2024</t>
        </is>
      </c>
      <c r="B561" s="1" t="n">
        <v>45586.53743055555</v>
      </c>
      <c r="C561" s="1" t="n">
        <v>45916</v>
      </c>
      <c r="D561" t="inlineStr">
        <is>
          <t>JÄMTLANDS LÄN</t>
        </is>
      </c>
      <c r="E561" t="inlineStr">
        <is>
          <t>BERG</t>
        </is>
      </c>
      <c r="G561" t="n">
        <v>5.9</v>
      </c>
      <c r="H561" t="n">
        <v>0</v>
      </c>
      <c r="I561" t="n">
        <v>0</v>
      </c>
      <c r="J561" t="n">
        <v>0</v>
      </c>
      <c r="K561" t="n">
        <v>0</v>
      </c>
      <c r="L561" t="n">
        <v>0</v>
      </c>
      <c r="M561" t="n">
        <v>0</v>
      </c>
      <c r="N561" t="n">
        <v>0</v>
      </c>
      <c r="O561" t="n">
        <v>0</v>
      </c>
      <c r="P561" t="n">
        <v>0</v>
      </c>
      <c r="Q561" t="n">
        <v>0</v>
      </c>
      <c r="R561" s="2" t="inlineStr"/>
    </row>
    <row r="562" ht="15" customHeight="1">
      <c r="A562" t="inlineStr">
        <is>
          <t>A 18408-2025</t>
        </is>
      </c>
      <c r="B562" s="1" t="n">
        <v>45762.61128472222</v>
      </c>
      <c r="C562" s="1" t="n">
        <v>45916</v>
      </c>
      <c r="D562" t="inlineStr">
        <is>
          <t>JÄMTLANDS LÄN</t>
        </is>
      </c>
      <c r="E562" t="inlineStr">
        <is>
          <t>BERG</t>
        </is>
      </c>
      <c r="G562" t="n">
        <v>5.1</v>
      </c>
      <c r="H562" t="n">
        <v>0</v>
      </c>
      <c r="I562" t="n">
        <v>0</v>
      </c>
      <c r="J562" t="n">
        <v>0</v>
      </c>
      <c r="K562" t="n">
        <v>0</v>
      </c>
      <c r="L562" t="n">
        <v>0</v>
      </c>
      <c r="M562" t="n">
        <v>0</v>
      </c>
      <c r="N562" t="n">
        <v>0</v>
      </c>
      <c r="O562" t="n">
        <v>0</v>
      </c>
      <c r="P562" t="n">
        <v>0</v>
      </c>
      <c r="Q562" t="n">
        <v>0</v>
      </c>
      <c r="R562" s="2" t="inlineStr"/>
    </row>
    <row r="563" ht="15" customHeight="1">
      <c r="A563" t="inlineStr">
        <is>
          <t>A 37488-2025</t>
        </is>
      </c>
      <c r="B563" s="1" t="n">
        <v>45877.63582175926</v>
      </c>
      <c r="C563" s="1" t="n">
        <v>45916</v>
      </c>
      <c r="D563" t="inlineStr">
        <is>
          <t>JÄMTLANDS LÄN</t>
        </is>
      </c>
      <c r="E563" t="inlineStr">
        <is>
          <t>BERG</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35538-2025</t>
        </is>
      </c>
      <c r="B564" s="1" t="n">
        <v>45856.4552662037</v>
      </c>
      <c r="C564" s="1" t="n">
        <v>45916</v>
      </c>
      <c r="D564" t="inlineStr">
        <is>
          <t>JÄMTLANDS LÄN</t>
        </is>
      </c>
      <c r="E564" t="inlineStr">
        <is>
          <t>BERG</t>
        </is>
      </c>
      <c r="F564" t="inlineStr">
        <is>
          <t>Sveaskog</t>
        </is>
      </c>
      <c r="G564" t="n">
        <v>9.6</v>
      </c>
      <c r="H564" t="n">
        <v>0</v>
      </c>
      <c r="I564" t="n">
        <v>0</v>
      </c>
      <c r="J564" t="n">
        <v>0</v>
      </c>
      <c r="K564" t="n">
        <v>0</v>
      </c>
      <c r="L564" t="n">
        <v>0</v>
      </c>
      <c r="M564" t="n">
        <v>0</v>
      </c>
      <c r="N564" t="n">
        <v>0</v>
      </c>
      <c r="O564" t="n">
        <v>0</v>
      </c>
      <c r="P564" t="n">
        <v>0</v>
      </c>
      <c r="Q564" t="n">
        <v>0</v>
      </c>
      <c r="R564" s="2" t="inlineStr"/>
    </row>
    <row r="565" ht="15" customHeight="1">
      <c r="A565" t="inlineStr">
        <is>
          <t>A 41265-2025</t>
        </is>
      </c>
      <c r="B565" s="1" t="n">
        <v>45898.6153587963</v>
      </c>
      <c r="C565" s="1" t="n">
        <v>45916</v>
      </c>
      <c r="D565" t="inlineStr">
        <is>
          <t>JÄMTLANDS LÄN</t>
        </is>
      </c>
      <c r="E565" t="inlineStr">
        <is>
          <t>BERG</t>
        </is>
      </c>
      <c r="G565" t="n">
        <v>1.6</v>
      </c>
      <c r="H565" t="n">
        <v>0</v>
      </c>
      <c r="I565" t="n">
        <v>0</v>
      </c>
      <c r="J565" t="n">
        <v>0</v>
      </c>
      <c r="K565" t="n">
        <v>0</v>
      </c>
      <c r="L565" t="n">
        <v>0</v>
      </c>
      <c r="M565" t="n">
        <v>0</v>
      </c>
      <c r="N565" t="n">
        <v>0</v>
      </c>
      <c r="O565" t="n">
        <v>0</v>
      </c>
      <c r="P565" t="n">
        <v>0</v>
      </c>
      <c r="Q565" t="n">
        <v>0</v>
      </c>
      <c r="R565" s="2" t="inlineStr"/>
    </row>
    <row r="566" ht="15" customHeight="1">
      <c r="A566" t="inlineStr">
        <is>
          <t>A 41295-2025</t>
        </is>
      </c>
      <c r="B566" s="1" t="n">
        <v>45898.65660879629</v>
      </c>
      <c r="C566" s="1" t="n">
        <v>45916</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14820-2025</t>
        </is>
      </c>
      <c r="B567" s="1" t="n">
        <v>45743.35984953704</v>
      </c>
      <c r="C567" s="1" t="n">
        <v>45916</v>
      </c>
      <c r="D567" t="inlineStr">
        <is>
          <t>JÄMTLANDS LÄN</t>
        </is>
      </c>
      <c r="E567" t="inlineStr">
        <is>
          <t>BERG</t>
        </is>
      </c>
      <c r="G567" t="n">
        <v>1.3</v>
      </c>
      <c r="H567" t="n">
        <v>0</v>
      </c>
      <c r="I567" t="n">
        <v>0</v>
      </c>
      <c r="J567" t="n">
        <v>0</v>
      </c>
      <c r="K567" t="n">
        <v>0</v>
      </c>
      <c r="L567" t="n">
        <v>0</v>
      </c>
      <c r="M567" t="n">
        <v>0</v>
      </c>
      <c r="N567" t="n">
        <v>0</v>
      </c>
      <c r="O567" t="n">
        <v>0</v>
      </c>
      <c r="P567" t="n">
        <v>0</v>
      </c>
      <c r="Q567" t="n">
        <v>0</v>
      </c>
      <c r="R567" s="2" t="inlineStr"/>
    </row>
    <row r="568" ht="15" customHeight="1">
      <c r="A568" t="inlineStr">
        <is>
          <t>A 41247-2025</t>
        </is>
      </c>
      <c r="B568" s="1" t="n">
        <v>45898.60109953704</v>
      </c>
      <c r="C568" s="1" t="n">
        <v>45916</v>
      </c>
      <c r="D568" t="inlineStr">
        <is>
          <t>JÄMTLANDS LÄN</t>
        </is>
      </c>
      <c r="E568" t="inlineStr">
        <is>
          <t>BERG</t>
        </is>
      </c>
      <c r="G568" t="n">
        <v>17.5</v>
      </c>
      <c r="H568" t="n">
        <v>0</v>
      </c>
      <c r="I568" t="n">
        <v>0</v>
      </c>
      <c r="J568" t="n">
        <v>0</v>
      </c>
      <c r="K568" t="n">
        <v>0</v>
      </c>
      <c r="L568" t="n">
        <v>0</v>
      </c>
      <c r="M568" t="n">
        <v>0</v>
      </c>
      <c r="N568" t="n">
        <v>0</v>
      </c>
      <c r="O568" t="n">
        <v>0</v>
      </c>
      <c r="P568" t="n">
        <v>0</v>
      </c>
      <c r="Q568" t="n">
        <v>0</v>
      </c>
      <c r="R568" s="2" t="inlineStr"/>
    </row>
    <row r="569" ht="15" customHeight="1">
      <c r="A569" t="inlineStr">
        <is>
          <t>A 41263-2025</t>
        </is>
      </c>
      <c r="B569" s="1" t="n">
        <v>45898.61517361111</v>
      </c>
      <c r="C569" s="1" t="n">
        <v>45916</v>
      </c>
      <c r="D569" t="inlineStr">
        <is>
          <t>JÄMTLANDS LÄN</t>
        </is>
      </c>
      <c r="E569" t="inlineStr">
        <is>
          <t>BERG</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35684-2025</t>
        </is>
      </c>
      <c r="B570" s="1" t="n">
        <v>45859.88079861111</v>
      </c>
      <c r="C570" s="1" t="n">
        <v>45916</v>
      </c>
      <c r="D570" t="inlineStr">
        <is>
          <t>JÄMTLANDS LÄN</t>
        </is>
      </c>
      <c r="E570" t="inlineStr">
        <is>
          <t>BERG</t>
        </is>
      </c>
      <c r="G570" t="n">
        <v>6.1</v>
      </c>
      <c r="H570" t="n">
        <v>0</v>
      </c>
      <c r="I570" t="n">
        <v>0</v>
      </c>
      <c r="J570" t="n">
        <v>0</v>
      </c>
      <c r="K570" t="n">
        <v>0</v>
      </c>
      <c r="L570" t="n">
        <v>0</v>
      </c>
      <c r="M570" t="n">
        <v>0</v>
      </c>
      <c r="N570" t="n">
        <v>0</v>
      </c>
      <c r="O570" t="n">
        <v>0</v>
      </c>
      <c r="P570" t="n">
        <v>0</v>
      </c>
      <c r="Q570" t="n">
        <v>0</v>
      </c>
      <c r="R570" s="2" t="inlineStr"/>
    </row>
    <row r="571" ht="15" customHeight="1">
      <c r="A571" t="inlineStr">
        <is>
          <t>A 35691-2025</t>
        </is>
      </c>
      <c r="B571" s="1" t="n">
        <v>45860.344375</v>
      </c>
      <c r="C571" s="1" t="n">
        <v>45916</v>
      </c>
      <c r="D571" t="inlineStr">
        <is>
          <t>JÄMTLANDS LÄN</t>
        </is>
      </c>
      <c r="E571" t="inlineStr">
        <is>
          <t>BERG</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42003-2025</t>
        </is>
      </c>
      <c r="B572" s="1" t="n">
        <v>45903.55403935185</v>
      </c>
      <c r="C572" s="1" t="n">
        <v>45916</v>
      </c>
      <c r="D572" t="inlineStr">
        <is>
          <t>JÄMTLANDS LÄN</t>
        </is>
      </c>
      <c r="E572" t="inlineStr">
        <is>
          <t>BERG</t>
        </is>
      </c>
      <c r="F572" t="inlineStr">
        <is>
          <t>Övriga statliga verk och myndigheter</t>
        </is>
      </c>
      <c r="G572" t="n">
        <v>10.5</v>
      </c>
      <c r="H572" t="n">
        <v>0</v>
      </c>
      <c r="I572" t="n">
        <v>0</v>
      </c>
      <c r="J572" t="n">
        <v>0</v>
      </c>
      <c r="K572" t="n">
        <v>0</v>
      </c>
      <c r="L572" t="n">
        <v>0</v>
      </c>
      <c r="M572" t="n">
        <v>0</v>
      </c>
      <c r="N572" t="n">
        <v>0</v>
      </c>
      <c r="O572" t="n">
        <v>0</v>
      </c>
      <c r="P572" t="n">
        <v>0</v>
      </c>
      <c r="Q572" t="n">
        <v>0</v>
      </c>
      <c r="R572" s="2" t="inlineStr"/>
    </row>
    <row r="573" ht="15" customHeight="1">
      <c r="A573" t="inlineStr">
        <is>
          <t>A 41930-2025</t>
        </is>
      </c>
      <c r="B573" s="1" t="n">
        <v>45903.43454861111</v>
      </c>
      <c r="C573" s="1" t="n">
        <v>45916</v>
      </c>
      <c r="D573" t="inlineStr">
        <is>
          <t>JÄMTLANDS LÄN</t>
        </is>
      </c>
      <c r="E573" t="inlineStr">
        <is>
          <t>BERG</t>
        </is>
      </c>
      <c r="F573" t="inlineStr">
        <is>
          <t>Övriga statliga verk och myndigheter</t>
        </is>
      </c>
      <c r="G573" t="n">
        <v>2.4</v>
      </c>
      <c r="H573" t="n">
        <v>0</v>
      </c>
      <c r="I573" t="n">
        <v>0</v>
      </c>
      <c r="J573" t="n">
        <v>0</v>
      </c>
      <c r="K573" t="n">
        <v>0</v>
      </c>
      <c r="L573" t="n">
        <v>0</v>
      </c>
      <c r="M573" t="n">
        <v>0</v>
      </c>
      <c r="N573" t="n">
        <v>0</v>
      </c>
      <c r="O573" t="n">
        <v>0</v>
      </c>
      <c r="P573" t="n">
        <v>0</v>
      </c>
      <c r="Q573" t="n">
        <v>0</v>
      </c>
      <c r="R573" s="2" t="inlineStr"/>
    </row>
    <row r="574" ht="15" customHeight="1">
      <c r="A574" t="inlineStr">
        <is>
          <t>A 42101-2025</t>
        </is>
      </c>
      <c r="B574" s="1" t="n">
        <v>45903.80413194445</v>
      </c>
      <c r="C574" s="1" t="n">
        <v>45916</v>
      </c>
      <c r="D574" t="inlineStr">
        <is>
          <t>JÄMTLANDS LÄN</t>
        </is>
      </c>
      <c r="E574" t="inlineStr">
        <is>
          <t>BERG</t>
        </is>
      </c>
      <c r="G574" t="n">
        <v>2</v>
      </c>
      <c r="H574" t="n">
        <v>0</v>
      </c>
      <c r="I574" t="n">
        <v>0</v>
      </c>
      <c r="J574" t="n">
        <v>0</v>
      </c>
      <c r="K574" t="n">
        <v>0</v>
      </c>
      <c r="L574" t="n">
        <v>0</v>
      </c>
      <c r="M574" t="n">
        <v>0</v>
      </c>
      <c r="N574" t="n">
        <v>0</v>
      </c>
      <c r="O574" t="n">
        <v>0</v>
      </c>
      <c r="P574" t="n">
        <v>0</v>
      </c>
      <c r="Q574" t="n">
        <v>0</v>
      </c>
      <c r="R574" s="2" t="inlineStr"/>
    </row>
    <row r="575" ht="15" customHeight="1">
      <c r="A575" t="inlineStr">
        <is>
          <t>A 35681-2025</t>
        </is>
      </c>
      <c r="B575" s="1" t="n">
        <v>45859.77703703703</v>
      </c>
      <c r="C575" s="1" t="n">
        <v>45916</v>
      </c>
      <c r="D575" t="inlineStr">
        <is>
          <t>JÄMTLANDS LÄN</t>
        </is>
      </c>
      <c r="E575" t="inlineStr">
        <is>
          <t>BERG</t>
        </is>
      </c>
      <c r="G575" t="n">
        <v>27</v>
      </c>
      <c r="H575" t="n">
        <v>0</v>
      </c>
      <c r="I575" t="n">
        <v>0</v>
      </c>
      <c r="J575" t="n">
        <v>0</v>
      </c>
      <c r="K575" t="n">
        <v>0</v>
      </c>
      <c r="L575" t="n">
        <v>0</v>
      </c>
      <c r="M575" t="n">
        <v>0</v>
      </c>
      <c r="N575" t="n">
        <v>0</v>
      </c>
      <c r="O575" t="n">
        <v>0</v>
      </c>
      <c r="P575" t="n">
        <v>0</v>
      </c>
      <c r="Q575" t="n">
        <v>0</v>
      </c>
      <c r="R575" s="2" t="inlineStr"/>
    </row>
    <row r="576" ht="15" customHeight="1">
      <c r="A576" t="inlineStr">
        <is>
          <t>A 35683-2025</t>
        </is>
      </c>
      <c r="B576" s="1" t="n">
        <v>45859</v>
      </c>
      <c r="C576" s="1" t="n">
        <v>45916</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41997-2025</t>
        </is>
      </c>
      <c r="B577" s="1" t="n">
        <v>45903.55162037037</v>
      </c>
      <c r="C577" s="1" t="n">
        <v>45916</v>
      </c>
      <c r="D577" t="inlineStr">
        <is>
          <t>JÄMTLANDS LÄN</t>
        </is>
      </c>
      <c r="E577" t="inlineStr">
        <is>
          <t>BERG</t>
        </is>
      </c>
      <c r="F577" t="inlineStr">
        <is>
          <t>Övriga statliga verk och myndigheter</t>
        </is>
      </c>
      <c r="G577" t="n">
        <v>2.2</v>
      </c>
      <c r="H577" t="n">
        <v>0</v>
      </c>
      <c r="I577" t="n">
        <v>0</v>
      </c>
      <c r="J577" t="n">
        <v>0</v>
      </c>
      <c r="K577" t="n">
        <v>0</v>
      </c>
      <c r="L577" t="n">
        <v>0</v>
      </c>
      <c r="M577" t="n">
        <v>0</v>
      </c>
      <c r="N577" t="n">
        <v>0</v>
      </c>
      <c r="O577" t="n">
        <v>0</v>
      </c>
      <c r="P577" t="n">
        <v>0</v>
      </c>
      <c r="Q577" t="n">
        <v>0</v>
      </c>
      <c r="R577" s="2" t="inlineStr"/>
    </row>
    <row r="578" ht="15" customHeight="1">
      <c r="A578" t="inlineStr">
        <is>
          <t>A 1495-2025</t>
        </is>
      </c>
      <c r="B578" s="1" t="n">
        <v>45670.40652777778</v>
      </c>
      <c r="C578" s="1" t="n">
        <v>45916</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42415-2025</t>
        </is>
      </c>
      <c r="B579" s="1" t="n">
        <v>45905.39195601852</v>
      </c>
      <c r="C579" s="1" t="n">
        <v>45916</v>
      </c>
      <c r="D579" t="inlineStr">
        <is>
          <t>JÄMTLANDS LÄN</t>
        </is>
      </c>
      <c r="E579" t="inlineStr">
        <is>
          <t>BERG</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34367-2024</t>
        </is>
      </c>
      <c r="B580" s="1" t="n">
        <v>45525.38040509259</v>
      </c>
      <c r="C580" s="1" t="n">
        <v>45916</v>
      </c>
      <c r="D580" t="inlineStr">
        <is>
          <t>JÄMTLANDS LÄN</t>
        </is>
      </c>
      <c r="E580" t="inlineStr">
        <is>
          <t>BERG</t>
        </is>
      </c>
      <c r="G580" t="n">
        <v>0.4</v>
      </c>
      <c r="H580" t="n">
        <v>0</v>
      </c>
      <c r="I580" t="n">
        <v>0</v>
      </c>
      <c r="J580" t="n">
        <v>0</v>
      </c>
      <c r="K580" t="n">
        <v>0</v>
      </c>
      <c r="L580" t="n">
        <v>0</v>
      </c>
      <c r="M580" t="n">
        <v>0</v>
      </c>
      <c r="N580" t="n">
        <v>0</v>
      </c>
      <c r="O580" t="n">
        <v>0</v>
      </c>
      <c r="P580" t="n">
        <v>0</v>
      </c>
      <c r="Q580" t="n">
        <v>0</v>
      </c>
      <c r="R580" s="2" t="inlineStr"/>
    </row>
    <row r="581" ht="15" customHeight="1">
      <c r="A581" t="inlineStr">
        <is>
          <t>A 34369-2024</t>
        </is>
      </c>
      <c r="B581" s="1" t="n">
        <v>45525.38228009259</v>
      </c>
      <c r="C581" s="1" t="n">
        <v>45916</v>
      </c>
      <c r="D581" t="inlineStr">
        <is>
          <t>JÄMTLANDS LÄN</t>
        </is>
      </c>
      <c r="E581" t="inlineStr">
        <is>
          <t>BERG</t>
        </is>
      </c>
      <c r="G581" t="n">
        <v>0.6</v>
      </c>
      <c r="H581" t="n">
        <v>0</v>
      </c>
      <c r="I581" t="n">
        <v>0</v>
      </c>
      <c r="J581" t="n">
        <v>0</v>
      </c>
      <c r="K581" t="n">
        <v>0</v>
      </c>
      <c r="L581" t="n">
        <v>0</v>
      </c>
      <c r="M581" t="n">
        <v>0</v>
      </c>
      <c r="N581" t="n">
        <v>0</v>
      </c>
      <c r="O581" t="n">
        <v>0</v>
      </c>
      <c r="P581" t="n">
        <v>0</v>
      </c>
      <c r="Q581" t="n">
        <v>0</v>
      </c>
      <c r="R581" s="2" t="inlineStr"/>
    </row>
    <row r="582" ht="15" customHeight="1">
      <c r="A582" t="inlineStr">
        <is>
          <t>A 42378-2025</t>
        </is>
      </c>
      <c r="B582" s="1" t="n">
        <v>45905.34423611111</v>
      </c>
      <c r="C582" s="1" t="n">
        <v>45916</v>
      </c>
      <c r="D582" t="inlineStr">
        <is>
          <t>JÄMTLANDS LÄN</t>
        </is>
      </c>
      <c r="E582" t="inlineStr">
        <is>
          <t>BERG</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40266-2025</t>
        </is>
      </c>
      <c r="B583" s="1" t="n">
        <v>45895.34478009259</v>
      </c>
      <c r="C583" s="1" t="n">
        <v>45916</v>
      </c>
      <c r="D583" t="inlineStr">
        <is>
          <t>JÄMTLANDS LÄN</t>
        </is>
      </c>
      <c r="E583" t="inlineStr">
        <is>
          <t>BERG</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37086-2024</t>
        </is>
      </c>
      <c r="B584" s="1" t="n">
        <v>45539.49776620371</v>
      </c>
      <c r="C584" s="1" t="n">
        <v>45916</v>
      </c>
      <c r="D584" t="inlineStr">
        <is>
          <t>JÄMTLANDS LÄN</t>
        </is>
      </c>
      <c r="E584" t="inlineStr">
        <is>
          <t>BERG</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42439-2025</t>
        </is>
      </c>
      <c r="B585" s="1" t="n">
        <v>45905.42969907408</v>
      </c>
      <c r="C585" s="1" t="n">
        <v>45916</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40339-2025</t>
        </is>
      </c>
      <c r="B586" s="1" t="n">
        <v>45895</v>
      </c>
      <c r="C586" s="1" t="n">
        <v>45916</v>
      </c>
      <c r="D586" t="inlineStr">
        <is>
          <t>JÄMTLANDS LÄN</t>
        </is>
      </c>
      <c r="E586" t="inlineStr">
        <is>
          <t>BERG</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166-2024</t>
        </is>
      </c>
      <c r="B587" s="1" t="n">
        <v>45294</v>
      </c>
      <c r="C587" s="1" t="n">
        <v>45916</v>
      </c>
      <c r="D587" t="inlineStr">
        <is>
          <t>JÄMTLANDS LÄN</t>
        </is>
      </c>
      <c r="E587" t="inlineStr">
        <is>
          <t>BERG</t>
        </is>
      </c>
      <c r="F587" t="inlineStr">
        <is>
          <t>Kyrkan</t>
        </is>
      </c>
      <c r="G587" t="n">
        <v>1.3</v>
      </c>
      <c r="H587" t="n">
        <v>0</v>
      </c>
      <c r="I587" t="n">
        <v>0</v>
      </c>
      <c r="J587" t="n">
        <v>0</v>
      </c>
      <c r="K587" t="n">
        <v>0</v>
      </c>
      <c r="L587" t="n">
        <v>0</v>
      </c>
      <c r="M587" t="n">
        <v>0</v>
      </c>
      <c r="N587" t="n">
        <v>0</v>
      </c>
      <c r="O587" t="n">
        <v>0</v>
      </c>
      <c r="P587" t="n">
        <v>0</v>
      </c>
      <c r="Q587" t="n">
        <v>0</v>
      </c>
      <c r="R587" s="2" t="inlineStr"/>
    </row>
    <row r="588" ht="15" customHeight="1">
      <c r="A588" t="inlineStr">
        <is>
          <t>A 40340-2025</t>
        </is>
      </c>
      <c r="B588" s="1" t="n">
        <v>45895.46922453704</v>
      </c>
      <c r="C588" s="1" t="n">
        <v>45916</v>
      </c>
      <c r="D588" t="inlineStr">
        <is>
          <t>JÄMTLANDS LÄN</t>
        </is>
      </c>
      <c r="E588" t="inlineStr">
        <is>
          <t>BERG</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3964-2025</t>
        </is>
      </c>
      <c r="B589" s="1" t="n">
        <v>45684.50761574074</v>
      </c>
      <c r="C589" s="1" t="n">
        <v>45916</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47982-2022</t>
        </is>
      </c>
      <c r="B590" s="1" t="n">
        <v>44853</v>
      </c>
      <c r="C590" s="1" t="n">
        <v>45916</v>
      </c>
      <c r="D590" t="inlineStr">
        <is>
          <t>JÄMTLANDS LÄN</t>
        </is>
      </c>
      <c r="E590" t="inlineStr">
        <is>
          <t>BERG</t>
        </is>
      </c>
      <c r="G590" t="n">
        <v>5.1</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45916</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7021-2025</t>
        </is>
      </c>
      <c r="B592" s="1" t="n">
        <v>45701.61520833334</v>
      </c>
      <c r="C592" s="1" t="n">
        <v>45916</v>
      </c>
      <c r="D592" t="inlineStr">
        <is>
          <t>JÄMTLANDS LÄN</t>
        </is>
      </c>
      <c r="E592" t="inlineStr">
        <is>
          <t>BERG</t>
        </is>
      </c>
      <c r="G592" t="n">
        <v>4.2</v>
      </c>
      <c r="H592" t="n">
        <v>0</v>
      </c>
      <c r="I592" t="n">
        <v>0</v>
      </c>
      <c r="J592" t="n">
        <v>0</v>
      </c>
      <c r="K592" t="n">
        <v>0</v>
      </c>
      <c r="L592" t="n">
        <v>0</v>
      </c>
      <c r="M592" t="n">
        <v>0</v>
      </c>
      <c r="N592" t="n">
        <v>0</v>
      </c>
      <c r="O592" t="n">
        <v>0</v>
      </c>
      <c r="P592" t="n">
        <v>0</v>
      </c>
      <c r="Q592" t="n">
        <v>0</v>
      </c>
      <c r="R592" s="2" t="inlineStr"/>
    </row>
    <row r="593" ht="15" customHeight="1">
      <c r="A593" t="inlineStr">
        <is>
          <t>A 39809-2025</t>
        </is>
      </c>
      <c r="B593" s="1" t="n">
        <v>45891</v>
      </c>
      <c r="C593" s="1" t="n">
        <v>45916</v>
      </c>
      <c r="D593" t="inlineStr">
        <is>
          <t>JÄMTLANDS LÄN</t>
        </is>
      </c>
      <c r="E593" t="inlineStr">
        <is>
          <t>BERG</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59968-2024</t>
        </is>
      </c>
      <c r="B594" s="1" t="n">
        <v>45642</v>
      </c>
      <c r="C594" s="1" t="n">
        <v>45916</v>
      </c>
      <c r="D594" t="inlineStr">
        <is>
          <t>JÄMTLANDS LÄN</t>
        </is>
      </c>
      <c r="E594" t="inlineStr">
        <is>
          <t>BERG</t>
        </is>
      </c>
      <c r="G594" t="n">
        <v>4.7</v>
      </c>
      <c r="H594" t="n">
        <v>0</v>
      </c>
      <c r="I594" t="n">
        <v>0</v>
      </c>
      <c r="J594" t="n">
        <v>0</v>
      </c>
      <c r="K594" t="n">
        <v>0</v>
      </c>
      <c r="L594" t="n">
        <v>0</v>
      </c>
      <c r="M594" t="n">
        <v>0</v>
      </c>
      <c r="N594" t="n">
        <v>0</v>
      </c>
      <c r="O594" t="n">
        <v>0</v>
      </c>
      <c r="P594" t="n">
        <v>0</v>
      </c>
      <c r="Q594" t="n">
        <v>0</v>
      </c>
      <c r="R594" s="2" t="inlineStr"/>
    </row>
    <row r="595" ht="15" customHeight="1">
      <c r="A595" t="inlineStr">
        <is>
          <t>A 19429-2025</t>
        </is>
      </c>
      <c r="B595" s="1" t="n">
        <v>45769.8025462963</v>
      </c>
      <c r="C595" s="1" t="n">
        <v>45916</v>
      </c>
      <c r="D595" t="inlineStr">
        <is>
          <t>JÄMTLANDS LÄN</t>
        </is>
      </c>
      <c r="E595" t="inlineStr">
        <is>
          <t>BERG</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22275-2022</t>
        </is>
      </c>
      <c r="B596" s="1" t="n">
        <v>44712</v>
      </c>
      <c r="C596" s="1" t="n">
        <v>45916</v>
      </c>
      <c r="D596" t="inlineStr">
        <is>
          <t>JÄMTLANDS LÄN</t>
        </is>
      </c>
      <c r="E596" t="inlineStr">
        <is>
          <t>BERG</t>
        </is>
      </c>
      <c r="G596" t="n">
        <v>2.1</v>
      </c>
      <c r="H596" t="n">
        <v>0</v>
      </c>
      <c r="I596" t="n">
        <v>0</v>
      </c>
      <c r="J596" t="n">
        <v>0</v>
      </c>
      <c r="K596" t="n">
        <v>0</v>
      </c>
      <c r="L596" t="n">
        <v>0</v>
      </c>
      <c r="M596" t="n">
        <v>0</v>
      </c>
      <c r="N596" t="n">
        <v>0</v>
      </c>
      <c r="O596" t="n">
        <v>0</v>
      </c>
      <c r="P596" t="n">
        <v>0</v>
      </c>
      <c r="Q596" t="n">
        <v>0</v>
      </c>
      <c r="R596" s="2" t="inlineStr"/>
    </row>
    <row r="597" ht="15" customHeight="1">
      <c r="A597" t="inlineStr">
        <is>
          <t>A 36142-2025</t>
        </is>
      </c>
      <c r="B597" s="1" t="n">
        <v>45866</v>
      </c>
      <c r="C597" s="1" t="n">
        <v>45916</v>
      </c>
      <c r="D597" t="inlineStr">
        <is>
          <t>JÄMTLANDS LÄN</t>
        </is>
      </c>
      <c r="E597" t="inlineStr">
        <is>
          <t>BERG</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47176-2023</t>
        </is>
      </c>
      <c r="B598" s="1" t="n">
        <v>45201.94844907407</v>
      </c>
      <c r="C598" s="1" t="n">
        <v>45916</v>
      </c>
      <c r="D598" t="inlineStr">
        <is>
          <t>JÄMTLANDS LÄN</t>
        </is>
      </c>
      <c r="E598" t="inlineStr">
        <is>
          <t>BERG</t>
        </is>
      </c>
      <c r="F598" t="inlineStr">
        <is>
          <t>SCA</t>
        </is>
      </c>
      <c r="G598" t="n">
        <v>32.3</v>
      </c>
      <c r="H598" t="n">
        <v>0</v>
      </c>
      <c r="I598" t="n">
        <v>0</v>
      </c>
      <c r="J598" t="n">
        <v>0</v>
      </c>
      <c r="K598" t="n">
        <v>0</v>
      </c>
      <c r="L598" t="n">
        <v>0</v>
      </c>
      <c r="M598" t="n">
        <v>0</v>
      </c>
      <c r="N598" t="n">
        <v>0</v>
      </c>
      <c r="O598" t="n">
        <v>0</v>
      </c>
      <c r="P598" t="n">
        <v>0</v>
      </c>
      <c r="Q598" t="n">
        <v>0</v>
      </c>
      <c r="R598" s="2" t="inlineStr"/>
    </row>
    <row r="599" ht="15" customHeight="1">
      <c r="A599" t="inlineStr">
        <is>
          <t>A 42862-2025</t>
        </is>
      </c>
      <c r="B599" s="1" t="n">
        <v>45908.61515046296</v>
      </c>
      <c r="C599" s="1" t="n">
        <v>45916</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43137-2025</t>
        </is>
      </c>
      <c r="B600" s="1" t="n">
        <v>45909.85438657407</v>
      </c>
      <c r="C600" s="1" t="n">
        <v>45916</v>
      </c>
      <c r="D600" t="inlineStr">
        <is>
          <t>JÄMTLANDS LÄN</t>
        </is>
      </c>
      <c r="E600" t="inlineStr">
        <is>
          <t>BERG</t>
        </is>
      </c>
      <c r="F600" t="inlineStr">
        <is>
          <t>Övriga statliga verk och myndigheter</t>
        </is>
      </c>
      <c r="G600" t="n">
        <v>11.6</v>
      </c>
      <c r="H600" t="n">
        <v>0</v>
      </c>
      <c r="I600" t="n">
        <v>0</v>
      </c>
      <c r="J600" t="n">
        <v>0</v>
      </c>
      <c r="K600" t="n">
        <v>0</v>
      </c>
      <c r="L600" t="n">
        <v>0</v>
      </c>
      <c r="M600" t="n">
        <v>0</v>
      </c>
      <c r="N600" t="n">
        <v>0</v>
      </c>
      <c r="O600" t="n">
        <v>0</v>
      </c>
      <c r="P600" t="n">
        <v>0</v>
      </c>
      <c r="Q600" t="n">
        <v>0</v>
      </c>
      <c r="R600" s="2" t="inlineStr"/>
    </row>
    <row r="601" ht="15" customHeight="1">
      <c r="A601" t="inlineStr">
        <is>
          <t>A 13672-2024</t>
        </is>
      </c>
      <c r="B601" s="1" t="n">
        <v>45390</v>
      </c>
      <c r="C601" s="1" t="n">
        <v>45916</v>
      </c>
      <c r="D601" t="inlineStr">
        <is>
          <t>JÄMTLANDS LÄN</t>
        </is>
      </c>
      <c r="E601" t="inlineStr">
        <is>
          <t>BERG</t>
        </is>
      </c>
      <c r="G601" t="n">
        <v>0.3</v>
      </c>
      <c r="H601" t="n">
        <v>0</v>
      </c>
      <c r="I601" t="n">
        <v>0</v>
      </c>
      <c r="J601" t="n">
        <v>0</v>
      </c>
      <c r="K601" t="n">
        <v>0</v>
      </c>
      <c r="L601" t="n">
        <v>0</v>
      </c>
      <c r="M601" t="n">
        <v>0</v>
      </c>
      <c r="N601" t="n">
        <v>0</v>
      </c>
      <c r="O601" t="n">
        <v>0</v>
      </c>
      <c r="P601" t="n">
        <v>0</v>
      </c>
      <c r="Q601" t="n">
        <v>0</v>
      </c>
      <c r="R601" s="2" t="inlineStr"/>
    </row>
    <row r="602" ht="15" customHeight="1">
      <c r="A602" t="inlineStr">
        <is>
          <t>A 4561-2024</t>
        </is>
      </c>
      <c r="B602" s="1" t="n">
        <v>45327</v>
      </c>
      <c r="C602" s="1" t="n">
        <v>45916</v>
      </c>
      <c r="D602" t="inlineStr">
        <is>
          <t>JÄMTLANDS LÄN</t>
        </is>
      </c>
      <c r="E602" t="inlineStr">
        <is>
          <t>BERG</t>
        </is>
      </c>
      <c r="G602" t="n">
        <v>7.4</v>
      </c>
      <c r="H602" t="n">
        <v>0</v>
      </c>
      <c r="I602" t="n">
        <v>0</v>
      </c>
      <c r="J602" t="n">
        <v>0</v>
      </c>
      <c r="K602" t="n">
        <v>0</v>
      </c>
      <c r="L602" t="n">
        <v>0</v>
      </c>
      <c r="M602" t="n">
        <v>0</v>
      </c>
      <c r="N602" t="n">
        <v>0</v>
      </c>
      <c r="O602" t="n">
        <v>0</v>
      </c>
      <c r="P602" t="n">
        <v>0</v>
      </c>
      <c r="Q602" t="n">
        <v>0</v>
      </c>
      <c r="R602" s="2" t="inlineStr"/>
    </row>
    <row r="603" ht="15" customHeight="1">
      <c r="A603" t="inlineStr">
        <is>
          <t>A 14190-2023</t>
        </is>
      </c>
      <c r="B603" s="1" t="n">
        <v>45009.56106481481</v>
      </c>
      <c r="C603" s="1" t="n">
        <v>45916</v>
      </c>
      <c r="D603" t="inlineStr">
        <is>
          <t>JÄMTLANDS LÄN</t>
        </is>
      </c>
      <c r="E603" t="inlineStr">
        <is>
          <t>BERG</t>
        </is>
      </c>
      <c r="G603" t="n">
        <v>3.8</v>
      </c>
      <c r="H603" t="n">
        <v>0</v>
      </c>
      <c r="I603" t="n">
        <v>0</v>
      </c>
      <c r="J603" t="n">
        <v>0</v>
      </c>
      <c r="K603" t="n">
        <v>0</v>
      </c>
      <c r="L603" t="n">
        <v>0</v>
      </c>
      <c r="M603" t="n">
        <v>0</v>
      </c>
      <c r="N603" t="n">
        <v>0</v>
      </c>
      <c r="O603" t="n">
        <v>0</v>
      </c>
      <c r="P603" t="n">
        <v>0</v>
      </c>
      <c r="Q603" t="n">
        <v>0</v>
      </c>
      <c r="R603" s="2" t="inlineStr"/>
    </row>
    <row r="604" ht="15" customHeight="1">
      <c r="A604" t="inlineStr">
        <is>
          <t>A 31079-2024</t>
        </is>
      </c>
      <c r="B604" s="1" t="n">
        <v>45502.46423611111</v>
      </c>
      <c r="C604" s="1" t="n">
        <v>45916</v>
      </c>
      <c r="D604" t="inlineStr">
        <is>
          <t>JÄMTLANDS LÄN</t>
        </is>
      </c>
      <c r="E604" t="inlineStr">
        <is>
          <t>BERG</t>
        </is>
      </c>
      <c r="G604" t="n">
        <v>2.5</v>
      </c>
      <c r="H604" t="n">
        <v>0</v>
      </c>
      <c r="I604" t="n">
        <v>0</v>
      </c>
      <c r="J604" t="n">
        <v>0</v>
      </c>
      <c r="K604" t="n">
        <v>0</v>
      </c>
      <c r="L604" t="n">
        <v>0</v>
      </c>
      <c r="M604" t="n">
        <v>0</v>
      </c>
      <c r="N604" t="n">
        <v>0</v>
      </c>
      <c r="O604" t="n">
        <v>0</v>
      </c>
      <c r="P604" t="n">
        <v>0</v>
      </c>
      <c r="Q604" t="n">
        <v>0</v>
      </c>
      <c r="R604" s="2" t="inlineStr"/>
    </row>
    <row r="605" ht="15" customHeight="1">
      <c r="A605" t="inlineStr">
        <is>
          <t>A 43015-2025</t>
        </is>
      </c>
      <c r="B605" s="1" t="n">
        <v>45909.49278935185</v>
      </c>
      <c r="C605" s="1" t="n">
        <v>45916</v>
      </c>
      <c r="D605" t="inlineStr">
        <is>
          <t>JÄMTLANDS LÄN</t>
        </is>
      </c>
      <c r="E605" t="inlineStr">
        <is>
          <t>BERG</t>
        </is>
      </c>
      <c r="G605" t="n">
        <v>1.3</v>
      </c>
      <c r="H605" t="n">
        <v>0</v>
      </c>
      <c r="I605" t="n">
        <v>0</v>
      </c>
      <c r="J605" t="n">
        <v>0</v>
      </c>
      <c r="K605" t="n">
        <v>0</v>
      </c>
      <c r="L605" t="n">
        <v>0</v>
      </c>
      <c r="M605" t="n">
        <v>0</v>
      </c>
      <c r="N605" t="n">
        <v>0</v>
      </c>
      <c r="O605" t="n">
        <v>0</v>
      </c>
      <c r="P605" t="n">
        <v>0</v>
      </c>
      <c r="Q605" t="n">
        <v>0</v>
      </c>
      <c r="R605" s="2" t="inlineStr"/>
    </row>
    <row r="606" ht="15" customHeight="1">
      <c r="A606" t="inlineStr">
        <is>
          <t>A 64487-2023</t>
        </is>
      </c>
      <c r="B606" s="1" t="n">
        <v>45280.92613425926</v>
      </c>
      <c r="C606" s="1" t="n">
        <v>45916</v>
      </c>
      <c r="D606" t="inlineStr">
        <is>
          <t>JÄMTLANDS LÄN</t>
        </is>
      </c>
      <c r="E606" t="inlineStr">
        <is>
          <t>BERG</t>
        </is>
      </c>
      <c r="F606" t="inlineStr">
        <is>
          <t>Övriga Aktiebolag</t>
        </is>
      </c>
      <c r="G606" t="n">
        <v>7.6</v>
      </c>
      <c r="H606" t="n">
        <v>0</v>
      </c>
      <c r="I606" t="n">
        <v>0</v>
      </c>
      <c r="J606" t="n">
        <v>0</v>
      </c>
      <c r="K606" t="n">
        <v>0</v>
      </c>
      <c r="L606" t="n">
        <v>0</v>
      </c>
      <c r="M606" t="n">
        <v>0</v>
      </c>
      <c r="N606" t="n">
        <v>0</v>
      </c>
      <c r="O606" t="n">
        <v>0</v>
      </c>
      <c r="P606" t="n">
        <v>0</v>
      </c>
      <c r="Q606" t="n">
        <v>0</v>
      </c>
      <c r="R606" s="2" t="inlineStr"/>
    </row>
    <row r="607" ht="15" customHeight="1">
      <c r="A607" t="inlineStr">
        <is>
          <t>A 64489-2023</t>
        </is>
      </c>
      <c r="B607" s="1" t="n">
        <v>45280</v>
      </c>
      <c r="C607" s="1" t="n">
        <v>45916</v>
      </c>
      <c r="D607" t="inlineStr">
        <is>
          <t>JÄMTLANDS LÄN</t>
        </is>
      </c>
      <c r="E607" t="inlineStr">
        <is>
          <t>BERG</t>
        </is>
      </c>
      <c r="F607" t="inlineStr">
        <is>
          <t>Övriga Aktiebolag</t>
        </is>
      </c>
      <c r="G607" t="n">
        <v>14.1</v>
      </c>
      <c r="H607" t="n">
        <v>0</v>
      </c>
      <c r="I607" t="n">
        <v>0</v>
      </c>
      <c r="J607" t="n">
        <v>0</v>
      </c>
      <c r="K607" t="n">
        <v>0</v>
      </c>
      <c r="L607" t="n">
        <v>0</v>
      </c>
      <c r="M607" t="n">
        <v>0</v>
      </c>
      <c r="N607" t="n">
        <v>0</v>
      </c>
      <c r="O607" t="n">
        <v>0</v>
      </c>
      <c r="P607" t="n">
        <v>0</v>
      </c>
      <c r="Q607" t="n">
        <v>0</v>
      </c>
      <c r="R607" s="2" t="inlineStr"/>
    </row>
    <row r="608" ht="15" customHeight="1">
      <c r="A608" t="inlineStr">
        <is>
          <t>A 50612-2023</t>
        </is>
      </c>
      <c r="B608" s="1" t="n">
        <v>45217.444375</v>
      </c>
      <c r="C608" s="1" t="n">
        <v>45916</v>
      </c>
      <c r="D608" t="inlineStr">
        <is>
          <t>JÄMTLANDS LÄN</t>
        </is>
      </c>
      <c r="E608" t="inlineStr">
        <is>
          <t>BERG</t>
        </is>
      </c>
      <c r="G608" t="n">
        <v>1.4</v>
      </c>
      <c r="H608" t="n">
        <v>0</v>
      </c>
      <c r="I608" t="n">
        <v>0</v>
      </c>
      <c r="J608" t="n">
        <v>0</v>
      </c>
      <c r="K608" t="n">
        <v>0</v>
      </c>
      <c r="L608" t="n">
        <v>0</v>
      </c>
      <c r="M608" t="n">
        <v>0</v>
      </c>
      <c r="N608" t="n">
        <v>0</v>
      </c>
      <c r="O608" t="n">
        <v>0</v>
      </c>
      <c r="P608" t="n">
        <v>0</v>
      </c>
      <c r="Q608" t="n">
        <v>0</v>
      </c>
      <c r="R608" s="2" t="inlineStr"/>
    </row>
    <row r="609" ht="15" customHeight="1">
      <c r="A609" t="inlineStr">
        <is>
          <t>A 40341-2025</t>
        </is>
      </c>
      <c r="B609" s="1" t="n">
        <v>45895</v>
      </c>
      <c r="C609" s="1" t="n">
        <v>45916</v>
      </c>
      <c r="D609" t="inlineStr">
        <is>
          <t>JÄMTLANDS LÄN</t>
        </is>
      </c>
      <c r="E609" t="inlineStr">
        <is>
          <t>BERG</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40630-2025</t>
        </is>
      </c>
      <c r="B610" s="1" t="n">
        <v>45896</v>
      </c>
      <c r="C610" s="1" t="n">
        <v>45916</v>
      </c>
      <c r="D610" t="inlineStr">
        <is>
          <t>JÄMTLANDS LÄN</t>
        </is>
      </c>
      <c r="E610" t="inlineStr">
        <is>
          <t>BERG</t>
        </is>
      </c>
      <c r="G610" t="n">
        <v>2.1</v>
      </c>
      <c r="H610" t="n">
        <v>0</v>
      </c>
      <c r="I610" t="n">
        <v>0</v>
      </c>
      <c r="J610" t="n">
        <v>0</v>
      </c>
      <c r="K610" t="n">
        <v>0</v>
      </c>
      <c r="L610" t="n">
        <v>0</v>
      </c>
      <c r="M610" t="n">
        <v>0</v>
      </c>
      <c r="N610" t="n">
        <v>0</v>
      </c>
      <c r="O610" t="n">
        <v>0</v>
      </c>
      <c r="P610" t="n">
        <v>0</v>
      </c>
      <c r="Q610" t="n">
        <v>0</v>
      </c>
      <c r="R610" s="2" t="inlineStr"/>
    </row>
    <row r="611" ht="15" customHeight="1">
      <c r="A611" t="inlineStr">
        <is>
          <t>A 43441-2025</t>
        </is>
      </c>
      <c r="B611" s="1" t="n">
        <v>45911.44184027778</v>
      </c>
      <c r="C611" s="1" t="n">
        <v>45916</v>
      </c>
      <c r="D611" t="inlineStr">
        <is>
          <t>JÄMTLANDS LÄN</t>
        </is>
      </c>
      <c r="E611" t="inlineStr">
        <is>
          <t>BERG</t>
        </is>
      </c>
      <c r="G611" t="n">
        <v>2</v>
      </c>
      <c r="H611" t="n">
        <v>0</v>
      </c>
      <c r="I611" t="n">
        <v>0</v>
      </c>
      <c r="J611" t="n">
        <v>0</v>
      </c>
      <c r="K611" t="n">
        <v>0</v>
      </c>
      <c r="L611" t="n">
        <v>0</v>
      </c>
      <c r="M611" t="n">
        <v>0</v>
      </c>
      <c r="N611" t="n">
        <v>0</v>
      </c>
      <c r="O611" t="n">
        <v>0</v>
      </c>
      <c r="P611" t="n">
        <v>0</v>
      </c>
      <c r="Q611" t="n">
        <v>0</v>
      </c>
      <c r="R611" s="2" t="inlineStr"/>
    </row>
    <row r="612" ht="15" customHeight="1">
      <c r="A612" t="inlineStr">
        <is>
          <t>A 43442-2025</t>
        </is>
      </c>
      <c r="B612" s="1" t="n">
        <v>45911.44244212963</v>
      </c>
      <c r="C612" s="1" t="n">
        <v>45916</v>
      </c>
      <c r="D612" t="inlineStr">
        <is>
          <t>JÄMTLANDS LÄN</t>
        </is>
      </c>
      <c r="E612" t="inlineStr">
        <is>
          <t>BERG</t>
        </is>
      </c>
      <c r="G612" t="n">
        <v>3.8</v>
      </c>
      <c r="H612" t="n">
        <v>0</v>
      </c>
      <c r="I612" t="n">
        <v>0</v>
      </c>
      <c r="J612" t="n">
        <v>0</v>
      </c>
      <c r="K612" t="n">
        <v>0</v>
      </c>
      <c r="L612" t="n">
        <v>0</v>
      </c>
      <c r="M612" t="n">
        <v>0</v>
      </c>
      <c r="N612" t="n">
        <v>0</v>
      </c>
      <c r="O612" t="n">
        <v>0</v>
      </c>
      <c r="P612" t="n">
        <v>0</v>
      </c>
      <c r="Q612" t="n">
        <v>0</v>
      </c>
      <c r="R612" s="2" t="inlineStr"/>
    </row>
    <row r="613" ht="15" customHeight="1">
      <c r="A613" t="inlineStr">
        <is>
          <t>A 43458-2025</t>
        </is>
      </c>
      <c r="B613" s="1" t="n">
        <v>45911.46315972223</v>
      </c>
      <c r="C613" s="1" t="n">
        <v>45916</v>
      </c>
      <c r="D613" t="inlineStr">
        <is>
          <t>JÄMTLANDS LÄN</t>
        </is>
      </c>
      <c r="E613" t="inlineStr">
        <is>
          <t>BERG</t>
        </is>
      </c>
      <c r="G613" t="n">
        <v>11.2</v>
      </c>
      <c r="H613" t="n">
        <v>0</v>
      </c>
      <c r="I613" t="n">
        <v>0</v>
      </c>
      <c r="J613" t="n">
        <v>0</v>
      </c>
      <c r="K613" t="n">
        <v>0</v>
      </c>
      <c r="L613" t="n">
        <v>0</v>
      </c>
      <c r="M613" t="n">
        <v>0</v>
      </c>
      <c r="N613" t="n">
        <v>0</v>
      </c>
      <c r="O613" t="n">
        <v>0</v>
      </c>
      <c r="P613" t="n">
        <v>0</v>
      </c>
      <c r="Q613" t="n">
        <v>0</v>
      </c>
      <c r="R613" s="2" t="inlineStr"/>
    </row>
    <row r="614" ht="15" customHeight="1">
      <c r="A614" t="inlineStr">
        <is>
          <t>A 22030-2025</t>
        </is>
      </c>
      <c r="B614" s="1" t="n">
        <v>45785.25814814815</v>
      </c>
      <c r="C614" s="1" t="n">
        <v>45916</v>
      </c>
      <c r="D614" t="inlineStr">
        <is>
          <t>JÄMTLANDS LÄN</t>
        </is>
      </c>
      <c r="E614" t="inlineStr">
        <is>
          <t>BERG</t>
        </is>
      </c>
      <c r="G614" t="n">
        <v>5</v>
      </c>
      <c r="H614" t="n">
        <v>0</v>
      </c>
      <c r="I614" t="n">
        <v>0</v>
      </c>
      <c r="J614" t="n">
        <v>0</v>
      </c>
      <c r="K614" t="n">
        <v>0</v>
      </c>
      <c r="L614" t="n">
        <v>0</v>
      </c>
      <c r="M614" t="n">
        <v>0</v>
      </c>
      <c r="N614" t="n">
        <v>0</v>
      </c>
      <c r="O614" t="n">
        <v>0</v>
      </c>
      <c r="P614" t="n">
        <v>0</v>
      </c>
      <c r="Q614" t="n">
        <v>0</v>
      </c>
      <c r="R614" s="2" t="inlineStr"/>
    </row>
    <row r="615" ht="15" customHeight="1">
      <c r="A615" t="inlineStr">
        <is>
          <t>A 36377-2025</t>
        </is>
      </c>
      <c r="B615" s="1" t="n">
        <v>45868.57342592593</v>
      </c>
      <c r="C615" s="1" t="n">
        <v>45916</v>
      </c>
      <c r="D615" t="inlineStr">
        <is>
          <t>JÄMTLANDS LÄN</t>
        </is>
      </c>
      <c r="E615" t="inlineStr">
        <is>
          <t>BERG</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39418-2025</t>
        </is>
      </c>
      <c r="B616" s="1" t="n">
        <v>45889</v>
      </c>
      <c r="C616" s="1" t="n">
        <v>45916</v>
      </c>
      <c r="D616" t="inlineStr">
        <is>
          <t>JÄMTLANDS LÄN</t>
        </is>
      </c>
      <c r="E616" t="inlineStr">
        <is>
          <t>BERG</t>
        </is>
      </c>
      <c r="G616" t="n">
        <v>19.8</v>
      </c>
      <c r="H616" t="n">
        <v>0</v>
      </c>
      <c r="I616" t="n">
        <v>0</v>
      </c>
      <c r="J616" t="n">
        <v>0</v>
      </c>
      <c r="K616" t="n">
        <v>0</v>
      </c>
      <c r="L616" t="n">
        <v>0</v>
      </c>
      <c r="M616" t="n">
        <v>0</v>
      </c>
      <c r="N616" t="n">
        <v>0</v>
      </c>
      <c r="O616" t="n">
        <v>0</v>
      </c>
      <c r="P616" t="n">
        <v>0</v>
      </c>
      <c r="Q616" t="n">
        <v>0</v>
      </c>
      <c r="R616" s="2" t="inlineStr"/>
    </row>
    <row r="617" ht="15" customHeight="1">
      <c r="A617" t="inlineStr">
        <is>
          <t>A 39510-2023</t>
        </is>
      </c>
      <c r="B617" s="1" t="n">
        <v>45166</v>
      </c>
      <c r="C617" s="1" t="n">
        <v>45916</v>
      </c>
      <c r="D617" t="inlineStr">
        <is>
          <t>JÄMTLANDS LÄN</t>
        </is>
      </c>
      <c r="E617" t="inlineStr">
        <is>
          <t>BERG</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38080-2025</t>
        </is>
      </c>
      <c r="B618" s="1" t="n">
        <v>45882</v>
      </c>
      <c r="C618" s="1" t="n">
        <v>45916</v>
      </c>
      <c r="D618" t="inlineStr">
        <is>
          <t>JÄMTLANDS LÄN</t>
        </is>
      </c>
      <c r="E618" t="inlineStr">
        <is>
          <t>BERG</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38082-2025</t>
        </is>
      </c>
      <c r="B619" s="1" t="n">
        <v>45882</v>
      </c>
      <c r="C619" s="1" t="n">
        <v>45916</v>
      </c>
      <c r="D619" t="inlineStr">
        <is>
          <t>JÄMTLANDS LÄN</t>
        </is>
      </c>
      <c r="E619" t="inlineStr">
        <is>
          <t>BERG</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43443-2025</t>
        </is>
      </c>
      <c r="B620" s="1" t="n">
        <v>45911.44350694444</v>
      </c>
      <c r="C620" s="1" t="n">
        <v>45916</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43560-2025</t>
        </is>
      </c>
      <c r="B621" s="1" t="n">
        <v>45911.62758101852</v>
      </c>
      <c r="C621" s="1" t="n">
        <v>45916</v>
      </c>
      <c r="D621" t="inlineStr">
        <is>
          <t>JÄMTLANDS LÄN</t>
        </is>
      </c>
      <c r="E621" t="inlineStr">
        <is>
          <t>BERG</t>
        </is>
      </c>
      <c r="G621" t="n">
        <v>10</v>
      </c>
      <c r="H621" t="n">
        <v>0</v>
      </c>
      <c r="I621" t="n">
        <v>0</v>
      </c>
      <c r="J621" t="n">
        <v>0</v>
      </c>
      <c r="K621" t="n">
        <v>0</v>
      </c>
      <c r="L621" t="n">
        <v>0</v>
      </c>
      <c r="M621" t="n">
        <v>0</v>
      </c>
      <c r="N621" t="n">
        <v>0</v>
      </c>
      <c r="O621" t="n">
        <v>0</v>
      </c>
      <c r="P621" t="n">
        <v>0</v>
      </c>
      <c r="Q621" t="n">
        <v>0</v>
      </c>
      <c r="R621" s="2" t="inlineStr"/>
    </row>
    <row r="622" ht="15" customHeight="1">
      <c r="A622" t="inlineStr">
        <is>
          <t>A 14930-2025</t>
        </is>
      </c>
      <c r="B622" s="1" t="n">
        <v>45743</v>
      </c>
      <c r="C622" s="1" t="n">
        <v>45916</v>
      </c>
      <c r="D622" t="inlineStr">
        <is>
          <t>JÄMTLANDS LÄN</t>
        </is>
      </c>
      <c r="E622" t="inlineStr">
        <is>
          <t>BERG</t>
        </is>
      </c>
      <c r="F622" t="inlineStr">
        <is>
          <t>SCA</t>
        </is>
      </c>
      <c r="G622" t="n">
        <v>27.8</v>
      </c>
      <c r="H622" t="n">
        <v>0</v>
      </c>
      <c r="I622" t="n">
        <v>0</v>
      </c>
      <c r="J622" t="n">
        <v>0</v>
      </c>
      <c r="K622" t="n">
        <v>0</v>
      </c>
      <c r="L622" t="n">
        <v>0</v>
      </c>
      <c r="M622" t="n">
        <v>0</v>
      </c>
      <c r="N622" t="n">
        <v>0</v>
      </c>
      <c r="O622" t="n">
        <v>0</v>
      </c>
      <c r="P622" t="n">
        <v>0</v>
      </c>
      <c r="Q622" t="n">
        <v>0</v>
      </c>
      <c r="R622" s="2" t="inlineStr"/>
    </row>
    <row r="623" ht="15" customHeight="1">
      <c r="A623" t="inlineStr">
        <is>
          <t>A 41636-2024</t>
        </is>
      </c>
      <c r="B623" s="1" t="n">
        <v>45560.61606481481</v>
      </c>
      <c r="C623" s="1" t="n">
        <v>45916</v>
      </c>
      <c r="D623" t="inlineStr">
        <is>
          <t>JÄMTLANDS LÄN</t>
        </is>
      </c>
      <c r="E623" t="inlineStr">
        <is>
          <t>BERG</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162-2024</t>
        </is>
      </c>
      <c r="B624" s="1" t="n">
        <v>45294</v>
      </c>
      <c r="C624" s="1" t="n">
        <v>45916</v>
      </c>
      <c r="D624" t="inlineStr">
        <is>
          <t>JÄMTLANDS LÄN</t>
        </is>
      </c>
      <c r="E624" t="inlineStr">
        <is>
          <t>BERG</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43456-2025</t>
        </is>
      </c>
      <c r="B625" s="1" t="n">
        <v>45911.46148148148</v>
      </c>
      <c r="C625" s="1" t="n">
        <v>45916</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46298-2024</t>
        </is>
      </c>
      <c r="B626" s="1" t="n">
        <v>45581.67739583334</v>
      </c>
      <c r="C626" s="1" t="n">
        <v>45916</v>
      </c>
      <c r="D626" t="inlineStr">
        <is>
          <t>JÄMTLANDS LÄN</t>
        </is>
      </c>
      <c r="E626" t="inlineStr">
        <is>
          <t>BERG</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43567-2025</t>
        </is>
      </c>
      <c r="B627" s="1" t="n">
        <v>45911.6327662037</v>
      </c>
      <c r="C627" s="1" t="n">
        <v>45916</v>
      </c>
      <c r="D627" t="inlineStr">
        <is>
          <t>JÄMTLANDS LÄN</t>
        </is>
      </c>
      <c r="E627" t="inlineStr">
        <is>
          <t>BERG</t>
        </is>
      </c>
      <c r="G627" t="n">
        <v>7.7</v>
      </c>
      <c r="H627" t="n">
        <v>0</v>
      </c>
      <c r="I627" t="n">
        <v>0</v>
      </c>
      <c r="J627" t="n">
        <v>0</v>
      </c>
      <c r="K627" t="n">
        <v>0</v>
      </c>
      <c r="L627" t="n">
        <v>0</v>
      </c>
      <c r="M627" t="n">
        <v>0</v>
      </c>
      <c r="N627" t="n">
        <v>0</v>
      </c>
      <c r="O627" t="n">
        <v>0</v>
      </c>
      <c r="P627" t="n">
        <v>0</v>
      </c>
      <c r="Q627" t="n">
        <v>0</v>
      </c>
      <c r="R627" s="2" t="inlineStr"/>
    </row>
    <row r="628" ht="15" customHeight="1">
      <c r="A628" t="inlineStr">
        <is>
          <t>A 36-2024</t>
        </is>
      </c>
      <c r="B628" s="1" t="n">
        <v>45293</v>
      </c>
      <c r="C628" s="1" t="n">
        <v>45916</v>
      </c>
      <c r="D628" t="inlineStr">
        <is>
          <t>JÄMTLANDS LÄN</t>
        </is>
      </c>
      <c r="E628" t="inlineStr">
        <is>
          <t>BERG</t>
        </is>
      </c>
      <c r="G628" t="n">
        <v>2.6</v>
      </c>
      <c r="H628" t="n">
        <v>0</v>
      </c>
      <c r="I628" t="n">
        <v>0</v>
      </c>
      <c r="J628" t="n">
        <v>0</v>
      </c>
      <c r="K628" t="n">
        <v>0</v>
      </c>
      <c r="L628" t="n">
        <v>0</v>
      </c>
      <c r="M628" t="n">
        <v>0</v>
      </c>
      <c r="N628" t="n">
        <v>0</v>
      </c>
      <c r="O628" t="n">
        <v>0</v>
      </c>
      <c r="P628" t="n">
        <v>0</v>
      </c>
      <c r="Q628" t="n">
        <v>0</v>
      </c>
      <c r="R628" s="2" t="inlineStr"/>
    </row>
    <row r="629" ht="15" customHeight="1">
      <c r="A629" t="inlineStr">
        <is>
          <t>A 45206-2024</t>
        </is>
      </c>
      <c r="B629" s="1" t="n">
        <v>45575.69966435185</v>
      </c>
      <c r="C629" s="1" t="n">
        <v>45916</v>
      </c>
      <c r="D629" t="inlineStr">
        <is>
          <t>JÄMTLANDS LÄN</t>
        </is>
      </c>
      <c r="E629" t="inlineStr">
        <is>
          <t>BERG</t>
        </is>
      </c>
      <c r="G629" t="n">
        <v>2.3</v>
      </c>
      <c r="H629" t="n">
        <v>0</v>
      </c>
      <c r="I629" t="n">
        <v>0</v>
      </c>
      <c r="J629" t="n">
        <v>0</v>
      </c>
      <c r="K629" t="n">
        <v>0</v>
      </c>
      <c r="L629" t="n">
        <v>0</v>
      </c>
      <c r="M629" t="n">
        <v>0</v>
      </c>
      <c r="N629" t="n">
        <v>0</v>
      </c>
      <c r="O629" t="n">
        <v>0</v>
      </c>
      <c r="P629" t="n">
        <v>0</v>
      </c>
      <c r="Q629" t="n">
        <v>0</v>
      </c>
      <c r="R629" s="2" t="inlineStr"/>
    </row>
    <row r="630" ht="15" customHeight="1">
      <c r="A630" t="inlineStr">
        <is>
          <t>A 43364-2025</t>
        </is>
      </c>
      <c r="B630" s="1" t="n">
        <v>45911.34483796296</v>
      </c>
      <c r="C630" s="1" t="n">
        <v>45916</v>
      </c>
      <c r="D630" t="inlineStr">
        <is>
          <t>JÄMTLANDS LÄN</t>
        </is>
      </c>
      <c r="E630" t="inlineStr">
        <is>
          <t>BERG</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34891-2024</t>
        </is>
      </c>
      <c r="B631" s="1" t="n">
        <v>45527.36498842593</v>
      </c>
      <c r="C631" s="1" t="n">
        <v>45916</v>
      </c>
      <c r="D631" t="inlineStr">
        <is>
          <t>JÄMTLANDS LÄN</t>
        </is>
      </c>
      <c r="E631" t="inlineStr">
        <is>
          <t>BERG</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44031-2025</t>
        </is>
      </c>
      <c r="B632" s="1" t="n">
        <v>45915.49019675926</v>
      </c>
      <c r="C632" s="1" t="n">
        <v>45916</v>
      </c>
      <c r="D632" t="inlineStr">
        <is>
          <t>JÄMTLANDS LÄN</t>
        </is>
      </c>
      <c r="E632" t="inlineStr">
        <is>
          <t>BERG</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41634-2024</t>
        </is>
      </c>
      <c r="B633" s="1" t="n">
        <v>45560.61496527777</v>
      </c>
      <c r="C633" s="1" t="n">
        <v>45916</v>
      </c>
      <c r="D633" t="inlineStr">
        <is>
          <t>JÄMTLANDS LÄN</t>
        </is>
      </c>
      <c r="E633" t="inlineStr">
        <is>
          <t>BERG</t>
        </is>
      </c>
      <c r="F633" t="inlineStr">
        <is>
          <t>SCA</t>
        </is>
      </c>
      <c r="G633" t="n">
        <v>4.9</v>
      </c>
      <c r="H633" t="n">
        <v>0</v>
      </c>
      <c r="I633" t="n">
        <v>0</v>
      </c>
      <c r="J633" t="n">
        <v>0</v>
      </c>
      <c r="K633" t="n">
        <v>0</v>
      </c>
      <c r="L633" t="n">
        <v>0</v>
      </c>
      <c r="M633" t="n">
        <v>0</v>
      </c>
      <c r="N633" t="n">
        <v>0</v>
      </c>
      <c r="O633" t="n">
        <v>0</v>
      </c>
      <c r="P633" t="n">
        <v>0</v>
      </c>
      <c r="Q633" t="n">
        <v>0</v>
      </c>
      <c r="R633" s="2" t="inlineStr"/>
    </row>
    <row r="634" ht="15" customHeight="1">
      <c r="A634" t="inlineStr">
        <is>
          <t>A 44043-2025</t>
        </is>
      </c>
      <c r="B634" s="1" t="n">
        <v>45915.49266203704</v>
      </c>
      <c r="C634" s="1" t="n">
        <v>45916</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44051-2025</t>
        </is>
      </c>
      <c r="B635" s="1" t="n">
        <v>45915.51079861111</v>
      </c>
      <c r="C635" s="1" t="n">
        <v>45916</v>
      </c>
      <c r="D635" t="inlineStr">
        <is>
          <t>JÄMTLANDS LÄN</t>
        </is>
      </c>
      <c r="E635" t="inlineStr">
        <is>
          <t>BERG</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27395-2021</t>
        </is>
      </c>
      <c r="B636" s="1" t="n">
        <v>44350</v>
      </c>
      <c r="C636" s="1" t="n">
        <v>45916</v>
      </c>
      <c r="D636" t="inlineStr">
        <is>
          <t>JÄMTLANDS LÄN</t>
        </is>
      </c>
      <c r="E636" t="inlineStr">
        <is>
          <t>BERG</t>
        </is>
      </c>
      <c r="G636" t="n">
        <v>4.4</v>
      </c>
      <c r="H636" t="n">
        <v>0</v>
      </c>
      <c r="I636" t="n">
        <v>0</v>
      </c>
      <c r="J636" t="n">
        <v>0</v>
      </c>
      <c r="K636" t="n">
        <v>0</v>
      </c>
      <c r="L636" t="n">
        <v>0</v>
      </c>
      <c r="M636" t="n">
        <v>0</v>
      </c>
      <c r="N636" t="n">
        <v>0</v>
      </c>
      <c r="O636" t="n">
        <v>0</v>
      </c>
      <c r="P636" t="n">
        <v>0</v>
      </c>
      <c r="Q636" t="n">
        <v>0</v>
      </c>
      <c r="R636" s="2" t="inlineStr"/>
    </row>
    <row r="637" ht="15" customHeight="1">
      <c r="A637" t="inlineStr">
        <is>
          <t>A 23877-2024</t>
        </is>
      </c>
      <c r="B637" s="1" t="n">
        <v>45455.63024305556</v>
      </c>
      <c r="C637" s="1" t="n">
        <v>45916</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23880-2024</t>
        </is>
      </c>
      <c r="B638" s="1" t="n">
        <v>45455.63731481481</v>
      </c>
      <c r="C638" s="1" t="n">
        <v>45916</v>
      </c>
      <c r="D638" t="inlineStr">
        <is>
          <t>JÄMTLANDS LÄN</t>
        </is>
      </c>
      <c r="E638" t="inlineStr">
        <is>
          <t>BERG</t>
        </is>
      </c>
      <c r="G638" t="n">
        <v>1.2</v>
      </c>
      <c r="H638" t="n">
        <v>0</v>
      </c>
      <c r="I638" t="n">
        <v>0</v>
      </c>
      <c r="J638" t="n">
        <v>0</v>
      </c>
      <c r="K638" t="n">
        <v>0</v>
      </c>
      <c r="L638" t="n">
        <v>0</v>
      </c>
      <c r="M638" t="n">
        <v>0</v>
      </c>
      <c r="N638" t="n">
        <v>0</v>
      </c>
      <c r="O638" t="n">
        <v>0</v>
      </c>
      <c r="P638" t="n">
        <v>0</v>
      </c>
      <c r="Q638" t="n">
        <v>0</v>
      </c>
      <c r="R638" s="2" t="inlineStr"/>
    </row>
    <row r="639" ht="15" customHeight="1">
      <c r="A639" t="inlineStr">
        <is>
          <t>A 62299-2023</t>
        </is>
      </c>
      <c r="B639" s="1" t="n">
        <v>45266</v>
      </c>
      <c r="C639" s="1" t="n">
        <v>45916</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43968-2025</t>
        </is>
      </c>
      <c r="B640" s="1" t="n">
        <v>45915</v>
      </c>
      <c r="C640" s="1" t="n">
        <v>45916</v>
      </c>
      <c r="D640" t="inlineStr">
        <is>
          <t>JÄMTLANDS LÄN</t>
        </is>
      </c>
      <c r="E640" t="inlineStr">
        <is>
          <t>BERG</t>
        </is>
      </c>
      <c r="G640" t="n">
        <v>2</v>
      </c>
      <c r="H640" t="n">
        <v>0</v>
      </c>
      <c r="I640" t="n">
        <v>0</v>
      </c>
      <c r="J640" t="n">
        <v>0</v>
      </c>
      <c r="K640" t="n">
        <v>0</v>
      </c>
      <c r="L640" t="n">
        <v>0</v>
      </c>
      <c r="M640" t="n">
        <v>0</v>
      </c>
      <c r="N640" t="n">
        <v>0</v>
      </c>
      <c r="O640" t="n">
        <v>0</v>
      </c>
      <c r="P640" t="n">
        <v>0</v>
      </c>
      <c r="Q640" t="n">
        <v>0</v>
      </c>
      <c r="R640" s="2" t="inlineStr"/>
    </row>
    <row r="641" ht="15" customHeight="1">
      <c r="A641" t="inlineStr">
        <is>
          <t>A 43982-2025</t>
        </is>
      </c>
      <c r="B641" s="1" t="n">
        <v>45915.42771990741</v>
      </c>
      <c r="C641" s="1" t="n">
        <v>45916</v>
      </c>
      <c r="D641" t="inlineStr">
        <is>
          <t>JÄMTLANDS LÄN</t>
        </is>
      </c>
      <c r="E641" t="inlineStr">
        <is>
          <t>BERG</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19530-2025</t>
        </is>
      </c>
      <c r="B642" s="1" t="n">
        <v>45770.46903935185</v>
      </c>
      <c r="C642" s="1" t="n">
        <v>45916</v>
      </c>
      <c r="D642" t="inlineStr">
        <is>
          <t>JÄMTLANDS LÄN</t>
        </is>
      </c>
      <c r="E642" t="inlineStr">
        <is>
          <t>BERG</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5219-2022</t>
        </is>
      </c>
      <c r="B643" s="1" t="n">
        <v>44594.48569444445</v>
      </c>
      <c r="C643" s="1" t="n">
        <v>45916</v>
      </c>
      <c r="D643" t="inlineStr">
        <is>
          <t>JÄMTLANDS LÄN</t>
        </is>
      </c>
      <c r="E643" t="inlineStr">
        <is>
          <t>BERG</t>
        </is>
      </c>
      <c r="G643" t="n">
        <v>1.9</v>
      </c>
      <c r="H643" t="n">
        <v>0</v>
      </c>
      <c r="I643" t="n">
        <v>0</v>
      </c>
      <c r="J643" t="n">
        <v>0</v>
      </c>
      <c r="K643" t="n">
        <v>0</v>
      </c>
      <c r="L643" t="n">
        <v>0</v>
      </c>
      <c r="M643" t="n">
        <v>0</v>
      </c>
      <c r="N643" t="n">
        <v>0</v>
      </c>
      <c r="O643" t="n">
        <v>0</v>
      </c>
      <c r="P643" t="n">
        <v>0</v>
      </c>
      <c r="Q643" t="n">
        <v>0</v>
      </c>
      <c r="R643" s="2" t="inlineStr"/>
    </row>
    <row r="644" ht="15" customHeight="1">
      <c r="A644" t="inlineStr">
        <is>
          <t>A 14672-2025</t>
        </is>
      </c>
      <c r="B644" s="1" t="n">
        <v>45742.55269675926</v>
      </c>
      <c r="C644" s="1" t="n">
        <v>45916</v>
      </c>
      <c r="D644" t="inlineStr">
        <is>
          <t>JÄMTLANDS LÄN</t>
        </is>
      </c>
      <c r="E644" t="inlineStr">
        <is>
          <t>BERG</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36668-2025</t>
        </is>
      </c>
      <c r="B645" s="1" t="n">
        <v>45873.38351851852</v>
      </c>
      <c r="C645" s="1" t="n">
        <v>45916</v>
      </c>
      <c r="D645" t="inlineStr">
        <is>
          <t>JÄMTLANDS LÄN</t>
        </is>
      </c>
      <c r="E645" t="inlineStr">
        <is>
          <t>BERG</t>
        </is>
      </c>
      <c r="G645" t="n">
        <v>6.7</v>
      </c>
      <c r="H645" t="n">
        <v>0</v>
      </c>
      <c r="I645" t="n">
        <v>0</v>
      </c>
      <c r="J645" t="n">
        <v>0</v>
      </c>
      <c r="K645" t="n">
        <v>0</v>
      </c>
      <c r="L645" t="n">
        <v>0</v>
      </c>
      <c r="M645" t="n">
        <v>0</v>
      </c>
      <c r="N645" t="n">
        <v>0</v>
      </c>
      <c r="O645" t="n">
        <v>0</v>
      </c>
      <c r="P645" t="n">
        <v>0</v>
      </c>
      <c r="Q645" t="n">
        <v>0</v>
      </c>
      <c r="R645" s="2" t="inlineStr"/>
    </row>
    <row r="646" ht="15" customHeight="1">
      <c r="A646" t="inlineStr">
        <is>
          <t>A 41264-2025</t>
        </is>
      </c>
      <c r="B646" s="1" t="n">
        <v>45898</v>
      </c>
      <c r="C646" s="1" t="n">
        <v>45916</v>
      </c>
      <c r="D646" t="inlineStr">
        <is>
          <t>JÄMTLANDS LÄN</t>
        </is>
      </c>
      <c r="E646" t="inlineStr">
        <is>
          <t>BERG</t>
        </is>
      </c>
      <c r="G646" t="n">
        <v>17.4</v>
      </c>
      <c r="H646" t="n">
        <v>0</v>
      </c>
      <c r="I646" t="n">
        <v>0</v>
      </c>
      <c r="J646" t="n">
        <v>0</v>
      </c>
      <c r="K646" t="n">
        <v>0</v>
      </c>
      <c r="L646" t="n">
        <v>0</v>
      </c>
      <c r="M646" t="n">
        <v>0</v>
      </c>
      <c r="N646" t="n">
        <v>0</v>
      </c>
      <c r="O646" t="n">
        <v>0</v>
      </c>
      <c r="P646" t="n">
        <v>0</v>
      </c>
      <c r="Q646" t="n">
        <v>0</v>
      </c>
      <c r="R646" s="2" t="inlineStr"/>
    </row>
    <row r="647" ht="15" customHeight="1">
      <c r="A647" t="inlineStr">
        <is>
          <t>A 5644-2025</t>
        </is>
      </c>
      <c r="B647" s="1" t="n">
        <v>45693.6833449074</v>
      </c>
      <c r="C647" s="1" t="n">
        <v>45916</v>
      </c>
      <c r="D647" t="inlineStr">
        <is>
          <t>JÄMTLANDS LÄN</t>
        </is>
      </c>
      <c r="E647" t="inlineStr">
        <is>
          <t>BERG</t>
        </is>
      </c>
      <c r="G647" t="n">
        <v>2.1</v>
      </c>
      <c r="H647" t="n">
        <v>0</v>
      </c>
      <c r="I647" t="n">
        <v>0</v>
      </c>
      <c r="J647" t="n">
        <v>0</v>
      </c>
      <c r="K647" t="n">
        <v>0</v>
      </c>
      <c r="L647" t="n">
        <v>0</v>
      </c>
      <c r="M647" t="n">
        <v>0</v>
      </c>
      <c r="N647" t="n">
        <v>0</v>
      </c>
      <c r="O647" t="n">
        <v>0</v>
      </c>
      <c r="P647" t="n">
        <v>0</v>
      </c>
      <c r="Q647" t="n">
        <v>0</v>
      </c>
      <c r="R647" s="2" t="inlineStr"/>
    </row>
    <row r="648" ht="15" customHeight="1">
      <c r="A648" t="inlineStr">
        <is>
          <t>A 29424-2024</t>
        </is>
      </c>
      <c r="B648" s="1" t="n">
        <v>45483.71451388889</v>
      </c>
      <c r="C648" s="1" t="n">
        <v>45916</v>
      </c>
      <c r="D648" t="inlineStr">
        <is>
          <t>JÄMTLANDS LÄN</t>
        </is>
      </c>
      <c r="E648" t="inlineStr">
        <is>
          <t>BERG</t>
        </is>
      </c>
      <c r="G648" t="n">
        <v>4</v>
      </c>
      <c r="H648" t="n">
        <v>0</v>
      </c>
      <c r="I648" t="n">
        <v>0</v>
      </c>
      <c r="J648" t="n">
        <v>0</v>
      </c>
      <c r="K648" t="n">
        <v>0</v>
      </c>
      <c r="L648" t="n">
        <v>0</v>
      </c>
      <c r="M648" t="n">
        <v>0</v>
      </c>
      <c r="N648" t="n">
        <v>0</v>
      </c>
      <c r="O648" t="n">
        <v>0</v>
      </c>
      <c r="P648" t="n">
        <v>0</v>
      </c>
      <c r="Q648" t="n">
        <v>0</v>
      </c>
      <c r="R648" s="2" t="inlineStr"/>
    </row>
    <row r="649" ht="15" customHeight="1">
      <c r="A649" t="inlineStr">
        <is>
          <t>A 60249-2022</t>
        </is>
      </c>
      <c r="B649" s="1" t="n">
        <v>44903</v>
      </c>
      <c r="C649" s="1" t="n">
        <v>45916</v>
      </c>
      <c r="D649" t="inlineStr">
        <is>
          <t>JÄMTLANDS LÄN</t>
        </is>
      </c>
      <c r="E649" t="inlineStr">
        <is>
          <t>BERG</t>
        </is>
      </c>
      <c r="G649" t="n">
        <v>6</v>
      </c>
      <c r="H649" t="n">
        <v>0</v>
      </c>
      <c r="I649" t="n">
        <v>0</v>
      </c>
      <c r="J649" t="n">
        <v>0</v>
      </c>
      <c r="K649" t="n">
        <v>0</v>
      </c>
      <c r="L649" t="n">
        <v>0</v>
      </c>
      <c r="M649" t="n">
        <v>0</v>
      </c>
      <c r="N649" t="n">
        <v>0</v>
      </c>
      <c r="O649" t="n">
        <v>0</v>
      </c>
      <c r="P649" t="n">
        <v>0</v>
      </c>
      <c r="Q649" t="n">
        <v>0</v>
      </c>
      <c r="R649" s="2" t="inlineStr"/>
    </row>
    <row r="650" ht="15" customHeight="1">
      <c r="A650" t="inlineStr">
        <is>
          <t>A 8065-2024</t>
        </is>
      </c>
      <c r="B650" s="1" t="n">
        <v>45351.40697916667</v>
      </c>
      <c r="C650" s="1" t="n">
        <v>45916</v>
      </c>
      <c r="D650" t="inlineStr">
        <is>
          <t>JÄMTLANDS LÄN</t>
        </is>
      </c>
      <c r="E650" t="inlineStr">
        <is>
          <t>BERG</t>
        </is>
      </c>
      <c r="G650" t="n">
        <v>6.9</v>
      </c>
      <c r="H650" t="n">
        <v>0</v>
      </c>
      <c r="I650" t="n">
        <v>0</v>
      </c>
      <c r="J650" t="n">
        <v>0</v>
      </c>
      <c r="K650" t="n">
        <v>0</v>
      </c>
      <c r="L650" t="n">
        <v>0</v>
      </c>
      <c r="M650" t="n">
        <v>0</v>
      </c>
      <c r="N650" t="n">
        <v>0</v>
      </c>
      <c r="O650" t="n">
        <v>0</v>
      </c>
      <c r="P650" t="n">
        <v>0</v>
      </c>
      <c r="Q650" t="n">
        <v>0</v>
      </c>
      <c r="R650" s="2" t="inlineStr"/>
    </row>
    <row r="651" ht="15" customHeight="1">
      <c r="A651" t="inlineStr">
        <is>
          <t>A 13149-2025</t>
        </is>
      </c>
      <c r="B651" s="1" t="n">
        <v>45735.34424768519</v>
      </c>
      <c r="C651" s="1" t="n">
        <v>45916</v>
      </c>
      <c r="D651" t="inlineStr">
        <is>
          <t>JÄMTLANDS LÄN</t>
        </is>
      </c>
      <c r="E651" t="inlineStr">
        <is>
          <t>BERG</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692-2021</t>
        </is>
      </c>
      <c r="B652" s="1" t="n">
        <v>44203</v>
      </c>
      <c r="C652" s="1" t="n">
        <v>45916</v>
      </c>
      <c r="D652" t="inlineStr">
        <is>
          <t>JÄMTLANDS LÄN</t>
        </is>
      </c>
      <c r="E652" t="inlineStr">
        <is>
          <t>BERG</t>
        </is>
      </c>
      <c r="G652" t="n">
        <v>0.7</v>
      </c>
      <c r="H652" t="n">
        <v>0</v>
      </c>
      <c r="I652" t="n">
        <v>0</v>
      </c>
      <c r="J652" t="n">
        <v>0</v>
      </c>
      <c r="K652" t="n">
        <v>0</v>
      </c>
      <c r="L652" t="n">
        <v>0</v>
      </c>
      <c r="M652" t="n">
        <v>0</v>
      </c>
      <c r="N652" t="n">
        <v>0</v>
      </c>
      <c r="O652" t="n">
        <v>0</v>
      </c>
      <c r="P652" t="n">
        <v>0</v>
      </c>
      <c r="Q652" t="n">
        <v>0</v>
      </c>
      <c r="R652" s="2" t="inlineStr"/>
    </row>
    <row r="653" ht="15" customHeight="1">
      <c r="A653" t="inlineStr">
        <is>
          <t>A 15013-2025</t>
        </is>
      </c>
      <c r="B653" s="1" t="n">
        <v>45743.62734953704</v>
      </c>
      <c r="C653" s="1" t="n">
        <v>45916</v>
      </c>
      <c r="D653" t="inlineStr">
        <is>
          <t>JÄMTLANDS LÄN</t>
        </is>
      </c>
      <c r="E653" t="inlineStr">
        <is>
          <t>BERG</t>
        </is>
      </c>
      <c r="G653" t="n">
        <v>4.6</v>
      </c>
      <c r="H653" t="n">
        <v>0</v>
      </c>
      <c r="I653" t="n">
        <v>0</v>
      </c>
      <c r="J653" t="n">
        <v>0</v>
      </c>
      <c r="K653" t="n">
        <v>0</v>
      </c>
      <c r="L653" t="n">
        <v>0</v>
      </c>
      <c r="M653" t="n">
        <v>0</v>
      </c>
      <c r="N653" t="n">
        <v>0</v>
      </c>
      <c r="O653" t="n">
        <v>0</v>
      </c>
      <c r="P653" t="n">
        <v>0</v>
      </c>
      <c r="Q653" t="n">
        <v>0</v>
      </c>
      <c r="R653" s="2" t="inlineStr"/>
    </row>
    <row r="654" ht="15" customHeight="1">
      <c r="A654" t="inlineStr">
        <is>
          <t>A 40824-2023</t>
        </is>
      </c>
      <c r="B654" s="1" t="n">
        <v>45171</v>
      </c>
      <c r="C654" s="1" t="n">
        <v>45916</v>
      </c>
      <c r="D654" t="inlineStr">
        <is>
          <t>JÄMTLANDS LÄN</t>
        </is>
      </c>
      <c r="E654" t="inlineStr">
        <is>
          <t>BERG</t>
        </is>
      </c>
      <c r="G654" t="n">
        <v>0.5</v>
      </c>
      <c r="H654" t="n">
        <v>0</v>
      </c>
      <c r="I654" t="n">
        <v>0</v>
      </c>
      <c r="J654" t="n">
        <v>0</v>
      </c>
      <c r="K654" t="n">
        <v>0</v>
      </c>
      <c r="L654" t="n">
        <v>0</v>
      </c>
      <c r="M654" t="n">
        <v>0</v>
      </c>
      <c r="N654" t="n">
        <v>0</v>
      </c>
      <c r="O654" t="n">
        <v>0</v>
      </c>
      <c r="P654" t="n">
        <v>0</v>
      </c>
      <c r="Q654" t="n">
        <v>0</v>
      </c>
      <c r="R654" s="2" t="inlineStr"/>
    </row>
    <row r="655" ht="15" customHeight="1">
      <c r="A655" t="inlineStr">
        <is>
          <t>A 35986-2023</t>
        </is>
      </c>
      <c r="B655" s="1" t="n">
        <v>45148</v>
      </c>
      <c r="C655" s="1" t="n">
        <v>45916</v>
      </c>
      <c r="D655" t="inlineStr">
        <is>
          <t>JÄMTLANDS LÄN</t>
        </is>
      </c>
      <c r="E655" t="inlineStr">
        <is>
          <t>BERG</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171-2022</t>
        </is>
      </c>
      <c r="B656" s="1" t="n">
        <v>44564</v>
      </c>
      <c r="C656" s="1" t="n">
        <v>45916</v>
      </c>
      <c r="D656" t="inlineStr">
        <is>
          <t>JÄMTLANDS LÄN</t>
        </is>
      </c>
      <c r="E656" t="inlineStr">
        <is>
          <t>BERG</t>
        </is>
      </c>
      <c r="G656" t="n">
        <v>2.3</v>
      </c>
      <c r="H656" t="n">
        <v>0</v>
      </c>
      <c r="I656" t="n">
        <v>0</v>
      </c>
      <c r="J656" t="n">
        <v>0</v>
      </c>
      <c r="K656" t="n">
        <v>0</v>
      </c>
      <c r="L656" t="n">
        <v>0</v>
      </c>
      <c r="M656" t="n">
        <v>0</v>
      </c>
      <c r="N656" t="n">
        <v>0</v>
      </c>
      <c r="O656" t="n">
        <v>0</v>
      </c>
      <c r="P656" t="n">
        <v>0</v>
      </c>
      <c r="Q656" t="n">
        <v>0</v>
      </c>
      <c r="R656" s="2" t="inlineStr"/>
    </row>
    <row r="657" ht="15" customHeight="1">
      <c r="A657" t="inlineStr">
        <is>
          <t>A 35911-2024</t>
        </is>
      </c>
      <c r="B657" s="1" t="n">
        <v>45533.41498842592</v>
      </c>
      <c r="C657" s="1" t="n">
        <v>45916</v>
      </c>
      <c r="D657" t="inlineStr">
        <is>
          <t>JÄMTLANDS LÄN</t>
        </is>
      </c>
      <c r="E657" t="inlineStr">
        <is>
          <t>BERG</t>
        </is>
      </c>
      <c r="G657" t="n">
        <v>4.1</v>
      </c>
      <c r="H657" t="n">
        <v>0</v>
      </c>
      <c r="I657" t="n">
        <v>0</v>
      </c>
      <c r="J657" t="n">
        <v>0</v>
      </c>
      <c r="K657" t="n">
        <v>0</v>
      </c>
      <c r="L657" t="n">
        <v>0</v>
      </c>
      <c r="M657" t="n">
        <v>0</v>
      </c>
      <c r="N657" t="n">
        <v>0</v>
      </c>
      <c r="O657" t="n">
        <v>0</v>
      </c>
      <c r="P657" t="n">
        <v>0</v>
      </c>
      <c r="Q657" t="n">
        <v>0</v>
      </c>
      <c r="R657" s="2" t="inlineStr"/>
    </row>
    <row r="658" ht="15" customHeight="1">
      <c r="A658" t="inlineStr">
        <is>
          <t>A 2002-2022</t>
        </is>
      </c>
      <c r="B658" s="1" t="n">
        <v>44575</v>
      </c>
      <c r="C658" s="1" t="n">
        <v>45916</v>
      </c>
      <c r="D658" t="inlineStr">
        <is>
          <t>JÄMTLANDS LÄN</t>
        </is>
      </c>
      <c r="E658" t="inlineStr">
        <is>
          <t>BERG</t>
        </is>
      </c>
      <c r="G658" t="n">
        <v>11.3</v>
      </c>
      <c r="H658" t="n">
        <v>0</v>
      </c>
      <c r="I658" t="n">
        <v>0</v>
      </c>
      <c r="J658" t="n">
        <v>0</v>
      </c>
      <c r="K658" t="n">
        <v>0</v>
      </c>
      <c r="L658" t="n">
        <v>0</v>
      </c>
      <c r="M658" t="n">
        <v>0</v>
      </c>
      <c r="N658" t="n">
        <v>0</v>
      </c>
      <c r="O658" t="n">
        <v>0</v>
      </c>
      <c r="P658" t="n">
        <v>0</v>
      </c>
      <c r="Q658" t="n">
        <v>0</v>
      </c>
      <c r="R658" s="2" t="inlineStr"/>
    </row>
    <row r="659" ht="15" customHeight="1">
      <c r="A659" t="inlineStr">
        <is>
          <t>A 61837-2023</t>
        </is>
      </c>
      <c r="B659" s="1" t="n">
        <v>45264</v>
      </c>
      <c r="C659" s="1" t="n">
        <v>45916</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62104-2023</t>
        </is>
      </c>
      <c r="B660" s="1" t="n">
        <v>45266.95052083334</v>
      </c>
      <c r="C660" s="1" t="n">
        <v>45916</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62105-2023</t>
        </is>
      </c>
      <c r="B661" s="1" t="n">
        <v>45266.95074074074</v>
      </c>
      <c r="C661" s="1" t="n">
        <v>45916</v>
      </c>
      <c r="D661" t="inlineStr">
        <is>
          <t>JÄMTLANDS LÄN</t>
        </is>
      </c>
      <c r="E661" t="inlineStr">
        <is>
          <t>BERG</t>
        </is>
      </c>
      <c r="F661" t="inlineStr">
        <is>
          <t>SCA</t>
        </is>
      </c>
      <c r="G661" t="n">
        <v>13.1</v>
      </c>
      <c r="H661" t="n">
        <v>0</v>
      </c>
      <c r="I661" t="n">
        <v>0</v>
      </c>
      <c r="J661" t="n">
        <v>0</v>
      </c>
      <c r="K661" t="n">
        <v>0</v>
      </c>
      <c r="L661" t="n">
        <v>0</v>
      </c>
      <c r="M661" t="n">
        <v>0</v>
      </c>
      <c r="N661" t="n">
        <v>0</v>
      </c>
      <c r="O661" t="n">
        <v>0</v>
      </c>
      <c r="P661" t="n">
        <v>0</v>
      </c>
      <c r="Q661" t="n">
        <v>0</v>
      </c>
      <c r="R661" s="2" t="inlineStr"/>
    </row>
    <row r="662" ht="15" customHeight="1">
      <c r="A662" t="inlineStr">
        <is>
          <t>A 60028-2022</t>
        </is>
      </c>
      <c r="B662" s="1" t="n">
        <v>44902</v>
      </c>
      <c r="C662" s="1" t="n">
        <v>45916</v>
      </c>
      <c r="D662" t="inlineStr">
        <is>
          <t>JÄMTLANDS LÄN</t>
        </is>
      </c>
      <c r="E662" t="inlineStr">
        <is>
          <t>BERG</t>
        </is>
      </c>
      <c r="G662" t="n">
        <v>20</v>
      </c>
      <c r="H662" t="n">
        <v>0</v>
      </c>
      <c r="I662" t="n">
        <v>0</v>
      </c>
      <c r="J662" t="n">
        <v>0</v>
      </c>
      <c r="K662" t="n">
        <v>0</v>
      </c>
      <c r="L662" t="n">
        <v>0</v>
      </c>
      <c r="M662" t="n">
        <v>0</v>
      </c>
      <c r="N662" t="n">
        <v>0</v>
      </c>
      <c r="O662" t="n">
        <v>0</v>
      </c>
      <c r="P662" t="n">
        <v>0</v>
      </c>
      <c r="Q662" t="n">
        <v>0</v>
      </c>
      <c r="R662" s="2" t="inlineStr"/>
    </row>
    <row r="663" ht="15" customHeight="1">
      <c r="A663" t="inlineStr">
        <is>
          <t>A 53883-2023</t>
        </is>
      </c>
      <c r="B663" s="1" t="n">
        <v>45231.5221875</v>
      </c>
      <c r="C663" s="1" t="n">
        <v>45916</v>
      </c>
      <c r="D663" t="inlineStr">
        <is>
          <t>JÄMTLANDS LÄN</t>
        </is>
      </c>
      <c r="E663" t="inlineStr">
        <is>
          <t>BERG</t>
        </is>
      </c>
      <c r="G663" t="n">
        <v>2</v>
      </c>
      <c r="H663" t="n">
        <v>0</v>
      </c>
      <c r="I663" t="n">
        <v>0</v>
      </c>
      <c r="J663" t="n">
        <v>0</v>
      </c>
      <c r="K663" t="n">
        <v>0</v>
      </c>
      <c r="L663" t="n">
        <v>0</v>
      </c>
      <c r="M663" t="n">
        <v>0</v>
      </c>
      <c r="N663" t="n">
        <v>0</v>
      </c>
      <c r="O663" t="n">
        <v>0</v>
      </c>
      <c r="P663" t="n">
        <v>0</v>
      </c>
      <c r="Q663" t="n">
        <v>0</v>
      </c>
      <c r="R663" s="2" t="inlineStr"/>
    </row>
    <row r="664" ht="15" customHeight="1">
      <c r="A664" t="inlineStr">
        <is>
          <t>A 32465-2024</t>
        </is>
      </c>
      <c r="B664" s="1" t="n">
        <v>45512.96096064815</v>
      </c>
      <c r="C664" s="1" t="n">
        <v>45916</v>
      </c>
      <c r="D664" t="inlineStr">
        <is>
          <t>JÄMTLANDS LÄN</t>
        </is>
      </c>
      <c r="E664" t="inlineStr">
        <is>
          <t>BERG</t>
        </is>
      </c>
      <c r="G664" t="n">
        <v>6.7</v>
      </c>
      <c r="H664" t="n">
        <v>0</v>
      </c>
      <c r="I664" t="n">
        <v>0</v>
      </c>
      <c r="J664" t="n">
        <v>0</v>
      </c>
      <c r="K664" t="n">
        <v>0</v>
      </c>
      <c r="L664" t="n">
        <v>0</v>
      </c>
      <c r="M664" t="n">
        <v>0</v>
      </c>
      <c r="N664" t="n">
        <v>0</v>
      </c>
      <c r="O664" t="n">
        <v>0</v>
      </c>
      <c r="P664" t="n">
        <v>0</v>
      </c>
      <c r="Q664" t="n">
        <v>0</v>
      </c>
      <c r="R664" s="2" t="inlineStr"/>
    </row>
    <row r="665" ht="15" customHeight="1">
      <c r="A665" t="inlineStr">
        <is>
          <t>A 41875-2024</t>
        </is>
      </c>
      <c r="B665" s="1" t="n">
        <v>45561.47431712963</v>
      </c>
      <c r="C665" s="1" t="n">
        <v>45916</v>
      </c>
      <c r="D665" t="inlineStr">
        <is>
          <t>JÄMTLANDS LÄN</t>
        </is>
      </c>
      <c r="E665" t="inlineStr">
        <is>
          <t>BERG</t>
        </is>
      </c>
      <c r="G665" t="n">
        <v>1.3</v>
      </c>
      <c r="H665" t="n">
        <v>0</v>
      </c>
      <c r="I665" t="n">
        <v>0</v>
      </c>
      <c r="J665" t="n">
        <v>0</v>
      </c>
      <c r="K665" t="n">
        <v>0</v>
      </c>
      <c r="L665" t="n">
        <v>0</v>
      </c>
      <c r="M665" t="n">
        <v>0</v>
      </c>
      <c r="N665" t="n">
        <v>0</v>
      </c>
      <c r="O665" t="n">
        <v>0</v>
      </c>
      <c r="P665" t="n">
        <v>0</v>
      </c>
      <c r="Q665" t="n">
        <v>0</v>
      </c>
      <c r="R665" s="2" t="inlineStr"/>
    </row>
    <row r="666" ht="15" customHeight="1">
      <c r="A666" t="inlineStr">
        <is>
          <t>A 4246-2025</t>
        </is>
      </c>
      <c r="B666" s="1" t="n">
        <v>45685.59083333334</v>
      </c>
      <c r="C666" s="1" t="n">
        <v>45916</v>
      </c>
      <c r="D666" t="inlineStr">
        <is>
          <t>JÄMTLANDS LÄN</t>
        </is>
      </c>
      <c r="E666" t="inlineStr">
        <is>
          <t>BERG</t>
        </is>
      </c>
      <c r="G666" t="n">
        <v>2.4</v>
      </c>
      <c r="H666" t="n">
        <v>0</v>
      </c>
      <c r="I666" t="n">
        <v>0</v>
      </c>
      <c r="J666" t="n">
        <v>0</v>
      </c>
      <c r="K666" t="n">
        <v>0</v>
      </c>
      <c r="L666" t="n">
        <v>0</v>
      </c>
      <c r="M666" t="n">
        <v>0</v>
      </c>
      <c r="N666" t="n">
        <v>0</v>
      </c>
      <c r="O666" t="n">
        <v>0</v>
      </c>
      <c r="P666" t="n">
        <v>0</v>
      </c>
      <c r="Q666" t="n">
        <v>0</v>
      </c>
      <c r="R666" s="2" t="inlineStr"/>
    </row>
    <row r="667" ht="15" customHeight="1">
      <c r="A667" t="inlineStr">
        <is>
          <t>A 51548-2023</t>
        </is>
      </c>
      <c r="B667" s="1" t="n">
        <v>45215</v>
      </c>
      <c r="C667" s="1" t="n">
        <v>45916</v>
      </c>
      <c r="D667" t="inlineStr">
        <is>
          <t>JÄMTLANDS LÄN</t>
        </is>
      </c>
      <c r="E667" t="inlineStr">
        <is>
          <t>BERG</t>
        </is>
      </c>
      <c r="G667" t="n">
        <v>4.8</v>
      </c>
      <c r="H667" t="n">
        <v>0</v>
      </c>
      <c r="I667" t="n">
        <v>0</v>
      </c>
      <c r="J667" t="n">
        <v>0</v>
      </c>
      <c r="K667" t="n">
        <v>0</v>
      </c>
      <c r="L667" t="n">
        <v>0</v>
      </c>
      <c r="M667" t="n">
        <v>0</v>
      </c>
      <c r="N667" t="n">
        <v>0</v>
      </c>
      <c r="O667" t="n">
        <v>0</v>
      </c>
      <c r="P667" t="n">
        <v>0</v>
      </c>
      <c r="Q667" t="n">
        <v>0</v>
      </c>
      <c r="R667" s="2" t="inlineStr"/>
    </row>
    <row r="668" ht="15" customHeight="1">
      <c r="A668" t="inlineStr">
        <is>
          <t>A 60068-2022</t>
        </is>
      </c>
      <c r="B668" s="1" t="n">
        <v>44902</v>
      </c>
      <c r="C668" s="1" t="n">
        <v>45916</v>
      </c>
      <c r="D668" t="inlineStr">
        <is>
          <t>JÄMTLANDS LÄN</t>
        </is>
      </c>
      <c r="E668" t="inlineStr">
        <is>
          <t>BERG</t>
        </is>
      </c>
      <c r="G668" t="n">
        <v>5.2</v>
      </c>
      <c r="H668" t="n">
        <v>0</v>
      </c>
      <c r="I668" t="n">
        <v>0</v>
      </c>
      <c r="J668" t="n">
        <v>0</v>
      </c>
      <c r="K668" t="n">
        <v>0</v>
      </c>
      <c r="L668" t="n">
        <v>0</v>
      </c>
      <c r="M668" t="n">
        <v>0</v>
      </c>
      <c r="N668" t="n">
        <v>0</v>
      </c>
      <c r="O668" t="n">
        <v>0</v>
      </c>
      <c r="P668" t="n">
        <v>0</v>
      </c>
      <c r="Q668" t="n">
        <v>0</v>
      </c>
      <c r="R668" s="2" t="inlineStr"/>
    </row>
    <row r="669" ht="15" customHeight="1">
      <c r="A669" t="inlineStr">
        <is>
          <t>A 7482-2022</t>
        </is>
      </c>
      <c r="B669" s="1" t="n">
        <v>44606</v>
      </c>
      <c r="C669" s="1" t="n">
        <v>45916</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45916</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16553-2025</t>
        </is>
      </c>
      <c r="B671" s="1" t="n">
        <v>45751.69967592593</v>
      </c>
      <c r="C671" s="1" t="n">
        <v>45916</v>
      </c>
      <c r="D671" t="inlineStr">
        <is>
          <t>JÄMTLANDS LÄN</t>
        </is>
      </c>
      <c r="E671" t="inlineStr">
        <is>
          <t>BERG</t>
        </is>
      </c>
      <c r="G671" t="n">
        <v>2</v>
      </c>
      <c r="H671" t="n">
        <v>0</v>
      </c>
      <c r="I671" t="n">
        <v>0</v>
      </c>
      <c r="J671" t="n">
        <v>0</v>
      </c>
      <c r="K671" t="n">
        <v>0</v>
      </c>
      <c r="L671" t="n">
        <v>0</v>
      </c>
      <c r="M671" t="n">
        <v>0</v>
      </c>
      <c r="N671" t="n">
        <v>0</v>
      </c>
      <c r="O671" t="n">
        <v>0</v>
      </c>
      <c r="P671" t="n">
        <v>0</v>
      </c>
      <c r="Q671" t="n">
        <v>0</v>
      </c>
      <c r="R671" s="2" t="inlineStr"/>
    </row>
    <row r="672" ht="15" customHeight="1">
      <c r="A672" t="inlineStr">
        <is>
          <t>A 45081-2022</t>
        </is>
      </c>
      <c r="B672" s="1" t="n">
        <v>44841</v>
      </c>
      <c r="C672" s="1" t="n">
        <v>45916</v>
      </c>
      <c r="D672" t="inlineStr">
        <is>
          <t>JÄMTLANDS LÄN</t>
        </is>
      </c>
      <c r="E672" t="inlineStr">
        <is>
          <t>BERG</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49413-2024</t>
        </is>
      </c>
      <c r="B673" s="1" t="n">
        <v>45595.69810185185</v>
      </c>
      <c r="C673" s="1" t="n">
        <v>45916</v>
      </c>
      <c r="D673" t="inlineStr">
        <is>
          <t>JÄMTLANDS LÄN</t>
        </is>
      </c>
      <c r="E673" t="inlineStr">
        <is>
          <t>BERG</t>
        </is>
      </c>
      <c r="G673" t="n">
        <v>12.6</v>
      </c>
      <c r="H673" t="n">
        <v>0</v>
      </c>
      <c r="I673" t="n">
        <v>0</v>
      </c>
      <c r="J673" t="n">
        <v>0</v>
      </c>
      <c r="K673" t="n">
        <v>0</v>
      </c>
      <c r="L673" t="n">
        <v>0</v>
      </c>
      <c r="M673" t="n">
        <v>0</v>
      </c>
      <c r="N673" t="n">
        <v>0</v>
      </c>
      <c r="O673" t="n">
        <v>0</v>
      </c>
      <c r="P673" t="n">
        <v>0</v>
      </c>
      <c r="Q673" t="n">
        <v>0</v>
      </c>
      <c r="R673" s="2" t="inlineStr"/>
    </row>
    <row r="674" ht="15" customHeight="1">
      <c r="A674" t="inlineStr">
        <is>
          <t>A 31641-2022</t>
        </is>
      </c>
      <c r="B674" s="1" t="n">
        <v>44775.94119212963</v>
      </c>
      <c r="C674" s="1" t="n">
        <v>45916</v>
      </c>
      <c r="D674" t="inlineStr">
        <is>
          <t>JÄMTLANDS LÄN</t>
        </is>
      </c>
      <c r="E674" t="inlineStr">
        <is>
          <t>BERG</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47289-2023</t>
        </is>
      </c>
      <c r="B675" s="1" t="n">
        <v>45202.46581018518</v>
      </c>
      <c r="C675" s="1" t="n">
        <v>45916</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16247-2024</t>
        </is>
      </c>
      <c r="B676" s="1" t="n">
        <v>45407.05797453703</v>
      </c>
      <c r="C676" s="1" t="n">
        <v>45916</v>
      </c>
      <c r="D676" t="inlineStr">
        <is>
          <t>JÄMTLANDS LÄN</t>
        </is>
      </c>
      <c r="E676" t="inlineStr">
        <is>
          <t>BERG</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8388-2022</t>
        </is>
      </c>
      <c r="B677" s="1" t="n">
        <v>44610</v>
      </c>
      <c r="C677" s="1" t="n">
        <v>45916</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46268-2023</t>
        </is>
      </c>
      <c r="B678" s="1" t="n">
        <v>45196</v>
      </c>
      <c r="C678" s="1" t="n">
        <v>45916</v>
      </c>
      <c r="D678" t="inlineStr">
        <is>
          <t>JÄMTLANDS LÄN</t>
        </is>
      </c>
      <c r="E678" t="inlineStr">
        <is>
          <t>BERG</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8069-2024</t>
        </is>
      </c>
      <c r="B679" s="1" t="n">
        <v>45351.41600694445</v>
      </c>
      <c r="C679" s="1" t="n">
        <v>45916</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61788-2023</t>
        </is>
      </c>
      <c r="B680" s="1" t="n">
        <v>45265.9577199074</v>
      </c>
      <c r="C680" s="1" t="n">
        <v>45916</v>
      </c>
      <c r="D680" t="inlineStr">
        <is>
          <t>JÄMTLANDS LÄN</t>
        </is>
      </c>
      <c r="E680" t="inlineStr">
        <is>
          <t>BERG</t>
        </is>
      </c>
      <c r="G680" t="n">
        <v>2.6</v>
      </c>
      <c r="H680" t="n">
        <v>0</v>
      </c>
      <c r="I680" t="n">
        <v>0</v>
      </c>
      <c r="J680" t="n">
        <v>0</v>
      </c>
      <c r="K680" t="n">
        <v>0</v>
      </c>
      <c r="L680" t="n">
        <v>0</v>
      </c>
      <c r="M680" t="n">
        <v>0</v>
      </c>
      <c r="N680" t="n">
        <v>0</v>
      </c>
      <c r="O680" t="n">
        <v>0</v>
      </c>
      <c r="P680" t="n">
        <v>0</v>
      </c>
      <c r="Q680" t="n">
        <v>0</v>
      </c>
      <c r="R680" s="2" t="inlineStr"/>
    </row>
    <row r="681" ht="15" customHeight="1">
      <c r="A681" t="inlineStr">
        <is>
          <t>A 4522-2024</t>
        </is>
      </c>
      <c r="B681" s="1" t="n">
        <v>45327</v>
      </c>
      <c r="C681" s="1" t="n">
        <v>45916</v>
      </c>
      <c r="D681" t="inlineStr">
        <is>
          <t>JÄMTLANDS LÄN</t>
        </is>
      </c>
      <c r="E681" t="inlineStr">
        <is>
          <t>BERG</t>
        </is>
      </c>
      <c r="G681" t="n">
        <v>0.6</v>
      </c>
      <c r="H681" t="n">
        <v>0</v>
      </c>
      <c r="I681" t="n">
        <v>0</v>
      </c>
      <c r="J681" t="n">
        <v>0</v>
      </c>
      <c r="K681" t="n">
        <v>0</v>
      </c>
      <c r="L681" t="n">
        <v>0</v>
      </c>
      <c r="M681" t="n">
        <v>0</v>
      </c>
      <c r="N681" t="n">
        <v>0</v>
      </c>
      <c r="O681" t="n">
        <v>0</v>
      </c>
      <c r="P681" t="n">
        <v>0</v>
      </c>
      <c r="Q681" t="n">
        <v>0</v>
      </c>
      <c r="R681" s="2" t="inlineStr"/>
    </row>
    <row r="682" ht="15" customHeight="1">
      <c r="A682" t="inlineStr">
        <is>
          <t>A 39785-2024</t>
        </is>
      </c>
      <c r="B682" s="1" t="n">
        <v>45553.29927083333</v>
      </c>
      <c r="C682" s="1" t="n">
        <v>45916</v>
      </c>
      <c r="D682" t="inlineStr">
        <is>
          <t>JÄMTLANDS LÄN</t>
        </is>
      </c>
      <c r="E682" t="inlineStr">
        <is>
          <t>BERG</t>
        </is>
      </c>
      <c r="G682" t="n">
        <v>16.1</v>
      </c>
      <c r="H682" t="n">
        <v>0</v>
      </c>
      <c r="I682" t="n">
        <v>0</v>
      </c>
      <c r="J682" t="n">
        <v>0</v>
      </c>
      <c r="K682" t="n">
        <v>0</v>
      </c>
      <c r="L682" t="n">
        <v>0</v>
      </c>
      <c r="M682" t="n">
        <v>0</v>
      </c>
      <c r="N682" t="n">
        <v>0</v>
      </c>
      <c r="O682" t="n">
        <v>0</v>
      </c>
      <c r="P682" t="n">
        <v>0</v>
      </c>
      <c r="Q682" t="n">
        <v>0</v>
      </c>
      <c r="R682" s="2" t="inlineStr"/>
    </row>
    <row r="683" ht="15" customHeight="1">
      <c r="A683" t="inlineStr">
        <is>
          <t>A 51201-2023</t>
        </is>
      </c>
      <c r="B683" s="1" t="n">
        <v>45219.42320601852</v>
      </c>
      <c r="C683" s="1" t="n">
        <v>45916</v>
      </c>
      <c r="D683" t="inlineStr">
        <is>
          <t>JÄMTLANDS LÄN</t>
        </is>
      </c>
      <c r="E683" t="inlineStr">
        <is>
          <t>BERG</t>
        </is>
      </c>
      <c r="G683" t="n">
        <v>1.2</v>
      </c>
      <c r="H683" t="n">
        <v>0</v>
      </c>
      <c r="I683" t="n">
        <v>0</v>
      </c>
      <c r="J683" t="n">
        <v>0</v>
      </c>
      <c r="K683" t="n">
        <v>0</v>
      </c>
      <c r="L683" t="n">
        <v>0</v>
      </c>
      <c r="M683" t="n">
        <v>0</v>
      </c>
      <c r="N683" t="n">
        <v>0</v>
      </c>
      <c r="O683" t="n">
        <v>0</v>
      </c>
      <c r="P683" t="n">
        <v>0</v>
      </c>
      <c r="Q683" t="n">
        <v>0</v>
      </c>
      <c r="R683" s="2" t="inlineStr"/>
    </row>
    <row r="684" ht="15" customHeight="1">
      <c r="A684" t="inlineStr">
        <is>
          <t>A 56226-2024</t>
        </is>
      </c>
      <c r="B684" s="1" t="n">
        <v>45624.61572916667</v>
      </c>
      <c r="C684" s="1" t="n">
        <v>45916</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11599-2025</t>
        </is>
      </c>
      <c r="B685" s="1" t="n">
        <v>45727.4261574074</v>
      </c>
      <c r="C685" s="1" t="n">
        <v>45916</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41868-2024</t>
        </is>
      </c>
      <c r="B686" s="1" t="n">
        <v>45561.46900462963</v>
      </c>
      <c r="C686" s="1" t="n">
        <v>45916</v>
      </c>
      <c r="D686" t="inlineStr">
        <is>
          <t>JÄMTLANDS LÄN</t>
        </is>
      </c>
      <c r="E686" t="inlineStr">
        <is>
          <t>BERG</t>
        </is>
      </c>
      <c r="G686" t="n">
        <v>2.3</v>
      </c>
      <c r="H686" t="n">
        <v>0</v>
      </c>
      <c r="I686" t="n">
        <v>0</v>
      </c>
      <c r="J686" t="n">
        <v>0</v>
      </c>
      <c r="K686" t="n">
        <v>0</v>
      </c>
      <c r="L686" t="n">
        <v>0</v>
      </c>
      <c r="M686" t="n">
        <v>0</v>
      </c>
      <c r="N686" t="n">
        <v>0</v>
      </c>
      <c r="O686" t="n">
        <v>0</v>
      </c>
      <c r="P686" t="n">
        <v>0</v>
      </c>
      <c r="Q686" t="n">
        <v>0</v>
      </c>
      <c r="R686" s="2" t="inlineStr"/>
    </row>
    <row r="687" ht="15" customHeight="1">
      <c r="A687" t="inlineStr">
        <is>
          <t>A 18261-2022</t>
        </is>
      </c>
      <c r="B687" s="1" t="n">
        <v>44685.45633101852</v>
      </c>
      <c r="C687" s="1" t="n">
        <v>45916</v>
      </c>
      <c r="D687" t="inlineStr">
        <is>
          <t>JÄMTLANDS LÄN</t>
        </is>
      </c>
      <c r="E687" t="inlineStr">
        <is>
          <t>BERG</t>
        </is>
      </c>
      <c r="G687" t="n">
        <v>3</v>
      </c>
      <c r="H687" t="n">
        <v>0</v>
      </c>
      <c r="I687" t="n">
        <v>0</v>
      </c>
      <c r="J687" t="n">
        <v>0</v>
      </c>
      <c r="K687" t="n">
        <v>0</v>
      </c>
      <c r="L687" t="n">
        <v>0</v>
      </c>
      <c r="M687" t="n">
        <v>0</v>
      </c>
      <c r="N687" t="n">
        <v>0</v>
      </c>
      <c r="O687" t="n">
        <v>0</v>
      </c>
      <c r="P687" t="n">
        <v>0</v>
      </c>
      <c r="Q687" t="n">
        <v>0</v>
      </c>
      <c r="R687" s="2" t="inlineStr"/>
    </row>
    <row r="688" ht="15" customHeight="1">
      <c r="A688" t="inlineStr">
        <is>
          <t>A 62340-2020</t>
        </is>
      </c>
      <c r="B688" s="1" t="n">
        <v>44158</v>
      </c>
      <c r="C688" s="1" t="n">
        <v>45916</v>
      </c>
      <c r="D688" t="inlineStr">
        <is>
          <t>JÄMTLANDS LÄN</t>
        </is>
      </c>
      <c r="E688" t="inlineStr">
        <is>
          <t>BERG</t>
        </is>
      </c>
      <c r="G688" t="n">
        <v>2.5</v>
      </c>
      <c r="H688" t="n">
        <v>0</v>
      </c>
      <c r="I688" t="n">
        <v>0</v>
      </c>
      <c r="J688" t="n">
        <v>0</v>
      </c>
      <c r="K688" t="n">
        <v>0</v>
      </c>
      <c r="L688" t="n">
        <v>0</v>
      </c>
      <c r="M688" t="n">
        <v>0</v>
      </c>
      <c r="N688" t="n">
        <v>0</v>
      </c>
      <c r="O688" t="n">
        <v>0</v>
      </c>
      <c r="P688" t="n">
        <v>0</v>
      </c>
      <c r="Q688" t="n">
        <v>0</v>
      </c>
      <c r="R688" s="2" t="inlineStr"/>
    </row>
    <row r="689" ht="15" customHeight="1">
      <c r="A689" t="inlineStr">
        <is>
          <t>A 44997-2021</t>
        </is>
      </c>
      <c r="B689" s="1" t="n">
        <v>44438</v>
      </c>
      <c r="C689" s="1" t="n">
        <v>45916</v>
      </c>
      <c r="D689" t="inlineStr">
        <is>
          <t>JÄMTLANDS LÄN</t>
        </is>
      </c>
      <c r="E689" t="inlineStr">
        <is>
          <t>BERG</t>
        </is>
      </c>
      <c r="G689" t="n">
        <v>3.8</v>
      </c>
      <c r="H689" t="n">
        <v>0</v>
      </c>
      <c r="I689" t="n">
        <v>0</v>
      </c>
      <c r="J689" t="n">
        <v>0</v>
      </c>
      <c r="K689" t="n">
        <v>0</v>
      </c>
      <c r="L689" t="n">
        <v>0</v>
      </c>
      <c r="M689" t="n">
        <v>0</v>
      </c>
      <c r="N689" t="n">
        <v>0</v>
      </c>
      <c r="O689" t="n">
        <v>0</v>
      </c>
      <c r="P689" t="n">
        <v>0</v>
      </c>
      <c r="Q689" t="n">
        <v>0</v>
      </c>
      <c r="R689" s="2" t="inlineStr"/>
    </row>
    <row r="690" ht="15" customHeight="1">
      <c r="A690" t="inlineStr">
        <is>
          <t>A 48307-2024</t>
        </is>
      </c>
      <c r="B690" s="1" t="n">
        <v>45590.47684027778</v>
      </c>
      <c r="C690" s="1" t="n">
        <v>45916</v>
      </c>
      <c r="D690" t="inlineStr">
        <is>
          <t>JÄMTLANDS LÄN</t>
        </is>
      </c>
      <c r="E690" t="inlineStr">
        <is>
          <t>BERG</t>
        </is>
      </c>
      <c r="G690" t="n">
        <v>3.8</v>
      </c>
      <c r="H690" t="n">
        <v>0</v>
      </c>
      <c r="I690" t="n">
        <v>0</v>
      </c>
      <c r="J690" t="n">
        <v>0</v>
      </c>
      <c r="K690" t="n">
        <v>0</v>
      </c>
      <c r="L690" t="n">
        <v>0</v>
      </c>
      <c r="M690" t="n">
        <v>0</v>
      </c>
      <c r="N690" t="n">
        <v>0</v>
      </c>
      <c r="O690" t="n">
        <v>0</v>
      </c>
      <c r="P690" t="n">
        <v>0</v>
      </c>
      <c r="Q690" t="n">
        <v>0</v>
      </c>
      <c r="R690" s="2" t="inlineStr"/>
    </row>
    <row r="691" ht="15" customHeight="1">
      <c r="A691" t="inlineStr">
        <is>
          <t>A 61652-2024</t>
        </is>
      </c>
      <c r="B691" s="1" t="n">
        <v>45646.72293981481</v>
      </c>
      <c r="C691" s="1" t="n">
        <v>45916</v>
      </c>
      <c r="D691" t="inlineStr">
        <is>
          <t>JÄMTLANDS LÄN</t>
        </is>
      </c>
      <c r="E691" t="inlineStr">
        <is>
          <t>BERG</t>
        </is>
      </c>
      <c r="G691" t="n">
        <v>6.4</v>
      </c>
      <c r="H691" t="n">
        <v>0</v>
      </c>
      <c r="I691" t="n">
        <v>0</v>
      </c>
      <c r="J691" t="n">
        <v>0</v>
      </c>
      <c r="K691" t="n">
        <v>0</v>
      </c>
      <c r="L691" t="n">
        <v>0</v>
      </c>
      <c r="M691" t="n">
        <v>0</v>
      </c>
      <c r="N691" t="n">
        <v>0</v>
      </c>
      <c r="O691" t="n">
        <v>0</v>
      </c>
      <c r="P691" t="n">
        <v>0</v>
      </c>
      <c r="Q691" t="n">
        <v>0</v>
      </c>
      <c r="R691" s="2" t="inlineStr"/>
    </row>
    <row r="692" ht="15" customHeight="1">
      <c r="A692" t="inlineStr">
        <is>
          <t>A 13473-2025</t>
        </is>
      </c>
      <c r="B692" s="1" t="n">
        <v>45736.40671296296</v>
      </c>
      <c r="C692" s="1" t="n">
        <v>45916</v>
      </c>
      <c r="D692" t="inlineStr">
        <is>
          <t>JÄMTLANDS LÄN</t>
        </is>
      </c>
      <c r="E692" t="inlineStr">
        <is>
          <t>BERG</t>
        </is>
      </c>
      <c r="F692" t="inlineStr">
        <is>
          <t>SCA</t>
        </is>
      </c>
      <c r="G692" t="n">
        <v>13.7</v>
      </c>
      <c r="H692" t="n">
        <v>0</v>
      </c>
      <c r="I692" t="n">
        <v>0</v>
      </c>
      <c r="J692" t="n">
        <v>0</v>
      </c>
      <c r="K692" t="n">
        <v>0</v>
      </c>
      <c r="L692" t="n">
        <v>0</v>
      </c>
      <c r="M692" t="n">
        <v>0</v>
      </c>
      <c r="N692" t="n">
        <v>0</v>
      </c>
      <c r="O692" t="n">
        <v>0</v>
      </c>
      <c r="P692" t="n">
        <v>0</v>
      </c>
      <c r="Q692" t="n">
        <v>0</v>
      </c>
      <c r="R692" s="2" t="inlineStr"/>
    </row>
    <row r="693" ht="15" customHeight="1">
      <c r="A693" t="inlineStr">
        <is>
          <t>A 48663-2023</t>
        </is>
      </c>
      <c r="B693" s="1" t="n">
        <v>45202</v>
      </c>
      <c r="C693" s="1" t="n">
        <v>45916</v>
      </c>
      <c r="D693" t="inlineStr">
        <is>
          <t>JÄMTLANDS LÄN</t>
        </is>
      </c>
      <c r="E693" t="inlineStr">
        <is>
          <t>BERG</t>
        </is>
      </c>
      <c r="G693" t="n">
        <v>1.6</v>
      </c>
      <c r="H693" t="n">
        <v>0</v>
      </c>
      <c r="I693" t="n">
        <v>0</v>
      </c>
      <c r="J693" t="n">
        <v>0</v>
      </c>
      <c r="K693" t="n">
        <v>0</v>
      </c>
      <c r="L693" t="n">
        <v>0</v>
      </c>
      <c r="M693" t="n">
        <v>0</v>
      </c>
      <c r="N693" t="n">
        <v>0</v>
      </c>
      <c r="O693" t="n">
        <v>0</v>
      </c>
      <c r="P693" t="n">
        <v>0</v>
      </c>
      <c r="Q693" t="n">
        <v>0</v>
      </c>
      <c r="R693" s="2" t="inlineStr"/>
    </row>
    <row r="694" ht="15" customHeight="1">
      <c r="A694" t="inlineStr">
        <is>
          <t>A 15785-2021</t>
        </is>
      </c>
      <c r="B694" s="1" t="n">
        <v>44286.58679398148</v>
      </c>
      <c r="C694" s="1" t="n">
        <v>45916</v>
      </c>
      <c r="D694" t="inlineStr">
        <is>
          <t>JÄMTLANDS LÄN</t>
        </is>
      </c>
      <c r="E694" t="inlineStr">
        <is>
          <t>BERG</t>
        </is>
      </c>
      <c r="G694" t="n">
        <v>3.2</v>
      </c>
      <c r="H694" t="n">
        <v>0</v>
      </c>
      <c r="I694" t="n">
        <v>0</v>
      </c>
      <c r="J694" t="n">
        <v>0</v>
      </c>
      <c r="K694" t="n">
        <v>0</v>
      </c>
      <c r="L694" t="n">
        <v>0</v>
      </c>
      <c r="M694" t="n">
        <v>0</v>
      </c>
      <c r="N694" t="n">
        <v>0</v>
      </c>
      <c r="O694" t="n">
        <v>0</v>
      </c>
      <c r="P694" t="n">
        <v>0</v>
      </c>
      <c r="Q694" t="n">
        <v>0</v>
      </c>
      <c r="R694" s="2" t="inlineStr"/>
    </row>
    <row r="695" ht="15" customHeight="1">
      <c r="A695" t="inlineStr">
        <is>
          <t>A 59498-2024</t>
        </is>
      </c>
      <c r="B695" s="1" t="n">
        <v>45638.54635416667</v>
      </c>
      <c r="C695" s="1" t="n">
        <v>45916</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47119-2024</t>
        </is>
      </c>
      <c r="B696" s="1" t="n">
        <v>45586.56431712963</v>
      </c>
      <c r="C696" s="1" t="n">
        <v>45916</v>
      </c>
      <c r="D696" t="inlineStr">
        <is>
          <t>JÄMTLANDS LÄN</t>
        </is>
      </c>
      <c r="E696" t="inlineStr">
        <is>
          <t>BERG</t>
        </is>
      </c>
      <c r="G696" t="n">
        <v>5</v>
      </c>
      <c r="H696" t="n">
        <v>0</v>
      </c>
      <c r="I696" t="n">
        <v>0</v>
      </c>
      <c r="J696" t="n">
        <v>0</v>
      </c>
      <c r="K696" t="n">
        <v>0</v>
      </c>
      <c r="L696" t="n">
        <v>0</v>
      </c>
      <c r="M696" t="n">
        <v>0</v>
      </c>
      <c r="N696" t="n">
        <v>0</v>
      </c>
      <c r="O696" t="n">
        <v>0</v>
      </c>
      <c r="P696" t="n">
        <v>0</v>
      </c>
      <c r="Q696" t="n">
        <v>0</v>
      </c>
      <c r="R696" s="2" t="inlineStr"/>
    </row>
    <row r="697" ht="15" customHeight="1">
      <c r="A697" t="inlineStr">
        <is>
          <t>A 1646-2021</t>
        </is>
      </c>
      <c r="B697" s="1" t="n">
        <v>44209</v>
      </c>
      <c r="C697" s="1" t="n">
        <v>45916</v>
      </c>
      <c r="D697" t="inlineStr">
        <is>
          <t>JÄMTLANDS LÄN</t>
        </is>
      </c>
      <c r="E697" t="inlineStr">
        <is>
          <t>BERG</t>
        </is>
      </c>
      <c r="G697" t="n">
        <v>0.1</v>
      </c>
      <c r="H697" t="n">
        <v>0</v>
      </c>
      <c r="I697" t="n">
        <v>0</v>
      </c>
      <c r="J697" t="n">
        <v>0</v>
      </c>
      <c r="K697" t="n">
        <v>0</v>
      </c>
      <c r="L697" t="n">
        <v>0</v>
      </c>
      <c r="M697" t="n">
        <v>0</v>
      </c>
      <c r="N697" t="n">
        <v>0</v>
      </c>
      <c r="O697" t="n">
        <v>0</v>
      </c>
      <c r="P697" t="n">
        <v>0</v>
      </c>
      <c r="Q697" t="n">
        <v>0</v>
      </c>
      <c r="R697" s="2" t="inlineStr"/>
    </row>
    <row r="698" ht="15" customHeight="1">
      <c r="A698" t="inlineStr">
        <is>
          <t>A 50169-2023</t>
        </is>
      </c>
      <c r="B698" s="1" t="n">
        <v>45208</v>
      </c>
      <c r="C698" s="1" t="n">
        <v>45916</v>
      </c>
      <c r="D698" t="inlineStr">
        <is>
          <t>JÄMTLANDS LÄN</t>
        </is>
      </c>
      <c r="E698" t="inlineStr">
        <is>
          <t>BERG</t>
        </is>
      </c>
      <c r="G698" t="n">
        <v>3.9</v>
      </c>
      <c r="H698" t="n">
        <v>0</v>
      </c>
      <c r="I698" t="n">
        <v>0</v>
      </c>
      <c r="J698" t="n">
        <v>0</v>
      </c>
      <c r="K698" t="n">
        <v>0</v>
      </c>
      <c r="L698" t="n">
        <v>0</v>
      </c>
      <c r="M698" t="n">
        <v>0</v>
      </c>
      <c r="N698" t="n">
        <v>0</v>
      </c>
      <c r="O698" t="n">
        <v>0</v>
      </c>
      <c r="P698" t="n">
        <v>0</v>
      </c>
      <c r="Q698" t="n">
        <v>0</v>
      </c>
      <c r="R698" s="2" t="inlineStr"/>
    </row>
    <row r="699" ht="15" customHeight="1">
      <c r="A699" t="inlineStr">
        <is>
          <t>A 50172-2023</t>
        </is>
      </c>
      <c r="B699" s="1" t="n">
        <v>45208</v>
      </c>
      <c r="C699" s="1" t="n">
        <v>45916</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2474-2025</t>
        </is>
      </c>
      <c r="B700" s="1" t="n">
        <v>45674.47496527778</v>
      </c>
      <c r="C700" s="1" t="n">
        <v>45916</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45916</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41886-2024</t>
        </is>
      </c>
      <c r="B702" s="1" t="n">
        <v>45561.48825231481</v>
      </c>
      <c r="C702" s="1" t="n">
        <v>45916</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49277-2024</t>
        </is>
      </c>
      <c r="B703" s="1" t="n">
        <v>45595.50820601852</v>
      </c>
      <c r="C703" s="1" t="n">
        <v>45916</v>
      </c>
      <c r="D703" t="inlineStr">
        <is>
          <t>JÄMTLANDS LÄN</t>
        </is>
      </c>
      <c r="E703" t="inlineStr">
        <is>
          <t>BERG</t>
        </is>
      </c>
      <c r="G703" t="n">
        <v>1.3</v>
      </c>
      <c r="H703" t="n">
        <v>0</v>
      </c>
      <c r="I703" t="n">
        <v>0</v>
      </c>
      <c r="J703" t="n">
        <v>0</v>
      </c>
      <c r="K703" t="n">
        <v>0</v>
      </c>
      <c r="L703" t="n">
        <v>0</v>
      </c>
      <c r="M703" t="n">
        <v>0</v>
      </c>
      <c r="N703" t="n">
        <v>0</v>
      </c>
      <c r="O703" t="n">
        <v>0</v>
      </c>
      <c r="P703" t="n">
        <v>0</v>
      </c>
      <c r="Q703" t="n">
        <v>0</v>
      </c>
      <c r="R703" s="2" t="inlineStr"/>
    </row>
    <row r="704" ht="15" customHeight="1">
      <c r="A704" t="inlineStr">
        <is>
          <t>A 34225-2024</t>
        </is>
      </c>
      <c r="B704" s="1" t="n">
        <v>45524.55398148148</v>
      </c>
      <c r="C704" s="1" t="n">
        <v>45916</v>
      </c>
      <c r="D704" t="inlineStr">
        <is>
          <t>JÄMTLANDS LÄN</t>
        </is>
      </c>
      <c r="E704" t="inlineStr">
        <is>
          <t>BERG</t>
        </is>
      </c>
      <c r="G704" t="n">
        <v>1.3</v>
      </c>
      <c r="H704" t="n">
        <v>0</v>
      </c>
      <c r="I704" t="n">
        <v>0</v>
      </c>
      <c r="J704" t="n">
        <v>0</v>
      </c>
      <c r="K704" t="n">
        <v>0</v>
      </c>
      <c r="L704" t="n">
        <v>0</v>
      </c>
      <c r="M704" t="n">
        <v>0</v>
      </c>
      <c r="N704" t="n">
        <v>0</v>
      </c>
      <c r="O704" t="n">
        <v>0</v>
      </c>
      <c r="P704" t="n">
        <v>0</v>
      </c>
      <c r="Q704" t="n">
        <v>0</v>
      </c>
      <c r="R704" s="2" t="inlineStr"/>
    </row>
    <row r="705" ht="15" customHeight="1">
      <c r="A705" t="inlineStr">
        <is>
          <t>A 19538-2023</t>
        </is>
      </c>
      <c r="B705" s="1" t="n">
        <v>45050</v>
      </c>
      <c r="C705" s="1" t="n">
        <v>45916</v>
      </c>
      <c r="D705" t="inlineStr">
        <is>
          <t>JÄMTLANDS LÄN</t>
        </is>
      </c>
      <c r="E705" t="inlineStr">
        <is>
          <t>BERG</t>
        </is>
      </c>
      <c r="G705" t="n">
        <v>1.4</v>
      </c>
      <c r="H705" t="n">
        <v>0</v>
      </c>
      <c r="I705" t="n">
        <v>0</v>
      </c>
      <c r="J705" t="n">
        <v>0</v>
      </c>
      <c r="K705" t="n">
        <v>0</v>
      </c>
      <c r="L705" t="n">
        <v>0</v>
      </c>
      <c r="M705" t="n">
        <v>0</v>
      </c>
      <c r="N705" t="n">
        <v>0</v>
      </c>
      <c r="O705" t="n">
        <v>0</v>
      </c>
      <c r="P705" t="n">
        <v>0</v>
      </c>
      <c r="Q705" t="n">
        <v>0</v>
      </c>
      <c r="R705" s="2" t="inlineStr"/>
    </row>
    <row r="706" ht="15" customHeight="1">
      <c r="A706" t="inlineStr">
        <is>
          <t>A 9077-2023</t>
        </is>
      </c>
      <c r="B706" s="1" t="n">
        <v>44979</v>
      </c>
      <c r="C706" s="1" t="n">
        <v>45916</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46991-2024</t>
        </is>
      </c>
      <c r="B707" s="1" t="n">
        <v>45586.365625</v>
      </c>
      <c r="C707" s="1" t="n">
        <v>45916</v>
      </c>
      <c r="D707" t="inlineStr">
        <is>
          <t>JÄMTLANDS LÄN</t>
        </is>
      </c>
      <c r="E707" t="inlineStr">
        <is>
          <t>BERG</t>
        </is>
      </c>
      <c r="G707" t="n">
        <v>2.9</v>
      </c>
      <c r="H707" t="n">
        <v>0</v>
      </c>
      <c r="I707" t="n">
        <v>0</v>
      </c>
      <c r="J707" t="n">
        <v>0</v>
      </c>
      <c r="K707" t="n">
        <v>0</v>
      </c>
      <c r="L707" t="n">
        <v>0</v>
      </c>
      <c r="M707" t="n">
        <v>0</v>
      </c>
      <c r="N707" t="n">
        <v>0</v>
      </c>
      <c r="O707" t="n">
        <v>0</v>
      </c>
      <c r="P707" t="n">
        <v>0</v>
      </c>
      <c r="Q707" t="n">
        <v>0</v>
      </c>
      <c r="R707" s="2" t="inlineStr"/>
    </row>
    <row r="708" ht="15" customHeight="1">
      <c r="A708" t="inlineStr">
        <is>
          <t>A 18752-2024</t>
        </is>
      </c>
      <c r="B708" s="1" t="n">
        <v>45426.54224537037</v>
      </c>
      <c r="C708" s="1" t="n">
        <v>45916</v>
      </c>
      <c r="D708" t="inlineStr">
        <is>
          <t>JÄMTLANDS LÄN</t>
        </is>
      </c>
      <c r="E708" t="inlineStr">
        <is>
          <t>BERG</t>
        </is>
      </c>
      <c r="G708" t="n">
        <v>0.7</v>
      </c>
      <c r="H708" t="n">
        <v>0</v>
      </c>
      <c r="I708" t="n">
        <v>0</v>
      </c>
      <c r="J708" t="n">
        <v>0</v>
      </c>
      <c r="K708" t="n">
        <v>0</v>
      </c>
      <c r="L708" t="n">
        <v>0</v>
      </c>
      <c r="M708" t="n">
        <v>0</v>
      </c>
      <c r="N708" t="n">
        <v>0</v>
      </c>
      <c r="O708" t="n">
        <v>0</v>
      </c>
      <c r="P708" t="n">
        <v>0</v>
      </c>
      <c r="Q708" t="n">
        <v>0</v>
      </c>
      <c r="R708" s="2" t="inlineStr"/>
    </row>
    <row r="709" ht="15" customHeight="1">
      <c r="A709" t="inlineStr">
        <is>
          <t>A 64486-2023</t>
        </is>
      </c>
      <c r="B709" s="1" t="n">
        <v>45280</v>
      </c>
      <c r="C709" s="1" t="n">
        <v>45916</v>
      </c>
      <c r="D709" t="inlineStr">
        <is>
          <t>JÄMTLANDS LÄN</t>
        </is>
      </c>
      <c r="E709" t="inlineStr">
        <is>
          <t>BERG</t>
        </is>
      </c>
      <c r="G709" t="n">
        <v>2</v>
      </c>
      <c r="H709" t="n">
        <v>0</v>
      </c>
      <c r="I709" t="n">
        <v>0</v>
      </c>
      <c r="J709" t="n">
        <v>0</v>
      </c>
      <c r="K709" t="n">
        <v>0</v>
      </c>
      <c r="L709" t="n">
        <v>0</v>
      </c>
      <c r="M709" t="n">
        <v>0</v>
      </c>
      <c r="N709" t="n">
        <v>0</v>
      </c>
      <c r="O709" t="n">
        <v>0</v>
      </c>
      <c r="P709" t="n">
        <v>0</v>
      </c>
      <c r="Q709" t="n">
        <v>0</v>
      </c>
      <c r="R709" s="2" t="inlineStr"/>
    </row>
    <row r="710" ht="15" customHeight="1">
      <c r="A710" t="inlineStr">
        <is>
          <t>A 64488-2023</t>
        </is>
      </c>
      <c r="B710" s="1" t="n">
        <v>45280.92618055556</v>
      </c>
      <c r="C710" s="1" t="n">
        <v>45916</v>
      </c>
      <c r="D710" t="inlineStr">
        <is>
          <t>JÄMTLANDS LÄN</t>
        </is>
      </c>
      <c r="E710" t="inlineStr">
        <is>
          <t>BERG</t>
        </is>
      </c>
      <c r="F710" t="inlineStr">
        <is>
          <t>Övriga Aktiebolag</t>
        </is>
      </c>
      <c r="G710" t="n">
        <v>7.1</v>
      </c>
      <c r="H710" t="n">
        <v>0</v>
      </c>
      <c r="I710" t="n">
        <v>0</v>
      </c>
      <c r="J710" t="n">
        <v>0</v>
      </c>
      <c r="K710" t="n">
        <v>0</v>
      </c>
      <c r="L710" t="n">
        <v>0</v>
      </c>
      <c r="M710" t="n">
        <v>0</v>
      </c>
      <c r="N710" t="n">
        <v>0</v>
      </c>
      <c r="O710" t="n">
        <v>0</v>
      </c>
      <c r="P710" t="n">
        <v>0</v>
      </c>
      <c r="Q710" t="n">
        <v>0</v>
      </c>
      <c r="R710" s="2" t="inlineStr"/>
    </row>
    <row r="711" ht="15" customHeight="1">
      <c r="A711" t="inlineStr">
        <is>
          <t>A 58817-2024</t>
        </is>
      </c>
      <c r="B711" s="1" t="n">
        <v>45636.35909722222</v>
      </c>
      <c r="C711" s="1" t="n">
        <v>45916</v>
      </c>
      <c r="D711" t="inlineStr">
        <is>
          <t>JÄMTLANDS LÄN</t>
        </is>
      </c>
      <c r="E711" t="inlineStr">
        <is>
          <t>BERG</t>
        </is>
      </c>
      <c r="G711" t="n">
        <v>1.5</v>
      </c>
      <c r="H711" t="n">
        <v>0</v>
      </c>
      <c r="I711" t="n">
        <v>0</v>
      </c>
      <c r="J711" t="n">
        <v>0</v>
      </c>
      <c r="K711" t="n">
        <v>0</v>
      </c>
      <c r="L711" t="n">
        <v>0</v>
      </c>
      <c r="M711" t="n">
        <v>0</v>
      </c>
      <c r="N711" t="n">
        <v>0</v>
      </c>
      <c r="O711" t="n">
        <v>0</v>
      </c>
      <c r="P711" t="n">
        <v>0</v>
      </c>
      <c r="Q711" t="n">
        <v>0</v>
      </c>
      <c r="R711" s="2" t="inlineStr"/>
    </row>
    <row r="712" ht="15" customHeight="1">
      <c r="A712" t="inlineStr">
        <is>
          <t>A 53886-2020</t>
        </is>
      </c>
      <c r="B712" s="1" t="n">
        <v>44123</v>
      </c>
      <c r="C712" s="1" t="n">
        <v>45916</v>
      </c>
      <c r="D712" t="inlineStr">
        <is>
          <t>JÄMTLANDS LÄN</t>
        </is>
      </c>
      <c r="E712" t="inlineStr">
        <is>
          <t>BERG</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38-2024</t>
        </is>
      </c>
      <c r="B713" s="1" t="n">
        <v>45293</v>
      </c>
      <c r="C713" s="1" t="n">
        <v>45916</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43762-2023</t>
        </is>
      </c>
      <c r="B714" s="1" t="n">
        <v>45182</v>
      </c>
      <c r="C714" s="1" t="n">
        <v>45916</v>
      </c>
      <c r="D714" t="inlineStr">
        <is>
          <t>JÄMTLANDS LÄN</t>
        </is>
      </c>
      <c r="E714" t="inlineStr">
        <is>
          <t>BERG</t>
        </is>
      </c>
      <c r="G714" t="n">
        <v>6.4</v>
      </c>
      <c r="H714" t="n">
        <v>0</v>
      </c>
      <c r="I714" t="n">
        <v>0</v>
      </c>
      <c r="J714" t="n">
        <v>0</v>
      </c>
      <c r="K714" t="n">
        <v>0</v>
      </c>
      <c r="L714" t="n">
        <v>0</v>
      </c>
      <c r="M714" t="n">
        <v>0</v>
      </c>
      <c r="N714" t="n">
        <v>0</v>
      </c>
      <c r="O714" t="n">
        <v>0</v>
      </c>
      <c r="P714" t="n">
        <v>0</v>
      </c>
      <c r="Q714" t="n">
        <v>0</v>
      </c>
      <c r="R714" s="2" t="inlineStr"/>
    </row>
    <row r="715" ht="15" customHeight="1">
      <c r="A715" t="inlineStr">
        <is>
          <t>A 51039-2024</t>
        </is>
      </c>
      <c r="B715" s="1" t="n">
        <v>45603.43164351852</v>
      </c>
      <c r="C715" s="1" t="n">
        <v>45916</v>
      </c>
      <c r="D715" t="inlineStr">
        <is>
          <t>JÄMTLANDS LÄN</t>
        </is>
      </c>
      <c r="E715" t="inlineStr">
        <is>
          <t>BERG</t>
        </is>
      </c>
      <c r="G715" t="n">
        <v>14</v>
      </c>
      <c r="H715" t="n">
        <v>0</v>
      </c>
      <c r="I715" t="n">
        <v>0</v>
      </c>
      <c r="J715" t="n">
        <v>0</v>
      </c>
      <c r="K715" t="n">
        <v>0</v>
      </c>
      <c r="L715" t="n">
        <v>0</v>
      </c>
      <c r="M715" t="n">
        <v>0</v>
      </c>
      <c r="N715" t="n">
        <v>0</v>
      </c>
      <c r="O715" t="n">
        <v>0</v>
      </c>
      <c r="P715" t="n">
        <v>0</v>
      </c>
      <c r="Q715" t="n">
        <v>0</v>
      </c>
      <c r="R715" s="2" t="inlineStr"/>
    </row>
    <row r="716" ht="15" customHeight="1">
      <c r="A716" t="inlineStr">
        <is>
          <t>A 60076-2024</t>
        </is>
      </c>
      <c r="B716" s="1" t="n">
        <v>45642.53166666667</v>
      </c>
      <c r="C716" s="1" t="n">
        <v>45916</v>
      </c>
      <c r="D716" t="inlineStr">
        <is>
          <t>JÄMTLANDS LÄN</t>
        </is>
      </c>
      <c r="E716" t="inlineStr">
        <is>
          <t>BERG</t>
        </is>
      </c>
      <c r="G716" t="n">
        <v>1.1</v>
      </c>
      <c r="H716" t="n">
        <v>0</v>
      </c>
      <c r="I716" t="n">
        <v>0</v>
      </c>
      <c r="J716" t="n">
        <v>0</v>
      </c>
      <c r="K716" t="n">
        <v>0</v>
      </c>
      <c r="L716" t="n">
        <v>0</v>
      </c>
      <c r="M716" t="n">
        <v>0</v>
      </c>
      <c r="N716" t="n">
        <v>0</v>
      </c>
      <c r="O716" t="n">
        <v>0</v>
      </c>
      <c r="P716" t="n">
        <v>0</v>
      </c>
      <c r="Q716" t="n">
        <v>0</v>
      </c>
      <c r="R716" s="2" t="inlineStr"/>
    </row>
    <row r="717" ht="15" customHeight="1">
      <c r="A717" t="inlineStr">
        <is>
          <t>A 13108-2025</t>
        </is>
      </c>
      <c r="B717" s="1" t="n">
        <v>45734</v>
      </c>
      <c r="C717" s="1" t="n">
        <v>45916</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5215-2024</t>
        </is>
      </c>
      <c r="B718" s="1" t="n">
        <v>45330</v>
      </c>
      <c r="C718" s="1" t="n">
        <v>45916</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32178-2024</t>
        </is>
      </c>
      <c r="B719" s="1" t="n">
        <v>45511</v>
      </c>
      <c r="C719" s="1" t="n">
        <v>45916</v>
      </c>
      <c r="D719" t="inlineStr">
        <is>
          <t>JÄMTLANDS LÄN</t>
        </is>
      </c>
      <c r="E719" t="inlineStr">
        <is>
          <t>BERG</t>
        </is>
      </c>
      <c r="G719" t="n">
        <v>11.4</v>
      </c>
      <c r="H719" t="n">
        <v>0</v>
      </c>
      <c r="I719" t="n">
        <v>0</v>
      </c>
      <c r="J719" t="n">
        <v>0</v>
      </c>
      <c r="K719" t="n">
        <v>0</v>
      </c>
      <c r="L719" t="n">
        <v>0</v>
      </c>
      <c r="M719" t="n">
        <v>0</v>
      </c>
      <c r="N719" t="n">
        <v>0</v>
      </c>
      <c r="O719" t="n">
        <v>0</v>
      </c>
      <c r="P719" t="n">
        <v>0</v>
      </c>
      <c r="Q719" t="n">
        <v>0</v>
      </c>
      <c r="R719" s="2" t="inlineStr"/>
    </row>
    <row r="720" ht="15" customHeight="1">
      <c r="A720" t="inlineStr">
        <is>
          <t>A 16002-2025</t>
        </is>
      </c>
      <c r="B720" s="1" t="n">
        <v>45749.59398148148</v>
      </c>
      <c r="C720" s="1" t="n">
        <v>45916</v>
      </c>
      <c r="D720" t="inlineStr">
        <is>
          <t>JÄMTLANDS LÄN</t>
        </is>
      </c>
      <c r="E720" t="inlineStr">
        <is>
          <t>BERG</t>
        </is>
      </c>
      <c r="G720" t="n">
        <v>0.7</v>
      </c>
      <c r="H720" t="n">
        <v>0</v>
      </c>
      <c r="I720" t="n">
        <v>0</v>
      </c>
      <c r="J720" t="n">
        <v>0</v>
      </c>
      <c r="K720" t="n">
        <v>0</v>
      </c>
      <c r="L720" t="n">
        <v>0</v>
      </c>
      <c r="M720" t="n">
        <v>0</v>
      </c>
      <c r="N720" t="n">
        <v>0</v>
      </c>
      <c r="O720" t="n">
        <v>0</v>
      </c>
      <c r="P720" t="n">
        <v>0</v>
      </c>
      <c r="Q720" t="n">
        <v>0</v>
      </c>
      <c r="R720" s="2" t="inlineStr"/>
    </row>
    <row r="721" ht="15" customHeight="1">
      <c r="A721" t="inlineStr">
        <is>
          <t>A 18032-2024</t>
        </is>
      </c>
      <c r="B721" s="1" t="n">
        <v>45420.34979166667</v>
      </c>
      <c r="C721" s="1" t="n">
        <v>45916</v>
      </c>
      <c r="D721" t="inlineStr">
        <is>
          <t>JÄMTLANDS LÄN</t>
        </is>
      </c>
      <c r="E721" t="inlineStr">
        <is>
          <t>BERG</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34845-2023</t>
        </is>
      </c>
      <c r="B722" s="1" t="n">
        <v>45141.95964120371</v>
      </c>
      <c r="C722" s="1" t="n">
        <v>45916</v>
      </c>
      <c r="D722" t="inlineStr">
        <is>
          <t>JÄMTLANDS LÄN</t>
        </is>
      </c>
      <c r="E722" t="inlineStr">
        <is>
          <t>BERG</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41069-2022</t>
        </is>
      </c>
      <c r="B723" s="1" t="n">
        <v>44825.60015046296</v>
      </c>
      <c r="C723" s="1" t="n">
        <v>45916</v>
      </c>
      <c r="D723" t="inlineStr">
        <is>
          <t>JÄMTLANDS LÄN</t>
        </is>
      </c>
      <c r="E723" t="inlineStr">
        <is>
          <t>BERG</t>
        </is>
      </c>
      <c r="G723" t="n">
        <v>1.5</v>
      </c>
      <c r="H723" t="n">
        <v>0</v>
      </c>
      <c r="I723" t="n">
        <v>0</v>
      </c>
      <c r="J723" t="n">
        <v>0</v>
      </c>
      <c r="K723" t="n">
        <v>0</v>
      </c>
      <c r="L723" t="n">
        <v>0</v>
      </c>
      <c r="M723" t="n">
        <v>0</v>
      </c>
      <c r="N723" t="n">
        <v>0</v>
      </c>
      <c r="O723" t="n">
        <v>0</v>
      </c>
      <c r="P723" t="n">
        <v>0</v>
      </c>
      <c r="Q723" t="n">
        <v>0</v>
      </c>
      <c r="R723" s="2" t="inlineStr"/>
    </row>
    <row r="724" ht="15" customHeight="1">
      <c r="A724" t="inlineStr">
        <is>
          <t>A 54863-2023</t>
        </is>
      </c>
      <c r="B724" s="1" t="n">
        <v>45236</v>
      </c>
      <c r="C724" s="1" t="n">
        <v>45916</v>
      </c>
      <c r="D724" t="inlineStr">
        <is>
          <t>JÄMTLANDS LÄN</t>
        </is>
      </c>
      <c r="E724" t="inlineStr">
        <is>
          <t>BERG</t>
        </is>
      </c>
      <c r="G724" t="n">
        <v>3.3</v>
      </c>
      <c r="H724" t="n">
        <v>0</v>
      </c>
      <c r="I724" t="n">
        <v>0</v>
      </c>
      <c r="J724" t="n">
        <v>0</v>
      </c>
      <c r="K724" t="n">
        <v>0</v>
      </c>
      <c r="L724" t="n">
        <v>0</v>
      </c>
      <c r="M724" t="n">
        <v>0</v>
      </c>
      <c r="N724" t="n">
        <v>0</v>
      </c>
      <c r="O724" t="n">
        <v>0</v>
      </c>
      <c r="P724" t="n">
        <v>0</v>
      </c>
      <c r="Q724" t="n">
        <v>0</v>
      </c>
      <c r="R724" s="2" t="inlineStr"/>
    </row>
    <row r="725" ht="15" customHeight="1">
      <c r="A725" t="inlineStr">
        <is>
          <t>A 46167-2022</t>
        </is>
      </c>
      <c r="B725" s="1" t="n">
        <v>44845</v>
      </c>
      <c r="C725" s="1" t="n">
        <v>45916</v>
      </c>
      <c r="D725" t="inlineStr">
        <is>
          <t>JÄMTLANDS LÄN</t>
        </is>
      </c>
      <c r="E725" t="inlineStr">
        <is>
          <t>BERG</t>
        </is>
      </c>
      <c r="G725" t="n">
        <v>35.2</v>
      </c>
      <c r="H725" t="n">
        <v>0</v>
      </c>
      <c r="I725" t="n">
        <v>0</v>
      </c>
      <c r="J725" t="n">
        <v>0</v>
      </c>
      <c r="K725" t="n">
        <v>0</v>
      </c>
      <c r="L725" t="n">
        <v>0</v>
      </c>
      <c r="M725" t="n">
        <v>0</v>
      </c>
      <c r="N725" t="n">
        <v>0</v>
      </c>
      <c r="O725" t="n">
        <v>0</v>
      </c>
      <c r="P725" t="n">
        <v>0</v>
      </c>
      <c r="Q725" t="n">
        <v>0</v>
      </c>
      <c r="R725" s="2" t="inlineStr"/>
    </row>
    <row r="726" ht="15" customHeight="1">
      <c r="A726" t="inlineStr">
        <is>
          <t>A 32711-2024</t>
        </is>
      </c>
      <c r="B726" s="1" t="n">
        <v>45516</v>
      </c>
      <c r="C726" s="1" t="n">
        <v>45916</v>
      </c>
      <c r="D726" t="inlineStr">
        <is>
          <t>JÄMTLANDS LÄN</t>
        </is>
      </c>
      <c r="E726" t="inlineStr">
        <is>
          <t>BERG</t>
        </is>
      </c>
      <c r="G726" t="n">
        <v>0</v>
      </c>
      <c r="H726" t="n">
        <v>0</v>
      </c>
      <c r="I726" t="n">
        <v>0</v>
      </c>
      <c r="J726" t="n">
        <v>0</v>
      </c>
      <c r="K726" t="n">
        <v>0</v>
      </c>
      <c r="L726" t="n">
        <v>0</v>
      </c>
      <c r="M726" t="n">
        <v>0</v>
      </c>
      <c r="N726" t="n">
        <v>0</v>
      </c>
      <c r="O726" t="n">
        <v>0</v>
      </c>
      <c r="P726" t="n">
        <v>0</v>
      </c>
      <c r="Q726" t="n">
        <v>0</v>
      </c>
      <c r="R726" s="2" t="inlineStr"/>
    </row>
    <row r="727" ht="15" customHeight="1">
      <c r="A727" t="inlineStr">
        <is>
          <t>A 15992-2025</t>
        </is>
      </c>
      <c r="B727" s="1" t="n">
        <v>45749.58319444444</v>
      </c>
      <c r="C727" s="1" t="n">
        <v>45916</v>
      </c>
      <c r="D727" t="inlineStr">
        <is>
          <t>JÄMTLANDS LÄN</t>
        </is>
      </c>
      <c r="E727" t="inlineStr">
        <is>
          <t>BERG</t>
        </is>
      </c>
      <c r="G727" t="n">
        <v>1.1</v>
      </c>
      <c r="H727" t="n">
        <v>0</v>
      </c>
      <c r="I727" t="n">
        <v>0</v>
      </c>
      <c r="J727" t="n">
        <v>0</v>
      </c>
      <c r="K727" t="n">
        <v>0</v>
      </c>
      <c r="L727" t="n">
        <v>0</v>
      </c>
      <c r="M727" t="n">
        <v>0</v>
      </c>
      <c r="N727" t="n">
        <v>0</v>
      </c>
      <c r="O727" t="n">
        <v>0</v>
      </c>
      <c r="P727" t="n">
        <v>0</v>
      </c>
      <c r="Q727" t="n">
        <v>0</v>
      </c>
      <c r="R727" s="2" t="inlineStr"/>
    </row>
    <row r="728" ht="15" customHeight="1">
      <c r="A728" t="inlineStr">
        <is>
          <t>A 2472-2025</t>
        </is>
      </c>
      <c r="B728" s="1" t="n">
        <v>45674.47341435185</v>
      </c>
      <c r="C728" s="1" t="n">
        <v>45916</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39269-2024</t>
        </is>
      </c>
      <c r="B729" s="1" t="n">
        <v>45551.34488425926</v>
      </c>
      <c r="C729" s="1" t="n">
        <v>45916</v>
      </c>
      <c r="D729" t="inlineStr">
        <is>
          <t>JÄMTLANDS LÄN</t>
        </is>
      </c>
      <c r="E729" t="inlineStr">
        <is>
          <t>BERG</t>
        </is>
      </c>
      <c r="G729" t="n">
        <v>3.1</v>
      </c>
      <c r="H729" t="n">
        <v>0</v>
      </c>
      <c r="I729" t="n">
        <v>0</v>
      </c>
      <c r="J729" t="n">
        <v>0</v>
      </c>
      <c r="K729" t="n">
        <v>0</v>
      </c>
      <c r="L729" t="n">
        <v>0</v>
      </c>
      <c r="M729" t="n">
        <v>0</v>
      </c>
      <c r="N729" t="n">
        <v>0</v>
      </c>
      <c r="O729" t="n">
        <v>0</v>
      </c>
      <c r="P729" t="n">
        <v>0</v>
      </c>
      <c r="Q729" t="n">
        <v>0</v>
      </c>
      <c r="R729" s="2" t="inlineStr"/>
    </row>
    <row r="730" ht="15" customHeight="1">
      <c r="A730" t="inlineStr">
        <is>
          <t>A 8239-2024</t>
        </is>
      </c>
      <c r="B730" s="1" t="n">
        <v>45351</v>
      </c>
      <c r="C730" s="1" t="n">
        <v>45916</v>
      </c>
      <c r="D730" t="inlineStr">
        <is>
          <t>JÄMTLANDS LÄN</t>
        </is>
      </c>
      <c r="E730" t="inlineStr">
        <is>
          <t>BERG</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13805-2024</t>
        </is>
      </c>
      <c r="B731" s="1" t="n">
        <v>45390</v>
      </c>
      <c r="C731" s="1" t="n">
        <v>45916</v>
      </c>
      <c r="D731" t="inlineStr">
        <is>
          <t>JÄMTLANDS LÄN</t>
        </is>
      </c>
      <c r="E731" t="inlineStr">
        <is>
          <t>BERG</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37589-2021</t>
        </is>
      </c>
      <c r="B732" s="1" t="n">
        <v>44399</v>
      </c>
      <c r="C732" s="1" t="n">
        <v>45916</v>
      </c>
      <c r="D732" t="inlineStr">
        <is>
          <t>JÄMTLANDS LÄN</t>
        </is>
      </c>
      <c r="E732" t="inlineStr">
        <is>
          <t>BERG</t>
        </is>
      </c>
      <c r="G732" t="n">
        <v>8.6</v>
      </c>
      <c r="H732" t="n">
        <v>0</v>
      </c>
      <c r="I732" t="n">
        <v>0</v>
      </c>
      <c r="J732" t="n">
        <v>0</v>
      </c>
      <c r="K732" t="n">
        <v>0</v>
      </c>
      <c r="L732" t="n">
        <v>0</v>
      </c>
      <c r="M732" t="n">
        <v>0</v>
      </c>
      <c r="N732" t="n">
        <v>0</v>
      </c>
      <c r="O732" t="n">
        <v>0</v>
      </c>
      <c r="P732" t="n">
        <v>0</v>
      </c>
      <c r="Q732" t="n">
        <v>0</v>
      </c>
      <c r="R732" s="2" t="inlineStr"/>
    </row>
    <row r="733" ht="15" customHeight="1">
      <c r="A733" t="inlineStr">
        <is>
          <t>A 16491-2023</t>
        </is>
      </c>
      <c r="B733" s="1" t="n">
        <v>45027</v>
      </c>
      <c r="C733" s="1" t="n">
        <v>45916</v>
      </c>
      <c r="D733" t="inlineStr">
        <is>
          <t>JÄMTLANDS LÄN</t>
        </is>
      </c>
      <c r="E733" t="inlineStr">
        <is>
          <t>BERG</t>
        </is>
      </c>
      <c r="G733" t="n">
        <v>2.5</v>
      </c>
      <c r="H733" t="n">
        <v>0</v>
      </c>
      <c r="I733" t="n">
        <v>0</v>
      </c>
      <c r="J733" t="n">
        <v>0</v>
      </c>
      <c r="K733" t="n">
        <v>0</v>
      </c>
      <c r="L733" t="n">
        <v>0</v>
      </c>
      <c r="M733" t="n">
        <v>0</v>
      </c>
      <c r="N733" t="n">
        <v>0</v>
      </c>
      <c r="O733" t="n">
        <v>0</v>
      </c>
      <c r="P733" t="n">
        <v>0</v>
      </c>
      <c r="Q733" t="n">
        <v>0</v>
      </c>
      <c r="R733" s="2" t="inlineStr"/>
    </row>
    <row r="734" ht="15" customHeight="1">
      <c r="A734" t="inlineStr">
        <is>
          <t>A 57669-2024</t>
        </is>
      </c>
      <c r="B734" s="1" t="n">
        <v>45630.62520833333</v>
      </c>
      <c r="C734" s="1" t="n">
        <v>45916</v>
      </c>
      <c r="D734" t="inlineStr">
        <is>
          <t>JÄMTLANDS LÄN</t>
        </is>
      </c>
      <c r="E734" t="inlineStr">
        <is>
          <t>BERG</t>
        </is>
      </c>
      <c r="G734" t="n">
        <v>1</v>
      </c>
      <c r="H734" t="n">
        <v>0</v>
      </c>
      <c r="I734" t="n">
        <v>0</v>
      </c>
      <c r="J734" t="n">
        <v>0</v>
      </c>
      <c r="K734" t="n">
        <v>0</v>
      </c>
      <c r="L734" t="n">
        <v>0</v>
      </c>
      <c r="M734" t="n">
        <v>0</v>
      </c>
      <c r="N734" t="n">
        <v>0</v>
      </c>
      <c r="O734" t="n">
        <v>0</v>
      </c>
      <c r="P734" t="n">
        <v>0</v>
      </c>
      <c r="Q734" t="n">
        <v>0</v>
      </c>
      <c r="R734" s="2" t="inlineStr"/>
    </row>
    <row r="735" ht="15" customHeight="1">
      <c r="A735" t="inlineStr">
        <is>
          <t>A 65207-2023</t>
        </is>
      </c>
      <c r="B735" s="1" t="n">
        <v>45289</v>
      </c>
      <c r="C735" s="1" t="n">
        <v>45916</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44313-2023</t>
        </is>
      </c>
      <c r="B736" s="1" t="n">
        <v>45188.6505787037</v>
      </c>
      <c r="C736" s="1" t="n">
        <v>45916</v>
      </c>
      <c r="D736" t="inlineStr">
        <is>
          <t>JÄMTLANDS LÄN</t>
        </is>
      </c>
      <c r="E736" t="inlineStr">
        <is>
          <t>BERG</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35921-2024</t>
        </is>
      </c>
      <c r="B737" s="1" t="n">
        <v>45533.42659722222</v>
      </c>
      <c r="C737" s="1" t="n">
        <v>45916</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64752-2023</t>
        </is>
      </c>
      <c r="B738" s="1" t="n">
        <v>45281.92891203704</v>
      </c>
      <c r="C738" s="1" t="n">
        <v>45916</v>
      </c>
      <c r="D738" t="inlineStr">
        <is>
          <t>JÄMTLANDS LÄN</t>
        </is>
      </c>
      <c r="E738" t="inlineStr">
        <is>
          <t>BERG</t>
        </is>
      </c>
      <c r="F738" t="inlineStr">
        <is>
          <t>Övriga Aktiebolag</t>
        </is>
      </c>
      <c r="G738" t="n">
        <v>3.4</v>
      </c>
      <c r="H738" t="n">
        <v>0</v>
      </c>
      <c r="I738" t="n">
        <v>0</v>
      </c>
      <c r="J738" t="n">
        <v>0</v>
      </c>
      <c r="K738" t="n">
        <v>0</v>
      </c>
      <c r="L738" t="n">
        <v>0</v>
      </c>
      <c r="M738" t="n">
        <v>0</v>
      </c>
      <c r="N738" t="n">
        <v>0</v>
      </c>
      <c r="O738" t="n">
        <v>0</v>
      </c>
      <c r="P738" t="n">
        <v>0</v>
      </c>
      <c r="Q738" t="n">
        <v>0</v>
      </c>
      <c r="R738" s="2" t="inlineStr"/>
    </row>
    <row r="739" ht="15" customHeight="1">
      <c r="A739" t="inlineStr">
        <is>
          <t>A 14728-2025</t>
        </is>
      </c>
      <c r="B739" s="1" t="n">
        <v>45742.63574074074</v>
      </c>
      <c r="C739" s="1" t="n">
        <v>45916</v>
      </c>
      <c r="D739" t="inlineStr">
        <is>
          <t>JÄMTLANDS LÄN</t>
        </is>
      </c>
      <c r="E739" t="inlineStr">
        <is>
          <t>BERG</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31129-2024</t>
        </is>
      </c>
      <c r="B740" s="1" t="n">
        <v>45502</v>
      </c>
      <c r="C740" s="1" t="n">
        <v>45916</v>
      </c>
      <c r="D740" t="inlineStr">
        <is>
          <t>JÄMTLANDS LÄN</t>
        </is>
      </c>
      <c r="E740" t="inlineStr">
        <is>
          <t>BERG</t>
        </is>
      </c>
      <c r="G740" t="n">
        <v>1.3</v>
      </c>
      <c r="H740" t="n">
        <v>0</v>
      </c>
      <c r="I740" t="n">
        <v>0</v>
      </c>
      <c r="J740" t="n">
        <v>0</v>
      </c>
      <c r="K740" t="n">
        <v>0</v>
      </c>
      <c r="L740" t="n">
        <v>0</v>
      </c>
      <c r="M740" t="n">
        <v>0</v>
      </c>
      <c r="N740" t="n">
        <v>0</v>
      </c>
      <c r="O740" t="n">
        <v>0</v>
      </c>
      <c r="P740" t="n">
        <v>0</v>
      </c>
      <c r="Q740" t="n">
        <v>0</v>
      </c>
      <c r="R740" s="2" t="inlineStr"/>
    </row>
    <row r="741" ht="15" customHeight="1">
      <c r="A741" t="inlineStr">
        <is>
          <t>A 3961-2025</t>
        </is>
      </c>
      <c r="B741" s="1" t="n">
        <v>45684.50217592593</v>
      </c>
      <c r="C741" s="1" t="n">
        <v>45916</v>
      </c>
      <c r="D741" t="inlineStr">
        <is>
          <t>JÄMTLANDS LÄN</t>
        </is>
      </c>
      <c r="E741" t="inlineStr">
        <is>
          <t>BERG</t>
        </is>
      </c>
      <c r="G741" t="n">
        <v>14.9</v>
      </c>
      <c r="H741" t="n">
        <v>0</v>
      </c>
      <c r="I741" t="n">
        <v>0</v>
      </c>
      <c r="J741" t="n">
        <v>0</v>
      </c>
      <c r="K741" t="n">
        <v>0</v>
      </c>
      <c r="L741" t="n">
        <v>0</v>
      </c>
      <c r="M741" t="n">
        <v>0</v>
      </c>
      <c r="N741" t="n">
        <v>0</v>
      </c>
      <c r="O741" t="n">
        <v>0</v>
      </c>
      <c r="P741" t="n">
        <v>0</v>
      </c>
      <c r="Q741" t="n">
        <v>0</v>
      </c>
      <c r="R741" s="2" t="inlineStr"/>
    </row>
    <row r="742" ht="15" customHeight="1">
      <c r="A742" t="inlineStr">
        <is>
          <t>A 35636-2023</t>
        </is>
      </c>
      <c r="B742" s="1" t="n">
        <v>45147</v>
      </c>
      <c r="C742" s="1" t="n">
        <v>45916</v>
      </c>
      <c r="D742" t="inlineStr">
        <is>
          <t>JÄMTLANDS LÄN</t>
        </is>
      </c>
      <c r="E742" t="inlineStr">
        <is>
          <t>BERG</t>
        </is>
      </c>
      <c r="G742" t="n">
        <v>1.8</v>
      </c>
      <c r="H742" t="n">
        <v>0</v>
      </c>
      <c r="I742" t="n">
        <v>0</v>
      </c>
      <c r="J742" t="n">
        <v>0</v>
      </c>
      <c r="K742" t="n">
        <v>0</v>
      </c>
      <c r="L742" t="n">
        <v>0</v>
      </c>
      <c r="M742" t="n">
        <v>0</v>
      </c>
      <c r="N742" t="n">
        <v>0</v>
      </c>
      <c r="O742" t="n">
        <v>0</v>
      </c>
      <c r="P742" t="n">
        <v>0</v>
      </c>
      <c r="Q742" t="n">
        <v>0</v>
      </c>
      <c r="R742" s="2" t="inlineStr"/>
    </row>
    <row r="743" ht="15" customHeight="1">
      <c r="A743" t="inlineStr">
        <is>
          <t>A 13540-2024</t>
        </is>
      </c>
      <c r="B743" s="1" t="n">
        <v>45387.92591435185</v>
      </c>
      <c r="C743" s="1" t="n">
        <v>45916</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45347-2023</t>
        </is>
      </c>
      <c r="B744" s="1" t="n">
        <v>45191</v>
      </c>
      <c r="C744" s="1" t="n">
        <v>45916</v>
      </c>
      <c r="D744" t="inlineStr">
        <is>
          <t>JÄMTLANDS LÄN</t>
        </is>
      </c>
      <c r="E744" t="inlineStr">
        <is>
          <t>BERG</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19181-2025</t>
        </is>
      </c>
      <c r="B745" s="1" t="n">
        <v>45769.40174768519</v>
      </c>
      <c r="C745" s="1" t="n">
        <v>45916</v>
      </c>
      <c r="D745" t="inlineStr">
        <is>
          <t>JÄMTLANDS LÄN</t>
        </is>
      </c>
      <c r="E745" t="inlineStr">
        <is>
          <t>BERG</t>
        </is>
      </c>
      <c r="G745" t="n">
        <v>4.4</v>
      </c>
      <c r="H745" t="n">
        <v>0</v>
      </c>
      <c r="I745" t="n">
        <v>0</v>
      </c>
      <c r="J745" t="n">
        <v>0</v>
      </c>
      <c r="K745" t="n">
        <v>0</v>
      </c>
      <c r="L745" t="n">
        <v>0</v>
      </c>
      <c r="M745" t="n">
        <v>0</v>
      </c>
      <c r="N745" t="n">
        <v>0</v>
      </c>
      <c r="O745" t="n">
        <v>0</v>
      </c>
      <c r="P745" t="n">
        <v>0</v>
      </c>
      <c r="Q745" t="n">
        <v>0</v>
      </c>
      <c r="R745" s="2" t="inlineStr"/>
    </row>
    <row r="746" ht="15" customHeight="1">
      <c r="A746" t="inlineStr">
        <is>
          <t>A 19891-2025</t>
        </is>
      </c>
      <c r="B746" s="1" t="n">
        <v>45771.5743287037</v>
      </c>
      <c r="C746" s="1" t="n">
        <v>45916</v>
      </c>
      <c r="D746" t="inlineStr">
        <is>
          <t>JÄMTLANDS LÄN</t>
        </is>
      </c>
      <c r="E746" t="inlineStr">
        <is>
          <t>BERG</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30917-2024</t>
        </is>
      </c>
      <c r="B747" s="1" t="n">
        <v>45498.66611111111</v>
      </c>
      <c r="C747" s="1" t="n">
        <v>45916</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14341-2025</t>
        </is>
      </c>
      <c r="B748" s="1" t="n">
        <v>45741.26008101852</v>
      </c>
      <c r="C748" s="1" t="n">
        <v>45916</v>
      </c>
      <c r="D748" t="inlineStr">
        <is>
          <t>JÄMTLANDS LÄN</t>
        </is>
      </c>
      <c r="E748" t="inlineStr">
        <is>
          <t>BERG</t>
        </is>
      </c>
      <c r="G748" t="n">
        <v>3.8</v>
      </c>
      <c r="H748" t="n">
        <v>0</v>
      </c>
      <c r="I748" t="n">
        <v>0</v>
      </c>
      <c r="J748" t="n">
        <v>0</v>
      </c>
      <c r="K748" t="n">
        <v>0</v>
      </c>
      <c r="L748" t="n">
        <v>0</v>
      </c>
      <c r="M748" t="n">
        <v>0</v>
      </c>
      <c r="N748" t="n">
        <v>0</v>
      </c>
      <c r="O748" t="n">
        <v>0</v>
      </c>
      <c r="P748" t="n">
        <v>0</v>
      </c>
      <c r="Q748" t="n">
        <v>0</v>
      </c>
      <c r="R748" s="2" t="inlineStr"/>
    </row>
    <row r="749" ht="15" customHeight="1">
      <c r="A749" t="inlineStr">
        <is>
          <t>A 59634-2022</t>
        </is>
      </c>
      <c r="B749" s="1" t="n">
        <v>44907.9645949074</v>
      </c>
      <c r="C749" s="1" t="n">
        <v>45916</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46816-2023</t>
        </is>
      </c>
      <c r="B750" s="1" t="n">
        <v>45198</v>
      </c>
      <c r="C750" s="1" t="n">
        <v>45916</v>
      </c>
      <c r="D750" t="inlineStr">
        <is>
          <t>JÄMTLANDS LÄN</t>
        </is>
      </c>
      <c r="E750" t="inlineStr">
        <is>
          <t>BERG</t>
        </is>
      </c>
      <c r="F750" t="inlineStr">
        <is>
          <t>SCA</t>
        </is>
      </c>
      <c r="G750" t="n">
        <v>66.2</v>
      </c>
      <c r="H750" t="n">
        <v>0</v>
      </c>
      <c r="I750" t="n">
        <v>0</v>
      </c>
      <c r="J750" t="n">
        <v>0</v>
      </c>
      <c r="K750" t="n">
        <v>0</v>
      </c>
      <c r="L750" t="n">
        <v>0</v>
      </c>
      <c r="M750" t="n">
        <v>0</v>
      </c>
      <c r="N750" t="n">
        <v>0</v>
      </c>
      <c r="O750" t="n">
        <v>0</v>
      </c>
      <c r="P750" t="n">
        <v>0</v>
      </c>
      <c r="Q750" t="n">
        <v>0</v>
      </c>
      <c r="R750" s="2" t="inlineStr"/>
    </row>
    <row r="751" ht="15" customHeight="1">
      <c r="A751" t="inlineStr">
        <is>
          <t>A 49555-2023</t>
        </is>
      </c>
      <c r="B751" s="1" t="n">
        <v>45205</v>
      </c>
      <c r="C751" s="1" t="n">
        <v>45916</v>
      </c>
      <c r="D751" t="inlineStr">
        <is>
          <t>JÄMTLANDS LÄN</t>
        </is>
      </c>
      <c r="E751" t="inlineStr">
        <is>
          <t>BERG</t>
        </is>
      </c>
      <c r="G751" t="n">
        <v>0.6</v>
      </c>
      <c r="H751" t="n">
        <v>0</v>
      </c>
      <c r="I751" t="n">
        <v>0</v>
      </c>
      <c r="J751" t="n">
        <v>0</v>
      </c>
      <c r="K751" t="n">
        <v>0</v>
      </c>
      <c r="L751" t="n">
        <v>0</v>
      </c>
      <c r="M751" t="n">
        <v>0</v>
      </c>
      <c r="N751" t="n">
        <v>0</v>
      </c>
      <c r="O751" t="n">
        <v>0</v>
      </c>
      <c r="P751" t="n">
        <v>0</v>
      </c>
      <c r="Q751" t="n">
        <v>0</v>
      </c>
      <c r="R751" s="2" t="inlineStr"/>
    </row>
    <row r="752" ht="15" customHeight="1">
      <c r="A752" t="inlineStr">
        <is>
          <t>A 16246-2024</t>
        </is>
      </c>
      <c r="B752" s="1" t="n">
        <v>45407.05788194444</v>
      </c>
      <c r="C752" s="1" t="n">
        <v>45916</v>
      </c>
      <c r="D752" t="inlineStr">
        <is>
          <t>JÄMTLANDS LÄN</t>
        </is>
      </c>
      <c r="E752" t="inlineStr">
        <is>
          <t>BERG</t>
        </is>
      </c>
      <c r="F752" t="inlineStr">
        <is>
          <t>SCA</t>
        </is>
      </c>
      <c r="G752" t="n">
        <v>19.1</v>
      </c>
      <c r="H752" t="n">
        <v>0</v>
      </c>
      <c r="I752" t="n">
        <v>0</v>
      </c>
      <c r="J752" t="n">
        <v>0</v>
      </c>
      <c r="K752" t="n">
        <v>0</v>
      </c>
      <c r="L752" t="n">
        <v>0</v>
      </c>
      <c r="M752" t="n">
        <v>0</v>
      </c>
      <c r="N752" t="n">
        <v>0</v>
      </c>
      <c r="O752" t="n">
        <v>0</v>
      </c>
      <c r="P752" t="n">
        <v>0</v>
      </c>
      <c r="Q752" t="n">
        <v>0</v>
      </c>
      <c r="R752" s="2" t="inlineStr"/>
    </row>
    <row r="753" ht="15" customHeight="1">
      <c r="A753" t="inlineStr">
        <is>
          <t>A 59521-2024</t>
        </is>
      </c>
      <c r="B753" s="1" t="n">
        <v>45638.57283564815</v>
      </c>
      <c r="C753" s="1" t="n">
        <v>45916</v>
      </c>
      <c r="D753" t="inlineStr">
        <is>
          <t>JÄMTLANDS LÄN</t>
        </is>
      </c>
      <c r="E753" t="inlineStr">
        <is>
          <t>BERG</t>
        </is>
      </c>
      <c r="G753" t="n">
        <v>2.1</v>
      </c>
      <c r="H753" t="n">
        <v>0</v>
      </c>
      <c r="I753" t="n">
        <v>0</v>
      </c>
      <c r="J753" t="n">
        <v>0</v>
      </c>
      <c r="K753" t="n">
        <v>0</v>
      </c>
      <c r="L753" t="n">
        <v>0</v>
      </c>
      <c r="M753" t="n">
        <v>0</v>
      </c>
      <c r="N753" t="n">
        <v>0</v>
      </c>
      <c r="O753" t="n">
        <v>0</v>
      </c>
      <c r="P753" t="n">
        <v>0</v>
      </c>
      <c r="Q753" t="n">
        <v>0</v>
      </c>
      <c r="R753" s="2" t="inlineStr"/>
    </row>
    <row r="754" ht="15" customHeight="1">
      <c r="A754" t="inlineStr">
        <is>
          <t>A 19513-2025</t>
        </is>
      </c>
      <c r="B754" s="1" t="n">
        <v>45770.42762731481</v>
      </c>
      <c r="C754" s="1" t="n">
        <v>45916</v>
      </c>
      <c r="D754" t="inlineStr">
        <is>
          <t>JÄMTLANDS LÄN</t>
        </is>
      </c>
      <c r="E754" t="inlineStr">
        <is>
          <t>BERG</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49225-2024</t>
        </is>
      </c>
      <c r="B755" s="1" t="n">
        <v>45595.4177662037</v>
      </c>
      <c r="C755" s="1" t="n">
        <v>45916</v>
      </c>
      <c r="D755" t="inlineStr">
        <is>
          <t>JÄMTLANDS LÄN</t>
        </is>
      </c>
      <c r="E755" t="inlineStr">
        <is>
          <t>BERG</t>
        </is>
      </c>
      <c r="G755" t="n">
        <v>2</v>
      </c>
      <c r="H755" t="n">
        <v>0</v>
      </c>
      <c r="I755" t="n">
        <v>0</v>
      </c>
      <c r="J755" t="n">
        <v>0</v>
      </c>
      <c r="K755" t="n">
        <v>0</v>
      </c>
      <c r="L755" t="n">
        <v>0</v>
      </c>
      <c r="M755" t="n">
        <v>0</v>
      </c>
      <c r="N755" t="n">
        <v>0</v>
      </c>
      <c r="O755" t="n">
        <v>0</v>
      </c>
      <c r="P755" t="n">
        <v>0</v>
      </c>
      <c r="Q755" t="n">
        <v>0</v>
      </c>
      <c r="R755" s="2" t="inlineStr"/>
    </row>
    <row r="756" ht="15" customHeight="1">
      <c r="A756" t="inlineStr">
        <is>
          <t>A 9478-2024</t>
        </is>
      </c>
      <c r="B756" s="1" t="n">
        <v>45359.5732175926</v>
      </c>
      <c r="C756" s="1" t="n">
        <v>45916</v>
      </c>
      <c r="D756" t="inlineStr">
        <is>
          <t>JÄMTLANDS LÄN</t>
        </is>
      </c>
      <c r="E756" t="inlineStr">
        <is>
          <t>BERG</t>
        </is>
      </c>
      <c r="G756" t="n">
        <v>6.2</v>
      </c>
      <c r="H756" t="n">
        <v>0</v>
      </c>
      <c r="I756" t="n">
        <v>0</v>
      </c>
      <c r="J756" t="n">
        <v>0</v>
      </c>
      <c r="K756" t="n">
        <v>0</v>
      </c>
      <c r="L756" t="n">
        <v>0</v>
      </c>
      <c r="M756" t="n">
        <v>0</v>
      </c>
      <c r="N756" t="n">
        <v>0</v>
      </c>
      <c r="O756" t="n">
        <v>0</v>
      </c>
      <c r="P756" t="n">
        <v>0</v>
      </c>
      <c r="Q756" t="n">
        <v>0</v>
      </c>
      <c r="R756" s="2" t="inlineStr"/>
    </row>
    <row r="757" ht="15" customHeight="1">
      <c r="A757" t="inlineStr">
        <is>
          <t>A 21156-2025</t>
        </is>
      </c>
      <c r="B757" s="1" t="n">
        <v>45779.37599537037</v>
      </c>
      <c r="C757" s="1" t="n">
        <v>45916</v>
      </c>
      <c r="D757" t="inlineStr">
        <is>
          <t>JÄMTLANDS LÄN</t>
        </is>
      </c>
      <c r="E757" t="inlineStr">
        <is>
          <t>BERG</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15624-2023</t>
        </is>
      </c>
      <c r="B758" s="1" t="n">
        <v>45020.94496527778</v>
      </c>
      <c r="C758" s="1" t="n">
        <v>45916</v>
      </c>
      <c r="D758" t="inlineStr">
        <is>
          <t>JÄMTLANDS LÄN</t>
        </is>
      </c>
      <c r="E758" t="inlineStr">
        <is>
          <t>BERG</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20882-2023</t>
        </is>
      </c>
      <c r="B759" s="1" t="n">
        <v>45058</v>
      </c>
      <c r="C759" s="1" t="n">
        <v>45916</v>
      </c>
      <c r="D759" t="inlineStr">
        <is>
          <t>JÄMTLANDS LÄN</t>
        </is>
      </c>
      <c r="E759" t="inlineStr">
        <is>
          <t>BERG</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21472-2025</t>
        </is>
      </c>
      <c r="B760" s="1" t="n">
        <v>45782.59024305556</v>
      </c>
      <c r="C760" s="1" t="n">
        <v>45916</v>
      </c>
      <c r="D760" t="inlineStr">
        <is>
          <t>JÄMTLANDS LÄN</t>
        </is>
      </c>
      <c r="E760" t="inlineStr">
        <is>
          <t>BERG</t>
        </is>
      </c>
      <c r="G760" t="n">
        <v>21.9</v>
      </c>
      <c r="H760" t="n">
        <v>0</v>
      </c>
      <c r="I760" t="n">
        <v>0</v>
      </c>
      <c r="J760" t="n">
        <v>0</v>
      </c>
      <c r="K760" t="n">
        <v>0</v>
      </c>
      <c r="L760" t="n">
        <v>0</v>
      </c>
      <c r="M760" t="n">
        <v>0</v>
      </c>
      <c r="N760" t="n">
        <v>0</v>
      </c>
      <c r="O760" t="n">
        <v>0</v>
      </c>
      <c r="P760" t="n">
        <v>0</v>
      </c>
      <c r="Q760" t="n">
        <v>0</v>
      </c>
      <c r="R760" s="2" t="inlineStr"/>
    </row>
    <row r="761" ht="15" customHeight="1">
      <c r="A761" t="inlineStr">
        <is>
          <t>A 21292-2025</t>
        </is>
      </c>
      <c r="B761" s="1" t="n">
        <v>45780.39354166666</v>
      </c>
      <c r="C761" s="1" t="n">
        <v>45916</v>
      </c>
      <c r="D761" t="inlineStr">
        <is>
          <t>JÄMTLANDS LÄN</t>
        </is>
      </c>
      <c r="E761" t="inlineStr">
        <is>
          <t>BERG</t>
        </is>
      </c>
      <c r="G761" t="n">
        <v>1.6</v>
      </c>
      <c r="H761" t="n">
        <v>0</v>
      </c>
      <c r="I761" t="n">
        <v>0</v>
      </c>
      <c r="J761" t="n">
        <v>0</v>
      </c>
      <c r="K761" t="n">
        <v>0</v>
      </c>
      <c r="L761" t="n">
        <v>0</v>
      </c>
      <c r="M761" t="n">
        <v>0</v>
      </c>
      <c r="N761" t="n">
        <v>0</v>
      </c>
      <c r="O761" t="n">
        <v>0</v>
      </c>
      <c r="P761" t="n">
        <v>0</v>
      </c>
      <c r="Q761" t="n">
        <v>0</v>
      </c>
      <c r="R761" s="2" t="inlineStr"/>
    </row>
    <row r="762" ht="15" customHeight="1">
      <c r="A762" t="inlineStr">
        <is>
          <t>A 19428-2025</t>
        </is>
      </c>
      <c r="B762" s="1" t="n">
        <v>45769.79763888889</v>
      </c>
      <c r="C762" s="1" t="n">
        <v>45916</v>
      </c>
      <c r="D762" t="inlineStr">
        <is>
          <t>JÄMTLANDS LÄN</t>
        </is>
      </c>
      <c r="E762" t="inlineStr">
        <is>
          <t>BERG</t>
        </is>
      </c>
      <c r="G762" t="n">
        <v>7.1</v>
      </c>
      <c r="H762" t="n">
        <v>0</v>
      </c>
      <c r="I762" t="n">
        <v>0</v>
      </c>
      <c r="J762" t="n">
        <v>0</v>
      </c>
      <c r="K762" t="n">
        <v>0</v>
      </c>
      <c r="L762" t="n">
        <v>0</v>
      </c>
      <c r="M762" t="n">
        <v>0</v>
      </c>
      <c r="N762" t="n">
        <v>0</v>
      </c>
      <c r="O762" t="n">
        <v>0</v>
      </c>
      <c r="P762" t="n">
        <v>0</v>
      </c>
      <c r="Q762" t="n">
        <v>0</v>
      </c>
      <c r="R762" s="2" t="inlineStr"/>
    </row>
    <row r="763" ht="15" customHeight="1">
      <c r="A763" t="inlineStr">
        <is>
          <t>A 32020-2023</t>
        </is>
      </c>
      <c r="B763" s="1" t="n">
        <v>45119.49261574074</v>
      </c>
      <c r="C763" s="1" t="n">
        <v>45916</v>
      </c>
      <c r="D763" t="inlineStr">
        <is>
          <t>JÄMTLANDS LÄN</t>
        </is>
      </c>
      <c r="E763" t="inlineStr">
        <is>
          <t>BERG</t>
        </is>
      </c>
      <c r="G763" t="n">
        <v>10.3</v>
      </c>
      <c r="H763" t="n">
        <v>0</v>
      </c>
      <c r="I763" t="n">
        <v>0</v>
      </c>
      <c r="J763" t="n">
        <v>0</v>
      </c>
      <c r="K763" t="n">
        <v>0</v>
      </c>
      <c r="L763" t="n">
        <v>0</v>
      </c>
      <c r="M763" t="n">
        <v>0</v>
      </c>
      <c r="N763" t="n">
        <v>0</v>
      </c>
      <c r="O763" t="n">
        <v>0</v>
      </c>
      <c r="P763" t="n">
        <v>0</v>
      </c>
      <c r="Q763" t="n">
        <v>0</v>
      </c>
      <c r="R763" s="2" t="inlineStr"/>
    </row>
    <row r="764" ht="15" customHeight="1">
      <c r="A764" t="inlineStr">
        <is>
          <t>A 18775-2024</t>
        </is>
      </c>
      <c r="B764" s="1" t="n">
        <v>45426</v>
      </c>
      <c r="C764" s="1" t="n">
        <v>45916</v>
      </c>
      <c r="D764" t="inlineStr">
        <is>
          <t>JÄMTLANDS LÄN</t>
        </is>
      </c>
      <c r="E764" t="inlineStr">
        <is>
          <t>BERG</t>
        </is>
      </c>
      <c r="G764" t="n">
        <v>13.9</v>
      </c>
      <c r="H764" t="n">
        <v>0</v>
      </c>
      <c r="I764" t="n">
        <v>0</v>
      </c>
      <c r="J764" t="n">
        <v>0</v>
      </c>
      <c r="K764" t="n">
        <v>0</v>
      </c>
      <c r="L764" t="n">
        <v>0</v>
      </c>
      <c r="M764" t="n">
        <v>0</v>
      </c>
      <c r="N764" t="n">
        <v>0</v>
      </c>
      <c r="O764" t="n">
        <v>0</v>
      </c>
      <c r="P764" t="n">
        <v>0</v>
      </c>
      <c r="Q764" t="n">
        <v>0</v>
      </c>
      <c r="R764" s="2" t="inlineStr"/>
    </row>
    <row r="765" ht="15" customHeight="1">
      <c r="A765" t="inlineStr">
        <is>
          <t>A 22180-2025</t>
        </is>
      </c>
      <c r="B765" s="1" t="n">
        <v>45785</v>
      </c>
      <c r="C765" s="1" t="n">
        <v>45916</v>
      </c>
      <c r="D765" t="inlineStr">
        <is>
          <t>JÄMTLANDS LÄN</t>
        </is>
      </c>
      <c r="E765" t="inlineStr">
        <is>
          <t>BERG</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49174-2020</t>
        </is>
      </c>
      <c r="B766" s="1" t="n">
        <v>44104</v>
      </c>
      <c r="C766" s="1" t="n">
        <v>45916</v>
      </c>
      <c r="D766" t="inlineStr">
        <is>
          <t>JÄMTLANDS LÄN</t>
        </is>
      </c>
      <c r="E766" t="inlineStr">
        <is>
          <t>BERG</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12774-2023</t>
        </is>
      </c>
      <c r="B767" s="1" t="n">
        <v>45001</v>
      </c>
      <c r="C767" s="1" t="n">
        <v>45916</v>
      </c>
      <c r="D767" t="inlineStr">
        <is>
          <t>JÄMTLANDS LÄN</t>
        </is>
      </c>
      <c r="E767" t="inlineStr">
        <is>
          <t>BERG</t>
        </is>
      </c>
      <c r="G767" t="n">
        <v>0.7</v>
      </c>
      <c r="H767" t="n">
        <v>0</v>
      </c>
      <c r="I767" t="n">
        <v>0</v>
      </c>
      <c r="J767" t="n">
        <v>0</v>
      </c>
      <c r="K767" t="n">
        <v>0</v>
      </c>
      <c r="L767" t="n">
        <v>0</v>
      </c>
      <c r="M767" t="n">
        <v>0</v>
      </c>
      <c r="N767" t="n">
        <v>0</v>
      </c>
      <c r="O767" t="n">
        <v>0</v>
      </c>
      <c r="P767" t="n">
        <v>0</v>
      </c>
      <c r="Q767" t="n">
        <v>0</v>
      </c>
      <c r="R767" s="2" t="inlineStr"/>
    </row>
    <row r="768" ht="15" customHeight="1">
      <c r="A768" t="inlineStr">
        <is>
          <t>A 60847-2023</t>
        </is>
      </c>
      <c r="B768" s="1" t="n">
        <v>45260</v>
      </c>
      <c r="C768" s="1" t="n">
        <v>45916</v>
      </c>
      <c r="D768" t="inlineStr">
        <is>
          <t>JÄMTLANDS LÄN</t>
        </is>
      </c>
      <c r="E768" t="inlineStr">
        <is>
          <t>BERG</t>
        </is>
      </c>
      <c r="G768" t="n">
        <v>2.5</v>
      </c>
      <c r="H768" t="n">
        <v>0</v>
      </c>
      <c r="I768" t="n">
        <v>0</v>
      </c>
      <c r="J768" t="n">
        <v>0</v>
      </c>
      <c r="K768" t="n">
        <v>0</v>
      </c>
      <c r="L768" t="n">
        <v>0</v>
      </c>
      <c r="M768" t="n">
        <v>0</v>
      </c>
      <c r="N768" t="n">
        <v>0</v>
      </c>
      <c r="O768" t="n">
        <v>0</v>
      </c>
      <c r="P768" t="n">
        <v>0</v>
      </c>
      <c r="Q768" t="n">
        <v>0</v>
      </c>
      <c r="R768" s="2" t="inlineStr"/>
    </row>
    <row r="769" ht="15" customHeight="1">
      <c r="A769" t="inlineStr">
        <is>
          <t>A 21851-2025</t>
        </is>
      </c>
      <c r="B769" s="1" t="n">
        <v>45784.34417824074</v>
      </c>
      <c r="C769" s="1" t="n">
        <v>45916</v>
      </c>
      <c r="D769" t="inlineStr">
        <is>
          <t>JÄMTLANDS LÄN</t>
        </is>
      </c>
      <c r="E769" t="inlineStr">
        <is>
          <t>BERG</t>
        </is>
      </c>
      <c r="F769" t="inlineStr">
        <is>
          <t>SCA</t>
        </is>
      </c>
      <c r="G769" t="n">
        <v>10</v>
      </c>
      <c r="H769" t="n">
        <v>0</v>
      </c>
      <c r="I769" t="n">
        <v>0</v>
      </c>
      <c r="J769" t="n">
        <v>0</v>
      </c>
      <c r="K769" t="n">
        <v>0</v>
      </c>
      <c r="L769" t="n">
        <v>0</v>
      </c>
      <c r="M769" t="n">
        <v>0</v>
      </c>
      <c r="N769" t="n">
        <v>0</v>
      </c>
      <c r="O769" t="n">
        <v>0</v>
      </c>
      <c r="P769" t="n">
        <v>0</v>
      </c>
      <c r="Q769" t="n">
        <v>0</v>
      </c>
      <c r="R769" s="2" t="inlineStr"/>
    </row>
    <row r="770" ht="15" customHeight="1">
      <c r="A770" t="inlineStr">
        <is>
          <t>A 60587-2022</t>
        </is>
      </c>
      <c r="B770" s="1" t="n">
        <v>44911.58445601852</v>
      </c>
      <c r="C770" s="1" t="n">
        <v>45916</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6645-2025</t>
        </is>
      </c>
      <c r="B771" s="1" t="n">
        <v>45700.39645833334</v>
      </c>
      <c r="C771" s="1" t="n">
        <v>45916</v>
      </c>
      <c r="D771" t="inlineStr">
        <is>
          <t>JÄMTLANDS LÄN</t>
        </is>
      </c>
      <c r="E771" t="inlineStr">
        <is>
          <t>BERG</t>
        </is>
      </c>
      <c r="G771" t="n">
        <v>2.6</v>
      </c>
      <c r="H771" t="n">
        <v>0</v>
      </c>
      <c r="I771" t="n">
        <v>0</v>
      </c>
      <c r="J771" t="n">
        <v>0</v>
      </c>
      <c r="K771" t="n">
        <v>0</v>
      </c>
      <c r="L771" t="n">
        <v>0</v>
      </c>
      <c r="M771" t="n">
        <v>0</v>
      </c>
      <c r="N771" t="n">
        <v>0</v>
      </c>
      <c r="O771" t="n">
        <v>0</v>
      </c>
      <c r="P771" t="n">
        <v>0</v>
      </c>
      <c r="Q771" t="n">
        <v>0</v>
      </c>
      <c r="R771" s="2" t="inlineStr"/>
    </row>
    <row r="772" ht="15" customHeight="1">
      <c r="A772" t="inlineStr">
        <is>
          <t>A 12254-2025</t>
        </is>
      </c>
      <c r="B772" s="1" t="n">
        <v>45729</v>
      </c>
      <c r="C772" s="1" t="n">
        <v>45916</v>
      </c>
      <c r="D772" t="inlineStr">
        <is>
          <t>JÄMTLANDS LÄN</t>
        </is>
      </c>
      <c r="E772" t="inlineStr">
        <is>
          <t>BERG</t>
        </is>
      </c>
      <c r="G772" t="n">
        <v>26.3</v>
      </c>
      <c r="H772" t="n">
        <v>0</v>
      </c>
      <c r="I772" t="n">
        <v>0</v>
      </c>
      <c r="J772" t="n">
        <v>0</v>
      </c>
      <c r="K772" t="n">
        <v>0</v>
      </c>
      <c r="L772" t="n">
        <v>0</v>
      </c>
      <c r="M772" t="n">
        <v>0</v>
      </c>
      <c r="N772" t="n">
        <v>0</v>
      </c>
      <c r="O772" t="n">
        <v>0</v>
      </c>
      <c r="P772" t="n">
        <v>0</v>
      </c>
      <c r="Q772" t="n">
        <v>0</v>
      </c>
      <c r="R772" s="2" t="inlineStr"/>
    </row>
    <row r="773" ht="15" customHeight="1">
      <c r="A773" t="inlineStr">
        <is>
          <t>A 46366-2024</t>
        </is>
      </c>
      <c r="B773" s="1" t="n">
        <v>45582.36490740741</v>
      </c>
      <c r="C773" s="1" t="n">
        <v>45916</v>
      </c>
      <c r="D773" t="inlineStr">
        <is>
          <t>JÄMTLANDS LÄN</t>
        </is>
      </c>
      <c r="E773" t="inlineStr">
        <is>
          <t>BERG</t>
        </is>
      </c>
      <c r="G773" t="n">
        <v>5</v>
      </c>
      <c r="H773" t="n">
        <v>0</v>
      </c>
      <c r="I773" t="n">
        <v>0</v>
      </c>
      <c r="J773" t="n">
        <v>0</v>
      </c>
      <c r="K773" t="n">
        <v>0</v>
      </c>
      <c r="L773" t="n">
        <v>0</v>
      </c>
      <c r="M773" t="n">
        <v>0</v>
      </c>
      <c r="N773" t="n">
        <v>0</v>
      </c>
      <c r="O773" t="n">
        <v>0</v>
      </c>
      <c r="P773" t="n">
        <v>0</v>
      </c>
      <c r="Q773" t="n">
        <v>0</v>
      </c>
      <c r="R773" s="2" t="inlineStr"/>
    </row>
    <row r="774" ht="15" customHeight="1">
      <c r="A774" t="inlineStr">
        <is>
          <t>A 23560-2024</t>
        </is>
      </c>
      <c r="B774" s="1" t="n">
        <v>45453.95467592592</v>
      </c>
      <c r="C774" s="1" t="n">
        <v>45916</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1982-2022</t>
        </is>
      </c>
      <c r="B775" s="1" t="n">
        <v>44575</v>
      </c>
      <c r="C775" s="1" t="n">
        <v>45916</v>
      </c>
      <c r="D775" t="inlineStr">
        <is>
          <t>JÄMTLANDS LÄN</t>
        </is>
      </c>
      <c r="E775" t="inlineStr">
        <is>
          <t>BERG</t>
        </is>
      </c>
      <c r="G775" t="n">
        <v>1.6</v>
      </c>
      <c r="H775" t="n">
        <v>0</v>
      </c>
      <c r="I775" t="n">
        <v>0</v>
      </c>
      <c r="J775" t="n">
        <v>0</v>
      </c>
      <c r="K775" t="n">
        <v>0</v>
      </c>
      <c r="L775" t="n">
        <v>0</v>
      </c>
      <c r="M775" t="n">
        <v>0</v>
      </c>
      <c r="N775" t="n">
        <v>0</v>
      </c>
      <c r="O775" t="n">
        <v>0</v>
      </c>
      <c r="P775" t="n">
        <v>0</v>
      </c>
      <c r="Q775" t="n">
        <v>0</v>
      </c>
      <c r="R775" s="2" t="inlineStr"/>
    </row>
    <row r="776" ht="15" customHeight="1">
      <c r="A776" t="inlineStr">
        <is>
          <t>A 1989-2022</t>
        </is>
      </c>
      <c r="B776" s="1" t="n">
        <v>44575.55935185185</v>
      </c>
      <c r="C776" s="1" t="n">
        <v>45916</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3173-2025</t>
        </is>
      </c>
      <c r="B777" s="1" t="n">
        <v>45679.38309027778</v>
      </c>
      <c r="C777" s="1" t="n">
        <v>45916</v>
      </c>
      <c r="D777" t="inlineStr">
        <is>
          <t>JÄMTLANDS LÄN</t>
        </is>
      </c>
      <c r="E777" t="inlineStr">
        <is>
          <t>BERG</t>
        </is>
      </c>
      <c r="G777" t="n">
        <v>8.9</v>
      </c>
      <c r="H777" t="n">
        <v>0</v>
      </c>
      <c r="I777" t="n">
        <v>0</v>
      </c>
      <c r="J777" t="n">
        <v>0</v>
      </c>
      <c r="K777" t="n">
        <v>0</v>
      </c>
      <c r="L777" t="n">
        <v>0</v>
      </c>
      <c r="M777" t="n">
        <v>0</v>
      </c>
      <c r="N777" t="n">
        <v>0</v>
      </c>
      <c r="O777" t="n">
        <v>0</v>
      </c>
      <c r="P777" t="n">
        <v>0</v>
      </c>
      <c r="Q777" t="n">
        <v>0</v>
      </c>
      <c r="R777" s="2" t="inlineStr"/>
    </row>
    <row r="778" ht="15" customHeight="1">
      <c r="A778" t="inlineStr">
        <is>
          <t>A 62153-2022</t>
        </is>
      </c>
      <c r="B778" s="1" t="n">
        <v>44914</v>
      </c>
      <c r="C778" s="1" t="n">
        <v>45916</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15156-2024</t>
        </is>
      </c>
      <c r="B779" s="1" t="n">
        <v>45399.94496527778</v>
      </c>
      <c r="C779" s="1" t="n">
        <v>45916</v>
      </c>
      <c r="D779" t="inlineStr">
        <is>
          <t>JÄMTLANDS LÄN</t>
        </is>
      </c>
      <c r="E779" t="inlineStr">
        <is>
          <t>BERG</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22724-2025</t>
        </is>
      </c>
      <c r="B780" s="1" t="n">
        <v>45789.57361111111</v>
      </c>
      <c r="C780" s="1" t="n">
        <v>45916</v>
      </c>
      <c r="D780" t="inlineStr">
        <is>
          <t>JÄMTLANDS LÄN</t>
        </is>
      </c>
      <c r="E780" t="inlineStr">
        <is>
          <t>BERG</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46858-2023</t>
        </is>
      </c>
      <c r="B781" s="1" t="n">
        <v>45199.97042824074</v>
      </c>
      <c r="C781" s="1" t="n">
        <v>45916</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22672-2025</t>
        </is>
      </c>
      <c r="B782" s="1" t="n">
        <v>45789.4903587963</v>
      </c>
      <c r="C782" s="1" t="n">
        <v>45916</v>
      </c>
      <c r="D782" t="inlineStr">
        <is>
          <t>JÄMTLANDS LÄN</t>
        </is>
      </c>
      <c r="E782" t="inlineStr">
        <is>
          <t>BERG</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36192-2024</t>
        </is>
      </c>
      <c r="B783" s="1" t="n">
        <v>45534.42809027778</v>
      </c>
      <c r="C783" s="1" t="n">
        <v>45916</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14594-2025</t>
        </is>
      </c>
      <c r="B784" s="1" t="n">
        <v>45742.34414351852</v>
      </c>
      <c r="C784" s="1" t="n">
        <v>45916</v>
      </c>
      <c r="D784" t="inlineStr">
        <is>
          <t>JÄMTLANDS LÄN</t>
        </is>
      </c>
      <c r="E784" t="inlineStr">
        <is>
          <t>BERG</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14596-2025</t>
        </is>
      </c>
      <c r="B785" s="1" t="n">
        <v>45742.34449074074</v>
      </c>
      <c r="C785" s="1" t="n">
        <v>45916</v>
      </c>
      <c r="D785" t="inlineStr">
        <is>
          <t>JÄMTLANDS LÄN</t>
        </is>
      </c>
      <c r="E785" t="inlineStr">
        <is>
          <t>BERG</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22653-2025</t>
        </is>
      </c>
      <c r="B786" s="1" t="n">
        <v>45789.46931712963</v>
      </c>
      <c r="C786" s="1" t="n">
        <v>45916</v>
      </c>
      <c r="D786" t="inlineStr">
        <is>
          <t>JÄMTLANDS LÄN</t>
        </is>
      </c>
      <c r="E786" t="inlineStr">
        <is>
          <t>BERG</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22478-2025</t>
        </is>
      </c>
      <c r="B787" s="1" t="n">
        <v>45786.6349537037</v>
      </c>
      <c r="C787" s="1" t="n">
        <v>45916</v>
      </c>
      <c r="D787" t="inlineStr">
        <is>
          <t>JÄMTLANDS LÄN</t>
        </is>
      </c>
      <c r="E787" t="inlineStr">
        <is>
          <t>BERG</t>
        </is>
      </c>
      <c r="G787" t="n">
        <v>2.5</v>
      </c>
      <c r="H787" t="n">
        <v>0</v>
      </c>
      <c r="I787" t="n">
        <v>0</v>
      </c>
      <c r="J787" t="n">
        <v>0</v>
      </c>
      <c r="K787" t="n">
        <v>0</v>
      </c>
      <c r="L787" t="n">
        <v>0</v>
      </c>
      <c r="M787" t="n">
        <v>0</v>
      </c>
      <c r="N787" t="n">
        <v>0</v>
      </c>
      <c r="O787" t="n">
        <v>0</v>
      </c>
      <c r="P787" t="n">
        <v>0</v>
      </c>
      <c r="Q787" t="n">
        <v>0</v>
      </c>
      <c r="R787" s="2" t="inlineStr"/>
    </row>
    <row r="788" ht="15" customHeight="1">
      <c r="A788" t="inlineStr">
        <is>
          <t>A 3798-2022</t>
        </is>
      </c>
      <c r="B788" s="1" t="n">
        <v>44586</v>
      </c>
      <c r="C788" s="1" t="n">
        <v>45916</v>
      </c>
      <c r="D788" t="inlineStr">
        <is>
          <t>JÄMTLANDS LÄN</t>
        </is>
      </c>
      <c r="E788" t="inlineStr">
        <is>
          <t>BERG</t>
        </is>
      </c>
      <c r="G788" t="n">
        <v>0.1</v>
      </c>
      <c r="H788" t="n">
        <v>0</v>
      </c>
      <c r="I788" t="n">
        <v>0</v>
      </c>
      <c r="J788" t="n">
        <v>0</v>
      </c>
      <c r="K788" t="n">
        <v>0</v>
      </c>
      <c r="L788" t="n">
        <v>0</v>
      </c>
      <c r="M788" t="n">
        <v>0</v>
      </c>
      <c r="N788" t="n">
        <v>0</v>
      </c>
      <c r="O788" t="n">
        <v>0</v>
      </c>
      <c r="P788" t="n">
        <v>0</v>
      </c>
      <c r="Q788" t="n">
        <v>0</v>
      </c>
      <c r="R788" s="2" t="inlineStr"/>
    </row>
    <row r="789" ht="15" customHeight="1">
      <c r="A789" t="inlineStr">
        <is>
          <t>A 34650-2024</t>
        </is>
      </c>
      <c r="B789" s="1" t="n">
        <v>45526.48329861111</v>
      </c>
      <c r="C789" s="1" t="n">
        <v>45916</v>
      </c>
      <c r="D789" t="inlineStr">
        <is>
          <t>JÄMTLANDS LÄN</t>
        </is>
      </c>
      <c r="E789" t="inlineStr">
        <is>
          <t>BERG</t>
        </is>
      </c>
      <c r="G789" t="n">
        <v>4.9</v>
      </c>
      <c r="H789" t="n">
        <v>0</v>
      </c>
      <c r="I789" t="n">
        <v>0</v>
      </c>
      <c r="J789" t="n">
        <v>0</v>
      </c>
      <c r="K789" t="n">
        <v>0</v>
      </c>
      <c r="L789" t="n">
        <v>0</v>
      </c>
      <c r="M789" t="n">
        <v>0</v>
      </c>
      <c r="N789" t="n">
        <v>0</v>
      </c>
      <c r="O789" t="n">
        <v>0</v>
      </c>
      <c r="P789" t="n">
        <v>0</v>
      </c>
      <c r="Q789" t="n">
        <v>0</v>
      </c>
      <c r="R789" s="2" t="inlineStr"/>
    </row>
    <row r="790" ht="15" customHeight="1">
      <c r="A790" t="inlineStr">
        <is>
          <t>A 11274-2025</t>
        </is>
      </c>
      <c r="B790" s="1" t="n">
        <v>45726.40868055556</v>
      </c>
      <c r="C790" s="1" t="n">
        <v>45916</v>
      </c>
      <c r="D790" t="inlineStr">
        <is>
          <t>JÄMTLANDS LÄN</t>
        </is>
      </c>
      <c r="E790" t="inlineStr">
        <is>
          <t>BERG</t>
        </is>
      </c>
      <c r="G790" t="n">
        <v>3</v>
      </c>
      <c r="H790" t="n">
        <v>0</v>
      </c>
      <c r="I790" t="n">
        <v>0</v>
      </c>
      <c r="J790" t="n">
        <v>0</v>
      </c>
      <c r="K790" t="n">
        <v>0</v>
      </c>
      <c r="L790" t="n">
        <v>0</v>
      </c>
      <c r="M790" t="n">
        <v>0</v>
      </c>
      <c r="N790" t="n">
        <v>0</v>
      </c>
      <c r="O790" t="n">
        <v>0</v>
      </c>
      <c r="P790" t="n">
        <v>0</v>
      </c>
      <c r="Q790" t="n">
        <v>0</v>
      </c>
      <c r="R790" s="2" t="inlineStr"/>
    </row>
    <row r="791" ht="15" customHeight="1">
      <c r="A791" t="inlineStr">
        <is>
          <t>A 149-2024</t>
        </is>
      </c>
      <c r="B791" s="1" t="n">
        <v>45294</v>
      </c>
      <c r="C791" s="1" t="n">
        <v>45916</v>
      </c>
      <c r="D791" t="inlineStr">
        <is>
          <t>JÄMTLANDS LÄN</t>
        </is>
      </c>
      <c r="E791" t="inlineStr">
        <is>
          <t>BERG</t>
        </is>
      </c>
      <c r="F791" t="inlineStr">
        <is>
          <t>Kyrkan</t>
        </is>
      </c>
      <c r="G791" t="n">
        <v>3.7</v>
      </c>
      <c r="H791" t="n">
        <v>0</v>
      </c>
      <c r="I791" t="n">
        <v>0</v>
      </c>
      <c r="J791" t="n">
        <v>0</v>
      </c>
      <c r="K791" t="n">
        <v>0</v>
      </c>
      <c r="L791" t="n">
        <v>0</v>
      </c>
      <c r="M791" t="n">
        <v>0</v>
      </c>
      <c r="N791" t="n">
        <v>0</v>
      </c>
      <c r="O791" t="n">
        <v>0</v>
      </c>
      <c r="P791" t="n">
        <v>0</v>
      </c>
      <c r="Q791" t="n">
        <v>0</v>
      </c>
      <c r="R791" s="2" t="inlineStr"/>
    </row>
    <row r="792" ht="15" customHeight="1">
      <c r="A792" t="inlineStr">
        <is>
          <t>A 39102-2024</t>
        </is>
      </c>
      <c r="B792" s="1" t="n">
        <v>45548</v>
      </c>
      <c r="C792" s="1" t="n">
        <v>45916</v>
      </c>
      <c r="D792" t="inlineStr">
        <is>
          <t>JÄMTLANDS LÄN</t>
        </is>
      </c>
      <c r="E792" t="inlineStr">
        <is>
          <t>BERG</t>
        </is>
      </c>
      <c r="G792" t="n">
        <v>193</v>
      </c>
      <c r="H792" t="n">
        <v>0</v>
      </c>
      <c r="I792" t="n">
        <v>0</v>
      </c>
      <c r="J792" t="n">
        <v>0</v>
      </c>
      <c r="K792" t="n">
        <v>0</v>
      </c>
      <c r="L792" t="n">
        <v>0</v>
      </c>
      <c r="M792" t="n">
        <v>0</v>
      </c>
      <c r="N792" t="n">
        <v>0</v>
      </c>
      <c r="O792" t="n">
        <v>0</v>
      </c>
      <c r="P792" t="n">
        <v>0</v>
      </c>
      <c r="Q792" t="n">
        <v>0</v>
      </c>
      <c r="R792" s="2" t="inlineStr"/>
    </row>
    <row r="793" ht="15" customHeight="1">
      <c r="A793" t="inlineStr">
        <is>
          <t>A 36708-2023</t>
        </is>
      </c>
      <c r="B793" s="1" t="n">
        <v>45153.65226851852</v>
      </c>
      <c r="C793" s="1" t="n">
        <v>45916</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33750-2023</t>
        </is>
      </c>
      <c r="B794" s="1" t="n">
        <v>45120</v>
      </c>
      <c r="C794" s="1" t="n">
        <v>45916</v>
      </c>
      <c r="D794" t="inlineStr">
        <is>
          <t>JÄMTLANDS LÄN</t>
        </is>
      </c>
      <c r="E794" t="inlineStr">
        <is>
          <t>BERG</t>
        </is>
      </c>
      <c r="G794" t="n">
        <v>2.6</v>
      </c>
      <c r="H794" t="n">
        <v>0</v>
      </c>
      <c r="I794" t="n">
        <v>0</v>
      </c>
      <c r="J794" t="n">
        <v>0</v>
      </c>
      <c r="K794" t="n">
        <v>0</v>
      </c>
      <c r="L794" t="n">
        <v>0</v>
      </c>
      <c r="M794" t="n">
        <v>0</v>
      </c>
      <c r="N794" t="n">
        <v>0</v>
      </c>
      <c r="O794" t="n">
        <v>0</v>
      </c>
      <c r="P794" t="n">
        <v>0</v>
      </c>
      <c r="Q794" t="n">
        <v>0</v>
      </c>
      <c r="R794" s="2" t="inlineStr"/>
    </row>
    <row r="795" ht="15" customHeight="1">
      <c r="A795" t="inlineStr">
        <is>
          <t>A 22977-2025</t>
        </is>
      </c>
      <c r="B795" s="1" t="n">
        <v>45790.5657175926</v>
      </c>
      <c r="C795" s="1" t="n">
        <v>45916</v>
      </c>
      <c r="D795" t="inlineStr">
        <is>
          <t>JÄMTLANDS LÄN</t>
        </is>
      </c>
      <c r="E795" t="inlineStr">
        <is>
          <t>BERG</t>
        </is>
      </c>
      <c r="G795" t="n">
        <v>3</v>
      </c>
      <c r="H795" t="n">
        <v>0</v>
      </c>
      <c r="I795" t="n">
        <v>0</v>
      </c>
      <c r="J795" t="n">
        <v>0</v>
      </c>
      <c r="K795" t="n">
        <v>0</v>
      </c>
      <c r="L795" t="n">
        <v>0</v>
      </c>
      <c r="M795" t="n">
        <v>0</v>
      </c>
      <c r="N795" t="n">
        <v>0</v>
      </c>
      <c r="O795" t="n">
        <v>0</v>
      </c>
      <c r="P795" t="n">
        <v>0</v>
      </c>
      <c r="Q795" t="n">
        <v>0</v>
      </c>
      <c r="R795" s="2" t="inlineStr"/>
    </row>
    <row r="796" ht="15" customHeight="1">
      <c r="A796" t="inlineStr">
        <is>
          <t>A 22991-2025</t>
        </is>
      </c>
      <c r="B796" s="1" t="n">
        <v>45790.57836805555</v>
      </c>
      <c r="C796" s="1" t="n">
        <v>45916</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8722-2024</t>
        </is>
      </c>
      <c r="B797" s="1" t="n">
        <v>45355</v>
      </c>
      <c r="C797" s="1" t="n">
        <v>45916</v>
      </c>
      <c r="D797" t="inlineStr">
        <is>
          <t>JÄMTLANDS LÄN</t>
        </is>
      </c>
      <c r="E797" t="inlineStr">
        <is>
          <t>BERG</t>
        </is>
      </c>
      <c r="G797" t="n">
        <v>2.4</v>
      </c>
      <c r="H797" t="n">
        <v>0</v>
      </c>
      <c r="I797" t="n">
        <v>0</v>
      </c>
      <c r="J797" t="n">
        <v>0</v>
      </c>
      <c r="K797" t="n">
        <v>0</v>
      </c>
      <c r="L797" t="n">
        <v>0</v>
      </c>
      <c r="M797" t="n">
        <v>0</v>
      </c>
      <c r="N797" t="n">
        <v>0</v>
      </c>
      <c r="O797" t="n">
        <v>0</v>
      </c>
      <c r="P797" t="n">
        <v>0</v>
      </c>
      <c r="Q797" t="n">
        <v>0</v>
      </c>
      <c r="R797" s="2" t="inlineStr"/>
    </row>
    <row r="798" ht="15" customHeight="1">
      <c r="A798" t="inlineStr">
        <is>
          <t>A 8726-2024</t>
        </is>
      </c>
      <c r="B798" s="1" t="n">
        <v>45355</v>
      </c>
      <c r="C798" s="1" t="n">
        <v>45916</v>
      </c>
      <c r="D798" t="inlineStr">
        <is>
          <t>JÄMTLANDS LÄN</t>
        </is>
      </c>
      <c r="E798" t="inlineStr">
        <is>
          <t>BERG</t>
        </is>
      </c>
      <c r="G798" t="n">
        <v>1.3</v>
      </c>
      <c r="H798" t="n">
        <v>0</v>
      </c>
      <c r="I798" t="n">
        <v>0</v>
      </c>
      <c r="J798" t="n">
        <v>0</v>
      </c>
      <c r="K798" t="n">
        <v>0</v>
      </c>
      <c r="L798" t="n">
        <v>0</v>
      </c>
      <c r="M798" t="n">
        <v>0</v>
      </c>
      <c r="N798" t="n">
        <v>0</v>
      </c>
      <c r="O798" t="n">
        <v>0</v>
      </c>
      <c r="P798" t="n">
        <v>0</v>
      </c>
      <c r="Q798" t="n">
        <v>0</v>
      </c>
      <c r="R798" s="2" t="inlineStr"/>
    </row>
    <row r="799">
      <c r="A799" t="inlineStr">
        <is>
          <t>A 8733-2024</t>
        </is>
      </c>
      <c r="B799" s="1" t="n">
        <v>45355</v>
      </c>
      <c r="C799" s="1" t="n">
        <v>45916</v>
      </c>
      <c r="D799" t="inlineStr">
        <is>
          <t>JÄMTLANDS LÄN</t>
        </is>
      </c>
      <c r="E799" t="inlineStr">
        <is>
          <t>BERG</t>
        </is>
      </c>
      <c r="G799" t="n">
        <v>1.9</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2025-09-16T08:56:01Z</dcterms:created>
  <dcterms:modified xmlns:dcterms="http://purl.org/dc/terms/" xmlns:xsi="http://www.w3.org/2001/XMLSchema-instance" xsi:type="dcterms:W3CDTF">2025-09-16T08:56:02Z</dcterms:modified>
</cp:coreProperties>
</file>