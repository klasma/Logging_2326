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46074</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46074</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46074</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46074</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46074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46074</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46074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46074</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46074</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46074</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46074</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46074</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46074</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46074</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46074</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46074</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46074</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46074</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46074</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46074</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46074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46074</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46074</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46074</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46074</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46074</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46074</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46074</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46074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21519-2025</t>
        </is>
      </c>
      <c r="B50" s="1" t="n">
        <v>45782</v>
      </c>
      <c r="C50" s="1" t="n">
        <v>46074</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46074</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31719-2022</t>
        </is>
      </c>
      <c r="B52" s="1" t="n">
        <v>44776</v>
      </c>
      <c r="C52" s="1" t="n">
        <v>46074</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49626-2024</t>
        </is>
      </c>
      <c r="B53" s="1" t="n">
        <v>45596.59109953704</v>
      </c>
      <c r="C53" s="1" t="n">
        <v>46074</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54406-2023</t>
        </is>
      </c>
      <c r="B54" s="1" t="n">
        <v>45233.38612268519</v>
      </c>
      <c r="C54" s="1" t="n">
        <v>46074</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46074</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27571-2025</t>
        </is>
      </c>
      <c r="B56" s="1" t="n">
        <v>45813.49040509259</v>
      </c>
      <c r="C56" s="1" t="n">
        <v>46074</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16508-2021</t>
        </is>
      </c>
      <c r="B57" s="1" t="n">
        <v>44293</v>
      </c>
      <c r="C57" s="1" t="n">
        <v>46074</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46074</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24670-2025</t>
        </is>
      </c>
      <c r="B59" s="1" t="n">
        <v>45798.64947916667</v>
      </c>
      <c r="C59" s="1" t="n">
        <v>46074</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46074</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46074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46074</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46074</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46074</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46074</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46074</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46074</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46074</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46074</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46074</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46074</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40913-2025</t>
        </is>
      </c>
      <c r="B75" s="1" t="n">
        <v>45897.61719907408</v>
      </c>
      <c r="C75" s="1" t="n">
        <v>46074</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7891-2022</t>
        </is>
      </c>
      <c r="B76" s="1" t="n">
        <v>44607</v>
      </c>
      <c r="C76" s="1" t="n">
        <v>46074</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31715-2025</t>
        </is>
      </c>
      <c r="B77" s="1" t="n">
        <v>45834.45671296296</v>
      </c>
      <c r="C77" s="1" t="n">
        <v>46074</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46074</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46795-2025</t>
        </is>
      </c>
      <c r="B79" s="1" t="n">
        <v>45926.65668981482</v>
      </c>
      <c r="C79" s="1" t="n">
        <v>46074</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57276-2025</t>
        </is>
      </c>
      <c r="B80" s="1" t="n">
        <v>45979.68783564815</v>
      </c>
      <c r="C80" s="1" t="n">
        <v>46074</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13487-2024</t>
        </is>
      </c>
      <c r="B81" s="1" t="n">
        <v>45387</v>
      </c>
      <c r="C81" s="1" t="n">
        <v>46074</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46074</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46074</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45811.67803240741</v>
      </c>
      <c r="C84" s="1" t="n">
        <v>46074</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46074</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58238-2025</t>
        </is>
      </c>
      <c r="B86" s="1" t="n">
        <v>45985.38775462963</v>
      </c>
      <c r="C86" s="1" t="n">
        <v>46074</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25871-2025</t>
        </is>
      </c>
      <c r="B87" s="1" t="n">
        <v>45804.4903125</v>
      </c>
      <c r="C87" s="1" t="n">
        <v>46074</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46074</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16830-2021</t>
        </is>
      </c>
      <c r="B89" s="1" t="n">
        <v>44293</v>
      </c>
      <c r="C89" s="1" t="n">
        <v>46074</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46074</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46074</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46074</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46074</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68433-2021</t>
        </is>
      </c>
      <c r="B94" s="1" t="n">
        <v>44529</v>
      </c>
      <c r="C94" s="1" t="n">
        <v>46074</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46074</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46074</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49611-2025</t>
        </is>
      </c>
      <c r="B97" s="1" t="n">
        <v>45939.5735300926</v>
      </c>
      <c r="C97" s="1" t="n">
        <v>46074</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52189-2024</t>
        </is>
      </c>
      <c r="B98" s="1" t="n">
        <v>45608</v>
      </c>
      <c r="C98" s="1" t="n">
        <v>46074</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46074</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52007-2025</t>
        </is>
      </c>
      <c r="B100" s="1" t="n">
        <v>45952.59424768519</v>
      </c>
      <c r="C100" s="1" t="n">
        <v>46074</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56368-2024</t>
        </is>
      </c>
      <c r="B101" s="1" t="n">
        <v>45625.32978009259</v>
      </c>
      <c r="C101" s="1" t="n">
        <v>46074</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14599-2021</t>
        </is>
      </c>
      <c r="B102" s="1" t="n">
        <v>44279</v>
      </c>
      <c r="C102" s="1" t="n">
        <v>46074</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46074</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46074</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46074</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3062-2025</t>
        </is>
      </c>
      <c r="B106" s="1" t="n">
        <v>45678</v>
      </c>
      <c r="C106" s="1" t="n">
        <v>46074</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46074</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46074</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31709-2025</t>
        </is>
      </c>
      <c r="B109" s="1" t="n">
        <v>45834.42543981481</v>
      </c>
      <c r="C109" s="1" t="n">
        <v>46074</v>
      </c>
      <c r="D109" t="inlineStr">
        <is>
          <t>JÄMTLANDS LÄN</t>
        </is>
      </c>
      <c r="E109" t="inlineStr">
        <is>
          <t>BERG</t>
        </is>
      </c>
      <c r="G109" t="n">
        <v>22.2</v>
      </c>
      <c r="H109" t="n">
        <v>1</v>
      </c>
      <c r="I109" t="n">
        <v>0</v>
      </c>
      <c r="J109" t="n">
        <v>1</v>
      </c>
      <c r="K109" t="n">
        <v>0</v>
      </c>
      <c r="L109" t="n">
        <v>1</v>
      </c>
      <c r="M109" t="n">
        <v>0</v>
      </c>
      <c r="N109" t="n">
        <v>0</v>
      </c>
      <c r="O109" t="n">
        <v>2</v>
      </c>
      <c r="P109" t="n">
        <v>1</v>
      </c>
      <c r="Q109" t="n">
        <v>2</v>
      </c>
      <c r="R109" s="2" t="inlineStr">
        <is>
          <t>Mikroskapania
Platt spretmossa</t>
        </is>
      </c>
      <c r="S109">
        <f>HYPERLINK("https://klasma.github.io/Logging_2326/artfynd/A 31709-2025 artfynd.xlsx", "A 31709-2025")</f>
        <v/>
      </c>
      <c r="T109">
        <f>HYPERLINK("https://klasma.github.io/Logging_2326/kartor/A 31709-2025 karta.png", "A 31709-2025")</f>
        <v/>
      </c>
      <c r="V109">
        <f>HYPERLINK("https://klasma.github.io/Logging_2326/klagomål/A 31709-2025 FSC-klagomål.docx", "A 31709-2025")</f>
        <v/>
      </c>
      <c r="W109">
        <f>HYPERLINK("https://klasma.github.io/Logging_2326/klagomålsmail/A 31709-2025 FSC-klagomål mail.docx", "A 31709-2025")</f>
        <v/>
      </c>
      <c r="X109">
        <f>HYPERLINK("https://klasma.github.io/Logging_2326/tillsyn/A 31709-2025 tillsynsbegäran.docx", "A 31709-2025")</f>
        <v/>
      </c>
      <c r="Y109">
        <f>HYPERLINK("https://klasma.github.io/Logging_2326/tillsynsmail/A 31709-2025 tillsynsbegäran mail.docx", "A 31709-2025")</f>
        <v/>
      </c>
    </row>
    <row r="110" ht="15" customHeight="1">
      <c r="A110" t="inlineStr">
        <is>
          <t>A 42120-2025</t>
        </is>
      </c>
      <c r="B110" s="1" t="n">
        <v>45904.34236111111</v>
      </c>
      <c r="C110" s="1" t="n">
        <v>46074</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8734-2025</t>
        </is>
      </c>
      <c r="B111" s="1" t="n">
        <v>45712.53209490741</v>
      </c>
      <c r="C111" s="1" t="n">
        <v>46074</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47858-2025</t>
        </is>
      </c>
      <c r="B112" s="1" t="n">
        <v>45932.40699074074</v>
      </c>
      <c r="C112" s="1" t="n">
        <v>46074</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50389-2025</t>
        </is>
      </c>
      <c r="B113" s="1" t="n">
        <v>45944.61539351852</v>
      </c>
      <c r="C113" s="1" t="n">
        <v>46074</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52611-2025</t>
        </is>
      </c>
      <c r="B114" s="1" t="n">
        <v>45954.66971064815</v>
      </c>
      <c r="C114" s="1" t="n">
        <v>46074</v>
      </c>
      <c r="D114" t="inlineStr">
        <is>
          <t>JÄMTLANDS LÄN</t>
        </is>
      </c>
      <c r="E114" t="inlineStr">
        <is>
          <t>BERG</t>
        </is>
      </c>
      <c r="F114" t="inlineStr">
        <is>
          <t>Kyrkan</t>
        </is>
      </c>
      <c r="G114" t="n">
        <v>6.3</v>
      </c>
      <c r="H114" t="n">
        <v>1</v>
      </c>
      <c r="I114" t="n">
        <v>0</v>
      </c>
      <c r="J114" t="n">
        <v>1</v>
      </c>
      <c r="K114" t="n">
        <v>0</v>
      </c>
      <c r="L114" t="n">
        <v>0</v>
      </c>
      <c r="M114" t="n">
        <v>0</v>
      </c>
      <c r="N114" t="n">
        <v>0</v>
      </c>
      <c r="O114" t="n">
        <v>1</v>
      </c>
      <c r="P114" t="n">
        <v>0</v>
      </c>
      <c r="Q114" t="n">
        <v>2</v>
      </c>
      <c r="R114" s="2" t="inlineStr">
        <is>
          <t>Garnlav
Revlummer</t>
        </is>
      </c>
      <c r="S114">
        <f>HYPERLINK("https://klasma.github.io/Logging_2326/artfynd/A 52611-2025 artfynd.xlsx", "A 52611-2025")</f>
        <v/>
      </c>
      <c r="T114">
        <f>HYPERLINK("https://klasma.github.io/Logging_2326/kartor/A 52611-2025 karta.png", "A 52611-2025")</f>
        <v/>
      </c>
      <c r="V114">
        <f>HYPERLINK("https://klasma.github.io/Logging_2326/klagomål/A 52611-2025 FSC-klagomål.docx", "A 52611-2025")</f>
        <v/>
      </c>
      <c r="W114">
        <f>HYPERLINK("https://klasma.github.io/Logging_2326/klagomålsmail/A 52611-2025 FSC-klagomål mail.docx", "A 52611-2025")</f>
        <v/>
      </c>
      <c r="X114">
        <f>HYPERLINK("https://klasma.github.io/Logging_2326/tillsyn/A 52611-2025 tillsynsbegäran.docx", "A 52611-2025")</f>
        <v/>
      </c>
      <c r="Y114">
        <f>HYPERLINK("https://klasma.github.io/Logging_2326/tillsynsmail/A 52611-2025 tillsynsbegäran mail.docx", "A 52611-2025")</f>
        <v/>
      </c>
    </row>
    <row r="115" ht="15" customHeight="1">
      <c r="A115" t="inlineStr">
        <is>
          <t>A 52600-2025</t>
        </is>
      </c>
      <c r="B115" s="1" t="n">
        <v>45954.65657407408</v>
      </c>
      <c r="C115" s="1" t="n">
        <v>46074</v>
      </c>
      <c r="D115" t="inlineStr">
        <is>
          <t>JÄMTLANDS LÄN</t>
        </is>
      </c>
      <c r="E115" t="inlineStr">
        <is>
          <t>BERG</t>
        </is>
      </c>
      <c r="F115" t="inlineStr">
        <is>
          <t>Kyrkan</t>
        </is>
      </c>
      <c r="G115" t="n">
        <v>5.8</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52600-2025 artfynd.xlsx", "A 52600-2025")</f>
        <v/>
      </c>
      <c r="T115">
        <f>HYPERLINK("https://klasma.github.io/Logging_2326/kartor/A 52600-2025 karta.png", "A 52600-2025")</f>
        <v/>
      </c>
      <c r="V115">
        <f>HYPERLINK("https://klasma.github.io/Logging_2326/klagomål/A 52600-2025 FSC-klagomål.docx", "A 52600-2025")</f>
        <v/>
      </c>
      <c r="W115">
        <f>HYPERLINK("https://klasma.github.io/Logging_2326/klagomålsmail/A 52600-2025 FSC-klagomål mail.docx", "A 52600-2025")</f>
        <v/>
      </c>
      <c r="X115">
        <f>HYPERLINK("https://klasma.github.io/Logging_2326/tillsyn/A 52600-2025 tillsynsbegäran.docx", "A 52600-2025")</f>
        <v/>
      </c>
      <c r="Y115">
        <f>HYPERLINK("https://klasma.github.io/Logging_2326/tillsynsmail/A 52600-2025 tillsynsbegäran mail.docx", "A 52600-2025")</f>
        <v/>
      </c>
    </row>
    <row r="116" ht="15" customHeight="1">
      <c r="A116" t="inlineStr">
        <is>
          <t>A 14344-2025</t>
        </is>
      </c>
      <c r="B116" s="1" t="n">
        <v>45741</v>
      </c>
      <c r="C116" s="1" t="n">
        <v>46074</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30334-2024</t>
        </is>
      </c>
      <c r="B117" s="1" t="n">
        <v>45490.95396990741</v>
      </c>
      <c r="C117" s="1" t="n">
        <v>46074</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27919-2024</t>
        </is>
      </c>
      <c r="B118" s="1" t="n">
        <v>45475.94865740741</v>
      </c>
      <c r="C118" s="1" t="n">
        <v>46074</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37387-2022</t>
        </is>
      </c>
      <c r="B119" s="1" t="n">
        <v>44806</v>
      </c>
      <c r="C119" s="1" t="n">
        <v>46074</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14588-2021</t>
        </is>
      </c>
      <c r="B120" s="1" t="n">
        <v>44279</v>
      </c>
      <c r="C120" s="1" t="n">
        <v>46074</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5122-2026</t>
        </is>
      </c>
      <c r="B121" s="1" t="n">
        <v>46049.58273148148</v>
      </c>
      <c r="C121" s="1" t="n">
        <v>46074</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48880-2023</t>
        </is>
      </c>
      <c r="B122" s="1" t="n">
        <v>45209</v>
      </c>
      <c r="C122" s="1" t="n">
        <v>46074</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46074</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47-2023</t>
        </is>
      </c>
      <c r="B124" s="1" t="n">
        <v>44928</v>
      </c>
      <c r="C124" s="1" t="n">
        <v>46074</v>
      </c>
      <c r="D124" t="inlineStr">
        <is>
          <t>JÄMTLANDS LÄN</t>
        </is>
      </c>
      <c r="E124" t="inlineStr">
        <is>
          <t>BERG</t>
        </is>
      </c>
      <c r="F124" t="inlineStr">
        <is>
          <t>Naturvårdsverket</t>
        </is>
      </c>
      <c r="G124" t="n">
        <v>1.5</v>
      </c>
      <c r="H124" t="n">
        <v>1</v>
      </c>
      <c r="I124" t="n">
        <v>0</v>
      </c>
      <c r="J124" t="n">
        <v>1</v>
      </c>
      <c r="K124" t="n">
        <v>1</v>
      </c>
      <c r="L124" t="n">
        <v>0</v>
      </c>
      <c r="M124" t="n">
        <v>0</v>
      </c>
      <c r="N124" t="n">
        <v>0</v>
      </c>
      <c r="O124" t="n">
        <v>2</v>
      </c>
      <c r="P124" t="n">
        <v>1</v>
      </c>
      <c r="Q124" t="n">
        <v>2</v>
      </c>
      <c r="R124" s="2" t="inlineStr">
        <is>
          <t>Knärot
Violettgrå tagellav</t>
        </is>
      </c>
      <c r="S124">
        <f>HYPERLINK("https://klasma.github.io/Logging_2326/artfynd/A 47-2023 artfynd.xlsx", "A 47-2023")</f>
        <v/>
      </c>
      <c r="T124">
        <f>HYPERLINK("https://klasma.github.io/Logging_2326/kartor/A 47-2023 karta.png", "A 47-2023")</f>
        <v/>
      </c>
      <c r="U124">
        <f>HYPERLINK("https://klasma.github.io/Logging_2326/knärot/A 47-2023 karta knärot.png",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62161-2025</t>
        </is>
      </c>
      <c r="B125" s="1" t="n">
        <v>46006.49113425926</v>
      </c>
      <c r="C125" s="1" t="n">
        <v>46074</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46074</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26944-2024</t>
        </is>
      </c>
      <c r="B127" s="1" t="n">
        <v>45470.96880787037</v>
      </c>
      <c r="C127" s="1" t="n">
        <v>46074</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46074</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46074</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46074</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46074</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46074</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46074</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46074</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26748-2025</t>
        </is>
      </c>
      <c r="B135" s="1" t="n">
        <v>45810.53988425926</v>
      </c>
      <c r="C135" s="1" t="n">
        <v>46074</v>
      </c>
      <c r="D135" t="inlineStr">
        <is>
          <t>JÄMTLANDS LÄN</t>
        </is>
      </c>
      <c r="E135" t="inlineStr">
        <is>
          <t>BERG</t>
        </is>
      </c>
      <c r="G135" t="n">
        <v>17.4</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26748-2025 artfynd.xlsx", "A 26748-2025")</f>
        <v/>
      </c>
      <c r="T135">
        <f>HYPERLINK("https://klasma.github.io/Logging_2326/kartor/A 26748-2025 karta.png", "A 26748-2025")</f>
        <v/>
      </c>
      <c r="V135">
        <f>HYPERLINK("https://klasma.github.io/Logging_2326/klagomål/A 26748-2025 FSC-klagomål.docx", "A 26748-2025")</f>
        <v/>
      </c>
      <c r="W135">
        <f>HYPERLINK("https://klasma.github.io/Logging_2326/klagomålsmail/A 26748-2025 FSC-klagomål mail.docx", "A 26748-2025")</f>
        <v/>
      </c>
      <c r="X135">
        <f>HYPERLINK("https://klasma.github.io/Logging_2326/tillsyn/A 26748-2025 tillsynsbegäran.docx", "A 26748-2025")</f>
        <v/>
      </c>
      <c r="Y135">
        <f>HYPERLINK("https://klasma.github.io/Logging_2326/tillsynsmail/A 26748-2025 tillsynsbegäran mail.docx", "A 26748-2025")</f>
        <v/>
      </c>
      <c r="Z135">
        <f>HYPERLINK("https://klasma.github.io/Logging_2326/fåglar/A 26748-2025 prioriterade fågelarter.docx", "A 26748-2025")</f>
        <v/>
      </c>
    </row>
    <row r="136" ht="15" customHeight="1">
      <c r="A136" t="inlineStr">
        <is>
          <t>A 27647-2025</t>
        </is>
      </c>
      <c r="B136" s="1" t="n">
        <v>45813.59454861111</v>
      </c>
      <c r="C136" s="1" t="n">
        <v>46074</v>
      </c>
      <c r="D136" t="inlineStr">
        <is>
          <t>JÄMTLANDS LÄN</t>
        </is>
      </c>
      <c r="E136" t="inlineStr">
        <is>
          <t>BERG</t>
        </is>
      </c>
      <c r="F136" t="inlineStr">
        <is>
          <t>SCA</t>
        </is>
      </c>
      <c r="G136" t="n">
        <v>3.1</v>
      </c>
      <c r="H136" t="n">
        <v>0</v>
      </c>
      <c r="I136" t="n">
        <v>0</v>
      </c>
      <c r="J136" t="n">
        <v>1</v>
      </c>
      <c r="K136" t="n">
        <v>1</v>
      </c>
      <c r="L136" t="n">
        <v>0</v>
      </c>
      <c r="M136" t="n">
        <v>0</v>
      </c>
      <c r="N136" t="n">
        <v>0</v>
      </c>
      <c r="O136" t="n">
        <v>2</v>
      </c>
      <c r="P136" t="n">
        <v>1</v>
      </c>
      <c r="Q136" t="n">
        <v>2</v>
      </c>
      <c r="R136" s="2" t="inlineStr">
        <is>
          <t>Gräddporing
Dvärgbägarlav</t>
        </is>
      </c>
      <c r="S136">
        <f>HYPERLINK("https://klasma.github.io/Logging_2326/artfynd/A 27647-2025 artfynd.xlsx", "A 27647-2025")</f>
        <v/>
      </c>
      <c r="T136">
        <f>HYPERLINK("https://klasma.github.io/Logging_2326/kartor/A 27647-2025 karta.png", "A 27647-2025")</f>
        <v/>
      </c>
      <c r="V136">
        <f>HYPERLINK("https://klasma.github.io/Logging_2326/klagomål/A 27647-2025 FSC-klagomål.docx", "A 27647-2025")</f>
        <v/>
      </c>
      <c r="W136">
        <f>HYPERLINK("https://klasma.github.io/Logging_2326/klagomålsmail/A 27647-2025 FSC-klagomål mail.docx", "A 27647-2025")</f>
        <v/>
      </c>
      <c r="X136">
        <f>HYPERLINK("https://klasma.github.io/Logging_2326/tillsyn/A 27647-2025 tillsynsbegäran.docx", "A 27647-2025")</f>
        <v/>
      </c>
      <c r="Y136">
        <f>HYPERLINK("https://klasma.github.io/Logging_2326/tillsynsmail/A 27647-2025 tillsynsbegäran mail.docx", "A 27647-2025")</f>
        <v/>
      </c>
    </row>
    <row r="137" ht="15" customHeight="1">
      <c r="A137" t="inlineStr">
        <is>
          <t>A 16834-2021</t>
        </is>
      </c>
      <c r="B137" s="1" t="n">
        <v>44293</v>
      </c>
      <c r="C137" s="1" t="n">
        <v>46074</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46074</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49276-2024</t>
        </is>
      </c>
      <c r="B139" s="1" t="n">
        <v>45595.50819444445</v>
      </c>
      <c r="C139" s="1" t="n">
        <v>46074</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56202-2021</t>
        </is>
      </c>
      <c r="B140" s="1" t="n">
        <v>44477</v>
      </c>
      <c r="C140" s="1" t="n">
        <v>46074</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54595-2024</t>
        </is>
      </c>
      <c r="B141" s="1" t="n">
        <v>45617.67353009259</v>
      </c>
      <c r="C141" s="1" t="n">
        <v>46074</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39001-2025</t>
        </is>
      </c>
      <c r="B142" s="1" t="n">
        <v>45888.344375</v>
      </c>
      <c r="C142" s="1" t="n">
        <v>46074</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31837-2025</t>
        </is>
      </c>
      <c r="B143" s="1" t="n">
        <v>45834.59467592592</v>
      </c>
      <c r="C143" s="1" t="n">
        <v>46074</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33501-2025</t>
        </is>
      </c>
      <c r="B144" s="1" t="n">
        <v>45841</v>
      </c>
      <c r="C144" s="1" t="n">
        <v>46074</v>
      </c>
      <c r="D144" t="inlineStr">
        <is>
          <t>JÄMTLANDS LÄN</t>
        </is>
      </c>
      <c r="E144" t="inlineStr">
        <is>
          <t>BERG</t>
        </is>
      </c>
      <c r="G144" t="n">
        <v>6.9</v>
      </c>
      <c r="H144" t="n">
        <v>1</v>
      </c>
      <c r="I144" t="n">
        <v>1</v>
      </c>
      <c r="J144" t="n">
        <v>0</v>
      </c>
      <c r="K144" t="n">
        <v>0</v>
      </c>
      <c r="L144" t="n">
        <v>0</v>
      </c>
      <c r="M144" t="n">
        <v>0</v>
      </c>
      <c r="N144" t="n">
        <v>0</v>
      </c>
      <c r="O144" t="n">
        <v>0</v>
      </c>
      <c r="P144" t="n">
        <v>0</v>
      </c>
      <c r="Q144" t="n">
        <v>1</v>
      </c>
      <c r="R144" s="2" t="inlineStr">
        <is>
          <t>Korallrot</t>
        </is>
      </c>
      <c r="S144">
        <f>HYPERLINK("https://klasma.github.io/Logging_2326/artfynd/A 33501-2025 artfynd.xlsx", "A 33501-2025")</f>
        <v/>
      </c>
      <c r="T144">
        <f>HYPERLINK("https://klasma.github.io/Logging_2326/kartor/A 33501-2025 karta.png", "A 33501-2025")</f>
        <v/>
      </c>
      <c r="V144">
        <f>HYPERLINK("https://klasma.github.io/Logging_2326/klagomål/A 33501-2025 FSC-klagomål.docx", "A 33501-2025")</f>
        <v/>
      </c>
      <c r="W144">
        <f>HYPERLINK("https://klasma.github.io/Logging_2326/klagomålsmail/A 33501-2025 FSC-klagomål mail.docx", "A 33501-2025")</f>
        <v/>
      </c>
      <c r="X144">
        <f>HYPERLINK("https://klasma.github.io/Logging_2326/tillsyn/A 33501-2025 tillsynsbegäran.docx", "A 33501-2025")</f>
        <v/>
      </c>
      <c r="Y144">
        <f>HYPERLINK("https://klasma.github.io/Logging_2326/tillsynsmail/A 33501-2025 tillsynsbegäran mail.docx", "A 33501-2025")</f>
        <v/>
      </c>
    </row>
    <row r="145" ht="15" customHeight="1">
      <c r="A145" t="inlineStr">
        <is>
          <t>A 20808-2024</t>
        </is>
      </c>
      <c r="B145" s="1" t="n">
        <v>45439</v>
      </c>
      <c r="C145" s="1" t="n">
        <v>46074</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35211-2025</t>
        </is>
      </c>
      <c r="B146" s="1" t="n">
        <v>45853.45060185185</v>
      </c>
      <c r="C146" s="1" t="n">
        <v>46074</v>
      </c>
      <c r="D146" t="inlineStr">
        <is>
          <t>JÄMTLANDS LÄN</t>
        </is>
      </c>
      <c r="E146" t="inlineStr">
        <is>
          <t>BERG</t>
        </is>
      </c>
      <c r="G146" t="n">
        <v>0.8</v>
      </c>
      <c r="H146" t="n">
        <v>1</v>
      </c>
      <c r="I146" t="n">
        <v>0</v>
      </c>
      <c r="J146" t="n">
        <v>0</v>
      </c>
      <c r="K146" t="n">
        <v>1</v>
      </c>
      <c r="L146" t="n">
        <v>0</v>
      </c>
      <c r="M146" t="n">
        <v>0</v>
      </c>
      <c r="N146" t="n">
        <v>0</v>
      </c>
      <c r="O146" t="n">
        <v>1</v>
      </c>
      <c r="P146" t="n">
        <v>1</v>
      </c>
      <c r="Q146" t="n">
        <v>1</v>
      </c>
      <c r="R146" s="2" t="inlineStr">
        <is>
          <t>Knärot</t>
        </is>
      </c>
      <c r="S146">
        <f>HYPERLINK("https://klasma.github.io/Logging_2326/artfynd/A 35211-2025 artfynd.xlsx", "A 35211-2025")</f>
        <v/>
      </c>
      <c r="T146">
        <f>HYPERLINK("https://klasma.github.io/Logging_2326/kartor/A 35211-2025 karta.png", "A 35211-2025")</f>
        <v/>
      </c>
      <c r="U146">
        <f>HYPERLINK("https://klasma.github.io/Logging_2326/knärot/A 35211-2025 karta knärot.png", "A 35211-2025")</f>
        <v/>
      </c>
      <c r="V146">
        <f>HYPERLINK("https://klasma.github.io/Logging_2326/klagomål/A 35211-2025 FSC-klagomål.docx", "A 35211-2025")</f>
        <v/>
      </c>
      <c r="W146">
        <f>HYPERLINK("https://klasma.github.io/Logging_2326/klagomålsmail/A 35211-2025 FSC-klagomål mail.docx", "A 35211-2025")</f>
        <v/>
      </c>
      <c r="X146">
        <f>HYPERLINK("https://klasma.github.io/Logging_2326/tillsyn/A 35211-2025 tillsynsbegäran.docx", "A 35211-2025")</f>
        <v/>
      </c>
      <c r="Y146">
        <f>HYPERLINK("https://klasma.github.io/Logging_2326/tillsynsmail/A 35211-2025 tillsynsbegäran mail.docx", "A 35211-2025")</f>
        <v/>
      </c>
    </row>
    <row r="147" ht="15" customHeight="1">
      <c r="A147" t="inlineStr">
        <is>
          <t>A 35535-2025</t>
        </is>
      </c>
      <c r="B147" s="1" t="n">
        <v>45856.45047453704</v>
      </c>
      <c r="C147" s="1" t="n">
        <v>46074</v>
      </c>
      <c r="D147" t="inlineStr">
        <is>
          <t>JÄMTLANDS LÄN</t>
        </is>
      </c>
      <c r="E147" t="inlineStr">
        <is>
          <t>BERG</t>
        </is>
      </c>
      <c r="F147" t="inlineStr">
        <is>
          <t>Sveaskog</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HYPERLINK("https://klasma.github.io/Logging_2326/artfynd/A 35535-2025 artfynd.xlsx", "A 35535-2025")</f>
        <v/>
      </c>
      <c r="T147">
        <f>HYPERLINK("https://klasma.github.io/Logging_2326/kartor/A 35535-2025 karta.png", "A 35535-2025")</f>
        <v/>
      </c>
      <c r="V147">
        <f>HYPERLINK("https://klasma.github.io/Logging_2326/klagomål/A 35535-2025 FSC-klagomål.docx", "A 35535-2025")</f>
        <v/>
      </c>
      <c r="W147">
        <f>HYPERLINK("https://klasma.github.io/Logging_2326/klagomålsmail/A 35535-2025 FSC-klagomål mail.docx", "A 35535-2025")</f>
        <v/>
      </c>
      <c r="X147">
        <f>HYPERLINK("https://klasma.github.io/Logging_2326/tillsyn/A 35535-2025 tillsynsbegäran.docx", "A 35535-2025")</f>
        <v/>
      </c>
      <c r="Y147">
        <f>HYPERLINK("https://klasma.github.io/Logging_2326/tillsynsmail/A 35535-2025 tillsynsbegäran mail.docx", "A 35535-2025")</f>
        <v/>
      </c>
    </row>
    <row r="148" ht="15" customHeight="1">
      <c r="A148" t="inlineStr">
        <is>
          <t>A 53086-2024</t>
        </is>
      </c>
      <c r="B148" s="1" t="n">
        <v>45611.51084490741</v>
      </c>
      <c r="C148" s="1" t="n">
        <v>46074</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47656-2025</t>
        </is>
      </c>
      <c r="B149" s="1" t="n">
        <v>45931.55247685185</v>
      </c>
      <c r="C149" s="1" t="n">
        <v>46074</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47658-2025</t>
        </is>
      </c>
      <c r="B150" s="1" t="n">
        <v>45931.55266203704</v>
      </c>
      <c r="C150" s="1" t="n">
        <v>46074</v>
      </c>
      <c r="D150" t="inlineStr">
        <is>
          <t>JÄMTLANDS LÄN</t>
        </is>
      </c>
      <c r="E150" t="inlineStr">
        <is>
          <t>BERG</t>
        </is>
      </c>
      <c r="F150" t="inlineStr">
        <is>
          <t>SCA</t>
        </is>
      </c>
      <c r="G150" t="n">
        <v>3.2</v>
      </c>
      <c r="H150" t="n">
        <v>0</v>
      </c>
      <c r="I150" t="n">
        <v>0</v>
      </c>
      <c r="J150" t="n">
        <v>1</v>
      </c>
      <c r="K150" t="n">
        <v>0</v>
      </c>
      <c r="L150" t="n">
        <v>0</v>
      </c>
      <c r="M150" t="n">
        <v>0</v>
      </c>
      <c r="N150" t="n">
        <v>0</v>
      </c>
      <c r="O150" t="n">
        <v>1</v>
      </c>
      <c r="P150" t="n">
        <v>0</v>
      </c>
      <c r="Q150" t="n">
        <v>1</v>
      </c>
      <c r="R150" s="2" t="inlineStr">
        <is>
          <t>Blågrå svartspik</t>
        </is>
      </c>
      <c r="S150">
        <f>HYPERLINK("https://klasma.github.io/Logging_2326/artfynd/A 47658-2025 artfynd.xlsx", "A 47658-2025")</f>
        <v/>
      </c>
      <c r="T150">
        <f>HYPERLINK("https://klasma.github.io/Logging_2326/kartor/A 47658-2025 karta.png", "A 47658-2025")</f>
        <v/>
      </c>
      <c r="V150">
        <f>HYPERLINK("https://klasma.github.io/Logging_2326/klagomål/A 47658-2025 FSC-klagomål.docx", "A 47658-2025")</f>
        <v/>
      </c>
      <c r="W150">
        <f>HYPERLINK("https://klasma.github.io/Logging_2326/klagomålsmail/A 47658-2025 FSC-klagomål mail.docx", "A 47658-2025")</f>
        <v/>
      </c>
      <c r="X150">
        <f>HYPERLINK("https://klasma.github.io/Logging_2326/tillsyn/A 47658-2025 tillsynsbegäran.docx", "A 47658-2025")</f>
        <v/>
      </c>
      <c r="Y150">
        <f>HYPERLINK("https://klasma.github.io/Logging_2326/tillsynsmail/A 47658-2025 tillsynsbegäran mail.docx", "A 47658-2025")</f>
        <v/>
      </c>
    </row>
    <row r="151" ht="15" customHeight="1">
      <c r="A151" t="inlineStr">
        <is>
          <t>A 34891-2024</t>
        </is>
      </c>
      <c r="B151" s="1" t="n">
        <v>45527.36498842593</v>
      </c>
      <c r="C151" s="1" t="n">
        <v>46074</v>
      </c>
      <c r="D151" t="inlineStr">
        <is>
          <t>JÄMTLANDS LÄN</t>
        </is>
      </c>
      <c r="E151" t="inlineStr">
        <is>
          <t>BERG</t>
        </is>
      </c>
      <c r="F151" t="inlineStr">
        <is>
          <t>SCA</t>
        </is>
      </c>
      <c r="G151" t="n">
        <v>1.5</v>
      </c>
      <c r="H151" t="n">
        <v>1</v>
      </c>
      <c r="I151" t="n">
        <v>0</v>
      </c>
      <c r="J151" t="n">
        <v>0</v>
      </c>
      <c r="K151" t="n">
        <v>1</v>
      </c>
      <c r="L151" t="n">
        <v>0</v>
      </c>
      <c r="M151" t="n">
        <v>0</v>
      </c>
      <c r="N151" t="n">
        <v>0</v>
      </c>
      <c r="O151" t="n">
        <v>1</v>
      </c>
      <c r="P151" t="n">
        <v>1</v>
      </c>
      <c r="Q151" t="n">
        <v>1</v>
      </c>
      <c r="R151" s="2" t="inlineStr">
        <is>
          <t>Knärot</t>
        </is>
      </c>
      <c r="S151">
        <f>HYPERLINK("https://klasma.github.io/Logging_2326/artfynd/A 34891-2024 artfynd.xlsx", "A 34891-2024")</f>
        <v/>
      </c>
      <c r="T151">
        <f>HYPERLINK("https://klasma.github.io/Logging_2326/kartor/A 34891-2024 karta.png", "A 34891-2024")</f>
        <v/>
      </c>
      <c r="U151">
        <f>HYPERLINK("https://klasma.github.io/Logging_2326/knärot/A 34891-2024 karta knärot.png", "A 34891-2024")</f>
        <v/>
      </c>
      <c r="V151">
        <f>HYPERLINK("https://klasma.github.io/Logging_2326/klagomål/A 34891-2024 FSC-klagomål.docx", "A 34891-2024")</f>
        <v/>
      </c>
      <c r="W151">
        <f>HYPERLINK("https://klasma.github.io/Logging_2326/klagomålsmail/A 34891-2024 FSC-klagomål mail.docx", "A 34891-2024")</f>
        <v/>
      </c>
      <c r="X151">
        <f>HYPERLINK("https://klasma.github.io/Logging_2326/tillsyn/A 34891-2024 tillsynsbegäran.docx", "A 34891-2024")</f>
        <v/>
      </c>
      <c r="Y151">
        <f>HYPERLINK("https://klasma.github.io/Logging_2326/tillsynsmail/A 34891-2024 tillsynsbegäran mail.docx", "A 34891-2024")</f>
        <v/>
      </c>
    </row>
    <row r="152" ht="15" customHeight="1">
      <c r="A152" t="inlineStr">
        <is>
          <t>A 37513-2025</t>
        </is>
      </c>
      <c r="B152" s="1" t="n">
        <v>45877.69828703703</v>
      </c>
      <c r="C152" s="1" t="n">
        <v>46074</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47946-2025</t>
        </is>
      </c>
      <c r="B153" s="1" t="n">
        <v>45932.57346064815</v>
      </c>
      <c r="C153" s="1" t="n">
        <v>46074</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37651-2025</t>
        </is>
      </c>
      <c r="B154" s="1" t="n">
        <v>45880.49006944444</v>
      </c>
      <c r="C154" s="1" t="n">
        <v>46074</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50182-2025</t>
        </is>
      </c>
      <c r="B155" s="1" t="n">
        <v>45943.61550925926</v>
      </c>
      <c r="C155" s="1" t="n">
        <v>46074</v>
      </c>
      <c r="D155" t="inlineStr">
        <is>
          <t>JÄMTLANDS LÄN</t>
        </is>
      </c>
      <c r="E155" t="inlineStr">
        <is>
          <t>BERG</t>
        </is>
      </c>
      <c r="F155" t="inlineStr">
        <is>
          <t>SCA</t>
        </is>
      </c>
      <c r="G155" t="n">
        <v>12.8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50182-2025 artfynd.xlsx", "A 50182-2025")</f>
        <v/>
      </c>
      <c r="T155">
        <f>HYPERLINK("https://klasma.github.io/Logging_2326/kartor/A 50182-2025 karta.png", "A 50182-2025")</f>
        <v/>
      </c>
      <c r="V155">
        <f>HYPERLINK("https://klasma.github.io/Logging_2326/klagomål/A 50182-2025 FSC-klagomål.docx", "A 50182-2025")</f>
        <v/>
      </c>
      <c r="W155">
        <f>HYPERLINK("https://klasma.github.io/Logging_2326/klagomålsmail/A 50182-2025 FSC-klagomål mail.docx", "A 50182-2025")</f>
        <v/>
      </c>
      <c r="X155">
        <f>HYPERLINK("https://klasma.github.io/Logging_2326/tillsyn/A 50182-2025 tillsynsbegäran.docx", "A 50182-2025")</f>
        <v/>
      </c>
      <c r="Y155">
        <f>HYPERLINK("https://klasma.github.io/Logging_2326/tillsynsmail/A 50182-2025 tillsynsbegäran mail.docx", "A 50182-2025")</f>
        <v/>
      </c>
      <c r="Z155">
        <f>HYPERLINK("https://klasma.github.io/Logging_2326/fåglar/A 50182-2025 prioriterade fågelarter.docx", "A 50182-2025")</f>
        <v/>
      </c>
    </row>
    <row r="156" ht="15" customHeight="1">
      <c r="A156" t="inlineStr">
        <is>
          <t>A 44259-2024</t>
        </is>
      </c>
      <c r="B156" s="1" t="n">
        <v>45573</v>
      </c>
      <c r="C156" s="1" t="n">
        <v>46074</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52193-2024</t>
        </is>
      </c>
      <c r="B157" s="1" t="n">
        <v>45608</v>
      </c>
      <c r="C157" s="1" t="n">
        <v>46074</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9657-2023</t>
        </is>
      </c>
      <c r="B158" s="1" t="n">
        <v>44978</v>
      </c>
      <c r="C158" s="1" t="n">
        <v>46074</v>
      </c>
      <c r="D158" t="inlineStr">
        <is>
          <t>JÄMTLANDS LÄN</t>
        </is>
      </c>
      <c r="E158" t="inlineStr">
        <is>
          <t>BERG</t>
        </is>
      </c>
      <c r="G158" t="n">
        <v>2.7</v>
      </c>
      <c r="H158" t="n">
        <v>0</v>
      </c>
      <c r="I158" t="n">
        <v>0</v>
      </c>
      <c r="J158" t="n">
        <v>1</v>
      </c>
      <c r="K158" t="n">
        <v>0</v>
      </c>
      <c r="L158" t="n">
        <v>0</v>
      </c>
      <c r="M158" t="n">
        <v>0</v>
      </c>
      <c r="N158" t="n">
        <v>0</v>
      </c>
      <c r="O158" t="n">
        <v>1</v>
      </c>
      <c r="P158" t="n">
        <v>0</v>
      </c>
      <c r="Q158" t="n">
        <v>1</v>
      </c>
      <c r="R158" s="2" t="inlineStr">
        <is>
          <t>Garnlav</t>
        </is>
      </c>
      <c r="S158">
        <f>HYPERLINK("https://klasma.github.io/Logging_2326/artfynd/A 9657-2023 artfynd.xlsx", "A 9657-2023")</f>
        <v/>
      </c>
      <c r="T158">
        <f>HYPERLINK("https://klasma.github.io/Logging_2326/kartor/A 9657-2023 karta.png", "A 9657-2023")</f>
        <v/>
      </c>
      <c r="V158">
        <f>HYPERLINK("https://klasma.github.io/Logging_2326/klagomål/A 9657-2023 FSC-klagomål.docx", "A 9657-2023")</f>
        <v/>
      </c>
      <c r="W158">
        <f>HYPERLINK("https://klasma.github.io/Logging_2326/klagomålsmail/A 9657-2023 FSC-klagomål mail.docx", "A 9657-2023")</f>
        <v/>
      </c>
      <c r="X158">
        <f>HYPERLINK("https://klasma.github.io/Logging_2326/tillsyn/A 9657-2023 tillsynsbegäran.docx", "A 9657-2023")</f>
        <v/>
      </c>
      <c r="Y158">
        <f>HYPERLINK("https://klasma.github.io/Logging_2326/tillsynsmail/A 9657-2023 tillsynsbegäran mail.docx", "A 9657-2023")</f>
        <v/>
      </c>
    </row>
    <row r="159" ht="15" customHeight="1">
      <c r="A159" t="inlineStr">
        <is>
          <t>A 49049-2024</t>
        </is>
      </c>
      <c r="B159" s="1" t="n">
        <v>45594.5742824074</v>
      </c>
      <c r="C159" s="1" t="n">
        <v>46074</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56198-2025</t>
        </is>
      </c>
      <c r="B160" s="1" t="n">
        <v>45974.45760416667</v>
      </c>
      <c r="C160" s="1" t="n">
        <v>46074</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971-2026</t>
        </is>
      </c>
      <c r="B161" s="1" t="n">
        <v>46029</v>
      </c>
      <c r="C161" s="1" t="n">
        <v>46074</v>
      </c>
      <c r="D161" t="inlineStr">
        <is>
          <t>JÄMTLANDS LÄN</t>
        </is>
      </c>
      <c r="E161" t="inlineStr">
        <is>
          <t>BERG</t>
        </is>
      </c>
      <c r="F161" t="inlineStr">
        <is>
          <t>SCA</t>
        </is>
      </c>
      <c r="G161" t="n">
        <v>9.699999999999999</v>
      </c>
      <c r="H161" t="n">
        <v>1</v>
      </c>
      <c r="I161" t="n">
        <v>0</v>
      </c>
      <c r="J161" t="n">
        <v>1</v>
      </c>
      <c r="K161" t="n">
        <v>0</v>
      </c>
      <c r="L161" t="n">
        <v>0</v>
      </c>
      <c r="M161" t="n">
        <v>0</v>
      </c>
      <c r="N161" t="n">
        <v>0</v>
      </c>
      <c r="O161" t="n">
        <v>1</v>
      </c>
      <c r="P161" t="n">
        <v>0</v>
      </c>
      <c r="Q161" t="n">
        <v>1</v>
      </c>
      <c r="R161" s="2" t="inlineStr">
        <is>
          <t>Grönsångare</t>
        </is>
      </c>
      <c r="S161">
        <f>HYPERLINK("https://klasma.github.io/Logging_2326/artfynd/A 971-2026 artfynd.xlsx", "A 971-2026")</f>
        <v/>
      </c>
      <c r="T161">
        <f>HYPERLINK("https://klasma.github.io/Logging_2326/kartor/A 971-2026 karta.png", "A 971-2026")</f>
        <v/>
      </c>
      <c r="V161">
        <f>HYPERLINK("https://klasma.github.io/Logging_2326/klagomål/A 971-2026 FSC-klagomål.docx", "A 971-2026")</f>
        <v/>
      </c>
      <c r="W161">
        <f>HYPERLINK("https://klasma.github.io/Logging_2326/klagomålsmail/A 971-2026 FSC-klagomål mail.docx", "A 971-2026")</f>
        <v/>
      </c>
      <c r="X161">
        <f>HYPERLINK("https://klasma.github.io/Logging_2326/tillsyn/A 971-2026 tillsynsbegäran.docx", "A 971-2026")</f>
        <v/>
      </c>
      <c r="Y161">
        <f>HYPERLINK("https://klasma.github.io/Logging_2326/tillsynsmail/A 971-2026 tillsynsbegäran mail.docx", "A 971-2026")</f>
        <v/>
      </c>
      <c r="Z161">
        <f>HYPERLINK("https://klasma.github.io/Logging_2326/fåglar/A 971-2026 prioriterade fågelarter.docx", "A 971-2026")</f>
        <v/>
      </c>
    </row>
    <row r="162" ht="15" customHeight="1">
      <c r="A162" t="inlineStr">
        <is>
          <t>A 60150-2025</t>
        </is>
      </c>
      <c r="B162" s="1" t="n">
        <v>45994.38944444444</v>
      </c>
      <c r="C162" s="1" t="n">
        <v>46074</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46074</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23177-2024</t>
        </is>
      </c>
      <c r="B164" s="1" t="n">
        <v>45450</v>
      </c>
      <c r="C164" s="1" t="n">
        <v>46074</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53014-2022</t>
        </is>
      </c>
      <c r="B165" s="1" t="n">
        <v>44875</v>
      </c>
      <c r="C165" s="1" t="n">
        <v>46074</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24309-2023</t>
        </is>
      </c>
      <c r="B166" s="1" t="n">
        <v>45079</v>
      </c>
      <c r="C166" s="1" t="n">
        <v>46074</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32686-2022</t>
        </is>
      </c>
      <c r="B167" s="1" t="n">
        <v>44776</v>
      </c>
      <c r="C167" s="1" t="n">
        <v>46074</v>
      </c>
      <c r="D167" t="inlineStr">
        <is>
          <t>JÄMTLANDS LÄN</t>
        </is>
      </c>
      <c r="E167" t="inlineStr">
        <is>
          <t>BERG</t>
        </is>
      </c>
      <c r="G167" t="n">
        <v>4.8</v>
      </c>
      <c r="H167" t="n">
        <v>1</v>
      </c>
      <c r="I167" t="n">
        <v>0</v>
      </c>
      <c r="J167" t="n">
        <v>0</v>
      </c>
      <c r="K167" t="n">
        <v>1</v>
      </c>
      <c r="L167" t="n">
        <v>0</v>
      </c>
      <c r="M167" t="n">
        <v>0</v>
      </c>
      <c r="N167" t="n">
        <v>0</v>
      </c>
      <c r="O167" t="n">
        <v>1</v>
      </c>
      <c r="P167" t="n">
        <v>1</v>
      </c>
      <c r="Q167" t="n">
        <v>1</v>
      </c>
      <c r="R167" s="2" t="inlineStr">
        <is>
          <t>Knärot</t>
        </is>
      </c>
      <c r="S167">
        <f>HYPERLINK("https://klasma.github.io/Logging_2326/artfynd/A 32686-2022 artfynd.xlsx", "A 32686-2022")</f>
        <v/>
      </c>
      <c r="T167">
        <f>HYPERLINK("https://klasma.github.io/Logging_2326/kartor/A 32686-2022 karta.png", "A 32686-2022")</f>
        <v/>
      </c>
      <c r="U167">
        <f>HYPERLINK("https://klasma.github.io/Logging_2326/knärot/A 32686-2022 karta knärot.png", "A 32686-2022")</f>
        <v/>
      </c>
      <c r="V167">
        <f>HYPERLINK("https://klasma.github.io/Logging_2326/klagomål/A 32686-2022 FSC-klagomål.docx", "A 32686-2022")</f>
        <v/>
      </c>
      <c r="W167">
        <f>HYPERLINK("https://klasma.github.io/Logging_2326/klagomålsmail/A 32686-2022 FSC-klagomål mail.docx", "A 32686-2022")</f>
        <v/>
      </c>
      <c r="X167">
        <f>HYPERLINK("https://klasma.github.io/Logging_2326/tillsyn/A 32686-2022 tillsynsbegäran.docx", "A 32686-2022")</f>
        <v/>
      </c>
      <c r="Y167">
        <f>HYPERLINK("https://klasma.github.io/Logging_2326/tillsynsmail/A 32686-2022 tillsynsbegäran mail.docx", "A 32686-2022")</f>
        <v/>
      </c>
    </row>
    <row r="168" ht="15" customHeight="1">
      <c r="A168" t="inlineStr">
        <is>
          <t>A 68434-2021</t>
        </is>
      </c>
      <c r="B168" s="1" t="n">
        <v>44529</v>
      </c>
      <c r="C168" s="1" t="n">
        <v>46074</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60833-2025</t>
        </is>
      </c>
      <c r="B169" s="1" t="n">
        <v>45999.46969907408</v>
      </c>
      <c r="C169" s="1" t="n">
        <v>46074</v>
      </c>
      <c r="D169" t="inlineStr">
        <is>
          <t>JÄMTLANDS LÄN</t>
        </is>
      </c>
      <c r="E169" t="inlineStr">
        <is>
          <t>BERG</t>
        </is>
      </c>
      <c r="F169" t="inlineStr">
        <is>
          <t>SCA</t>
        </is>
      </c>
      <c r="G169" t="n">
        <v>18.1</v>
      </c>
      <c r="H169" t="n">
        <v>1</v>
      </c>
      <c r="I169" t="n">
        <v>0</v>
      </c>
      <c r="J169" t="n">
        <v>1</v>
      </c>
      <c r="K169" t="n">
        <v>0</v>
      </c>
      <c r="L169" t="n">
        <v>0</v>
      </c>
      <c r="M169" t="n">
        <v>0</v>
      </c>
      <c r="N169" t="n">
        <v>0</v>
      </c>
      <c r="O169" t="n">
        <v>1</v>
      </c>
      <c r="P169" t="n">
        <v>0</v>
      </c>
      <c r="Q169" t="n">
        <v>1</v>
      </c>
      <c r="R169" s="2" t="inlineStr">
        <is>
          <t>Spillkråka</t>
        </is>
      </c>
      <c r="S169">
        <f>HYPERLINK("https://klasma.github.io/Logging_2326/artfynd/A 60833-2025 artfynd.xlsx", "A 60833-2025")</f>
        <v/>
      </c>
      <c r="T169">
        <f>HYPERLINK("https://klasma.github.io/Logging_2326/kartor/A 60833-2025 karta.png", "A 60833-2025")</f>
        <v/>
      </c>
      <c r="V169">
        <f>HYPERLINK("https://klasma.github.io/Logging_2326/klagomål/A 60833-2025 FSC-klagomål.docx", "A 60833-2025")</f>
        <v/>
      </c>
      <c r="W169">
        <f>HYPERLINK("https://klasma.github.io/Logging_2326/klagomålsmail/A 60833-2025 FSC-klagomål mail.docx", "A 60833-2025")</f>
        <v/>
      </c>
      <c r="X169">
        <f>HYPERLINK("https://klasma.github.io/Logging_2326/tillsyn/A 60833-2025 tillsynsbegäran.docx", "A 60833-2025")</f>
        <v/>
      </c>
      <c r="Y169">
        <f>HYPERLINK("https://klasma.github.io/Logging_2326/tillsynsmail/A 60833-2025 tillsynsbegäran mail.docx", "A 60833-2025")</f>
        <v/>
      </c>
      <c r="Z169">
        <f>HYPERLINK("https://klasma.github.io/Logging_2326/fåglar/A 60833-2025 prioriterade fågelarter.docx", "A 60833-2025")</f>
        <v/>
      </c>
    </row>
    <row r="170" ht="15" customHeight="1">
      <c r="A170" t="inlineStr">
        <is>
          <t>A 21370-2025</t>
        </is>
      </c>
      <c r="B170" s="1" t="n">
        <v>45782</v>
      </c>
      <c r="C170" s="1" t="n">
        <v>46074</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25853-2025</t>
        </is>
      </c>
      <c r="B171" s="1" t="n">
        <v>45804.46908564815</v>
      </c>
      <c r="C171" s="1" t="n">
        <v>46074</v>
      </c>
      <c r="D171" t="inlineStr">
        <is>
          <t>JÄMTLANDS LÄN</t>
        </is>
      </c>
      <c r="E171" t="inlineStr">
        <is>
          <t>BERG</t>
        </is>
      </c>
      <c r="F171" t="inlineStr">
        <is>
          <t>SCA</t>
        </is>
      </c>
      <c r="G171" t="n">
        <v>24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25853-2025 artfynd.xlsx", "A 25853-2025")</f>
        <v/>
      </c>
      <c r="T171">
        <f>HYPERLINK("https://klasma.github.io/Logging_2326/kartor/A 25853-2025 karta.png", "A 25853-2025")</f>
        <v/>
      </c>
      <c r="V171">
        <f>HYPERLINK("https://klasma.github.io/Logging_2326/klagomål/A 25853-2025 FSC-klagomål.docx", "A 25853-2025")</f>
        <v/>
      </c>
      <c r="W171">
        <f>HYPERLINK("https://klasma.github.io/Logging_2326/klagomålsmail/A 25853-2025 FSC-klagomål mail.docx", "A 25853-2025")</f>
        <v/>
      </c>
      <c r="X171">
        <f>HYPERLINK("https://klasma.github.io/Logging_2326/tillsyn/A 25853-2025 tillsynsbegäran.docx", "A 25853-2025")</f>
        <v/>
      </c>
      <c r="Y171">
        <f>HYPERLINK("https://klasma.github.io/Logging_2326/tillsynsmail/A 25853-2025 tillsynsbegäran mail.docx", "A 25853-2025")</f>
        <v/>
      </c>
      <c r="Z171">
        <f>HYPERLINK("https://klasma.github.io/Logging_2326/fåglar/A 25853-2025 prioriterade fågelarter.docx", "A 25853-2025")</f>
        <v/>
      </c>
    </row>
    <row r="172" ht="15" customHeight="1">
      <c r="A172" t="inlineStr">
        <is>
          <t>A 21632-2025</t>
        </is>
      </c>
      <c r="B172" s="1" t="n">
        <v>45783.42753472222</v>
      </c>
      <c r="C172" s="1" t="n">
        <v>46074</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33083-2024</t>
        </is>
      </c>
      <c r="B173" s="1" t="n">
        <v>45517.675</v>
      </c>
      <c r="C173" s="1" t="n">
        <v>46074</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9281-2026</t>
        </is>
      </c>
      <c r="B174" s="1" t="n">
        <v>46070.57982638889</v>
      </c>
      <c r="C174" s="1" t="n">
        <v>46074</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40440-2024</t>
        </is>
      </c>
      <c r="B175" s="1" t="n">
        <v>45555.48267361111</v>
      </c>
      <c r="C175" s="1" t="n">
        <v>46074</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46074</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32171-2024</t>
        </is>
      </c>
      <c r="B177" s="1" t="n">
        <v>45511</v>
      </c>
      <c r="C177" s="1" t="n">
        <v>46074</v>
      </c>
      <c r="D177" t="inlineStr">
        <is>
          <t>JÄMTLANDS LÄN</t>
        </is>
      </c>
      <c r="E177" t="inlineStr">
        <is>
          <t>BERG</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32171-2024 artfynd.xlsx", "A 32171-2024")</f>
        <v/>
      </c>
      <c r="T177">
        <f>HYPERLINK("https://klasma.github.io/Logging_2326/kartor/A 32171-2024 karta.png", "A 32171-2024")</f>
        <v/>
      </c>
      <c r="V177">
        <f>HYPERLINK("https://klasma.github.io/Logging_2326/klagomål/A 32171-2024 FSC-klagomål.docx", "A 32171-2024")</f>
        <v/>
      </c>
      <c r="W177">
        <f>HYPERLINK("https://klasma.github.io/Logging_2326/klagomålsmail/A 32171-2024 FSC-klagomål mail.docx", "A 32171-2024")</f>
        <v/>
      </c>
      <c r="X177">
        <f>HYPERLINK("https://klasma.github.io/Logging_2326/tillsyn/A 32171-2024 tillsynsbegäran.docx", "A 32171-2024")</f>
        <v/>
      </c>
      <c r="Y177">
        <f>HYPERLINK("https://klasma.github.io/Logging_2326/tillsynsmail/A 32171-2024 tillsynsbegäran mail.docx", "A 32171-2024")</f>
        <v/>
      </c>
      <c r="Z177">
        <f>HYPERLINK("https://klasma.github.io/Logging_2326/fåglar/A 32171-2024 prioriterade fågelarter.docx", "A 32171-2024")</f>
        <v/>
      </c>
    </row>
    <row r="178" ht="15" customHeight="1">
      <c r="A178" t="inlineStr">
        <is>
          <t>A 50556-2024</t>
        </is>
      </c>
      <c r="B178" s="1" t="n">
        <v>45601.59604166666</v>
      </c>
      <c r="C178" s="1" t="n">
        <v>46074</v>
      </c>
      <c r="D178" t="inlineStr">
        <is>
          <t>JÄMTLANDS LÄN</t>
        </is>
      </c>
      <c r="E178" t="inlineStr">
        <is>
          <t>BERG</t>
        </is>
      </c>
      <c r="G178" t="n">
        <v>5.7</v>
      </c>
      <c r="H178" t="n">
        <v>0</v>
      </c>
      <c r="I178" t="n">
        <v>0</v>
      </c>
      <c r="J178" t="n">
        <v>1</v>
      </c>
      <c r="K178" t="n">
        <v>0</v>
      </c>
      <c r="L178" t="n">
        <v>0</v>
      </c>
      <c r="M178" t="n">
        <v>0</v>
      </c>
      <c r="N178" t="n">
        <v>0</v>
      </c>
      <c r="O178" t="n">
        <v>1</v>
      </c>
      <c r="P178" t="n">
        <v>0</v>
      </c>
      <c r="Q178" t="n">
        <v>1</v>
      </c>
      <c r="R178" s="2" t="inlineStr">
        <is>
          <t>Kalkbräken</t>
        </is>
      </c>
      <c r="S178">
        <f>HYPERLINK("https://klasma.github.io/Logging_2326/artfynd/A 50556-2024 artfynd.xlsx", "A 50556-2024")</f>
        <v/>
      </c>
      <c r="T178">
        <f>HYPERLINK("https://klasma.github.io/Logging_2326/kartor/A 50556-2024 karta.png", "A 50556-2024")</f>
        <v/>
      </c>
      <c r="V178">
        <f>HYPERLINK("https://klasma.github.io/Logging_2326/klagomål/A 50556-2024 FSC-klagomål.docx", "A 50556-2024")</f>
        <v/>
      </c>
      <c r="W178">
        <f>HYPERLINK("https://klasma.github.io/Logging_2326/klagomålsmail/A 50556-2024 FSC-klagomål mail.docx", "A 50556-2024")</f>
        <v/>
      </c>
      <c r="X178">
        <f>HYPERLINK("https://klasma.github.io/Logging_2326/tillsyn/A 50556-2024 tillsynsbegäran.docx", "A 50556-2024")</f>
        <v/>
      </c>
      <c r="Y178">
        <f>HYPERLINK("https://klasma.github.io/Logging_2326/tillsynsmail/A 50556-2024 tillsynsbegäran mail.docx", "A 50556-2024")</f>
        <v/>
      </c>
    </row>
    <row r="179" ht="15" customHeight="1">
      <c r="A179" t="inlineStr">
        <is>
          <t>A 41635-2024</t>
        </is>
      </c>
      <c r="B179" s="1" t="n">
        <v>45560.61601851852</v>
      </c>
      <c r="C179" s="1" t="n">
        <v>46074</v>
      </c>
      <c r="D179" t="inlineStr">
        <is>
          <t>JÄMTLANDS LÄN</t>
        </is>
      </c>
      <c r="E179" t="inlineStr">
        <is>
          <t>BERG</t>
        </is>
      </c>
      <c r="F179" t="inlineStr">
        <is>
          <t>SCA</t>
        </is>
      </c>
      <c r="G179" t="n">
        <v>4.2</v>
      </c>
      <c r="H179" t="n">
        <v>0</v>
      </c>
      <c r="I179" t="n">
        <v>0</v>
      </c>
      <c r="J179" t="n">
        <v>1</v>
      </c>
      <c r="K179" t="n">
        <v>0</v>
      </c>
      <c r="L179" t="n">
        <v>0</v>
      </c>
      <c r="M179" t="n">
        <v>0</v>
      </c>
      <c r="N179" t="n">
        <v>0</v>
      </c>
      <c r="O179" t="n">
        <v>1</v>
      </c>
      <c r="P179" t="n">
        <v>0</v>
      </c>
      <c r="Q179" t="n">
        <v>1</v>
      </c>
      <c r="R179" s="2" t="inlineStr">
        <is>
          <t>Dvärgbägarlav</t>
        </is>
      </c>
      <c r="S179">
        <f>HYPERLINK("https://klasma.github.io/Logging_2326/artfynd/A 41635-2024 artfynd.xlsx", "A 41635-2024")</f>
        <v/>
      </c>
      <c r="T179">
        <f>HYPERLINK("https://klasma.github.io/Logging_2326/kartor/A 41635-2024 karta.png", "A 41635-2024")</f>
        <v/>
      </c>
      <c r="V179">
        <f>HYPERLINK("https://klasma.github.io/Logging_2326/klagomål/A 41635-2024 FSC-klagomål.docx", "A 41635-2024")</f>
        <v/>
      </c>
      <c r="W179">
        <f>HYPERLINK("https://klasma.github.io/Logging_2326/klagomålsmail/A 41635-2024 FSC-klagomål mail.docx", "A 41635-2024")</f>
        <v/>
      </c>
      <c r="X179">
        <f>HYPERLINK("https://klasma.github.io/Logging_2326/tillsyn/A 41635-2024 tillsynsbegäran.docx", "A 41635-2024")</f>
        <v/>
      </c>
      <c r="Y179">
        <f>HYPERLINK("https://klasma.github.io/Logging_2326/tillsynsmail/A 41635-2024 tillsynsbegäran mail.docx", "A 41635-2024")</f>
        <v/>
      </c>
    </row>
    <row r="180" ht="15" customHeight="1">
      <c r="A180" t="inlineStr">
        <is>
          <t>A 40382-2024</t>
        </is>
      </c>
      <c r="B180" s="1" t="n">
        <v>45555.42225694445</v>
      </c>
      <c r="C180" s="1" t="n">
        <v>46074</v>
      </c>
      <c r="D180" t="inlineStr">
        <is>
          <t>JÄMTLANDS LÄN</t>
        </is>
      </c>
      <c r="E180" t="inlineStr">
        <is>
          <t>BERG</t>
        </is>
      </c>
      <c r="G180" t="n">
        <v>1.5</v>
      </c>
      <c r="H180" t="n">
        <v>0</v>
      </c>
      <c r="I180" t="n">
        <v>0</v>
      </c>
      <c r="J180" t="n">
        <v>1</v>
      </c>
      <c r="K180" t="n">
        <v>0</v>
      </c>
      <c r="L180" t="n">
        <v>0</v>
      </c>
      <c r="M180" t="n">
        <v>0</v>
      </c>
      <c r="N180" t="n">
        <v>0</v>
      </c>
      <c r="O180" t="n">
        <v>1</v>
      </c>
      <c r="P180" t="n">
        <v>0</v>
      </c>
      <c r="Q180" t="n">
        <v>1</v>
      </c>
      <c r="R180" s="2" t="inlineStr">
        <is>
          <t>Backruta</t>
        </is>
      </c>
      <c r="S180">
        <f>HYPERLINK("https://klasma.github.io/Logging_2326/artfynd/A 40382-2024 artfynd.xlsx", "A 40382-2024")</f>
        <v/>
      </c>
      <c r="T180">
        <f>HYPERLINK("https://klasma.github.io/Logging_2326/kartor/A 40382-2024 karta.png", "A 40382-2024")</f>
        <v/>
      </c>
      <c r="V180">
        <f>HYPERLINK("https://klasma.github.io/Logging_2326/klagomål/A 40382-2024 FSC-klagomål.docx", "A 40382-2024")</f>
        <v/>
      </c>
      <c r="W180">
        <f>HYPERLINK("https://klasma.github.io/Logging_2326/klagomålsmail/A 40382-2024 FSC-klagomål mail.docx", "A 40382-2024")</f>
        <v/>
      </c>
      <c r="X180">
        <f>HYPERLINK("https://klasma.github.io/Logging_2326/tillsyn/A 40382-2024 tillsynsbegäran.docx", "A 40382-2024")</f>
        <v/>
      </c>
      <c r="Y180">
        <f>HYPERLINK("https://klasma.github.io/Logging_2326/tillsynsmail/A 40382-2024 tillsynsbegäran mail.docx", "A 40382-2024")</f>
        <v/>
      </c>
    </row>
    <row r="181" ht="15" customHeight="1">
      <c r="A181" t="inlineStr">
        <is>
          <t>A 20444-2025</t>
        </is>
      </c>
      <c r="B181" s="1" t="n">
        <v>45775.48989583334</v>
      </c>
      <c r="C181" s="1" t="n">
        <v>46074</v>
      </c>
      <c r="D181" t="inlineStr">
        <is>
          <t>JÄMTLANDS LÄN</t>
        </is>
      </c>
      <c r="E181" t="inlineStr">
        <is>
          <t>BERG</t>
        </is>
      </c>
      <c r="F181" t="inlineStr">
        <is>
          <t>SCA</t>
        </is>
      </c>
      <c r="G181" t="n">
        <v>2.3</v>
      </c>
      <c r="H181" t="n">
        <v>0</v>
      </c>
      <c r="I181" t="n">
        <v>0</v>
      </c>
      <c r="J181" t="n">
        <v>0</v>
      </c>
      <c r="K181" t="n">
        <v>1</v>
      </c>
      <c r="L181" t="n">
        <v>0</v>
      </c>
      <c r="M181" t="n">
        <v>0</v>
      </c>
      <c r="N181" t="n">
        <v>0</v>
      </c>
      <c r="O181" t="n">
        <v>1</v>
      </c>
      <c r="P181" t="n">
        <v>1</v>
      </c>
      <c r="Q181" t="n">
        <v>1</v>
      </c>
      <c r="R181" s="2" t="inlineStr">
        <is>
          <t>Gräddporing</t>
        </is>
      </c>
      <c r="S181">
        <f>HYPERLINK("https://klasma.github.io/Logging_2326/artfynd/A 20444-2025 artfynd.xlsx", "A 20444-2025")</f>
        <v/>
      </c>
      <c r="T181">
        <f>HYPERLINK("https://klasma.github.io/Logging_2326/kartor/A 20444-2025 karta.png", "A 20444-2025")</f>
        <v/>
      </c>
      <c r="V181">
        <f>HYPERLINK("https://klasma.github.io/Logging_2326/klagomål/A 20444-2025 FSC-klagomål.docx", "A 20444-2025")</f>
        <v/>
      </c>
      <c r="W181">
        <f>HYPERLINK("https://klasma.github.io/Logging_2326/klagomålsmail/A 20444-2025 FSC-klagomål mail.docx", "A 20444-2025")</f>
        <v/>
      </c>
      <c r="X181">
        <f>HYPERLINK("https://klasma.github.io/Logging_2326/tillsyn/A 20444-2025 tillsynsbegäran.docx", "A 20444-2025")</f>
        <v/>
      </c>
      <c r="Y181">
        <f>HYPERLINK("https://klasma.github.io/Logging_2326/tillsynsmail/A 20444-2025 tillsynsbegäran mail.docx", "A 20444-2025")</f>
        <v/>
      </c>
    </row>
    <row r="182" ht="15" customHeight="1">
      <c r="A182" t="inlineStr">
        <is>
          <t>A 21681-2025</t>
        </is>
      </c>
      <c r="B182" s="1" t="n">
        <v>45783.49015046296</v>
      </c>
      <c r="C182" s="1" t="n">
        <v>46074</v>
      </c>
      <c r="D182" t="inlineStr">
        <is>
          <t>JÄMTLANDS LÄN</t>
        </is>
      </c>
      <c r="E182" t="inlineStr">
        <is>
          <t>BERG</t>
        </is>
      </c>
      <c r="F182" t="inlineStr">
        <is>
          <t>SCA</t>
        </is>
      </c>
      <c r="G182" t="n">
        <v>10.2</v>
      </c>
      <c r="H182" t="n">
        <v>0</v>
      </c>
      <c r="I182" t="n">
        <v>0</v>
      </c>
      <c r="J182" t="n">
        <v>0</v>
      </c>
      <c r="K182" t="n">
        <v>1</v>
      </c>
      <c r="L182" t="n">
        <v>0</v>
      </c>
      <c r="M182" t="n">
        <v>0</v>
      </c>
      <c r="N182" t="n">
        <v>0</v>
      </c>
      <c r="O182" t="n">
        <v>1</v>
      </c>
      <c r="P182" t="n">
        <v>1</v>
      </c>
      <c r="Q182" t="n">
        <v>1</v>
      </c>
      <c r="R182" s="2" t="inlineStr">
        <is>
          <t>Gräddporing</t>
        </is>
      </c>
      <c r="S182">
        <f>HYPERLINK("https://klasma.github.io/Logging_2326/artfynd/A 21681-2025 artfynd.xlsx", "A 21681-2025")</f>
        <v/>
      </c>
      <c r="T182">
        <f>HYPERLINK("https://klasma.github.io/Logging_2326/kartor/A 21681-2025 karta.png", "A 21681-2025")</f>
        <v/>
      </c>
      <c r="V182">
        <f>HYPERLINK("https://klasma.github.io/Logging_2326/klagomål/A 21681-2025 FSC-klagomål.docx", "A 21681-2025")</f>
        <v/>
      </c>
      <c r="W182">
        <f>HYPERLINK("https://klasma.github.io/Logging_2326/klagomålsmail/A 21681-2025 FSC-klagomål mail.docx", "A 21681-2025")</f>
        <v/>
      </c>
      <c r="X182">
        <f>HYPERLINK("https://klasma.github.io/Logging_2326/tillsyn/A 21681-2025 tillsynsbegäran.docx", "A 21681-2025")</f>
        <v/>
      </c>
      <c r="Y182">
        <f>HYPERLINK("https://klasma.github.io/Logging_2326/tillsynsmail/A 21681-2025 tillsynsbegäran mail.docx", "A 21681-2025")</f>
        <v/>
      </c>
    </row>
    <row r="183" ht="15" customHeight="1">
      <c r="A183" t="inlineStr">
        <is>
          <t>A 53708-2024</t>
        </is>
      </c>
      <c r="B183" s="1" t="n">
        <v>45615.40983796296</v>
      </c>
      <c r="C183" s="1" t="n">
        <v>46074</v>
      </c>
      <c r="D183" t="inlineStr">
        <is>
          <t>JÄMTLANDS LÄN</t>
        </is>
      </c>
      <c r="E183" t="inlineStr">
        <is>
          <t>BERG</t>
        </is>
      </c>
      <c r="G183" t="n">
        <v>8.199999999999999</v>
      </c>
      <c r="H183" t="n">
        <v>0</v>
      </c>
      <c r="I183" t="n">
        <v>0</v>
      </c>
      <c r="J183" t="n">
        <v>1</v>
      </c>
      <c r="K183" t="n">
        <v>0</v>
      </c>
      <c r="L183" t="n">
        <v>0</v>
      </c>
      <c r="M183" t="n">
        <v>0</v>
      </c>
      <c r="N183" t="n">
        <v>0</v>
      </c>
      <c r="O183" t="n">
        <v>1</v>
      </c>
      <c r="P183" t="n">
        <v>0</v>
      </c>
      <c r="Q183" t="n">
        <v>1</v>
      </c>
      <c r="R183" s="2" t="inlineStr">
        <is>
          <t>Lunglav</t>
        </is>
      </c>
      <c r="S183">
        <f>HYPERLINK("https://klasma.github.io/Logging_2326/artfynd/A 53708-2024 artfynd.xlsx", "A 53708-2024")</f>
        <v/>
      </c>
      <c r="T183">
        <f>HYPERLINK("https://klasma.github.io/Logging_2326/kartor/A 53708-2024 karta.png", "A 53708-2024")</f>
        <v/>
      </c>
      <c r="V183">
        <f>HYPERLINK("https://klasma.github.io/Logging_2326/klagomål/A 53708-2024 FSC-klagomål.docx", "A 53708-2024")</f>
        <v/>
      </c>
      <c r="W183">
        <f>HYPERLINK("https://klasma.github.io/Logging_2326/klagomålsmail/A 53708-2024 FSC-klagomål mail.docx", "A 53708-2024")</f>
        <v/>
      </c>
      <c r="X183">
        <f>HYPERLINK("https://klasma.github.io/Logging_2326/tillsyn/A 53708-2024 tillsynsbegäran.docx", "A 53708-2024")</f>
        <v/>
      </c>
      <c r="Y183">
        <f>HYPERLINK("https://klasma.github.io/Logging_2326/tillsynsmail/A 53708-2024 tillsynsbegäran mail.docx", "A 53708-2024")</f>
        <v/>
      </c>
    </row>
    <row r="184" ht="15" customHeight="1">
      <c r="A184" t="inlineStr">
        <is>
          <t>A 33126-2024</t>
        </is>
      </c>
      <c r="B184" s="1" t="n">
        <v>45517.9575462963</v>
      </c>
      <c r="C184" s="1" t="n">
        <v>46074</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24331-2025</t>
        </is>
      </c>
      <c r="B185" s="1" t="n">
        <v>45797</v>
      </c>
      <c r="C185" s="1" t="n">
        <v>46074</v>
      </c>
      <c r="D185" t="inlineStr">
        <is>
          <t>JÄMTLANDS LÄN</t>
        </is>
      </c>
      <c r="E185" t="inlineStr">
        <is>
          <t>BERG</t>
        </is>
      </c>
      <c r="G185" t="n">
        <v>9</v>
      </c>
      <c r="H185" t="n">
        <v>1</v>
      </c>
      <c r="I185" t="n">
        <v>0</v>
      </c>
      <c r="J185" t="n">
        <v>0</v>
      </c>
      <c r="K185" t="n">
        <v>0</v>
      </c>
      <c r="L185" t="n">
        <v>0</v>
      </c>
      <c r="M185" t="n">
        <v>0</v>
      </c>
      <c r="N185" t="n">
        <v>0</v>
      </c>
      <c r="O185" t="n">
        <v>0</v>
      </c>
      <c r="P185" t="n">
        <v>0</v>
      </c>
      <c r="Q185" t="n">
        <v>1</v>
      </c>
      <c r="R185" s="2" t="inlineStr">
        <is>
          <t>Blåsippa</t>
        </is>
      </c>
      <c r="S185">
        <f>HYPERLINK("https://klasma.github.io/Logging_2326/artfynd/A 24331-2025 artfynd.xlsx", "A 24331-2025")</f>
        <v/>
      </c>
      <c r="T185">
        <f>HYPERLINK("https://klasma.github.io/Logging_2326/kartor/A 24331-2025 karta.png", "A 24331-2025")</f>
        <v/>
      </c>
      <c r="V185">
        <f>HYPERLINK("https://klasma.github.io/Logging_2326/klagomål/A 24331-2025 FSC-klagomål.docx", "A 24331-2025")</f>
        <v/>
      </c>
      <c r="W185">
        <f>HYPERLINK("https://klasma.github.io/Logging_2326/klagomålsmail/A 24331-2025 FSC-klagomål mail.docx", "A 24331-2025")</f>
        <v/>
      </c>
      <c r="X185">
        <f>HYPERLINK("https://klasma.github.io/Logging_2326/tillsyn/A 24331-2025 tillsynsbegäran.docx", "A 24331-2025")</f>
        <v/>
      </c>
      <c r="Y185">
        <f>HYPERLINK("https://klasma.github.io/Logging_2326/tillsynsmail/A 24331-2025 tillsynsbegäran mail.docx", "A 24331-2025")</f>
        <v/>
      </c>
    </row>
    <row r="186" ht="15" customHeight="1">
      <c r="A186" t="inlineStr">
        <is>
          <t>A 25556-2025</t>
        </is>
      </c>
      <c r="B186" s="1" t="n">
        <v>45803.45106481481</v>
      </c>
      <c r="C186" s="1" t="n">
        <v>46074</v>
      </c>
      <c r="D186" t="inlineStr">
        <is>
          <t>JÄMTLANDS LÄN</t>
        </is>
      </c>
      <c r="E186" t="inlineStr">
        <is>
          <t>BERG</t>
        </is>
      </c>
      <c r="G186" t="n">
        <v>6.2</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25556-2025 artfynd.xlsx", "A 25556-2025")</f>
        <v/>
      </c>
      <c r="T186">
        <f>HYPERLINK("https://klasma.github.io/Logging_2326/kartor/A 25556-2025 karta.png", "A 25556-2025")</f>
        <v/>
      </c>
      <c r="V186">
        <f>HYPERLINK("https://klasma.github.io/Logging_2326/klagomål/A 25556-2025 FSC-klagomål.docx", "A 25556-2025")</f>
        <v/>
      </c>
      <c r="W186">
        <f>HYPERLINK("https://klasma.github.io/Logging_2326/klagomålsmail/A 25556-2025 FSC-klagomål mail.docx", "A 25556-2025")</f>
        <v/>
      </c>
      <c r="X186">
        <f>HYPERLINK("https://klasma.github.io/Logging_2326/tillsyn/A 25556-2025 tillsynsbegäran.docx", "A 25556-2025")</f>
        <v/>
      </c>
      <c r="Y186">
        <f>HYPERLINK("https://klasma.github.io/Logging_2326/tillsynsmail/A 25556-2025 tillsynsbegäran mail.docx", "A 25556-2025")</f>
        <v/>
      </c>
      <c r="Z186">
        <f>HYPERLINK("https://klasma.github.io/Logging_2326/fåglar/A 25556-2025 prioriterade fågelarter.docx", "A 25556-2025")</f>
        <v/>
      </c>
    </row>
    <row r="187" ht="15" customHeight="1">
      <c r="A187" t="inlineStr">
        <is>
          <t>A 49196-2022</t>
        </is>
      </c>
      <c r="B187" s="1" t="n">
        <v>44860.95508101852</v>
      </c>
      <c r="C187" s="1" t="n">
        <v>46074</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46074</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46074</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46074</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46074</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46074</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46074</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46074</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46074</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46074</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46074</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46074</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46074</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46074</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46074</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46074</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46074</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46074</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46074</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46074</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46074</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46074</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46074</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46074</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46074</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46074</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46074</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46074</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46074</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46074</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46074</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46074</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46074</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46074</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46074</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46074</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46074</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46074</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46074</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46074</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46074</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46074</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46074</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46074</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46074</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46074</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46074</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46074</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46074</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46074</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46074</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46074</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46074</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46074</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46074</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46074</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46074</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46074</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46074</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46074</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46074</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46074</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46074</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46074</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46074</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10230-2024</t>
        </is>
      </c>
      <c r="B253" s="1" t="n">
        <v>45365.31883101852</v>
      </c>
      <c r="C253" s="1" t="n">
        <v>46074</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36079-2024</t>
        </is>
      </c>
      <c r="B254" s="1" t="n">
        <v>45533.66685185185</v>
      </c>
      <c r="C254" s="1" t="n">
        <v>46074</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46074</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36287-2024</t>
        </is>
      </c>
      <c r="B256" s="1" t="n">
        <v>45534</v>
      </c>
      <c r="C256" s="1" t="n">
        <v>46074</v>
      </c>
      <c r="D256" t="inlineStr">
        <is>
          <t>JÄMTLANDS LÄN</t>
        </is>
      </c>
      <c r="E256" t="inlineStr">
        <is>
          <t>BERG</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18685-2024</t>
        </is>
      </c>
      <c r="B257" s="1" t="n">
        <v>45426.38322916667</v>
      </c>
      <c r="C257" s="1" t="n">
        <v>46074</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46074</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46074</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46074</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46074</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46074</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35792-2024</t>
        </is>
      </c>
      <c r="B263" s="1" t="n">
        <v>45532.62950231481</v>
      </c>
      <c r="C263" s="1" t="n">
        <v>46074</v>
      </c>
      <c r="D263" t="inlineStr">
        <is>
          <t>JÄMTLANDS LÄN</t>
        </is>
      </c>
      <c r="E263" t="inlineStr">
        <is>
          <t>BERG</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46074</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9482-2024</t>
        </is>
      </c>
      <c r="B265" s="1" t="n">
        <v>45359.57847222222</v>
      </c>
      <c r="C265" s="1" t="n">
        <v>46074</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46074</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46074</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46074</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46074</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46074</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46074</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46074</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46074</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46074</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4476-2025</t>
        </is>
      </c>
      <c r="B275" s="1" t="n">
        <v>45686.62828703703</v>
      </c>
      <c r="C275" s="1" t="n">
        <v>46074</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46074</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46074</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46074</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46074</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18217-2023</t>
        </is>
      </c>
      <c r="B280" s="1" t="n">
        <v>45040</v>
      </c>
      <c r="C280" s="1" t="n">
        <v>46074</v>
      </c>
      <c r="D280" t="inlineStr">
        <is>
          <t>JÄMTLANDS LÄN</t>
        </is>
      </c>
      <c r="E280" t="inlineStr">
        <is>
          <t>BERG</t>
        </is>
      </c>
      <c r="G280" t="n">
        <v>4.5</v>
      </c>
      <c r="H280" t="n">
        <v>0</v>
      </c>
      <c r="I280" t="n">
        <v>0</v>
      </c>
      <c r="J280" t="n">
        <v>0</v>
      </c>
      <c r="K280" t="n">
        <v>0</v>
      </c>
      <c r="L280" t="n">
        <v>0</v>
      </c>
      <c r="M280" t="n">
        <v>0</v>
      </c>
      <c r="N280" t="n">
        <v>0</v>
      </c>
      <c r="O280" t="n">
        <v>0</v>
      </c>
      <c r="P280" t="n">
        <v>0</v>
      </c>
      <c r="Q280" t="n">
        <v>0</v>
      </c>
      <c r="R280" s="2" t="inlineStr"/>
    </row>
    <row r="281" ht="15" customHeight="1">
      <c r="A281" t="inlineStr">
        <is>
          <t>A 63819-2023</t>
        </is>
      </c>
      <c r="B281" s="1" t="n">
        <v>45278.44128472222</v>
      </c>
      <c r="C281" s="1" t="n">
        <v>46074</v>
      </c>
      <c r="D281" t="inlineStr">
        <is>
          <t>JÄMTLANDS LÄN</t>
        </is>
      </c>
      <c r="E281" t="inlineStr">
        <is>
          <t>BERG</t>
        </is>
      </c>
      <c r="G281" t="n">
        <v>1.8</v>
      </c>
      <c r="H281" t="n">
        <v>0</v>
      </c>
      <c r="I281" t="n">
        <v>0</v>
      </c>
      <c r="J281" t="n">
        <v>0</v>
      </c>
      <c r="K281" t="n">
        <v>0</v>
      </c>
      <c r="L281" t="n">
        <v>0</v>
      </c>
      <c r="M281" t="n">
        <v>0</v>
      </c>
      <c r="N281" t="n">
        <v>0</v>
      </c>
      <c r="O281" t="n">
        <v>0</v>
      </c>
      <c r="P281" t="n">
        <v>0</v>
      </c>
      <c r="Q281" t="n">
        <v>0</v>
      </c>
      <c r="R281" s="2" t="inlineStr"/>
    </row>
    <row r="282" ht="15" customHeight="1">
      <c r="A282" t="inlineStr">
        <is>
          <t>A 64490-2023</t>
        </is>
      </c>
      <c r="B282" s="1" t="n">
        <v>45280</v>
      </c>
      <c r="C282" s="1" t="n">
        <v>46074</v>
      </c>
      <c r="D282" t="inlineStr">
        <is>
          <t>JÄMTLANDS LÄN</t>
        </is>
      </c>
      <c r="E282" t="inlineStr">
        <is>
          <t>BERG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3419-2025</t>
        </is>
      </c>
      <c r="B283" s="1" t="n">
        <v>45680.4165625</v>
      </c>
      <c r="C283" s="1" t="n">
        <v>46074</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5014-2024</t>
        </is>
      </c>
      <c r="B284" s="1" t="n">
        <v>45329</v>
      </c>
      <c r="C284" s="1" t="n">
        <v>46074</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46074</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46074</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41927-2023</t>
        </is>
      </c>
      <c r="B287" s="1" t="n">
        <v>45176</v>
      </c>
      <c r="C287" s="1" t="n">
        <v>46074</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5187-2025</t>
        </is>
      </c>
      <c r="B288" s="1" t="n">
        <v>45691.64266203704</v>
      </c>
      <c r="C288" s="1" t="n">
        <v>46074</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18007-2024</t>
        </is>
      </c>
      <c r="B289" s="1" t="n">
        <v>45419.94912037037</v>
      </c>
      <c r="C289" s="1" t="n">
        <v>46074</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46074</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59526-2024</t>
        </is>
      </c>
      <c r="B291" s="1" t="n">
        <v>45638.58019675926</v>
      </c>
      <c r="C291" s="1" t="n">
        <v>46074</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3842-2023</t>
        </is>
      </c>
      <c r="B292" s="1" t="n">
        <v>44951</v>
      </c>
      <c r="C292" s="1" t="n">
        <v>46074</v>
      </c>
      <c r="D292" t="inlineStr">
        <is>
          <t>JÄMTLANDS LÄN</t>
        </is>
      </c>
      <c r="E292" t="inlineStr">
        <is>
          <t>BERG</t>
        </is>
      </c>
      <c r="G292" t="n">
        <v>0.3</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46074</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433-2023</t>
        </is>
      </c>
      <c r="B294" s="1" t="n">
        <v>44923</v>
      </c>
      <c r="C294" s="1" t="n">
        <v>46074</v>
      </c>
      <c r="D294" t="inlineStr">
        <is>
          <t>JÄMTLANDS LÄN</t>
        </is>
      </c>
      <c r="E294" t="inlineStr">
        <is>
          <t>BERG</t>
        </is>
      </c>
      <c r="G294" t="n">
        <v>1.5</v>
      </c>
      <c r="H294" t="n">
        <v>0</v>
      </c>
      <c r="I294" t="n">
        <v>0</v>
      </c>
      <c r="J294" t="n">
        <v>0</v>
      </c>
      <c r="K294" t="n">
        <v>0</v>
      </c>
      <c r="L294" t="n">
        <v>0</v>
      </c>
      <c r="M294" t="n">
        <v>0</v>
      </c>
      <c r="N294" t="n">
        <v>0</v>
      </c>
      <c r="O294" t="n">
        <v>0</v>
      </c>
      <c r="P294" t="n">
        <v>0</v>
      </c>
      <c r="Q294" t="n">
        <v>0</v>
      </c>
      <c r="R294" s="2" t="inlineStr"/>
    </row>
    <row r="295" ht="15" customHeight="1">
      <c r="A295" t="inlineStr">
        <is>
          <t>A 32147-2024</t>
        </is>
      </c>
      <c r="B295" s="1" t="n">
        <v>45511.55600694445</v>
      </c>
      <c r="C295" s="1" t="n">
        <v>46074</v>
      </c>
      <c r="D295" t="inlineStr">
        <is>
          <t>JÄMTLANDS LÄN</t>
        </is>
      </c>
      <c r="E295" t="inlineStr">
        <is>
          <t>BERG</t>
        </is>
      </c>
      <c r="G295" t="n">
        <v>2.3</v>
      </c>
      <c r="H295" t="n">
        <v>0</v>
      </c>
      <c r="I295" t="n">
        <v>0</v>
      </c>
      <c r="J295" t="n">
        <v>0</v>
      </c>
      <c r="K295" t="n">
        <v>0</v>
      </c>
      <c r="L295" t="n">
        <v>0</v>
      </c>
      <c r="M295" t="n">
        <v>0</v>
      </c>
      <c r="N295" t="n">
        <v>0</v>
      </c>
      <c r="O295" t="n">
        <v>0</v>
      </c>
      <c r="P295" t="n">
        <v>0</v>
      </c>
      <c r="Q295" t="n">
        <v>0</v>
      </c>
      <c r="R295" s="2" t="inlineStr"/>
    </row>
    <row r="296" ht="15" customHeight="1">
      <c r="A296" t="inlineStr">
        <is>
          <t>A 46872-2023</t>
        </is>
      </c>
      <c r="B296" s="1" t="n">
        <v>45200</v>
      </c>
      <c r="C296" s="1" t="n">
        <v>46074</v>
      </c>
      <c r="D296" t="inlineStr">
        <is>
          <t>JÄMTLANDS LÄN</t>
        </is>
      </c>
      <c r="E296" t="inlineStr">
        <is>
          <t>BERG</t>
        </is>
      </c>
      <c r="F296" t="inlineStr">
        <is>
          <t>Naturvårdsverket</t>
        </is>
      </c>
      <c r="G296" t="n">
        <v>1.2</v>
      </c>
      <c r="H296" t="n">
        <v>0</v>
      </c>
      <c r="I296" t="n">
        <v>0</v>
      </c>
      <c r="J296" t="n">
        <v>0</v>
      </c>
      <c r="K296" t="n">
        <v>0</v>
      </c>
      <c r="L296" t="n">
        <v>0</v>
      </c>
      <c r="M296" t="n">
        <v>0</v>
      </c>
      <c r="N296" t="n">
        <v>0</v>
      </c>
      <c r="O296" t="n">
        <v>0</v>
      </c>
      <c r="P296" t="n">
        <v>0</v>
      </c>
      <c r="Q296" t="n">
        <v>0</v>
      </c>
      <c r="R296" s="2" t="inlineStr"/>
      <c r="U296">
        <f>HYPERLINK("https://klasma.github.io/Logging_2326/knärot/A 46872-2023 karta knärot.png", "A 46872-2023")</f>
        <v/>
      </c>
      <c r="V296">
        <f>HYPERLINK("https://klasma.github.io/Logging_2326/klagomål/A 46872-2023 FSC-klagomål.docx", "A 46872-2023")</f>
        <v/>
      </c>
      <c r="W296">
        <f>HYPERLINK("https://klasma.github.io/Logging_2326/klagomålsmail/A 46872-2023 FSC-klagomål mail.docx", "A 46872-2023")</f>
        <v/>
      </c>
      <c r="X296">
        <f>HYPERLINK("https://klasma.github.io/Logging_2326/tillsyn/A 46872-2023 tillsynsbegäran.docx", "A 46872-2023")</f>
        <v/>
      </c>
      <c r="Y296">
        <f>HYPERLINK("https://klasma.github.io/Logging_2326/tillsynsmail/A 46872-2023 tillsynsbegäran mail.docx", "A 46872-2023")</f>
        <v/>
      </c>
    </row>
    <row r="297" ht="15" customHeight="1">
      <c r="A297" t="inlineStr">
        <is>
          <t>A 41098-2023</t>
        </is>
      </c>
      <c r="B297" s="1" t="n">
        <v>45170</v>
      </c>
      <c r="C297" s="1" t="n">
        <v>46074</v>
      </c>
      <c r="D297" t="inlineStr">
        <is>
          <t>JÄMTLANDS LÄN</t>
        </is>
      </c>
      <c r="E297" t="inlineStr">
        <is>
          <t>BERG</t>
        </is>
      </c>
      <c r="G297" t="n">
        <v>3.1</v>
      </c>
      <c r="H297" t="n">
        <v>0</v>
      </c>
      <c r="I297" t="n">
        <v>0</v>
      </c>
      <c r="J297" t="n">
        <v>0</v>
      </c>
      <c r="K297" t="n">
        <v>0</v>
      </c>
      <c r="L297" t="n">
        <v>0</v>
      </c>
      <c r="M297" t="n">
        <v>0</v>
      </c>
      <c r="N297" t="n">
        <v>0</v>
      </c>
      <c r="O297" t="n">
        <v>0</v>
      </c>
      <c r="P297" t="n">
        <v>0</v>
      </c>
      <c r="Q297" t="n">
        <v>0</v>
      </c>
      <c r="R297" s="2" t="inlineStr"/>
    </row>
    <row r="298" ht="15" customHeight="1">
      <c r="A298" t="inlineStr">
        <is>
          <t>A 22297-2022</t>
        </is>
      </c>
      <c r="B298" s="1" t="n">
        <v>44712</v>
      </c>
      <c r="C298" s="1" t="n">
        <v>46074</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47083-2024</t>
        </is>
      </c>
      <c r="B299" s="1" t="n">
        <v>45586.50625</v>
      </c>
      <c r="C299" s="1" t="n">
        <v>46074</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61251-2022</t>
        </is>
      </c>
      <c r="B300" s="1" t="n">
        <v>44909</v>
      </c>
      <c r="C300" s="1" t="n">
        <v>46074</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61255-2022</t>
        </is>
      </c>
      <c r="B301" s="1" t="n">
        <v>44909</v>
      </c>
      <c r="C301" s="1" t="n">
        <v>46074</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47626-2023</t>
        </is>
      </c>
      <c r="B302" s="1" t="n">
        <v>45203</v>
      </c>
      <c r="C302" s="1" t="n">
        <v>46074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60331-2023</t>
        </is>
      </c>
      <c r="B303" s="1" t="n">
        <v>45258</v>
      </c>
      <c r="C303" s="1" t="n">
        <v>46074</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58157-2021</t>
        </is>
      </c>
      <c r="B304" s="1" t="n">
        <v>44487.60703703704</v>
      </c>
      <c r="C304" s="1" t="n">
        <v>46074</v>
      </c>
      <c r="D304" t="inlineStr">
        <is>
          <t>JÄMTLANDS LÄN</t>
        </is>
      </c>
      <c r="E304" t="inlineStr">
        <is>
          <t>BERG</t>
        </is>
      </c>
      <c r="G304" t="n">
        <v>4.5</v>
      </c>
      <c r="H304" t="n">
        <v>0</v>
      </c>
      <c r="I304" t="n">
        <v>0</v>
      </c>
      <c r="J304" t="n">
        <v>0</v>
      </c>
      <c r="K304" t="n">
        <v>0</v>
      </c>
      <c r="L304" t="n">
        <v>0</v>
      </c>
      <c r="M304" t="n">
        <v>0</v>
      </c>
      <c r="N304" t="n">
        <v>0</v>
      </c>
      <c r="O304" t="n">
        <v>0</v>
      </c>
      <c r="P304" t="n">
        <v>0</v>
      </c>
      <c r="Q304" t="n">
        <v>0</v>
      </c>
      <c r="R304" s="2" t="inlineStr"/>
    </row>
    <row r="305" ht="15" customHeight="1">
      <c r="A305" t="inlineStr">
        <is>
          <t>A 26944-2022</t>
        </is>
      </c>
      <c r="B305" s="1" t="n">
        <v>44740</v>
      </c>
      <c r="C305" s="1" t="n">
        <v>46074</v>
      </c>
      <c r="D305" t="inlineStr">
        <is>
          <t>JÄMTLANDS LÄN</t>
        </is>
      </c>
      <c r="E305" t="inlineStr">
        <is>
          <t>BERG</t>
        </is>
      </c>
      <c r="G305" t="n">
        <v>3.3</v>
      </c>
      <c r="H305" t="n">
        <v>0</v>
      </c>
      <c r="I305" t="n">
        <v>0</v>
      </c>
      <c r="J305" t="n">
        <v>0</v>
      </c>
      <c r="K305" t="n">
        <v>0</v>
      </c>
      <c r="L305" t="n">
        <v>0</v>
      </c>
      <c r="M305" t="n">
        <v>0</v>
      </c>
      <c r="N305" t="n">
        <v>0</v>
      </c>
      <c r="O305" t="n">
        <v>0</v>
      </c>
      <c r="P305" t="n">
        <v>0</v>
      </c>
      <c r="Q305" t="n">
        <v>0</v>
      </c>
      <c r="R305" s="2" t="inlineStr"/>
    </row>
    <row r="306" ht="15" customHeight="1">
      <c r="A306" t="inlineStr">
        <is>
          <t>A 62555-2023</t>
        </is>
      </c>
      <c r="B306" s="1" t="n">
        <v>45268.9262962963</v>
      </c>
      <c r="C306" s="1" t="n">
        <v>46074</v>
      </c>
      <c r="D306" t="inlineStr">
        <is>
          <t>JÄMTLANDS LÄN</t>
        </is>
      </c>
      <c r="E306" t="inlineStr">
        <is>
          <t>BERG</t>
        </is>
      </c>
      <c r="G306" t="n">
        <v>5</v>
      </c>
      <c r="H306" t="n">
        <v>0</v>
      </c>
      <c r="I306" t="n">
        <v>0</v>
      </c>
      <c r="J306" t="n">
        <v>0</v>
      </c>
      <c r="K306" t="n">
        <v>0</v>
      </c>
      <c r="L306" t="n">
        <v>0</v>
      </c>
      <c r="M306" t="n">
        <v>0</v>
      </c>
      <c r="N306" t="n">
        <v>0</v>
      </c>
      <c r="O306" t="n">
        <v>0</v>
      </c>
      <c r="P306" t="n">
        <v>0</v>
      </c>
      <c r="Q306" t="n">
        <v>0</v>
      </c>
      <c r="R306" s="2" t="inlineStr"/>
    </row>
    <row r="307" ht="15" customHeight="1">
      <c r="A307" t="inlineStr">
        <is>
          <t>A 47407-2024</t>
        </is>
      </c>
      <c r="B307" s="1" t="n">
        <v>45587.47828703704</v>
      </c>
      <c r="C307" s="1" t="n">
        <v>46074</v>
      </c>
      <c r="D307" t="inlineStr">
        <is>
          <t>JÄMTLANDS LÄN</t>
        </is>
      </c>
      <c r="E307" t="inlineStr">
        <is>
          <t>BERG</t>
        </is>
      </c>
      <c r="G307" t="n">
        <v>2.7</v>
      </c>
      <c r="H307" t="n">
        <v>0</v>
      </c>
      <c r="I307" t="n">
        <v>0</v>
      </c>
      <c r="J307" t="n">
        <v>0</v>
      </c>
      <c r="K307" t="n">
        <v>0</v>
      </c>
      <c r="L307" t="n">
        <v>0</v>
      </c>
      <c r="M307" t="n">
        <v>0</v>
      </c>
      <c r="N307" t="n">
        <v>0</v>
      </c>
      <c r="O307" t="n">
        <v>0</v>
      </c>
      <c r="P307" t="n">
        <v>0</v>
      </c>
      <c r="Q307" t="n">
        <v>0</v>
      </c>
      <c r="R307" s="2" t="inlineStr"/>
    </row>
    <row r="308" ht="15" customHeight="1">
      <c r="A308" t="inlineStr">
        <is>
          <t>A 7040-2024</t>
        </is>
      </c>
      <c r="B308" s="1" t="n">
        <v>45343</v>
      </c>
      <c r="C308" s="1" t="n">
        <v>46074</v>
      </c>
      <c r="D308" t="inlineStr">
        <is>
          <t>JÄMTLANDS LÄN</t>
        </is>
      </c>
      <c r="E308" t="inlineStr">
        <is>
          <t>BERG</t>
        </is>
      </c>
      <c r="G308" t="n">
        <v>15.9</v>
      </c>
      <c r="H308" t="n">
        <v>0</v>
      </c>
      <c r="I308" t="n">
        <v>0</v>
      </c>
      <c r="J308" t="n">
        <v>0</v>
      </c>
      <c r="K308" t="n">
        <v>0</v>
      </c>
      <c r="L308" t="n">
        <v>0</v>
      </c>
      <c r="M308" t="n">
        <v>0</v>
      </c>
      <c r="N308" t="n">
        <v>0</v>
      </c>
      <c r="O308" t="n">
        <v>0</v>
      </c>
      <c r="P308" t="n">
        <v>0</v>
      </c>
      <c r="Q308" t="n">
        <v>0</v>
      </c>
      <c r="R308" s="2" t="inlineStr"/>
    </row>
    <row r="309" ht="15" customHeight="1">
      <c r="A309" t="inlineStr">
        <is>
          <t>A 37248-2023</t>
        </is>
      </c>
      <c r="B309" s="1" t="n">
        <v>45155.954375</v>
      </c>
      <c r="C309" s="1" t="n">
        <v>46074</v>
      </c>
      <c r="D309" t="inlineStr">
        <is>
          <t>JÄMTLANDS LÄN</t>
        </is>
      </c>
      <c r="E309" t="inlineStr">
        <is>
          <t>BERG</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13524-2024</t>
        </is>
      </c>
      <c r="B310" s="1" t="n">
        <v>45387.78174768519</v>
      </c>
      <c r="C310" s="1" t="n">
        <v>46074</v>
      </c>
      <c r="D310" t="inlineStr">
        <is>
          <t>JÄMTLANDS LÄN</t>
        </is>
      </c>
      <c r="E310" t="inlineStr">
        <is>
          <t>BERG</t>
        </is>
      </c>
      <c r="G310" t="n">
        <v>0.6</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46074</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38962-2024</t>
        </is>
      </c>
      <c r="B312" s="1" t="n">
        <v>45548.36175925926</v>
      </c>
      <c r="C312" s="1" t="n">
        <v>46074</v>
      </c>
      <c r="D312" t="inlineStr">
        <is>
          <t>JÄMTLANDS LÄN</t>
        </is>
      </c>
      <c r="E312" t="inlineStr">
        <is>
          <t>BERG</t>
        </is>
      </c>
      <c r="G312" t="n">
        <v>2.2</v>
      </c>
      <c r="H312" t="n">
        <v>0</v>
      </c>
      <c r="I312" t="n">
        <v>0</v>
      </c>
      <c r="J312" t="n">
        <v>0</v>
      </c>
      <c r="K312" t="n">
        <v>0</v>
      </c>
      <c r="L312" t="n">
        <v>0</v>
      </c>
      <c r="M312" t="n">
        <v>0</v>
      </c>
      <c r="N312" t="n">
        <v>0</v>
      </c>
      <c r="O312" t="n">
        <v>0</v>
      </c>
      <c r="P312" t="n">
        <v>0</v>
      </c>
      <c r="Q312" t="n">
        <v>0</v>
      </c>
      <c r="R312" s="2" t="inlineStr"/>
    </row>
    <row r="313" ht="15" customHeight="1">
      <c r="A313" t="inlineStr">
        <is>
          <t>A 32879-2024</t>
        </is>
      </c>
      <c r="B313" s="1" t="n">
        <v>45516.68450231481</v>
      </c>
      <c r="C313" s="1" t="n">
        <v>46074</v>
      </c>
      <c r="D313" t="inlineStr">
        <is>
          <t>JÄMTLANDS LÄN</t>
        </is>
      </c>
      <c r="E313" t="inlineStr">
        <is>
          <t>BERG</t>
        </is>
      </c>
      <c r="G313" t="n">
        <v>2</v>
      </c>
      <c r="H313" t="n">
        <v>0</v>
      </c>
      <c r="I313" t="n">
        <v>0</v>
      </c>
      <c r="J313" t="n">
        <v>0</v>
      </c>
      <c r="K313" t="n">
        <v>0</v>
      </c>
      <c r="L313" t="n">
        <v>0</v>
      </c>
      <c r="M313" t="n">
        <v>0</v>
      </c>
      <c r="N313" t="n">
        <v>0</v>
      </c>
      <c r="O313" t="n">
        <v>0</v>
      </c>
      <c r="P313" t="n">
        <v>0</v>
      </c>
      <c r="Q313" t="n">
        <v>0</v>
      </c>
      <c r="R313" s="2" t="inlineStr"/>
    </row>
    <row r="314" ht="15" customHeight="1">
      <c r="A314" t="inlineStr">
        <is>
          <t>A 22020-2024</t>
        </is>
      </c>
      <c r="B314" s="1" t="n">
        <v>45443.5894675926</v>
      </c>
      <c r="C314" s="1" t="n">
        <v>46074</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17748-2024</t>
        </is>
      </c>
      <c r="B315" s="1" t="n">
        <v>45418</v>
      </c>
      <c r="C315" s="1" t="n">
        <v>46074</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53085-2024</t>
        </is>
      </c>
      <c r="B316" s="1" t="n">
        <v>45611.51072916666</v>
      </c>
      <c r="C316" s="1" t="n">
        <v>46074</v>
      </c>
      <c r="D316" t="inlineStr">
        <is>
          <t>JÄMTLANDS LÄN</t>
        </is>
      </c>
      <c r="E316" t="inlineStr">
        <is>
          <t>BERG</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58176-2024</t>
        </is>
      </c>
      <c r="B317" s="1" t="n">
        <v>45632.46771990741</v>
      </c>
      <c r="C317" s="1" t="n">
        <v>46074</v>
      </c>
      <c r="D317" t="inlineStr">
        <is>
          <t>JÄMTLANDS LÄN</t>
        </is>
      </c>
      <c r="E317" t="inlineStr">
        <is>
          <t>BERG</t>
        </is>
      </c>
      <c r="G317" t="n">
        <v>14.4</v>
      </c>
      <c r="H317" t="n">
        <v>0</v>
      </c>
      <c r="I317" t="n">
        <v>0</v>
      </c>
      <c r="J317" t="n">
        <v>0</v>
      </c>
      <c r="K317" t="n">
        <v>0</v>
      </c>
      <c r="L317" t="n">
        <v>0</v>
      </c>
      <c r="M317" t="n">
        <v>0</v>
      </c>
      <c r="N317" t="n">
        <v>0</v>
      </c>
      <c r="O317" t="n">
        <v>0</v>
      </c>
      <c r="P317" t="n">
        <v>0</v>
      </c>
      <c r="Q317" t="n">
        <v>0</v>
      </c>
      <c r="R317" s="2" t="inlineStr"/>
    </row>
    <row r="318" ht="15" customHeight="1">
      <c r="A318" t="inlineStr">
        <is>
          <t>A 6982-2025</t>
        </is>
      </c>
      <c r="B318" s="1" t="n">
        <v>45701.55769675926</v>
      </c>
      <c r="C318" s="1" t="n">
        <v>46074</v>
      </c>
      <c r="D318" t="inlineStr">
        <is>
          <t>JÄMTLANDS LÄN</t>
        </is>
      </c>
      <c r="E318" t="inlineStr">
        <is>
          <t>BERG</t>
        </is>
      </c>
      <c r="G318" t="n">
        <v>6.8</v>
      </c>
      <c r="H318" t="n">
        <v>0</v>
      </c>
      <c r="I318" t="n">
        <v>0</v>
      </c>
      <c r="J318" t="n">
        <v>0</v>
      </c>
      <c r="K318" t="n">
        <v>0</v>
      </c>
      <c r="L318" t="n">
        <v>0</v>
      </c>
      <c r="M318" t="n">
        <v>0</v>
      </c>
      <c r="N318" t="n">
        <v>0</v>
      </c>
      <c r="O318" t="n">
        <v>0</v>
      </c>
      <c r="P318" t="n">
        <v>0</v>
      </c>
      <c r="Q318" t="n">
        <v>0</v>
      </c>
      <c r="R318" s="2" t="inlineStr"/>
    </row>
    <row r="319" ht="15" customHeight="1">
      <c r="A319" t="inlineStr">
        <is>
          <t>A 27716-2025</t>
        </is>
      </c>
      <c r="B319" s="1" t="n">
        <v>45813.961875</v>
      </c>
      <c r="C319" s="1" t="n">
        <v>46074</v>
      </c>
      <c r="D319" t="inlineStr">
        <is>
          <t>JÄMTLANDS LÄN</t>
        </is>
      </c>
      <c r="E319" t="inlineStr">
        <is>
          <t>BERG</t>
        </is>
      </c>
      <c r="G319" t="n">
        <v>6.7</v>
      </c>
      <c r="H319" t="n">
        <v>0</v>
      </c>
      <c r="I319" t="n">
        <v>0</v>
      </c>
      <c r="J319" t="n">
        <v>0</v>
      </c>
      <c r="K319" t="n">
        <v>0</v>
      </c>
      <c r="L319" t="n">
        <v>0</v>
      </c>
      <c r="M319" t="n">
        <v>0</v>
      </c>
      <c r="N319" t="n">
        <v>0</v>
      </c>
      <c r="O319" t="n">
        <v>0</v>
      </c>
      <c r="P319" t="n">
        <v>0</v>
      </c>
      <c r="Q319" t="n">
        <v>0</v>
      </c>
      <c r="R319" s="2" t="inlineStr"/>
    </row>
    <row r="320" ht="15" customHeight="1">
      <c r="A320" t="inlineStr">
        <is>
          <t>A 27750-2025</t>
        </is>
      </c>
      <c r="B320" s="1" t="n">
        <v>45815.68543981481</v>
      </c>
      <c r="C320" s="1" t="n">
        <v>46074</v>
      </c>
      <c r="D320" t="inlineStr">
        <is>
          <t>JÄMTLANDS LÄN</t>
        </is>
      </c>
      <c r="E320" t="inlineStr">
        <is>
          <t>BERG</t>
        </is>
      </c>
      <c r="G320" t="n">
        <v>2.4</v>
      </c>
      <c r="H320" t="n">
        <v>0</v>
      </c>
      <c r="I320" t="n">
        <v>0</v>
      </c>
      <c r="J320" t="n">
        <v>0</v>
      </c>
      <c r="K320" t="n">
        <v>0</v>
      </c>
      <c r="L320" t="n">
        <v>0</v>
      </c>
      <c r="M320" t="n">
        <v>0</v>
      </c>
      <c r="N320" t="n">
        <v>0</v>
      </c>
      <c r="O320" t="n">
        <v>0</v>
      </c>
      <c r="P320" t="n">
        <v>0</v>
      </c>
      <c r="Q320" t="n">
        <v>0</v>
      </c>
      <c r="R320" s="2" t="inlineStr"/>
    </row>
    <row r="321" ht="15" customHeight="1">
      <c r="A321" t="inlineStr">
        <is>
          <t>A 28232-2025</t>
        </is>
      </c>
      <c r="B321" s="1" t="n">
        <v>45818.48989583334</v>
      </c>
      <c r="C321" s="1" t="n">
        <v>46074</v>
      </c>
      <c r="D321" t="inlineStr">
        <is>
          <t>JÄMTLANDS LÄN</t>
        </is>
      </c>
      <c r="E321" t="inlineStr">
        <is>
          <t>BERG</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28257-2025</t>
        </is>
      </c>
      <c r="B322" s="1" t="n">
        <v>45818.55263888889</v>
      </c>
      <c r="C322" s="1" t="n">
        <v>46074</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18833-2024</t>
        </is>
      </c>
      <c r="B323" s="1" t="n">
        <v>45426.65157407407</v>
      </c>
      <c r="C323" s="1" t="n">
        <v>46074</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28657-2025</t>
        </is>
      </c>
      <c r="B324" s="1" t="n">
        <v>45819.65709490741</v>
      </c>
      <c r="C324" s="1" t="n">
        <v>46074</v>
      </c>
      <c r="D324" t="inlineStr">
        <is>
          <t>JÄMTLANDS LÄN</t>
        </is>
      </c>
      <c r="E324" t="inlineStr">
        <is>
          <t>BERG</t>
        </is>
      </c>
      <c r="G324" t="n">
        <v>2.4</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46074</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28196-2025</t>
        </is>
      </c>
      <c r="B326" s="1" t="n">
        <v>45818.42753472222</v>
      </c>
      <c r="C326" s="1" t="n">
        <v>46074</v>
      </c>
      <c r="D326" t="inlineStr">
        <is>
          <t>JÄMTLANDS LÄN</t>
        </is>
      </c>
      <c r="E326" t="inlineStr">
        <is>
          <t>BERG</t>
        </is>
      </c>
      <c r="F326" t="inlineStr">
        <is>
          <t>SCA</t>
        </is>
      </c>
      <c r="G326" t="n">
        <v>6.6</v>
      </c>
      <c r="H326" t="n">
        <v>0</v>
      </c>
      <c r="I326" t="n">
        <v>0</v>
      </c>
      <c r="J326" t="n">
        <v>0</v>
      </c>
      <c r="K326" t="n">
        <v>0</v>
      </c>
      <c r="L326" t="n">
        <v>0</v>
      </c>
      <c r="M326" t="n">
        <v>0</v>
      </c>
      <c r="N326" t="n">
        <v>0</v>
      </c>
      <c r="O326" t="n">
        <v>0</v>
      </c>
      <c r="P326" t="n">
        <v>0</v>
      </c>
      <c r="Q326" t="n">
        <v>0</v>
      </c>
      <c r="R326" s="2" t="inlineStr"/>
    </row>
    <row r="327" ht="15" customHeight="1">
      <c r="A327" t="inlineStr">
        <is>
          <t>A 28401-2025</t>
        </is>
      </c>
      <c r="B327" s="1" t="n">
        <v>45819.34469907408</v>
      </c>
      <c r="C327" s="1" t="n">
        <v>46074</v>
      </c>
      <c r="D327" t="inlineStr">
        <is>
          <t>JÄMTLANDS LÄN</t>
        </is>
      </c>
      <c r="E327" t="inlineStr">
        <is>
          <t>BERG</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28453-2025</t>
        </is>
      </c>
      <c r="B328" s="1" t="n">
        <v>45819.40668981482</v>
      </c>
      <c r="C328" s="1" t="n">
        <v>46074</v>
      </c>
      <c r="D328" t="inlineStr">
        <is>
          <t>JÄMTLANDS LÄN</t>
        </is>
      </c>
      <c r="E328" t="inlineStr">
        <is>
          <t>BERG</t>
        </is>
      </c>
      <c r="G328" t="n">
        <v>4.1</v>
      </c>
      <c r="H328" t="n">
        <v>0</v>
      </c>
      <c r="I328" t="n">
        <v>0</v>
      </c>
      <c r="J328" t="n">
        <v>0</v>
      </c>
      <c r="K328" t="n">
        <v>0</v>
      </c>
      <c r="L328" t="n">
        <v>0</v>
      </c>
      <c r="M328" t="n">
        <v>0</v>
      </c>
      <c r="N328" t="n">
        <v>0</v>
      </c>
      <c r="O328" t="n">
        <v>0</v>
      </c>
      <c r="P328" t="n">
        <v>0</v>
      </c>
      <c r="Q328" t="n">
        <v>0</v>
      </c>
      <c r="R328" s="2" t="inlineStr"/>
    </row>
    <row r="329" ht="15" customHeight="1">
      <c r="A329" t="inlineStr">
        <is>
          <t>A 28157-2025</t>
        </is>
      </c>
      <c r="B329" s="1" t="n">
        <v>45818.36512731481</v>
      </c>
      <c r="C329" s="1" t="n">
        <v>46074</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28454-2025</t>
        </is>
      </c>
      <c r="B330" s="1" t="n">
        <v>45819.40679398148</v>
      </c>
      <c r="C330" s="1" t="n">
        <v>46074</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34819-2023</t>
        </is>
      </c>
      <c r="B331" s="1" t="n">
        <v>45140</v>
      </c>
      <c r="C331" s="1" t="n">
        <v>46074</v>
      </c>
      <c r="D331" t="inlineStr">
        <is>
          <t>JÄMTLANDS LÄN</t>
        </is>
      </c>
      <c r="E331" t="inlineStr">
        <is>
          <t>BERG</t>
        </is>
      </c>
      <c r="G331" t="n">
        <v>0.8</v>
      </c>
      <c r="H331" t="n">
        <v>0</v>
      </c>
      <c r="I331" t="n">
        <v>0</v>
      </c>
      <c r="J331" t="n">
        <v>0</v>
      </c>
      <c r="K331" t="n">
        <v>0</v>
      </c>
      <c r="L331" t="n">
        <v>0</v>
      </c>
      <c r="M331" t="n">
        <v>0</v>
      </c>
      <c r="N331" t="n">
        <v>0</v>
      </c>
      <c r="O331" t="n">
        <v>0</v>
      </c>
      <c r="P331" t="n">
        <v>0</v>
      </c>
      <c r="Q331" t="n">
        <v>0</v>
      </c>
      <c r="R331" s="2" t="inlineStr"/>
    </row>
    <row r="332" ht="15" customHeight="1">
      <c r="A332" t="inlineStr">
        <is>
          <t>A 46991-2024</t>
        </is>
      </c>
      <c r="B332" s="1" t="n">
        <v>45586.365625</v>
      </c>
      <c r="C332" s="1" t="n">
        <v>46074</v>
      </c>
      <c r="D332" t="inlineStr">
        <is>
          <t>JÄMTLANDS LÄN</t>
        </is>
      </c>
      <c r="E332" t="inlineStr">
        <is>
          <t>BERG</t>
        </is>
      </c>
      <c r="G332" t="n">
        <v>2.9</v>
      </c>
      <c r="H332" t="n">
        <v>0</v>
      </c>
      <c r="I332" t="n">
        <v>0</v>
      </c>
      <c r="J332" t="n">
        <v>0</v>
      </c>
      <c r="K332" t="n">
        <v>0</v>
      </c>
      <c r="L332" t="n">
        <v>0</v>
      </c>
      <c r="M332" t="n">
        <v>0</v>
      </c>
      <c r="N332" t="n">
        <v>0</v>
      </c>
      <c r="O332" t="n">
        <v>0</v>
      </c>
      <c r="P332" t="n">
        <v>0</v>
      </c>
      <c r="Q332" t="n">
        <v>0</v>
      </c>
      <c r="R332" s="2" t="inlineStr"/>
    </row>
    <row r="333" ht="15" customHeight="1">
      <c r="A333" t="inlineStr">
        <is>
          <t>A 50780-2021</t>
        </is>
      </c>
      <c r="B333" s="1" t="n">
        <v>44459</v>
      </c>
      <c r="C333" s="1" t="n">
        <v>46074</v>
      </c>
      <c r="D333" t="inlineStr">
        <is>
          <t>JÄMTLANDS LÄN</t>
        </is>
      </c>
      <c r="E333" t="inlineStr">
        <is>
          <t>BERG</t>
        </is>
      </c>
      <c r="G333" t="n">
        <v>3.5</v>
      </c>
      <c r="H333" t="n">
        <v>0</v>
      </c>
      <c r="I333" t="n">
        <v>0</v>
      </c>
      <c r="J333" t="n">
        <v>0</v>
      </c>
      <c r="K333" t="n">
        <v>0</v>
      </c>
      <c r="L333" t="n">
        <v>0</v>
      </c>
      <c r="M333" t="n">
        <v>0</v>
      </c>
      <c r="N333" t="n">
        <v>0</v>
      </c>
      <c r="O333" t="n">
        <v>0</v>
      </c>
      <c r="P333" t="n">
        <v>0</v>
      </c>
      <c r="Q333" t="n">
        <v>0</v>
      </c>
      <c r="R333" s="2" t="inlineStr"/>
    </row>
    <row r="334" ht="15" customHeight="1">
      <c r="A334" t="inlineStr">
        <is>
          <t>A 43279-2024</t>
        </is>
      </c>
      <c r="B334" s="1" t="n">
        <v>45568.3975462963</v>
      </c>
      <c r="C334" s="1" t="n">
        <v>46074</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29199-2025</t>
        </is>
      </c>
      <c r="B335" s="1" t="n">
        <v>45823.34459490741</v>
      </c>
      <c r="C335" s="1" t="n">
        <v>46074</v>
      </c>
      <c r="D335" t="inlineStr">
        <is>
          <t>JÄMTLANDS LÄN</t>
        </is>
      </c>
      <c r="E335" t="inlineStr">
        <is>
          <t>BERG</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29197-2025</t>
        </is>
      </c>
      <c r="B336" s="1" t="n">
        <v>45823.34438657408</v>
      </c>
      <c r="C336" s="1" t="n">
        <v>46074</v>
      </c>
      <c r="D336" t="inlineStr">
        <is>
          <t>JÄMTLANDS LÄN</t>
        </is>
      </c>
      <c r="E336" t="inlineStr">
        <is>
          <t>BERG</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19428-2025</t>
        </is>
      </c>
      <c r="B337" s="1" t="n">
        <v>45769.79763888889</v>
      </c>
      <c r="C337" s="1" t="n">
        <v>46074</v>
      </c>
      <c r="D337" t="inlineStr">
        <is>
          <t>JÄMTLANDS LÄN</t>
        </is>
      </c>
      <c r="E337" t="inlineStr">
        <is>
          <t>BERG</t>
        </is>
      </c>
      <c r="G337" t="n">
        <v>7.1</v>
      </c>
      <c r="H337" t="n">
        <v>0</v>
      </c>
      <c r="I337" t="n">
        <v>0</v>
      </c>
      <c r="J337" t="n">
        <v>0</v>
      </c>
      <c r="K337" t="n">
        <v>0</v>
      </c>
      <c r="L337" t="n">
        <v>0</v>
      </c>
      <c r="M337" t="n">
        <v>0</v>
      </c>
      <c r="N337" t="n">
        <v>0</v>
      </c>
      <c r="O337" t="n">
        <v>0</v>
      </c>
      <c r="P337" t="n">
        <v>0</v>
      </c>
      <c r="Q337" t="n">
        <v>0</v>
      </c>
      <c r="R337" s="2" t="inlineStr"/>
    </row>
    <row r="338" ht="15" customHeight="1">
      <c r="A338" t="inlineStr">
        <is>
          <t>A 37093-2024</t>
        </is>
      </c>
      <c r="B338" s="1" t="n">
        <v>45539.50018518518</v>
      </c>
      <c r="C338" s="1" t="n">
        <v>46074</v>
      </c>
      <c r="D338" t="inlineStr">
        <is>
          <t>JÄMTLANDS LÄN</t>
        </is>
      </c>
      <c r="E338" t="inlineStr">
        <is>
          <t>BERG</t>
        </is>
      </c>
      <c r="F338" t="inlineStr">
        <is>
          <t>Övriga Aktiebolag</t>
        </is>
      </c>
      <c r="G338" t="n">
        <v>15.4</v>
      </c>
      <c r="H338" t="n">
        <v>0</v>
      </c>
      <c r="I338" t="n">
        <v>0</v>
      </c>
      <c r="J338" t="n">
        <v>0</v>
      </c>
      <c r="K338" t="n">
        <v>0</v>
      </c>
      <c r="L338" t="n">
        <v>0</v>
      </c>
      <c r="M338" t="n">
        <v>0</v>
      </c>
      <c r="N338" t="n">
        <v>0</v>
      </c>
      <c r="O338" t="n">
        <v>0</v>
      </c>
      <c r="P338" t="n">
        <v>0</v>
      </c>
      <c r="Q338" t="n">
        <v>0</v>
      </c>
      <c r="R338" s="2" t="inlineStr"/>
    </row>
    <row r="339" ht="15" customHeight="1">
      <c r="A339" t="inlineStr">
        <is>
          <t>A 29310-2025</t>
        </is>
      </c>
      <c r="B339" s="1" t="n">
        <v>45824.46353009259</v>
      </c>
      <c r="C339" s="1" t="n">
        <v>46074</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29538-2025</t>
        </is>
      </c>
      <c r="B340" s="1" t="n">
        <v>45825.34517361111</v>
      </c>
      <c r="C340" s="1" t="n">
        <v>46074</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29533-2025</t>
        </is>
      </c>
      <c r="B341" s="1" t="n">
        <v>45825.34466435185</v>
      </c>
      <c r="C341" s="1" t="n">
        <v>46074</v>
      </c>
      <c r="D341" t="inlineStr">
        <is>
          <t>JÄMTLANDS LÄN</t>
        </is>
      </c>
      <c r="E341" t="inlineStr">
        <is>
          <t>BERG</t>
        </is>
      </c>
      <c r="F341" t="inlineStr">
        <is>
          <t>SCA</t>
        </is>
      </c>
      <c r="G341" t="n">
        <v>10</v>
      </c>
      <c r="H341" t="n">
        <v>0</v>
      </c>
      <c r="I341" t="n">
        <v>0</v>
      </c>
      <c r="J341" t="n">
        <v>0</v>
      </c>
      <c r="K341" t="n">
        <v>0</v>
      </c>
      <c r="L341" t="n">
        <v>0</v>
      </c>
      <c r="M341" t="n">
        <v>0</v>
      </c>
      <c r="N341" t="n">
        <v>0</v>
      </c>
      <c r="O341" t="n">
        <v>0</v>
      </c>
      <c r="P341" t="n">
        <v>0</v>
      </c>
      <c r="Q341" t="n">
        <v>0</v>
      </c>
      <c r="R341" s="2" t="inlineStr"/>
    </row>
    <row r="342" ht="15" customHeight="1">
      <c r="A342" t="inlineStr">
        <is>
          <t>A 29279-2025</t>
        </is>
      </c>
      <c r="B342" s="1" t="n">
        <v>45824.42381944445</v>
      </c>
      <c r="C342" s="1" t="n">
        <v>46074</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39418-2025</t>
        </is>
      </c>
      <c r="B343" s="1" t="n">
        <v>45889</v>
      </c>
      <c r="C343" s="1" t="n">
        <v>46074</v>
      </c>
      <c r="D343" t="inlineStr">
        <is>
          <t>JÄMTLANDS LÄN</t>
        </is>
      </c>
      <c r="E343" t="inlineStr">
        <is>
          <t>BERG</t>
        </is>
      </c>
      <c r="G343" t="n">
        <v>19.8</v>
      </c>
      <c r="H343" t="n">
        <v>0</v>
      </c>
      <c r="I343" t="n">
        <v>0</v>
      </c>
      <c r="J343" t="n">
        <v>0</v>
      </c>
      <c r="K343" t="n">
        <v>0</v>
      </c>
      <c r="L343" t="n">
        <v>0</v>
      </c>
      <c r="M343" t="n">
        <v>0</v>
      </c>
      <c r="N343" t="n">
        <v>0</v>
      </c>
      <c r="O343" t="n">
        <v>0</v>
      </c>
      <c r="P343" t="n">
        <v>0</v>
      </c>
      <c r="Q343" t="n">
        <v>0</v>
      </c>
      <c r="R343" s="2" t="inlineStr"/>
    </row>
    <row r="344" ht="15" customHeight="1">
      <c r="A344" t="inlineStr">
        <is>
          <t>A 39004-2025</t>
        </is>
      </c>
      <c r="B344" s="1" t="n">
        <v>45888.34472222222</v>
      </c>
      <c r="C344" s="1" t="n">
        <v>46074</v>
      </c>
      <c r="D344" t="inlineStr">
        <is>
          <t>JÄMTLANDS LÄN</t>
        </is>
      </c>
      <c r="E344" t="inlineStr">
        <is>
          <t>BERG</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29198-2025</t>
        </is>
      </c>
      <c r="B345" s="1" t="n">
        <v>45823.34451388889</v>
      </c>
      <c r="C345" s="1" t="n">
        <v>46074</v>
      </c>
      <c r="D345" t="inlineStr">
        <is>
          <t>JÄMTLANDS LÄN</t>
        </is>
      </c>
      <c r="E345" t="inlineStr">
        <is>
          <t>BERG</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10861-2024</t>
        </is>
      </c>
      <c r="B346" s="1" t="n">
        <v>45370.01967592593</v>
      </c>
      <c r="C346" s="1" t="n">
        <v>46074</v>
      </c>
      <c r="D346" t="inlineStr">
        <is>
          <t>JÄMTLANDS LÄN</t>
        </is>
      </c>
      <c r="E346" t="inlineStr">
        <is>
          <t>BERG</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29836-2025</t>
        </is>
      </c>
      <c r="B347" s="1" t="n">
        <v>45825.9468287037</v>
      </c>
      <c r="C347" s="1" t="n">
        <v>46074</v>
      </c>
      <c r="D347" t="inlineStr">
        <is>
          <t>JÄMTLANDS LÄN</t>
        </is>
      </c>
      <c r="E347" t="inlineStr">
        <is>
          <t>BERG</t>
        </is>
      </c>
      <c r="G347" t="n">
        <v>12.7</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46074</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39601-2025</t>
        </is>
      </c>
      <c r="B349" s="1" t="n">
        <v>45890.55284722222</v>
      </c>
      <c r="C349" s="1" t="n">
        <v>46074</v>
      </c>
      <c r="D349" t="inlineStr">
        <is>
          <t>JÄMTLANDS LÄN</t>
        </is>
      </c>
      <c r="E349" t="inlineStr">
        <is>
          <t>BERG</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39698-2025</t>
        </is>
      </c>
      <c r="B350" s="1" t="n">
        <v>45890.69837962963</v>
      </c>
      <c r="C350" s="1" t="n">
        <v>46074</v>
      </c>
      <c r="D350" t="inlineStr">
        <is>
          <t>JÄMTLANDS LÄN</t>
        </is>
      </c>
      <c r="E350" t="inlineStr">
        <is>
          <t>BERG</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30017-2025</t>
        </is>
      </c>
      <c r="B351" s="1" t="n">
        <v>45826.55306712963</v>
      </c>
      <c r="C351" s="1" t="n">
        <v>46074</v>
      </c>
      <c r="D351" t="inlineStr">
        <is>
          <t>JÄMTLANDS LÄN</t>
        </is>
      </c>
      <c r="E351" t="inlineStr">
        <is>
          <t>BERG</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39544-2025</t>
        </is>
      </c>
      <c r="B352" s="1" t="n">
        <v>45890.45547453704</v>
      </c>
      <c r="C352" s="1" t="n">
        <v>46074</v>
      </c>
      <c r="D352" t="inlineStr">
        <is>
          <t>JÄMTLANDS LÄN</t>
        </is>
      </c>
      <c r="E352" t="inlineStr">
        <is>
          <t>BERG</t>
        </is>
      </c>
      <c r="G352" t="n">
        <v>7.5</v>
      </c>
      <c r="H352" t="n">
        <v>0</v>
      </c>
      <c r="I352" t="n">
        <v>0</v>
      </c>
      <c r="J352" t="n">
        <v>0</v>
      </c>
      <c r="K352" t="n">
        <v>0</v>
      </c>
      <c r="L352" t="n">
        <v>0</v>
      </c>
      <c r="M352" t="n">
        <v>0</v>
      </c>
      <c r="N352" t="n">
        <v>0</v>
      </c>
      <c r="O352" t="n">
        <v>0</v>
      </c>
      <c r="P352" t="n">
        <v>0</v>
      </c>
      <c r="Q352" t="n">
        <v>0</v>
      </c>
      <c r="R352" s="2" t="inlineStr"/>
    </row>
    <row r="353" ht="15" customHeight="1">
      <c r="A353" t="inlineStr">
        <is>
          <t>A 39539-2025</t>
        </is>
      </c>
      <c r="B353" s="1" t="n">
        <v>45890.4525</v>
      </c>
      <c r="C353" s="1" t="n">
        <v>46074</v>
      </c>
      <c r="D353" t="inlineStr">
        <is>
          <t>JÄMTLANDS LÄN</t>
        </is>
      </c>
      <c r="E353" t="inlineStr">
        <is>
          <t>BERG</t>
        </is>
      </c>
      <c r="G353" t="n">
        <v>7.7</v>
      </c>
      <c r="H353" t="n">
        <v>0</v>
      </c>
      <c r="I353" t="n">
        <v>0</v>
      </c>
      <c r="J353" t="n">
        <v>0</v>
      </c>
      <c r="K353" t="n">
        <v>0</v>
      </c>
      <c r="L353" t="n">
        <v>0</v>
      </c>
      <c r="M353" t="n">
        <v>0</v>
      </c>
      <c r="N353" t="n">
        <v>0</v>
      </c>
      <c r="O353" t="n">
        <v>0</v>
      </c>
      <c r="P353" t="n">
        <v>0</v>
      </c>
      <c r="Q353" t="n">
        <v>0</v>
      </c>
      <c r="R353" s="2" t="inlineStr"/>
    </row>
    <row r="354" ht="15" customHeight="1">
      <c r="A354" t="inlineStr">
        <is>
          <t>A 40266-2025</t>
        </is>
      </c>
      <c r="B354" s="1" t="n">
        <v>45895.34478009259</v>
      </c>
      <c r="C354" s="1" t="n">
        <v>46074</v>
      </c>
      <c r="D354" t="inlineStr">
        <is>
          <t>JÄMTLANDS LÄN</t>
        </is>
      </c>
      <c r="E354" t="inlineStr">
        <is>
          <t>BERG</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40060-2025</t>
        </is>
      </c>
      <c r="B355" s="1" t="n">
        <v>45894.42746527777</v>
      </c>
      <c r="C355" s="1" t="n">
        <v>46074</v>
      </c>
      <c r="D355" t="inlineStr">
        <is>
          <t>JÄMTLANDS LÄN</t>
        </is>
      </c>
      <c r="E355" t="inlineStr">
        <is>
          <t>BERG</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21679-2023</t>
        </is>
      </c>
      <c r="B356" s="1" t="n">
        <v>45063.94199074074</v>
      </c>
      <c r="C356" s="1" t="n">
        <v>46074</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40410-2025</t>
        </is>
      </c>
      <c r="B357" s="1" t="n">
        <v>45895.57349537037</v>
      </c>
      <c r="C357" s="1" t="n">
        <v>46074</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40341-2025</t>
        </is>
      </c>
      <c r="B358" s="1" t="n">
        <v>45895</v>
      </c>
      <c r="C358" s="1" t="n">
        <v>46074</v>
      </c>
      <c r="D358" t="inlineStr">
        <is>
          <t>JÄMTLANDS LÄN</t>
        </is>
      </c>
      <c r="E358" t="inlineStr">
        <is>
          <t>BERG</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30314-2025</t>
        </is>
      </c>
      <c r="B359" s="1" t="n">
        <v>45827.49047453704</v>
      </c>
      <c r="C359" s="1" t="n">
        <v>46074</v>
      </c>
      <c r="D359" t="inlineStr">
        <is>
          <t>JÄMTLANDS LÄN</t>
        </is>
      </c>
      <c r="E359" t="inlineStr">
        <is>
          <t>BERG</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29902-2025</t>
        </is>
      </c>
      <c r="B360" s="1" t="n">
        <v>45826</v>
      </c>
      <c r="C360" s="1" t="n">
        <v>46074</v>
      </c>
      <c r="D360" t="inlineStr">
        <is>
          <t>JÄMTLANDS LÄN</t>
        </is>
      </c>
      <c r="E360" t="inlineStr">
        <is>
          <t>BERG</t>
        </is>
      </c>
      <c r="G360" t="n">
        <v>9.1</v>
      </c>
      <c r="H360" t="n">
        <v>0</v>
      </c>
      <c r="I360" t="n">
        <v>0</v>
      </c>
      <c r="J360" t="n">
        <v>0</v>
      </c>
      <c r="K360" t="n">
        <v>0</v>
      </c>
      <c r="L360" t="n">
        <v>0</v>
      </c>
      <c r="M360" t="n">
        <v>0</v>
      </c>
      <c r="N360" t="n">
        <v>0</v>
      </c>
      <c r="O360" t="n">
        <v>0</v>
      </c>
      <c r="P360" t="n">
        <v>0</v>
      </c>
      <c r="Q360" t="n">
        <v>0</v>
      </c>
      <c r="R360" s="2" t="inlineStr"/>
    </row>
    <row r="361" ht="15" customHeight="1">
      <c r="A361" t="inlineStr">
        <is>
          <t>A 29908-2025</t>
        </is>
      </c>
      <c r="B361" s="1" t="n">
        <v>45826</v>
      </c>
      <c r="C361" s="1" t="n">
        <v>46074</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22947-2022</t>
        </is>
      </c>
      <c r="B362" s="1" t="n">
        <v>44715.92443287037</v>
      </c>
      <c r="C362" s="1" t="n">
        <v>46074</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40918-2025</t>
        </is>
      </c>
      <c r="B363" s="1" t="n">
        <v>45897.6292824074</v>
      </c>
      <c r="C363" s="1" t="n">
        <v>46074</v>
      </c>
      <c r="D363" t="inlineStr">
        <is>
          <t>JÄMTLANDS LÄN</t>
        </is>
      </c>
      <c r="E363" t="inlineStr">
        <is>
          <t>BERG</t>
        </is>
      </c>
      <c r="G363" t="n">
        <v>1.7</v>
      </c>
      <c r="H363" t="n">
        <v>0</v>
      </c>
      <c r="I363" t="n">
        <v>0</v>
      </c>
      <c r="J363" t="n">
        <v>0</v>
      </c>
      <c r="K363" t="n">
        <v>0</v>
      </c>
      <c r="L363" t="n">
        <v>0</v>
      </c>
      <c r="M363" t="n">
        <v>0</v>
      </c>
      <c r="N363" t="n">
        <v>0</v>
      </c>
      <c r="O363" t="n">
        <v>0</v>
      </c>
      <c r="P363" t="n">
        <v>0</v>
      </c>
      <c r="Q363" t="n">
        <v>0</v>
      </c>
      <c r="R363" s="2" t="inlineStr"/>
    </row>
    <row r="364" ht="15" customHeight="1">
      <c r="A364" t="inlineStr">
        <is>
          <t>A 20268-2024</t>
        </is>
      </c>
      <c r="B364" s="1" t="n">
        <v>45434.94887731481</v>
      </c>
      <c r="C364" s="1" t="n">
        <v>46074</v>
      </c>
      <c r="D364" t="inlineStr">
        <is>
          <t>JÄMTLANDS LÄN</t>
        </is>
      </c>
      <c r="E364" t="inlineStr">
        <is>
          <t>BERG</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31015-2025</t>
        </is>
      </c>
      <c r="B365" s="1" t="n">
        <v>45832.51086805556</v>
      </c>
      <c r="C365" s="1" t="n">
        <v>46074</v>
      </c>
      <c r="D365" t="inlineStr">
        <is>
          <t>JÄMTLANDS LÄN</t>
        </is>
      </c>
      <c r="E365" t="inlineStr">
        <is>
          <t>BERG</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31017-2025</t>
        </is>
      </c>
      <c r="B366" s="1" t="n">
        <v>45832.51111111111</v>
      </c>
      <c r="C366" s="1" t="n">
        <v>46074</v>
      </c>
      <c r="D366" t="inlineStr">
        <is>
          <t>JÄMTLANDS LÄN</t>
        </is>
      </c>
      <c r="E366" t="inlineStr">
        <is>
          <t>BERG</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12342-2023</t>
        </is>
      </c>
      <c r="B367" s="1" t="n">
        <v>44998</v>
      </c>
      <c r="C367" s="1" t="n">
        <v>46074</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40737-2025</t>
        </is>
      </c>
      <c r="B368" s="1" t="n">
        <v>45897.36572916667</v>
      </c>
      <c r="C368" s="1" t="n">
        <v>46074</v>
      </c>
      <c r="D368" t="inlineStr">
        <is>
          <t>JÄMTLANDS LÄN</t>
        </is>
      </c>
      <c r="E368" t="inlineStr">
        <is>
          <t>BERG</t>
        </is>
      </c>
      <c r="G368" t="n">
        <v>2.8</v>
      </c>
      <c r="H368" t="n">
        <v>0</v>
      </c>
      <c r="I368" t="n">
        <v>0</v>
      </c>
      <c r="J368" t="n">
        <v>0</v>
      </c>
      <c r="K368" t="n">
        <v>0</v>
      </c>
      <c r="L368" t="n">
        <v>0</v>
      </c>
      <c r="M368" t="n">
        <v>0</v>
      </c>
      <c r="N368" t="n">
        <v>0</v>
      </c>
      <c r="O368" t="n">
        <v>0</v>
      </c>
      <c r="P368" t="n">
        <v>0</v>
      </c>
      <c r="Q368" t="n">
        <v>0</v>
      </c>
      <c r="R368" s="2" t="inlineStr"/>
    </row>
    <row r="369" ht="15" customHeight="1">
      <c r="A369" t="inlineStr">
        <is>
          <t>A 31070-2025</t>
        </is>
      </c>
      <c r="B369" s="1" t="n">
        <v>45832.57887731482</v>
      </c>
      <c r="C369" s="1" t="n">
        <v>46074</v>
      </c>
      <c r="D369" t="inlineStr">
        <is>
          <t>JÄMTLANDS LÄN</t>
        </is>
      </c>
      <c r="E369" t="inlineStr">
        <is>
          <t>BERG</t>
        </is>
      </c>
      <c r="G369" t="n">
        <v>3.7</v>
      </c>
      <c r="H369" t="n">
        <v>0</v>
      </c>
      <c r="I369" t="n">
        <v>0</v>
      </c>
      <c r="J369" t="n">
        <v>0</v>
      </c>
      <c r="K369" t="n">
        <v>0</v>
      </c>
      <c r="L369" t="n">
        <v>0</v>
      </c>
      <c r="M369" t="n">
        <v>0</v>
      </c>
      <c r="N369" t="n">
        <v>0</v>
      </c>
      <c r="O369" t="n">
        <v>0</v>
      </c>
      <c r="P369" t="n">
        <v>0</v>
      </c>
      <c r="Q369" t="n">
        <v>0</v>
      </c>
      <c r="R369" s="2" t="inlineStr"/>
    </row>
    <row r="370" ht="15" customHeight="1">
      <c r="A370" t="inlineStr">
        <is>
          <t>A 31090-2025</t>
        </is>
      </c>
      <c r="B370" s="1" t="n">
        <v>45832.59436342592</v>
      </c>
      <c r="C370" s="1" t="n">
        <v>46074</v>
      </c>
      <c r="D370" t="inlineStr">
        <is>
          <t>JÄMTLANDS LÄN</t>
        </is>
      </c>
      <c r="E370" t="inlineStr">
        <is>
          <t>BERG</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40630-2025</t>
        </is>
      </c>
      <c r="B371" s="1" t="n">
        <v>45896</v>
      </c>
      <c r="C371" s="1" t="n">
        <v>46074</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31155-2024</t>
        </is>
      </c>
      <c r="B372" s="1" t="n">
        <v>45503</v>
      </c>
      <c r="C372" s="1" t="n">
        <v>46074</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40708-2025</t>
        </is>
      </c>
      <c r="B373" s="1" t="n">
        <v>45897</v>
      </c>
      <c r="C373" s="1" t="n">
        <v>46074</v>
      </c>
      <c r="D373" t="inlineStr">
        <is>
          <t>JÄMTLANDS LÄN</t>
        </is>
      </c>
      <c r="E373" t="inlineStr">
        <is>
          <t>BERG</t>
        </is>
      </c>
      <c r="G373" t="n">
        <v>6.6</v>
      </c>
      <c r="H373" t="n">
        <v>0</v>
      </c>
      <c r="I373" t="n">
        <v>0</v>
      </c>
      <c r="J373" t="n">
        <v>0</v>
      </c>
      <c r="K373" t="n">
        <v>0</v>
      </c>
      <c r="L373" t="n">
        <v>0</v>
      </c>
      <c r="M373" t="n">
        <v>0</v>
      </c>
      <c r="N373" t="n">
        <v>0</v>
      </c>
      <c r="O373" t="n">
        <v>0</v>
      </c>
      <c r="P373" t="n">
        <v>0</v>
      </c>
      <c r="Q373" t="n">
        <v>0</v>
      </c>
      <c r="R373" s="2" t="inlineStr"/>
    </row>
    <row r="374" ht="15" customHeight="1">
      <c r="A374" t="inlineStr">
        <is>
          <t>A 40873-2025</t>
        </is>
      </c>
      <c r="B374" s="1" t="n">
        <v>45897.5744675926</v>
      </c>
      <c r="C374" s="1" t="n">
        <v>46074</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40617-2025</t>
        </is>
      </c>
      <c r="B375" s="1" t="n">
        <v>45896.58326388889</v>
      </c>
      <c r="C375" s="1" t="n">
        <v>46074</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51172-2024</t>
        </is>
      </c>
      <c r="B376" s="1" t="n">
        <v>45603.59056712963</v>
      </c>
      <c r="C376" s="1" t="n">
        <v>46074</v>
      </c>
      <c r="D376" t="inlineStr">
        <is>
          <t>JÄMTLANDS LÄN</t>
        </is>
      </c>
      <c r="E376" t="inlineStr">
        <is>
          <t>BERG</t>
        </is>
      </c>
      <c r="G376" t="n">
        <v>12.2</v>
      </c>
      <c r="H376" t="n">
        <v>0</v>
      </c>
      <c r="I376" t="n">
        <v>0</v>
      </c>
      <c r="J376" t="n">
        <v>0</v>
      </c>
      <c r="K376" t="n">
        <v>0</v>
      </c>
      <c r="L376" t="n">
        <v>0</v>
      </c>
      <c r="M376" t="n">
        <v>0</v>
      </c>
      <c r="N376" t="n">
        <v>0</v>
      </c>
      <c r="O376" t="n">
        <v>0</v>
      </c>
      <c r="P376" t="n">
        <v>0</v>
      </c>
      <c r="Q376" t="n">
        <v>0</v>
      </c>
      <c r="R376" s="2" t="inlineStr"/>
    </row>
    <row r="377" ht="15" customHeight="1">
      <c r="A377" t="inlineStr">
        <is>
          <t>A 31136-2025</t>
        </is>
      </c>
      <c r="B377" s="1" t="n">
        <v>45832.63599537037</v>
      </c>
      <c r="C377" s="1" t="n">
        <v>46074</v>
      </c>
      <c r="D377" t="inlineStr">
        <is>
          <t>JÄMTLANDS LÄN</t>
        </is>
      </c>
      <c r="E377" t="inlineStr">
        <is>
          <t>BERG</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41247-2025</t>
        </is>
      </c>
      <c r="B378" s="1" t="n">
        <v>45898.60109953704</v>
      </c>
      <c r="C378" s="1" t="n">
        <v>46074</v>
      </c>
      <c r="D378" t="inlineStr">
        <is>
          <t>JÄMTLANDS LÄN</t>
        </is>
      </c>
      <c r="E378" t="inlineStr">
        <is>
          <t>BERG</t>
        </is>
      </c>
      <c r="G378" t="n">
        <v>17.5</v>
      </c>
      <c r="H378" t="n">
        <v>0</v>
      </c>
      <c r="I378" t="n">
        <v>0</v>
      </c>
      <c r="J378" t="n">
        <v>0</v>
      </c>
      <c r="K378" t="n">
        <v>0</v>
      </c>
      <c r="L378" t="n">
        <v>0</v>
      </c>
      <c r="M378" t="n">
        <v>0</v>
      </c>
      <c r="N378" t="n">
        <v>0</v>
      </c>
      <c r="O378" t="n">
        <v>0</v>
      </c>
      <c r="P378" t="n">
        <v>0</v>
      </c>
      <c r="Q378" t="n">
        <v>0</v>
      </c>
      <c r="R378" s="2" t="inlineStr"/>
    </row>
    <row r="379" ht="15" customHeight="1">
      <c r="A379" t="inlineStr">
        <is>
          <t>A 41263-2025</t>
        </is>
      </c>
      <c r="B379" s="1" t="n">
        <v>45898.61517361111</v>
      </c>
      <c r="C379" s="1" t="n">
        <v>46074</v>
      </c>
      <c r="D379" t="inlineStr">
        <is>
          <t>JÄMTLANDS LÄN</t>
        </is>
      </c>
      <c r="E379" t="inlineStr">
        <is>
          <t>BERG</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65210-2023</t>
        </is>
      </c>
      <c r="B380" s="1" t="n">
        <v>45289</v>
      </c>
      <c r="C380" s="1" t="n">
        <v>46074</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41295-2025</t>
        </is>
      </c>
      <c r="B381" s="1" t="n">
        <v>45898.65660879629</v>
      </c>
      <c r="C381" s="1" t="n">
        <v>46074</v>
      </c>
      <c r="D381" t="inlineStr">
        <is>
          <t>JÄMTLANDS LÄN</t>
        </is>
      </c>
      <c r="E381" t="inlineStr">
        <is>
          <t>BERG</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41265-2025</t>
        </is>
      </c>
      <c r="B382" s="1" t="n">
        <v>45898.6153587963</v>
      </c>
      <c r="C382" s="1" t="n">
        <v>46074</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12392-2025</t>
        </is>
      </c>
      <c r="B383" s="1" t="n">
        <v>45730.40104166666</v>
      </c>
      <c r="C383" s="1" t="n">
        <v>46074</v>
      </c>
      <c r="D383" t="inlineStr">
        <is>
          <t>JÄMTLANDS LÄN</t>
        </is>
      </c>
      <c r="E383" t="inlineStr">
        <is>
          <t>BERG</t>
        </is>
      </c>
      <c r="G383" t="n">
        <v>5.1</v>
      </c>
      <c r="H383" t="n">
        <v>0</v>
      </c>
      <c r="I383" t="n">
        <v>0</v>
      </c>
      <c r="J383" t="n">
        <v>0</v>
      </c>
      <c r="K383" t="n">
        <v>0</v>
      </c>
      <c r="L383" t="n">
        <v>0</v>
      </c>
      <c r="M383" t="n">
        <v>0</v>
      </c>
      <c r="N383" t="n">
        <v>0</v>
      </c>
      <c r="O383" t="n">
        <v>0</v>
      </c>
      <c r="P383" t="n">
        <v>0</v>
      </c>
      <c r="Q383" t="n">
        <v>0</v>
      </c>
      <c r="R383" s="2" t="inlineStr"/>
    </row>
    <row r="384" ht="15" customHeight="1">
      <c r="A384" t="inlineStr">
        <is>
          <t>A 32160-2025</t>
        </is>
      </c>
      <c r="B384" s="1" t="n">
        <v>45835.54142361111</v>
      </c>
      <c r="C384" s="1" t="n">
        <v>46074</v>
      </c>
      <c r="D384" t="inlineStr">
        <is>
          <t>JÄMTLANDS LÄN</t>
        </is>
      </c>
      <c r="E384" t="inlineStr">
        <is>
          <t>BERG</t>
        </is>
      </c>
      <c r="G384" t="n">
        <v>10.3</v>
      </c>
      <c r="H384" t="n">
        <v>0</v>
      </c>
      <c r="I384" t="n">
        <v>0</v>
      </c>
      <c r="J384" t="n">
        <v>0</v>
      </c>
      <c r="K384" t="n">
        <v>0</v>
      </c>
      <c r="L384" t="n">
        <v>0</v>
      </c>
      <c r="M384" t="n">
        <v>0</v>
      </c>
      <c r="N384" t="n">
        <v>0</v>
      </c>
      <c r="O384" t="n">
        <v>0</v>
      </c>
      <c r="P384" t="n">
        <v>0</v>
      </c>
      <c r="Q384" t="n">
        <v>0</v>
      </c>
      <c r="R384" s="2" t="inlineStr"/>
    </row>
    <row r="385" ht="15" customHeight="1">
      <c r="A385" t="inlineStr">
        <is>
          <t>A 64251-2023</t>
        </is>
      </c>
      <c r="B385" s="1" t="n">
        <v>45279.92756944444</v>
      </c>
      <c r="C385" s="1" t="n">
        <v>46074</v>
      </c>
      <c r="D385" t="inlineStr">
        <is>
          <t>JÄMTLANDS LÄN</t>
        </is>
      </c>
      <c r="E385" t="inlineStr">
        <is>
          <t>BERG</t>
        </is>
      </c>
      <c r="G385" t="n">
        <v>0.4</v>
      </c>
      <c r="H385" t="n">
        <v>0</v>
      </c>
      <c r="I385" t="n">
        <v>0</v>
      </c>
      <c r="J385" t="n">
        <v>0</v>
      </c>
      <c r="K385" t="n">
        <v>0</v>
      </c>
      <c r="L385" t="n">
        <v>0</v>
      </c>
      <c r="M385" t="n">
        <v>0</v>
      </c>
      <c r="N385" t="n">
        <v>0</v>
      </c>
      <c r="O385" t="n">
        <v>0</v>
      </c>
      <c r="P385" t="n">
        <v>0</v>
      </c>
      <c r="Q385" t="n">
        <v>0</v>
      </c>
      <c r="R385" s="2" t="inlineStr"/>
    </row>
    <row r="386" ht="15" customHeight="1">
      <c r="A386" t="inlineStr">
        <is>
          <t>A 31820-2025</t>
        </is>
      </c>
      <c r="B386" s="1" t="n">
        <v>45834.57930555556</v>
      </c>
      <c r="C386" s="1" t="n">
        <v>46074</v>
      </c>
      <c r="D386" t="inlineStr">
        <is>
          <t>JÄMTLANDS LÄN</t>
        </is>
      </c>
      <c r="E386" t="inlineStr">
        <is>
          <t>BERG</t>
        </is>
      </c>
      <c r="G386" t="n">
        <v>13.9</v>
      </c>
      <c r="H386" t="n">
        <v>0</v>
      </c>
      <c r="I386" t="n">
        <v>0</v>
      </c>
      <c r="J386" t="n">
        <v>0</v>
      </c>
      <c r="K386" t="n">
        <v>0</v>
      </c>
      <c r="L386" t="n">
        <v>0</v>
      </c>
      <c r="M386" t="n">
        <v>0</v>
      </c>
      <c r="N386" t="n">
        <v>0</v>
      </c>
      <c r="O386" t="n">
        <v>0</v>
      </c>
      <c r="P386" t="n">
        <v>0</v>
      </c>
      <c r="Q386" t="n">
        <v>0</v>
      </c>
      <c r="R386" s="2" t="inlineStr"/>
    </row>
    <row r="387" ht="15" customHeight="1">
      <c r="A387" t="inlineStr">
        <is>
          <t>A 42003-2025</t>
        </is>
      </c>
      <c r="B387" s="1" t="n">
        <v>45903.55403935185</v>
      </c>
      <c r="C387" s="1" t="n">
        <v>46074</v>
      </c>
      <c r="D387" t="inlineStr">
        <is>
          <t>JÄMTLANDS LÄN</t>
        </is>
      </c>
      <c r="E387" t="inlineStr">
        <is>
          <t>BERG</t>
        </is>
      </c>
      <c r="F387" t="inlineStr">
        <is>
          <t>Övriga statliga verk och myndigheter</t>
        </is>
      </c>
      <c r="G387" t="n">
        <v>10.5</v>
      </c>
      <c r="H387" t="n">
        <v>0</v>
      </c>
      <c r="I387" t="n">
        <v>0</v>
      </c>
      <c r="J387" t="n">
        <v>0</v>
      </c>
      <c r="K387" t="n">
        <v>0</v>
      </c>
      <c r="L387" t="n">
        <v>0</v>
      </c>
      <c r="M387" t="n">
        <v>0</v>
      </c>
      <c r="N387" t="n">
        <v>0</v>
      </c>
      <c r="O387" t="n">
        <v>0</v>
      </c>
      <c r="P387" t="n">
        <v>0</v>
      </c>
      <c r="Q387" t="n">
        <v>0</v>
      </c>
      <c r="R387" s="2" t="inlineStr"/>
    </row>
    <row r="388" ht="15" customHeight="1">
      <c r="A388" t="inlineStr">
        <is>
          <t>A 33481-2023</t>
        </is>
      </c>
      <c r="B388" s="1" t="n">
        <v>45131</v>
      </c>
      <c r="C388" s="1" t="n">
        <v>46074</v>
      </c>
      <c r="D388" t="inlineStr">
        <is>
          <t>JÄMTLANDS LÄN</t>
        </is>
      </c>
      <c r="E388" t="inlineStr">
        <is>
          <t>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41930-2025</t>
        </is>
      </c>
      <c r="B389" s="1" t="n">
        <v>45903.43454861111</v>
      </c>
      <c r="C389" s="1" t="n">
        <v>46074</v>
      </c>
      <c r="D389" t="inlineStr">
        <is>
          <t>JÄMTLANDS LÄN</t>
        </is>
      </c>
      <c r="E389" t="inlineStr">
        <is>
          <t>BERG</t>
        </is>
      </c>
      <c r="F389" t="inlineStr">
        <is>
          <t>Övriga statliga verk och myndigheter</t>
        </is>
      </c>
      <c r="G389" t="n">
        <v>2.4</v>
      </c>
      <c r="H389" t="n">
        <v>0</v>
      </c>
      <c r="I389" t="n">
        <v>0</v>
      </c>
      <c r="J389" t="n">
        <v>0</v>
      </c>
      <c r="K389" t="n">
        <v>0</v>
      </c>
      <c r="L389" t="n">
        <v>0</v>
      </c>
      <c r="M389" t="n">
        <v>0</v>
      </c>
      <c r="N389" t="n">
        <v>0</v>
      </c>
      <c r="O389" t="n">
        <v>0</v>
      </c>
      <c r="P389" t="n">
        <v>0</v>
      </c>
      <c r="Q389" t="n">
        <v>0</v>
      </c>
      <c r="R389" s="2" t="inlineStr"/>
    </row>
    <row r="390" ht="15" customHeight="1">
      <c r="A390" t="inlineStr">
        <is>
          <t>A 41997-2025</t>
        </is>
      </c>
      <c r="B390" s="1" t="n">
        <v>45903.55162037037</v>
      </c>
      <c r="C390" s="1" t="n">
        <v>46074</v>
      </c>
      <c r="D390" t="inlineStr">
        <is>
          <t>JÄMTLANDS LÄN</t>
        </is>
      </c>
      <c r="E390" t="inlineStr">
        <is>
          <t>BERG</t>
        </is>
      </c>
      <c r="F390" t="inlineStr">
        <is>
          <t>Övriga statliga verk och myndigheter</t>
        </is>
      </c>
      <c r="G390" t="n">
        <v>2.2</v>
      </c>
      <c r="H390" t="n">
        <v>0</v>
      </c>
      <c r="I390" t="n">
        <v>0</v>
      </c>
      <c r="J390" t="n">
        <v>0</v>
      </c>
      <c r="K390" t="n">
        <v>0</v>
      </c>
      <c r="L390" t="n">
        <v>0</v>
      </c>
      <c r="M390" t="n">
        <v>0</v>
      </c>
      <c r="N390" t="n">
        <v>0</v>
      </c>
      <c r="O390" t="n">
        <v>0</v>
      </c>
      <c r="P390" t="n">
        <v>0</v>
      </c>
      <c r="Q390" t="n">
        <v>0</v>
      </c>
      <c r="R390" s="2" t="inlineStr"/>
    </row>
    <row r="391" ht="15" customHeight="1">
      <c r="A391" t="inlineStr">
        <is>
          <t>A 31024-2025</t>
        </is>
      </c>
      <c r="B391" s="1" t="n">
        <v>45832.52571759259</v>
      </c>
      <c r="C391" s="1" t="n">
        <v>46074</v>
      </c>
      <c r="D391" t="inlineStr">
        <is>
          <t>JÄMTLANDS LÄN</t>
        </is>
      </c>
      <c r="E391" t="inlineStr">
        <is>
          <t>BERG</t>
        </is>
      </c>
      <c r="G391" t="n">
        <v>3.6</v>
      </c>
      <c r="H391" t="n">
        <v>0</v>
      </c>
      <c r="I391" t="n">
        <v>0</v>
      </c>
      <c r="J391" t="n">
        <v>0</v>
      </c>
      <c r="K391" t="n">
        <v>0</v>
      </c>
      <c r="L391" t="n">
        <v>0</v>
      </c>
      <c r="M391" t="n">
        <v>0</v>
      </c>
      <c r="N391" t="n">
        <v>0</v>
      </c>
      <c r="O391" t="n">
        <v>0</v>
      </c>
      <c r="P391" t="n">
        <v>0</v>
      </c>
      <c r="Q391" t="n">
        <v>0</v>
      </c>
      <c r="R391" s="2" t="inlineStr"/>
    </row>
    <row r="392" ht="15" customHeight="1">
      <c r="A392" t="inlineStr">
        <is>
          <t>A 8711-2024</t>
        </is>
      </c>
      <c r="B392" s="1" t="n">
        <v>45356</v>
      </c>
      <c r="C392" s="1" t="n">
        <v>46074</v>
      </c>
      <c r="D392" t="inlineStr">
        <is>
          <t>JÄMTLANDS LÄN</t>
        </is>
      </c>
      <c r="E392" t="inlineStr">
        <is>
          <t>BERG</t>
        </is>
      </c>
      <c r="G392" t="n">
        <v>5.2</v>
      </c>
      <c r="H392" t="n">
        <v>0</v>
      </c>
      <c r="I392" t="n">
        <v>0</v>
      </c>
      <c r="J392" t="n">
        <v>0</v>
      </c>
      <c r="K392" t="n">
        <v>0</v>
      </c>
      <c r="L392" t="n">
        <v>0</v>
      </c>
      <c r="M392" t="n">
        <v>0</v>
      </c>
      <c r="N392" t="n">
        <v>0</v>
      </c>
      <c r="O392" t="n">
        <v>0</v>
      </c>
      <c r="P392" t="n">
        <v>0</v>
      </c>
      <c r="Q392" t="n">
        <v>0</v>
      </c>
      <c r="R392" s="2" t="inlineStr"/>
    </row>
    <row r="393" ht="15" customHeight="1">
      <c r="A393" t="inlineStr">
        <is>
          <t>A 32713-2025</t>
        </is>
      </c>
      <c r="B393" s="1" t="n">
        <v>45839.36935185185</v>
      </c>
      <c r="C393" s="1" t="n">
        <v>46074</v>
      </c>
      <c r="D393" t="inlineStr">
        <is>
          <t>JÄMTLANDS LÄN</t>
        </is>
      </c>
      <c r="E393" t="inlineStr">
        <is>
          <t>BERG</t>
        </is>
      </c>
      <c r="G393" t="n">
        <v>1.5</v>
      </c>
      <c r="H393" t="n">
        <v>0</v>
      </c>
      <c r="I393" t="n">
        <v>0</v>
      </c>
      <c r="J393" t="n">
        <v>0</v>
      </c>
      <c r="K393" t="n">
        <v>0</v>
      </c>
      <c r="L393" t="n">
        <v>0</v>
      </c>
      <c r="M393" t="n">
        <v>0</v>
      </c>
      <c r="N393" t="n">
        <v>0</v>
      </c>
      <c r="O393" t="n">
        <v>0</v>
      </c>
      <c r="P393" t="n">
        <v>0</v>
      </c>
      <c r="Q393" t="n">
        <v>0</v>
      </c>
      <c r="R393" s="2" t="inlineStr"/>
    </row>
    <row r="394" ht="15" customHeight="1">
      <c r="A394" t="inlineStr">
        <is>
          <t>A 28403-2025</t>
        </is>
      </c>
      <c r="B394" s="1" t="n">
        <v>45819</v>
      </c>
      <c r="C394" s="1" t="n">
        <v>46074</v>
      </c>
      <c r="D394" t="inlineStr">
        <is>
          <t>JÄMTLANDS LÄN</t>
        </is>
      </c>
      <c r="E394" t="inlineStr">
        <is>
          <t>BERG</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14198-2023</t>
        </is>
      </c>
      <c r="B395" s="1" t="n">
        <v>45009.57518518518</v>
      </c>
      <c r="C395" s="1" t="n">
        <v>46074</v>
      </c>
      <c r="D395" t="inlineStr">
        <is>
          <t>JÄMTLANDS LÄN</t>
        </is>
      </c>
      <c r="E395" t="inlineStr">
        <is>
          <t>BERG</t>
        </is>
      </c>
      <c r="G395" t="n">
        <v>2.3</v>
      </c>
      <c r="H395" t="n">
        <v>0</v>
      </c>
      <c r="I395" t="n">
        <v>0</v>
      </c>
      <c r="J395" t="n">
        <v>0</v>
      </c>
      <c r="K395" t="n">
        <v>0</v>
      </c>
      <c r="L395" t="n">
        <v>0</v>
      </c>
      <c r="M395" t="n">
        <v>0</v>
      </c>
      <c r="N395" t="n">
        <v>0</v>
      </c>
      <c r="O395" t="n">
        <v>0</v>
      </c>
      <c r="P395" t="n">
        <v>0</v>
      </c>
      <c r="Q395" t="n">
        <v>0</v>
      </c>
      <c r="R395" s="2" t="inlineStr"/>
    </row>
    <row r="396" ht="15" customHeight="1">
      <c r="A396" t="inlineStr">
        <is>
          <t>A 1596-2024</t>
        </is>
      </c>
      <c r="B396" s="1" t="n">
        <v>45306</v>
      </c>
      <c r="C396" s="1" t="n">
        <v>46074</v>
      </c>
      <c r="D396" t="inlineStr">
        <is>
          <t>JÄMTLANDS LÄN</t>
        </is>
      </c>
      <c r="E396" t="inlineStr">
        <is>
          <t>BERG</t>
        </is>
      </c>
      <c r="G396" t="n">
        <v>0.8</v>
      </c>
      <c r="H396" t="n">
        <v>0</v>
      </c>
      <c r="I396" t="n">
        <v>0</v>
      </c>
      <c r="J396" t="n">
        <v>0</v>
      </c>
      <c r="K396" t="n">
        <v>0</v>
      </c>
      <c r="L396" t="n">
        <v>0</v>
      </c>
      <c r="M396" t="n">
        <v>0</v>
      </c>
      <c r="N396" t="n">
        <v>0</v>
      </c>
      <c r="O396" t="n">
        <v>0</v>
      </c>
      <c r="P396" t="n">
        <v>0</v>
      </c>
      <c r="Q396" t="n">
        <v>0</v>
      </c>
      <c r="R396" s="2" t="inlineStr"/>
    </row>
    <row r="397" ht="15" customHeight="1">
      <c r="A397" t="inlineStr">
        <is>
          <t>A 42415-2025</t>
        </is>
      </c>
      <c r="B397" s="1" t="n">
        <v>45905.39195601852</v>
      </c>
      <c r="C397" s="1" t="n">
        <v>46074</v>
      </c>
      <c r="D397" t="inlineStr">
        <is>
          <t>JÄMTLANDS LÄN</t>
        </is>
      </c>
      <c r="E397" t="inlineStr">
        <is>
          <t>BERG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42378-2025</t>
        </is>
      </c>
      <c r="B398" s="1" t="n">
        <v>45905.34423611111</v>
      </c>
      <c r="C398" s="1" t="n">
        <v>46074</v>
      </c>
      <c r="D398" t="inlineStr">
        <is>
          <t>JÄMTLANDS LÄN</t>
        </is>
      </c>
      <c r="E398" t="inlineStr">
        <is>
          <t>BERG</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42439-2025</t>
        </is>
      </c>
      <c r="B399" s="1" t="n">
        <v>45905.42969907408</v>
      </c>
      <c r="C399" s="1" t="n">
        <v>46074</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1520-2022</t>
        </is>
      </c>
      <c r="B400" s="1" t="n">
        <v>44572</v>
      </c>
      <c r="C400" s="1" t="n">
        <v>46074</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27239-2023</t>
        </is>
      </c>
      <c r="B401" s="1" t="n">
        <v>45092</v>
      </c>
      <c r="C401" s="1" t="n">
        <v>46074</v>
      </c>
      <c r="D401" t="inlineStr">
        <is>
          <t>JÄMTLANDS LÄN</t>
        </is>
      </c>
      <c r="E401" t="inlineStr">
        <is>
          <t>BERG</t>
        </is>
      </c>
      <c r="G401" t="n">
        <v>5.3</v>
      </c>
      <c r="H401" t="n">
        <v>0</v>
      </c>
      <c r="I401" t="n">
        <v>0</v>
      </c>
      <c r="J401" t="n">
        <v>0</v>
      </c>
      <c r="K401" t="n">
        <v>0</v>
      </c>
      <c r="L401" t="n">
        <v>0</v>
      </c>
      <c r="M401" t="n">
        <v>0</v>
      </c>
      <c r="N401" t="n">
        <v>0</v>
      </c>
      <c r="O401" t="n">
        <v>0</v>
      </c>
      <c r="P401" t="n">
        <v>0</v>
      </c>
      <c r="Q401" t="n">
        <v>0</v>
      </c>
      <c r="R401" s="2" t="inlineStr"/>
    </row>
    <row r="402" ht="15" customHeight="1">
      <c r="A402" t="inlineStr">
        <is>
          <t>A 32248-2024</t>
        </is>
      </c>
      <c r="B402" s="1" t="n">
        <v>45511.95144675926</v>
      </c>
      <c r="C402" s="1" t="n">
        <v>46074</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32919-2025</t>
        </is>
      </c>
      <c r="B403" s="1" t="n">
        <v>45839.64721064815</v>
      </c>
      <c r="C403" s="1" t="n">
        <v>46074</v>
      </c>
      <c r="D403" t="inlineStr">
        <is>
          <t>JÄMTLANDS LÄN</t>
        </is>
      </c>
      <c r="E403" t="inlineStr">
        <is>
          <t>BERG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39103-2024</t>
        </is>
      </c>
      <c r="B404" s="1" t="n">
        <v>45548.57025462963</v>
      </c>
      <c r="C404" s="1" t="n">
        <v>46074</v>
      </c>
      <c r="D404" t="inlineStr">
        <is>
          <t>JÄMTLANDS LÄN</t>
        </is>
      </c>
      <c r="E404" t="inlineStr">
        <is>
          <t>BERG</t>
        </is>
      </c>
      <c r="G404" t="n">
        <v>38.4</v>
      </c>
      <c r="H404" t="n">
        <v>0</v>
      </c>
      <c r="I404" t="n">
        <v>0</v>
      </c>
      <c r="J404" t="n">
        <v>0</v>
      </c>
      <c r="K404" t="n">
        <v>0</v>
      </c>
      <c r="L404" t="n">
        <v>0</v>
      </c>
      <c r="M404" t="n">
        <v>0</v>
      </c>
      <c r="N404" t="n">
        <v>0</v>
      </c>
      <c r="O404" t="n">
        <v>0</v>
      </c>
      <c r="P404" t="n">
        <v>0</v>
      </c>
      <c r="Q404" t="n">
        <v>0</v>
      </c>
      <c r="R404" s="2" t="inlineStr"/>
    </row>
    <row r="405" ht="15" customHeight="1">
      <c r="A405" t="inlineStr">
        <is>
          <t>A 8191-2025</t>
        </is>
      </c>
      <c r="B405" s="1" t="n">
        <v>45708.40821759259</v>
      </c>
      <c r="C405" s="1" t="n">
        <v>46074</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42862-2025</t>
        </is>
      </c>
      <c r="B406" s="1" t="n">
        <v>45908.61515046296</v>
      </c>
      <c r="C406" s="1" t="n">
        <v>46074</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43015-2025</t>
        </is>
      </c>
      <c r="B407" s="1" t="n">
        <v>45909.49278935185</v>
      </c>
      <c r="C407" s="1" t="n">
        <v>46074</v>
      </c>
      <c r="D407" t="inlineStr">
        <is>
          <t>JÄMTLANDS LÄN</t>
        </is>
      </c>
      <c r="E407" t="inlineStr">
        <is>
          <t>BERG</t>
        </is>
      </c>
      <c r="G407" t="n">
        <v>1.3</v>
      </c>
      <c r="H407" t="n">
        <v>0</v>
      </c>
      <c r="I407" t="n">
        <v>0</v>
      </c>
      <c r="J407" t="n">
        <v>0</v>
      </c>
      <c r="K407" t="n">
        <v>0</v>
      </c>
      <c r="L407" t="n">
        <v>0</v>
      </c>
      <c r="M407" t="n">
        <v>0</v>
      </c>
      <c r="N407" t="n">
        <v>0</v>
      </c>
      <c r="O407" t="n">
        <v>0</v>
      </c>
      <c r="P407" t="n">
        <v>0</v>
      </c>
      <c r="Q407" t="n">
        <v>0</v>
      </c>
      <c r="R407" s="2" t="inlineStr"/>
    </row>
    <row r="408" ht="15" customHeight="1">
      <c r="A408" t="inlineStr">
        <is>
          <t>A 33054-2025</t>
        </is>
      </c>
      <c r="B408" s="1" t="n">
        <v>45840.42746527777</v>
      </c>
      <c r="C408" s="1" t="n">
        <v>46074</v>
      </c>
      <c r="D408" t="inlineStr">
        <is>
          <t>JÄMTLANDS LÄN</t>
        </is>
      </c>
      <c r="E408" t="inlineStr">
        <is>
          <t>BERG</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43442-2025</t>
        </is>
      </c>
      <c r="B409" s="1" t="n">
        <v>45911.44244212963</v>
      </c>
      <c r="C409" s="1" t="n">
        <v>46074</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43443-2025</t>
        </is>
      </c>
      <c r="B410" s="1" t="n">
        <v>45911.44350694444</v>
      </c>
      <c r="C410" s="1" t="n">
        <v>46074</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46074</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33750-2025</t>
        </is>
      </c>
      <c r="B412" s="1" t="n">
        <v>45842.36243055556</v>
      </c>
      <c r="C412" s="1" t="n">
        <v>46074</v>
      </c>
      <c r="D412" t="inlineStr">
        <is>
          <t>JÄMTLANDS LÄN</t>
        </is>
      </c>
      <c r="E412" t="inlineStr">
        <is>
          <t>BERG</t>
        </is>
      </c>
      <c r="G412" t="n">
        <v>0.9</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46074</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43441-2025</t>
        </is>
      </c>
      <c r="B414" s="1" t="n">
        <v>45911.44184027778</v>
      </c>
      <c r="C414" s="1" t="n">
        <v>46074</v>
      </c>
      <c r="D414" t="inlineStr">
        <is>
          <t>JÄMTLANDS LÄN</t>
        </is>
      </c>
      <c r="E414" t="inlineStr">
        <is>
          <t>BERG</t>
        </is>
      </c>
      <c r="G414" t="n">
        <v>2</v>
      </c>
      <c r="H414" t="n">
        <v>0</v>
      </c>
      <c r="I414" t="n">
        <v>0</v>
      </c>
      <c r="J414" t="n">
        <v>0</v>
      </c>
      <c r="K414" t="n">
        <v>0</v>
      </c>
      <c r="L414" t="n">
        <v>0</v>
      </c>
      <c r="M414" t="n">
        <v>0</v>
      </c>
      <c r="N414" t="n">
        <v>0</v>
      </c>
      <c r="O414" t="n">
        <v>0</v>
      </c>
      <c r="P414" t="n">
        <v>0</v>
      </c>
      <c r="Q414" t="n">
        <v>0</v>
      </c>
      <c r="R414" s="2" t="inlineStr"/>
    </row>
    <row r="415" ht="15" customHeight="1">
      <c r="A415" t="inlineStr">
        <is>
          <t>A 43456-2025</t>
        </is>
      </c>
      <c r="B415" s="1" t="n">
        <v>45911.46148148148</v>
      </c>
      <c r="C415" s="1" t="n">
        <v>46074</v>
      </c>
      <c r="D415" t="inlineStr">
        <is>
          <t>JÄMTLANDS LÄN</t>
        </is>
      </c>
      <c r="E415" t="inlineStr">
        <is>
          <t>BERG</t>
        </is>
      </c>
      <c r="G415" t="n">
        <v>1</v>
      </c>
      <c r="H415" t="n">
        <v>0</v>
      </c>
      <c r="I415" t="n">
        <v>0</v>
      </c>
      <c r="J415" t="n">
        <v>0</v>
      </c>
      <c r="K415" t="n">
        <v>0</v>
      </c>
      <c r="L415" t="n">
        <v>0</v>
      </c>
      <c r="M415" t="n">
        <v>0</v>
      </c>
      <c r="N415" t="n">
        <v>0</v>
      </c>
      <c r="O415" t="n">
        <v>0</v>
      </c>
      <c r="P415" t="n">
        <v>0</v>
      </c>
      <c r="Q415" t="n">
        <v>0</v>
      </c>
      <c r="R415" s="2" t="inlineStr"/>
    </row>
    <row r="416" ht="15" customHeight="1">
      <c r="A416" t="inlineStr">
        <is>
          <t>A 43560-2025</t>
        </is>
      </c>
      <c r="B416" s="1" t="n">
        <v>45911.62758101852</v>
      </c>
      <c r="C416" s="1" t="n">
        <v>46074</v>
      </c>
      <c r="D416" t="inlineStr">
        <is>
          <t>JÄMTLANDS LÄN</t>
        </is>
      </c>
      <c r="E416" t="inlineStr">
        <is>
          <t>BERG</t>
        </is>
      </c>
      <c r="G416" t="n">
        <v>10</v>
      </c>
      <c r="H416" t="n">
        <v>0</v>
      </c>
      <c r="I416" t="n">
        <v>0</v>
      </c>
      <c r="J416" t="n">
        <v>0</v>
      </c>
      <c r="K416" t="n">
        <v>0</v>
      </c>
      <c r="L416" t="n">
        <v>0</v>
      </c>
      <c r="M416" t="n">
        <v>0</v>
      </c>
      <c r="N416" t="n">
        <v>0</v>
      </c>
      <c r="O416" t="n">
        <v>0</v>
      </c>
      <c r="P416" t="n">
        <v>0</v>
      </c>
      <c r="Q416" t="n">
        <v>0</v>
      </c>
      <c r="R416" s="2" t="inlineStr"/>
    </row>
    <row r="417" ht="15" customHeight="1">
      <c r="A417" t="inlineStr">
        <is>
          <t>A 25565-2023</t>
        </is>
      </c>
      <c r="B417" s="1" t="n">
        <v>45082</v>
      </c>
      <c r="C417" s="1" t="n">
        <v>46074</v>
      </c>
      <c r="D417" t="inlineStr">
        <is>
          <t>JÄMTLANDS LÄN</t>
        </is>
      </c>
      <c r="E417" t="inlineStr">
        <is>
          <t>BERG</t>
        </is>
      </c>
      <c r="G417" t="n">
        <v>3.1</v>
      </c>
      <c r="H417" t="n">
        <v>0</v>
      </c>
      <c r="I417" t="n">
        <v>0</v>
      </c>
      <c r="J417" t="n">
        <v>0</v>
      </c>
      <c r="K417" t="n">
        <v>0</v>
      </c>
      <c r="L417" t="n">
        <v>0</v>
      </c>
      <c r="M417" t="n">
        <v>0</v>
      </c>
      <c r="N417" t="n">
        <v>0</v>
      </c>
      <c r="O417" t="n">
        <v>0</v>
      </c>
      <c r="P417" t="n">
        <v>0</v>
      </c>
      <c r="Q417" t="n">
        <v>0</v>
      </c>
      <c r="R417" s="2" t="inlineStr"/>
    </row>
    <row r="418" ht="15" customHeight="1">
      <c r="A418" t="inlineStr">
        <is>
          <t>A 43364-2025</t>
        </is>
      </c>
      <c r="B418" s="1" t="n">
        <v>45911.34483796296</v>
      </c>
      <c r="C418" s="1" t="n">
        <v>46074</v>
      </c>
      <c r="D418" t="inlineStr">
        <is>
          <t>JÄMTLANDS LÄN</t>
        </is>
      </c>
      <c r="E418" t="inlineStr">
        <is>
          <t>BERG</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33748-2025</t>
        </is>
      </c>
      <c r="B419" s="1" t="n">
        <v>45842.35685185185</v>
      </c>
      <c r="C419" s="1" t="n">
        <v>46074</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57661-2024</t>
        </is>
      </c>
      <c r="B420" s="1" t="n">
        <v>45630.6140162037</v>
      </c>
      <c r="C420" s="1" t="n">
        <v>46074</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45208-2024</t>
        </is>
      </c>
      <c r="B421" s="1" t="n">
        <v>45575.7077662037</v>
      </c>
      <c r="C421" s="1" t="n">
        <v>46074</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34030-2025</t>
        </is>
      </c>
      <c r="B422" s="1" t="n">
        <v>45845.3633912037</v>
      </c>
      <c r="C422" s="1" t="n">
        <v>46074</v>
      </c>
      <c r="D422" t="inlineStr">
        <is>
          <t>JÄMTLANDS LÄN</t>
        </is>
      </c>
      <c r="E422" t="inlineStr">
        <is>
          <t>BERG</t>
        </is>
      </c>
      <c r="G422" t="n">
        <v>13.5</v>
      </c>
      <c r="H422" t="n">
        <v>0</v>
      </c>
      <c r="I422" t="n">
        <v>0</v>
      </c>
      <c r="J422" t="n">
        <v>0</v>
      </c>
      <c r="K422" t="n">
        <v>0</v>
      </c>
      <c r="L422" t="n">
        <v>0</v>
      </c>
      <c r="M422" t="n">
        <v>0</v>
      </c>
      <c r="N422" t="n">
        <v>0</v>
      </c>
      <c r="O422" t="n">
        <v>0</v>
      </c>
      <c r="P422" t="n">
        <v>0</v>
      </c>
      <c r="Q422" t="n">
        <v>0</v>
      </c>
      <c r="R422" s="2" t="inlineStr"/>
    </row>
    <row r="423" ht="15" customHeight="1">
      <c r="A423" t="inlineStr">
        <is>
          <t>A 33753-2025</t>
        </is>
      </c>
      <c r="B423" s="1" t="n">
        <v>45842.37199074074</v>
      </c>
      <c r="C423" s="1" t="n">
        <v>46074</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34036-2025</t>
        </is>
      </c>
      <c r="B424" s="1" t="n">
        <v>45845.36954861111</v>
      </c>
      <c r="C424" s="1" t="n">
        <v>46074</v>
      </c>
      <c r="D424" t="inlineStr">
        <is>
          <t>JÄMTLANDS LÄN</t>
        </is>
      </c>
      <c r="E424" t="inlineStr">
        <is>
          <t>BERG</t>
        </is>
      </c>
      <c r="G424" t="n">
        <v>4.8</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46074</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46074</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35866-2024</t>
        </is>
      </c>
      <c r="B427" s="1" t="n">
        <v>45533.3422337963</v>
      </c>
      <c r="C427" s="1" t="n">
        <v>46074</v>
      </c>
      <c r="D427" t="inlineStr">
        <is>
          <t>JÄMTLANDS LÄN</t>
        </is>
      </c>
      <c r="E427" t="inlineStr">
        <is>
          <t>BERG</t>
        </is>
      </c>
      <c r="G427" t="n">
        <v>2.5</v>
      </c>
      <c r="H427" t="n">
        <v>0</v>
      </c>
      <c r="I427" t="n">
        <v>0</v>
      </c>
      <c r="J427" t="n">
        <v>0</v>
      </c>
      <c r="K427" t="n">
        <v>0</v>
      </c>
      <c r="L427" t="n">
        <v>0</v>
      </c>
      <c r="M427" t="n">
        <v>0</v>
      </c>
      <c r="N427" t="n">
        <v>0</v>
      </c>
      <c r="O427" t="n">
        <v>0</v>
      </c>
      <c r="P427" t="n">
        <v>0</v>
      </c>
      <c r="Q427" t="n">
        <v>0</v>
      </c>
      <c r="R427" s="2" t="inlineStr"/>
    </row>
    <row r="428" ht="15" customHeight="1">
      <c r="A428" t="inlineStr">
        <is>
          <t>A 14772-2021</t>
        </is>
      </c>
      <c r="B428" s="1" t="n">
        <v>44280.62068287037</v>
      </c>
      <c r="C428" s="1" t="n">
        <v>46074</v>
      </c>
      <c r="D428" t="inlineStr">
        <is>
          <t>JÄMTLANDS LÄN</t>
        </is>
      </c>
      <c r="E428" t="inlineStr">
        <is>
          <t>BERG</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44302-2025</t>
        </is>
      </c>
      <c r="B429" s="1" t="n">
        <v>45915</v>
      </c>
      <c r="C429" s="1" t="n">
        <v>46074</v>
      </c>
      <c r="D429" t="inlineStr">
        <is>
          <t>JÄMTLANDS LÄN</t>
        </is>
      </c>
      <c r="E429" t="inlineStr">
        <is>
          <t>BERG</t>
        </is>
      </c>
      <c r="G429" t="n">
        <v>1.6</v>
      </c>
      <c r="H429" t="n">
        <v>0</v>
      </c>
      <c r="I429" t="n">
        <v>0</v>
      </c>
      <c r="J429" t="n">
        <v>0</v>
      </c>
      <c r="K429" t="n">
        <v>0</v>
      </c>
      <c r="L429" t="n">
        <v>0</v>
      </c>
      <c r="M429" t="n">
        <v>0</v>
      </c>
      <c r="N429" t="n">
        <v>0</v>
      </c>
      <c r="O429" t="n">
        <v>0</v>
      </c>
      <c r="P429" t="n">
        <v>0</v>
      </c>
      <c r="Q429" t="n">
        <v>0</v>
      </c>
      <c r="R429" s="2" t="inlineStr"/>
    </row>
    <row r="430" ht="15" customHeight="1">
      <c r="A430" t="inlineStr">
        <is>
          <t>A 44031-2025</t>
        </is>
      </c>
      <c r="B430" s="1" t="n">
        <v>45915.49019675926</v>
      </c>
      <c r="C430" s="1" t="n">
        <v>46074</v>
      </c>
      <c r="D430" t="inlineStr">
        <is>
          <t>JÄMTLANDS LÄN</t>
        </is>
      </c>
      <c r="E430" t="inlineStr">
        <is>
          <t>BERG</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43968-2025</t>
        </is>
      </c>
      <c r="B431" s="1" t="n">
        <v>45915</v>
      </c>
      <c r="C431" s="1" t="n">
        <v>46074</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44303-2025</t>
        </is>
      </c>
      <c r="B432" s="1" t="n">
        <v>45915</v>
      </c>
      <c r="C432" s="1" t="n">
        <v>46074</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44572-2025</t>
        </is>
      </c>
      <c r="B433" s="1" t="n">
        <v>45917</v>
      </c>
      <c r="C433" s="1" t="n">
        <v>46074</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34892-2025</t>
        </is>
      </c>
      <c r="B434" s="1" t="n">
        <v>45849.49047453704</v>
      </c>
      <c r="C434" s="1" t="n">
        <v>46074</v>
      </c>
      <c r="D434" t="inlineStr">
        <is>
          <t>JÄMTLANDS LÄN</t>
        </is>
      </c>
      <c r="E434" t="inlineStr">
        <is>
          <t>BERG</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37101-2024</t>
        </is>
      </c>
      <c r="B435" s="1" t="n">
        <v>45539.5029050926</v>
      </c>
      <c r="C435" s="1" t="n">
        <v>46074</v>
      </c>
      <c r="D435" t="inlineStr">
        <is>
          <t>JÄMTLANDS LÄN</t>
        </is>
      </c>
      <c r="E435" t="inlineStr">
        <is>
          <t>BERG</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37067-2023</t>
        </is>
      </c>
      <c r="B436" s="1" t="n">
        <v>45154</v>
      </c>
      <c r="C436" s="1" t="n">
        <v>46074</v>
      </c>
      <c r="D436" t="inlineStr">
        <is>
          <t>JÄMTLANDS LÄN</t>
        </is>
      </c>
      <c r="E436" t="inlineStr">
        <is>
          <t>BERG</t>
        </is>
      </c>
      <c r="G436" t="n">
        <v>7.4</v>
      </c>
      <c r="H436" t="n">
        <v>0</v>
      </c>
      <c r="I436" t="n">
        <v>0</v>
      </c>
      <c r="J436" t="n">
        <v>0</v>
      </c>
      <c r="K436" t="n">
        <v>0</v>
      </c>
      <c r="L436" t="n">
        <v>0</v>
      </c>
      <c r="M436" t="n">
        <v>0</v>
      </c>
      <c r="N436" t="n">
        <v>0</v>
      </c>
      <c r="O436" t="n">
        <v>0</v>
      </c>
      <c r="P436" t="n">
        <v>0</v>
      </c>
      <c r="Q436" t="n">
        <v>0</v>
      </c>
      <c r="R436" s="2" t="inlineStr"/>
    </row>
    <row r="437" ht="15" customHeight="1">
      <c r="A437" t="inlineStr">
        <is>
          <t>A 35183-2025</t>
        </is>
      </c>
      <c r="B437" s="1" t="n">
        <v>45853.29931712963</v>
      </c>
      <c r="C437" s="1" t="n">
        <v>46074</v>
      </c>
      <c r="D437" t="inlineStr">
        <is>
          <t>JÄMTLANDS LÄN</t>
        </is>
      </c>
      <c r="E437" t="inlineStr">
        <is>
          <t>BERG</t>
        </is>
      </c>
      <c r="G437" t="n">
        <v>2.8</v>
      </c>
      <c r="H437" t="n">
        <v>0</v>
      </c>
      <c r="I437" t="n">
        <v>0</v>
      </c>
      <c r="J437" t="n">
        <v>0</v>
      </c>
      <c r="K437" t="n">
        <v>0</v>
      </c>
      <c r="L437" t="n">
        <v>0</v>
      </c>
      <c r="M437" t="n">
        <v>0</v>
      </c>
      <c r="N437" t="n">
        <v>0</v>
      </c>
      <c r="O437" t="n">
        <v>0</v>
      </c>
      <c r="P437" t="n">
        <v>0</v>
      </c>
      <c r="Q437" t="n">
        <v>0</v>
      </c>
      <c r="R437" s="2" t="inlineStr"/>
    </row>
    <row r="438" ht="15" customHeight="1">
      <c r="A438" t="inlineStr">
        <is>
          <t>A 8733-2025</t>
        </is>
      </c>
      <c r="B438" s="1" t="n">
        <v>45712.53197916667</v>
      </c>
      <c r="C438" s="1" t="n">
        <v>46074</v>
      </c>
      <c r="D438" t="inlineStr">
        <is>
          <t>JÄMTLANDS LÄN</t>
        </is>
      </c>
      <c r="E438" t="inlineStr">
        <is>
          <t>BERG</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35213-2025</t>
        </is>
      </c>
      <c r="B439" s="1" t="n">
        <v>45853.46494212963</v>
      </c>
      <c r="C439" s="1" t="n">
        <v>46074</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35184-2025</t>
        </is>
      </c>
      <c r="B440" s="1" t="n">
        <v>45853.30270833334</v>
      </c>
      <c r="C440" s="1" t="n">
        <v>46074</v>
      </c>
      <c r="D440" t="inlineStr">
        <is>
          <t>JÄMTLANDS LÄN</t>
        </is>
      </c>
      <c r="E440" t="inlineStr">
        <is>
          <t>BERG</t>
        </is>
      </c>
      <c r="G440" t="n">
        <v>1.4</v>
      </c>
      <c r="H440" t="n">
        <v>0</v>
      </c>
      <c r="I440" t="n">
        <v>0</v>
      </c>
      <c r="J440" t="n">
        <v>0</v>
      </c>
      <c r="K440" t="n">
        <v>0</v>
      </c>
      <c r="L440" t="n">
        <v>0</v>
      </c>
      <c r="M440" t="n">
        <v>0</v>
      </c>
      <c r="N440" t="n">
        <v>0</v>
      </c>
      <c r="O440" t="n">
        <v>0</v>
      </c>
      <c r="P440" t="n">
        <v>0</v>
      </c>
      <c r="Q440" t="n">
        <v>0</v>
      </c>
      <c r="R440" s="2" t="inlineStr"/>
    </row>
    <row r="441" ht="15" customHeight="1">
      <c r="A441" t="inlineStr">
        <is>
          <t>A 34601-2024</t>
        </is>
      </c>
      <c r="B441" s="1" t="n">
        <v>45526.4034375</v>
      </c>
      <c r="C441" s="1" t="n">
        <v>46074</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44697-2025</t>
        </is>
      </c>
      <c r="B442" s="1" t="n">
        <v>45917.59888888889</v>
      </c>
      <c r="C442" s="1" t="n">
        <v>46074</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45249-2025</t>
        </is>
      </c>
      <c r="B443" s="1" t="n">
        <v>45919.61225694444</v>
      </c>
      <c r="C443" s="1" t="n">
        <v>46074</v>
      </c>
      <c r="D443" t="inlineStr">
        <is>
          <t>JÄMTLANDS LÄN</t>
        </is>
      </c>
      <c r="E443" t="inlineStr">
        <is>
          <t>BERG</t>
        </is>
      </c>
      <c r="G443" t="n">
        <v>1.3</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45919.50256944444</v>
      </c>
      <c r="C444" s="1" t="n">
        <v>46074</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35363-2025</t>
        </is>
      </c>
      <c r="B445" s="1" t="n">
        <v>45854.67538194444</v>
      </c>
      <c r="C445" s="1" t="n">
        <v>46074</v>
      </c>
      <c r="D445" t="inlineStr">
        <is>
          <t>JÄMTLANDS LÄN</t>
        </is>
      </c>
      <c r="E445" t="inlineStr">
        <is>
          <t>BERG</t>
        </is>
      </c>
      <c r="G445" t="n">
        <v>9.5</v>
      </c>
      <c r="H445" t="n">
        <v>0</v>
      </c>
      <c r="I445" t="n">
        <v>0</v>
      </c>
      <c r="J445" t="n">
        <v>0</v>
      </c>
      <c r="K445" t="n">
        <v>0</v>
      </c>
      <c r="L445" t="n">
        <v>0</v>
      </c>
      <c r="M445" t="n">
        <v>0</v>
      </c>
      <c r="N445" t="n">
        <v>0</v>
      </c>
      <c r="O445" t="n">
        <v>0</v>
      </c>
      <c r="P445" t="n">
        <v>0</v>
      </c>
      <c r="Q445" t="n">
        <v>0</v>
      </c>
      <c r="R445" s="2" t="inlineStr"/>
    </row>
    <row r="446" ht="15" customHeight="1">
      <c r="A446" t="inlineStr">
        <is>
          <t>A 45129-2025</t>
        </is>
      </c>
      <c r="B446" s="1" t="n">
        <v>45919.43584490741</v>
      </c>
      <c r="C446" s="1" t="n">
        <v>46074</v>
      </c>
      <c r="D446" t="inlineStr">
        <is>
          <t>JÄMTLANDS LÄN</t>
        </is>
      </c>
      <c r="E446" t="inlineStr">
        <is>
          <t>BERG</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19258-2025</t>
        </is>
      </c>
      <c r="B447" s="1" t="n">
        <v>45769.49987268518</v>
      </c>
      <c r="C447" s="1" t="n">
        <v>46074</v>
      </c>
      <c r="D447" t="inlineStr">
        <is>
          <t>JÄMTLANDS LÄN</t>
        </is>
      </c>
      <c r="E447" t="inlineStr">
        <is>
          <t>BERG</t>
        </is>
      </c>
      <c r="G447" t="n">
        <v>10.9</v>
      </c>
      <c r="H447" t="n">
        <v>0</v>
      </c>
      <c r="I447" t="n">
        <v>0</v>
      </c>
      <c r="J447" t="n">
        <v>0</v>
      </c>
      <c r="K447" t="n">
        <v>0</v>
      </c>
      <c r="L447" t="n">
        <v>0</v>
      </c>
      <c r="M447" t="n">
        <v>0</v>
      </c>
      <c r="N447" t="n">
        <v>0</v>
      </c>
      <c r="O447" t="n">
        <v>0</v>
      </c>
      <c r="P447" t="n">
        <v>0</v>
      </c>
      <c r="Q447" t="n">
        <v>0</v>
      </c>
      <c r="R447" s="2" t="inlineStr"/>
    </row>
    <row r="448" ht="15" customHeight="1">
      <c r="A448" t="inlineStr">
        <is>
          <t>A 16022-2025</t>
        </is>
      </c>
      <c r="B448" s="1" t="n">
        <v>45749.60973379629</v>
      </c>
      <c r="C448" s="1" t="n">
        <v>46074</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45150-2025</t>
        </is>
      </c>
      <c r="B449" s="1" t="n">
        <v>45919.47131944444</v>
      </c>
      <c r="C449" s="1" t="n">
        <v>46074</v>
      </c>
      <c r="D449" t="inlineStr">
        <is>
          <t>JÄMTLANDS LÄN</t>
        </is>
      </c>
      <c r="E449" t="inlineStr">
        <is>
          <t>BERG</t>
        </is>
      </c>
      <c r="F449" t="inlineStr">
        <is>
          <t>Övriga Aktiebolag</t>
        </is>
      </c>
      <c r="G449" t="n">
        <v>9.6</v>
      </c>
      <c r="H449" t="n">
        <v>0</v>
      </c>
      <c r="I449" t="n">
        <v>0</v>
      </c>
      <c r="J449" t="n">
        <v>0</v>
      </c>
      <c r="K449" t="n">
        <v>0</v>
      </c>
      <c r="L449" t="n">
        <v>0</v>
      </c>
      <c r="M449" t="n">
        <v>0</v>
      </c>
      <c r="N449" t="n">
        <v>0</v>
      </c>
      <c r="O449" t="n">
        <v>0</v>
      </c>
      <c r="P449" t="n">
        <v>0</v>
      </c>
      <c r="Q449" t="n">
        <v>0</v>
      </c>
      <c r="R449" s="2" t="inlineStr"/>
    </row>
    <row r="450" ht="15" customHeight="1">
      <c r="A450" t="inlineStr">
        <is>
          <t>A 28098-2024</t>
        </is>
      </c>
      <c r="B450" s="1" t="n">
        <v>45476.61347222222</v>
      </c>
      <c r="C450" s="1" t="n">
        <v>46074</v>
      </c>
      <c r="D450" t="inlineStr">
        <is>
          <t>JÄMTLANDS LÄN</t>
        </is>
      </c>
      <c r="E450" t="inlineStr">
        <is>
          <t>BERG</t>
        </is>
      </c>
      <c r="G450" t="n">
        <v>0.4</v>
      </c>
      <c r="H450" t="n">
        <v>0</v>
      </c>
      <c r="I450" t="n">
        <v>0</v>
      </c>
      <c r="J450" t="n">
        <v>0</v>
      </c>
      <c r="K450" t="n">
        <v>0</v>
      </c>
      <c r="L450" t="n">
        <v>0</v>
      </c>
      <c r="M450" t="n">
        <v>0</v>
      </c>
      <c r="N450" t="n">
        <v>0</v>
      </c>
      <c r="O450" t="n">
        <v>0</v>
      </c>
      <c r="P450" t="n">
        <v>0</v>
      </c>
      <c r="Q450" t="n">
        <v>0</v>
      </c>
      <c r="R450" s="2" t="inlineStr"/>
    </row>
    <row r="451" ht="15" customHeight="1">
      <c r="A451" t="inlineStr">
        <is>
          <t>A 44811-2025</t>
        </is>
      </c>
      <c r="B451" s="1" t="n">
        <v>45918.37195601852</v>
      </c>
      <c r="C451" s="1" t="n">
        <v>46074</v>
      </c>
      <c r="D451" t="inlineStr">
        <is>
          <t>JÄMTLANDS LÄN</t>
        </is>
      </c>
      <c r="E451" t="inlineStr">
        <is>
          <t>BERG</t>
        </is>
      </c>
      <c r="G451" t="n">
        <v>1.4</v>
      </c>
      <c r="H451" t="n">
        <v>0</v>
      </c>
      <c r="I451" t="n">
        <v>0</v>
      </c>
      <c r="J451" t="n">
        <v>0</v>
      </c>
      <c r="K451" t="n">
        <v>0</v>
      </c>
      <c r="L451" t="n">
        <v>0</v>
      </c>
      <c r="M451" t="n">
        <v>0</v>
      </c>
      <c r="N451" t="n">
        <v>0</v>
      </c>
      <c r="O451" t="n">
        <v>0</v>
      </c>
      <c r="P451" t="n">
        <v>0</v>
      </c>
      <c r="Q451" t="n">
        <v>0</v>
      </c>
      <c r="R451" s="2" t="inlineStr"/>
    </row>
    <row r="452" ht="15" customHeight="1">
      <c r="A452" t="inlineStr">
        <is>
          <t>A 35360-2025</t>
        </is>
      </c>
      <c r="B452" s="1" t="n">
        <v>45854.66877314815</v>
      </c>
      <c r="C452" s="1" t="n">
        <v>46074</v>
      </c>
      <c r="D452" t="inlineStr">
        <is>
          <t>JÄMTLANDS LÄN</t>
        </is>
      </c>
      <c r="E452" t="inlineStr">
        <is>
          <t>BERG</t>
        </is>
      </c>
      <c r="G452" t="n">
        <v>3.7</v>
      </c>
      <c r="H452" t="n">
        <v>0</v>
      </c>
      <c r="I452" t="n">
        <v>0</v>
      </c>
      <c r="J452" t="n">
        <v>0</v>
      </c>
      <c r="K452" t="n">
        <v>0</v>
      </c>
      <c r="L452" t="n">
        <v>0</v>
      </c>
      <c r="M452" t="n">
        <v>0</v>
      </c>
      <c r="N452" t="n">
        <v>0</v>
      </c>
      <c r="O452" t="n">
        <v>0</v>
      </c>
      <c r="P452" t="n">
        <v>0</v>
      </c>
      <c r="Q452" t="n">
        <v>0</v>
      </c>
      <c r="R452" s="2" t="inlineStr"/>
    </row>
    <row r="453" ht="15" customHeight="1">
      <c r="A453" t="inlineStr">
        <is>
          <t>A 35576-2025</t>
        </is>
      </c>
      <c r="B453" s="1" t="n">
        <v>45856.63608796296</v>
      </c>
      <c r="C453" s="1" t="n">
        <v>46074</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46074</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12499-2021</t>
        </is>
      </c>
      <c r="B455" s="1" t="n">
        <v>44267</v>
      </c>
      <c r="C455" s="1" t="n">
        <v>46074</v>
      </c>
      <c r="D455" t="inlineStr">
        <is>
          <t>JÄMTLANDS LÄN</t>
        </is>
      </c>
      <c r="E455" t="inlineStr">
        <is>
          <t>BERG</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47099-2024</t>
        </is>
      </c>
      <c r="B456" s="1" t="n">
        <v>45586.53743055555</v>
      </c>
      <c r="C456" s="1" t="n">
        <v>46074</v>
      </c>
      <c r="D456" t="inlineStr">
        <is>
          <t>JÄMTLANDS LÄN</t>
        </is>
      </c>
      <c r="E456" t="inlineStr">
        <is>
          <t>BERG</t>
        </is>
      </c>
      <c r="G456" t="n">
        <v>5.9</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46074</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45640-2025</t>
        </is>
      </c>
      <c r="B458" s="1" t="n">
        <v>45922.961875</v>
      </c>
      <c r="C458" s="1" t="n">
        <v>46074</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45568-2025</t>
        </is>
      </c>
      <c r="B459" s="1" t="n">
        <v>45922.65672453704</v>
      </c>
      <c r="C459" s="1" t="n">
        <v>46074</v>
      </c>
      <c r="D459" t="inlineStr">
        <is>
          <t>JÄMTLANDS LÄN</t>
        </is>
      </c>
      <c r="E459" t="inlineStr">
        <is>
          <t>BERG</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35684-2025</t>
        </is>
      </c>
      <c r="B460" s="1" t="n">
        <v>45859.88079861111</v>
      </c>
      <c r="C460" s="1" t="n">
        <v>46074</v>
      </c>
      <c r="D460" t="inlineStr">
        <is>
          <t>JÄMTLANDS LÄN</t>
        </is>
      </c>
      <c r="E460" t="inlineStr">
        <is>
          <t>BERG</t>
        </is>
      </c>
      <c r="G460" t="n">
        <v>6.1</v>
      </c>
      <c r="H460" t="n">
        <v>0</v>
      </c>
      <c r="I460" t="n">
        <v>0</v>
      </c>
      <c r="J460" t="n">
        <v>0</v>
      </c>
      <c r="K460" t="n">
        <v>0</v>
      </c>
      <c r="L460" t="n">
        <v>0</v>
      </c>
      <c r="M460" t="n">
        <v>0</v>
      </c>
      <c r="N460" t="n">
        <v>0</v>
      </c>
      <c r="O460" t="n">
        <v>0</v>
      </c>
      <c r="P460" t="n">
        <v>0</v>
      </c>
      <c r="Q460" t="n">
        <v>0</v>
      </c>
      <c r="R460" s="2" t="inlineStr"/>
    </row>
    <row r="461" ht="15" customHeight="1">
      <c r="A461" t="inlineStr">
        <is>
          <t>A 45459-2025</t>
        </is>
      </c>
      <c r="B461" s="1" t="n">
        <v>45922.49230324074</v>
      </c>
      <c r="C461" s="1" t="n">
        <v>46074</v>
      </c>
      <c r="D461" t="inlineStr">
        <is>
          <t>JÄMTLANDS LÄN</t>
        </is>
      </c>
      <c r="E461" t="inlineStr">
        <is>
          <t>BERG</t>
        </is>
      </c>
      <c r="F461" t="inlineStr">
        <is>
          <t>Kyrkan</t>
        </is>
      </c>
      <c r="G461" t="n">
        <v>8</v>
      </c>
      <c r="H461" t="n">
        <v>0</v>
      </c>
      <c r="I461" t="n">
        <v>0</v>
      </c>
      <c r="J461" t="n">
        <v>0</v>
      </c>
      <c r="K461" t="n">
        <v>0</v>
      </c>
      <c r="L461" t="n">
        <v>0</v>
      </c>
      <c r="M461" t="n">
        <v>0</v>
      </c>
      <c r="N461" t="n">
        <v>0</v>
      </c>
      <c r="O461" t="n">
        <v>0</v>
      </c>
      <c r="P461" t="n">
        <v>0</v>
      </c>
      <c r="Q461" t="n">
        <v>0</v>
      </c>
      <c r="R461" s="2" t="inlineStr"/>
    </row>
    <row r="462" ht="15" customHeight="1">
      <c r="A462" t="inlineStr">
        <is>
          <t>A 45912-2025</t>
        </is>
      </c>
      <c r="B462" s="1" t="n">
        <v>45923</v>
      </c>
      <c r="C462" s="1" t="n">
        <v>46074</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45657-2025</t>
        </is>
      </c>
      <c r="B463" s="1" t="n">
        <v>45923.34453703704</v>
      </c>
      <c r="C463" s="1" t="n">
        <v>46074</v>
      </c>
      <c r="D463" t="inlineStr">
        <is>
          <t>JÄMTLANDS LÄN</t>
        </is>
      </c>
      <c r="E463" t="inlineStr">
        <is>
          <t>BERG</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35691-2025</t>
        </is>
      </c>
      <c r="B464" s="1" t="n">
        <v>45860.344375</v>
      </c>
      <c r="C464" s="1" t="n">
        <v>46074</v>
      </c>
      <c r="D464" t="inlineStr">
        <is>
          <t>JÄMTLANDS LÄN</t>
        </is>
      </c>
      <c r="E464" t="inlineStr">
        <is>
          <t>BERG</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45390-2025</t>
        </is>
      </c>
      <c r="B465" s="1" t="n">
        <v>45922.40762731482</v>
      </c>
      <c r="C465" s="1" t="n">
        <v>46074</v>
      </c>
      <c r="D465" t="inlineStr">
        <is>
          <t>JÄMTLANDS LÄN</t>
        </is>
      </c>
      <c r="E465" t="inlineStr">
        <is>
          <t>BERG</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35681-2025</t>
        </is>
      </c>
      <c r="B466" s="1" t="n">
        <v>45859.77703703703</v>
      </c>
      <c r="C466" s="1" t="n">
        <v>46074</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35683-2025</t>
        </is>
      </c>
      <c r="B467" s="1" t="n">
        <v>45859</v>
      </c>
      <c r="C467" s="1" t="n">
        <v>46074</v>
      </c>
      <c r="D467" t="inlineStr">
        <is>
          <t>JÄMTLANDS LÄN</t>
        </is>
      </c>
      <c r="E467" t="inlineStr">
        <is>
          <t>BERG</t>
        </is>
      </c>
      <c r="G467" t="n">
        <v>3.4</v>
      </c>
      <c r="H467" t="n">
        <v>0</v>
      </c>
      <c r="I467" t="n">
        <v>0</v>
      </c>
      <c r="J467" t="n">
        <v>0</v>
      </c>
      <c r="K467" t="n">
        <v>0</v>
      </c>
      <c r="L467" t="n">
        <v>0</v>
      </c>
      <c r="M467" t="n">
        <v>0</v>
      </c>
      <c r="N467" t="n">
        <v>0</v>
      </c>
      <c r="O467" t="n">
        <v>0</v>
      </c>
      <c r="P467" t="n">
        <v>0</v>
      </c>
      <c r="Q467" t="n">
        <v>0</v>
      </c>
      <c r="R467" s="2" t="inlineStr"/>
    </row>
    <row r="468" ht="15" customHeight="1">
      <c r="A468" t="inlineStr">
        <is>
          <t>A 1495-2025</t>
        </is>
      </c>
      <c r="B468" s="1" t="n">
        <v>45670.40652777778</v>
      </c>
      <c r="C468" s="1" t="n">
        <v>46074</v>
      </c>
      <c r="D468" t="inlineStr">
        <is>
          <t>JÄMTLANDS LÄN</t>
        </is>
      </c>
      <c r="E468" t="inlineStr">
        <is>
          <t>BERG</t>
        </is>
      </c>
      <c r="G468" t="n">
        <v>0.3</v>
      </c>
      <c r="H468" t="n">
        <v>0</v>
      </c>
      <c r="I468" t="n">
        <v>0</v>
      </c>
      <c r="J468" t="n">
        <v>0</v>
      </c>
      <c r="K468" t="n">
        <v>0</v>
      </c>
      <c r="L468" t="n">
        <v>0</v>
      </c>
      <c r="M468" t="n">
        <v>0</v>
      </c>
      <c r="N468" t="n">
        <v>0</v>
      </c>
      <c r="O468" t="n">
        <v>0</v>
      </c>
      <c r="P468" t="n">
        <v>0</v>
      </c>
      <c r="Q468" t="n">
        <v>0</v>
      </c>
      <c r="R468" s="2" t="inlineStr"/>
    </row>
    <row r="469" ht="15" customHeight="1">
      <c r="A469" t="inlineStr">
        <is>
          <t>A 34367-2024</t>
        </is>
      </c>
      <c r="B469" s="1" t="n">
        <v>45525.38040509259</v>
      </c>
      <c r="C469" s="1" t="n">
        <v>46074</v>
      </c>
      <c r="D469" t="inlineStr">
        <is>
          <t>JÄMTLANDS LÄN</t>
        </is>
      </c>
      <c r="E469" t="inlineStr">
        <is>
          <t>BERG</t>
        </is>
      </c>
      <c r="G469" t="n">
        <v>0.4</v>
      </c>
      <c r="H469" t="n">
        <v>0</v>
      </c>
      <c r="I469" t="n">
        <v>0</v>
      </c>
      <c r="J469" t="n">
        <v>0</v>
      </c>
      <c r="K469" t="n">
        <v>0</v>
      </c>
      <c r="L469" t="n">
        <v>0</v>
      </c>
      <c r="M469" t="n">
        <v>0</v>
      </c>
      <c r="N469" t="n">
        <v>0</v>
      </c>
      <c r="O469" t="n">
        <v>0</v>
      </c>
      <c r="P469" t="n">
        <v>0</v>
      </c>
      <c r="Q469" t="n">
        <v>0</v>
      </c>
      <c r="R469" s="2" t="inlineStr"/>
    </row>
    <row r="470" ht="15" customHeight="1">
      <c r="A470" t="inlineStr">
        <is>
          <t>A 34369-2024</t>
        </is>
      </c>
      <c r="B470" s="1" t="n">
        <v>45525.38228009259</v>
      </c>
      <c r="C470" s="1" t="n">
        <v>46074</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43137-2025</t>
        </is>
      </c>
      <c r="B471" s="1" t="n">
        <v>45909.85438657407</v>
      </c>
      <c r="C471" s="1" t="n">
        <v>46074</v>
      </c>
      <c r="D471" t="inlineStr">
        <is>
          <t>JÄMTLANDS LÄN</t>
        </is>
      </c>
      <c r="E471" t="inlineStr">
        <is>
          <t>BERG</t>
        </is>
      </c>
      <c r="F471" t="inlineStr">
        <is>
          <t>Övriga statliga verk och myndigheter</t>
        </is>
      </c>
      <c r="G471" t="n">
        <v>11.6</v>
      </c>
      <c r="H471" t="n">
        <v>0</v>
      </c>
      <c r="I471" t="n">
        <v>0</v>
      </c>
      <c r="J471" t="n">
        <v>0</v>
      </c>
      <c r="K471" t="n">
        <v>0</v>
      </c>
      <c r="L471" t="n">
        <v>0</v>
      </c>
      <c r="M471" t="n">
        <v>0</v>
      </c>
      <c r="N471" t="n">
        <v>0</v>
      </c>
      <c r="O471" t="n">
        <v>0</v>
      </c>
      <c r="P471" t="n">
        <v>0</v>
      </c>
      <c r="Q471" t="n">
        <v>0</v>
      </c>
      <c r="R471" s="2" t="inlineStr"/>
    </row>
    <row r="472" ht="15" customHeight="1">
      <c r="A472" t="inlineStr">
        <is>
          <t>A 166-2024</t>
        </is>
      </c>
      <c r="B472" s="1" t="n">
        <v>45294</v>
      </c>
      <c r="C472" s="1" t="n">
        <v>46074</v>
      </c>
      <c r="D472" t="inlineStr">
        <is>
          <t>JÄMTLANDS LÄN</t>
        </is>
      </c>
      <c r="E472" t="inlineStr">
        <is>
          <t>BERG</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22030-2025</t>
        </is>
      </c>
      <c r="B473" s="1" t="n">
        <v>45785.25814814815</v>
      </c>
      <c r="C473" s="1" t="n">
        <v>46074</v>
      </c>
      <c r="D473" t="inlineStr">
        <is>
          <t>JÄMTLANDS LÄN</t>
        </is>
      </c>
      <c r="E473" t="inlineStr">
        <is>
          <t>BERG</t>
        </is>
      </c>
      <c r="G473" t="n">
        <v>5</v>
      </c>
      <c r="H473" t="n">
        <v>0</v>
      </c>
      <c r="I473" t="n">
        <v>0</v>
      </c>
      <c r="J473" t="n">
        <v>0</v>
      </c>
      <c r="K473" t="n">
        <v>0</v>
      </c>
      <c r="L473" t="n">
        <v>0</v>
      </c>
      <c r="M473" t="n">
        <v>0</v>
      </c>
      <c r="N473" t="n">
        <v>0</v>
      </c>
      <c r="O473" t="n">
        <v>0</v>
      </c>
      <c r="P473" t="n">
        <v>0</v>
      </c>
      <c r="Q473" t="n">
        <v>0</v>
      </c>
      <c r="R473" s="2" t="inlineStr"/>
    </row>
    <row r="474" ht="15" customHeight="1">
      <c r="A474" t="inlineStr">
        <is>
          <t>A 36377-2025</t>
        </is>
      </c>
      <c r="B474" s="1" t="n">
        <v>45868.57342592593</v>
      </c>
      <c r="C474" s="1" t="n">
        <v>46074</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3964-2025</t>
        </is>
      </c>
      <c r="B475" s="1" t="n">
        <v>45684.50761574074</v>
      </c>
      <c r="C475" s="1" t="n">
        <v>46074</v>
      </c>
      <c r="D475" t="inlineStr">
        <is>
          <t>JÄMTLANDS LÄN</t>
        </is>
      </c>
      <c r="E475" t="inlineStr">
        <is>
          <t>BERG</t>
        </is>
      </c>
      <c r="G475" t="n">
        <v>0.7</v>
      </c>
      <c r="H475" t="n">
        <v>0</v>
      </c>
      <c r="I475" t="n">
        <v>0</v>
      </c>
      <c r="J475" t="n">
        <v>0</v>
      </c>
      <c r="K475" t="n">
        <v>0</v>
      </c>
      <c r="L475" t="n">
        <v>0</v>
      </c>
      <c r="M475" t="n">
        <v>0</v>
      </c>
      <c r="N475" t="n">
        <v>0</v>
      </c>
      <c r="O475" t="n">
        <v>0</v>
      </c>
      <c r="P475" t="n">
        <v>0</v>
      </c>
      <c r="Q475" t="n">
        <v>0</v>
      </c>
      <c r="R475" s="2" t="inlineStr"/>
    </row>
    <row r="476" ht="15" customHeight="1">
      <c r="A476" t="inlineStr">
        <is>
          <t>A 47982-2022</t>
        </is>
      </c>
      <c r="B476" s="1" t="n">
        <v>44853</v>
      </c>
      <c r="C476" s="1" t="n">
        <v>46074</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46853-2025</t>
        </is>
      </c>
      <c r="B477" s="1" t="n">
        <v>45928.86563657408</v>
      </c>
      <c r="C477" s="1" t="n">
        <v>46074</v>
      </c>
      <c r="D477" t="inlineStr">
        <is>
          <t>JÄMTLANDS LÄN</t>
        </is>
      </c>
      <c r="E477" t="inlineStr">
        <is>
          <t>BERG</t>
        </is>
      </c>
      <c r="F477" t="inlineStr">
        <is>
          <t>Kyrkan</t>
        </is>
      </c>
      <c r="G477" t="n">
        <v>7.9</v>
      </c>
      <c r="H477" t="n">
        <v>0</v>
      </c>
      <c r="I477" t="n">
        <v>0</v>
      </c>
      <c r="J477" t="n">
        <v>0</v>
      </c>
      <c r="K477" t="n">
        <v>0</v>
      </c>
      <c r="L477" t="n">
        <v>0</v>
      </c>
      <c r="M477" t="n">
        <v>0</v>
      </c>
      <c r="N477" t="n">
        <v>0</v>
      </c>
      <c r="O477" t="n">
        <v>0</v>
      </c>
      <c r="P477" t="n">
        <v>0</v>
      </c>
      <c r="Q477" t="n">
        <v>0</v>
      </c>
      <c r="R477" s="2" t="inlineStr"/>
    </row>
    <row r="478" ht="15" customHeight="1">
      <c r="A478" t="inlineStr">
        <is>
          <t>A 61239-2022</t>
        </is>
      </c>
      <c r="B478" s="1" t="n">
        <v>44909</v>
      </c>
      <c r="C478" s="1" t="n">
        <v>46074</v>
      </c>
      <c r="D478" t="inlineStr">
        <is>
          <t>JÄMTLANDS LÄN</t>
        </is>
      </c>
      <c r="E478" t="inlineStr">
        <is>
          <t>BERG</t>
        </is>
      </c>
      <c r="G478" t="n">
        <v>13.5</v>
      </c>
      <c r="H478" t="n">
        <v>0</v>
      </c>
      <c r="I478" t="n">
        <v>0</v>
      </c>
      <c r="J478" t="n">
        <v>0</v>
      </c>
      <c r="K478" t="n">
        <v>0</v>
      </c>
      <c r="L478" t="n">
        <v>0</v>
      </c>
      <c r="M478" t="n">
        <v>0</v>
      </c>
      <c r="N478" t="n">
        <v>0</v>
      </c>
      <c r="O478" t="n">
        <v>0</v>
      </c>
      <c r="P478" t="n">
        <v>0</v>
      </c>
      <c r="Q478" t="n">
        <v>0</v>
      </c>
      <c r="R478" s="2" t="inlineStr"/>
    </row>
    <row r="479" ht="15" customHeight="1">
      <c r="A479" t="inlineStr">
        <is>
          <t>A 7021-2025</t>
        </is>
      </c>
      <c r="B479" s="1" t="n">
        <v>45701.61520833334</v>
      </c>
      <c r="C479" s="1" t="n">
        <v>46074</v>
      </c>
      <c r="D479" t="inlineStr">
        <is>
          <t>JÄMTLANDS LÄN</t>
        </is>
      </c>
      <c r="E479" t="inlineStr">
        <is>
          <t>BERG</t>
        </is>
      </c>
      <c r="G479" t="n">
        <v>4.2</v>
      </c>
      <c r="H479" t="n">
        <v>0</v>
      </c>
      <c r="I479" t="n">
        <v>0</v>
      </c>
      <c r="J479" t="n">
        <v>0</v>
      </c>
      <c r="K479" t="n">
        <v>0</v>
      </c>
      <c r="L479" t="n">
        <v>0</v>
      </c>
      <c r="M479" t="n">
        <v>0</v>
      </c>
      <c r="N479" t="n">
        <v>0</v>
      </c>
      <c r="O479" t="n">
        <v>0</v>
      </c>
      <c r="P479" t="n">
        <v>0</v>
      </c>
      <c r="Q479" t="n">
        <v>0</v>
      </c>
      <c r="R479" s="2" t="inlineStr"/>
    </row>
    <row r="480" ht="15" customHeight="1">
      <c r="A480" t="inlineStr">
        <is>
          <t>A 19429-2025</t>
        </is>
      </c>
      <c r="B480" s="1" t="n">
        <v>45769.8025462963</v>
      </c>
      <c r="C480" s="1" t="n">
        <v>46074</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46854-2025</t>
        </is>
      </c>
      <c r="B481" s="1" t="n">
        <v>45928.87376157408</v>
      </c>
      <c r="C481" s="1" t="n">
        <v>46074</v>
      </c>
      <c r="D481" t="inlineStr">
        <is>
          <t>JÄMTLANDS LÄN</t>
        </is>
      </c>
      <c r="E481" t="inlineStr">
        <is>
          <t>BERG</t>
        </is>
      </c>
      <c r="F481" t="inlineStr">
        <is>
          <t>Kyrkan</t>
        </is>
      </c>
      <c r="G481" t="n">
        <v>4.8</v>
      </c>
      <c r="H481" t="n">
        <v>0</v>
      </c>
      <c r="I481" t="n">
        <v>0</v>
      </c>
      <c r="J481" t="n">
        <v>0</v>
      </c>
      <c r="K481" t="n">
        <v>0</v>
      </c>
      <c r="L481" t="n">
        <v>0</v>
      </c>
      <c r="M481" t="n">
        <v>0</v>
      </c>
      <c r="N481" t="n">
        <v>0</v>
      </c>
      <c r="O481" t="n">
        <v>0</v>
      </c>
      <c r="P481" t="n">
        <v>0</v>
      </c>
      <c r="Q481" t="n">
        <v>0</v>
      </c>
      <c r="R481" s="2" t="inlineStr"/>
    </row>
    <row r="482" ht="15" customHeight="1">
      <c r="A482" t="inlineStr">
        <is>
          <t>A 47137-2025</t>
        </is>
      </c>
      <c r="B482" s="1" t="n">
        <v>45929.69876157407</v>
      </c>
      <c r="C482" s="1" t="n">
        <v>46074</v>
      </c>
      <c r="D482" t="inlineStr">
        <is>
          <t>JÄMTLANDS LÄN</t>
        </is>
      </c>
      <c r="E482" t="inlineStr">
        <is>
          <t>BERG</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46074</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47176-2023</t>
        </is>
      </c>
      <c r="B484" s="1" t="n">
        <v>45201.94844907407</v>
      </c>
      <c r="C484" s="1" t="n">
        <v>46074</v>
      </c>
      <c r="D484" t="inlineStr">
        <is>
          <t>JÄMTLANDS LÄN</t>
        </is>
      </c>
      <c r="E484" t="inlineStr">
        <is>
          <t>BERG</t>
        </is>
      </c>
      <c r="F484" t="inlineStr">
        <is>
          <t>SCA</t>
        </is>
      </c>
      <c r="G484" t="n">
        <v>32.3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46074</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46074</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46074</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13672-2024</t>
        </is>
      </c>
      <c r="B488" s="1" t="n">
        <v>45390</v>
      </c>
      <c r="C488" s="1" t="n">
        <v>46074</v>
      </c>
      <c r="D488" t="inlineStr">
        <is>
          <t>JÄMTLANDS LÄN</t>
        </is>
      </c>
      <c r="E488" t="inlineStr">
        <is>
          <t>BERG</t>
        </is>
      </c>
      <c r="G488" t="n">
        <v>0.3</v>
      </c>
      <c r="H488" t="n">
        <v>0</v>
      </c>
      <c r="I488" t="n">
        <v>0</v>
      </c>
      <c r="J488" t="n">
        <v>0</v>
      </c>
      <c r="K488" t="n">
        <v>0</v>
      </c>
      <c r="L488" t="n">
        <v>0</v>
      </c>
      <c r="M488" t="n">
        <v>0</v>
      </c>
      <c r="N488" t="n">
        <v>0</v>
      </c>
      <c r="O488" t="n">
        <v>0</v>
      </c>
      <c r="P488" t="n">
        <v>0</v>
      </c>
      <c r="Q488" t="n">
        <v>0</v>
      </c>
      <c r="R488" s="2" t="inlineStr"/>
    </row>
    <row r="489" ht="15" customHeight="1">
      <c r="A489" t="inlineStr">
        <is>
          <t>A 36668-2025</t>
        </is>
      </c>
      <c r="B489" s="1" t="n">
        <v>45873.38351851852</v>
      </c>
      <c r="C489" s="1" t="n">
        <v>46074</v>
      </c>
      <c r="D489" t="inlineStr">
        <is>
          <t>JÄMTLANDS LÄN</t>
        </is>
      </c>
      <c r="E489" t="inlineStr">
        <is>
          <t>BERG</t>
        </is>
      </c>
      <c r="G489" t="n">
        <v>6.7</v>
      </c>
      <c r="H489" t="n">
        <v>0</v>
      </c>
      <c r="I489" t="n">
        <v>0</v>
      </c>
      <c r="J489" t="n">
        <v>0</v>
      </c>
      <c r="K489" t="n">
        <v>0</v>
      </c>
      <c r="L489" t="n">
        <v>0</v>
      </c>
      <c r="M489" t="n">
        <v>0</v>
      </c>
      <c r="N489" t="n">
        <v>0</v>
      </c>
      <c r="O489" t="n">
        <v>0</v>
      </c>
      <c r="P489" t="n">
        <v>0</v>
      </c>
      <c r="Q489" t="n">
        <v>0</v>
      </c>
      <c r="R489" s="2" t="inlineStr"/>
    </row>
    <row r="490" ht="15" customHeight="1">
      <c r="A490" t="inlineStr">
        <is>
          <t>A 46584-2025</t>
        </is>
      </c>
      <c r="B490" s="1" t="n">
        <v>45926</v>
      </c>
      <c r="C490" s="1" t="n">
        <v>46074</v>
      </c>
      <c r="D490" t="inlineStr">
        <is>
          <t>JÄMTLANDS LÄN</t>
        </is>
      </c>
      <c r="E490" t="inlineStr">
        <is>
          <t>BERG</t>
        </is>
      </c>
      <c r="G490" t="n">
        <v>17.1</v>
      </c>
      <c r="H490" t="n">
        <v>0</v>
      </c>
      <c r="I490" t="n">
        <v>0</v>
      </c>
      <c r="J490" t="n">
        <v>0</v>
      </c>
      <c r="K490" t="n">
        <v>0</v>
      </c>
      <c r="L490" t="n">
        <v>0</v>
      </c>
      <c r="M490" t="n">
        <v>0</v>
      </c>
      <c r="N490" t="n">
        <v>0</v>
      </c>
      <c r="O490" t="n">
        <v>0</v>
      </c>
      <c r="P490" t="n">
        <v>0</v>
      </c>
      <c r="Q490" t="n">
        <v>0</v>
      </c>
      <c r="R490" s="2" t="inlineStr"/>
    </row>
    <row r="491" ht="15" customHeight="1">
      <c r="A491" t="inlineStr">
        <is>
          <t>A 50612-2023</t>
        </is>
      </c>
      <c r="B491" s="1" t="n">
        <v>45217.444375</v>
      </c>
      <c r="C491" s="1" t="n">
        <v>46074</v>
      </c>
      <c r="D491" t="inlineStr">
        <is>
          <t>JÄMTLANDS LÄN</t>
        </is>
      </c>
      <c r="E491" t="inlineStr">
        <is>
          <t>BERG</t>
        </is>
      </c>
      <c r="G491" t="n">
        <v>1.4</v>
      </c>
      <c r="H491" t="n">
        <v>0</v>
      </c>
      <c r="I491" t="n">
        <v>0</v>
      </c>
      <c r="J491" t="n">
        <v>0</v>
      </c>
      <c r="K491" t="n">
        <v>0</v>
      </c>
      <c r="L491" t="n">
        <v>0</v>
      </c>
      <c r="M491" t="n">
        <v>0</v>
      </c>
      <c r="N491" t="n">
        <v>0</v>
      </c>
      <c r="O491" t="n">
        <v>0</v>
      </c>
      <c r="P491" t="n">
        <v>0</v>
      </c>
      <c r="Q491" t="n">
        <v>0</v>
      </c>
      <c r="R491" s="2" t="inlineStr"/>
    </row>
    <row r="492" ht="15" customHeight="1">
      <c r="A492" t="inlineStr">
        <is>
          <t>A 162-2024</t>
        </is>
      </c>
      <c r="B492" s="1" t="n">
        <v>45294</v>
      </c>
      <c r="C492" s="1" t="n">
        <v>46074</v>
      </c>
      <c r="D492" t="inlineStr">
        <is>
          <t>JÄMTLANDS LÄN</t>
        </is>
      </c>
      <c r="E492" t="inlineStr">
        <is>
          <t>BERG</t>
        </is>
      </c>
      <c r="F492" t="inlineStr">
        <is>
          <t>Kyrkan</t>
        </is>
      </c>
      <c r="G492" t="n">
        <v>2.2</v>
      </c>
      <c r="H492" t="n">
        <v>0</v>
      </c>
      <c r="I492" t="n">
        <v>0</v>
      </c>
      <c r="J492" t="n">
        <v>0</v>
      </c>
      <c r="K492" t="n">
        <v>0</v>
      </c>
      <c r="L492" t="n">
        <v>0</v>
      </c>
      <c r="M492" t="n">
        <v>0</v>
      </c>
      <c r="N492" t="n">
        <v>0</v>
      </c>
      <c r="O492" t="n">
        <v>0</v>
      </c>
      <c r="P492" t="n">
        <v>0</v>
      </c>
      <c r="Q492" t="n">
        <v>0</v>
      </c>
      <c r="R492" s="2" t="inlineStr"/>
    </row>
    <row r="493" ht="15" customHeight="1">
      <c r="A493" t="inlineStr">
        <is>
          <t>A 47428-2025</t>
        </is>
      </c>
      <c r="B493" s="1" t="n">
        <v>45930</v>
      </c>
      <c r="C493" s="1" t="n">
        <v>46074</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47193-2025</t>
        </is>
      </c>
      <c r="B494" s="1" t="n">
        <v>45930.34469907408</v>
      </c>
      <c r="C494" s="1" t="n">
        <v>46074</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37201-2025</t>
        </is>
      </c>
      <c r="B495" s="1" t="n">
        <v>45875.67797453704</v>
      </c>
      <c r="C495" s="1" t="n">
        <v>46074</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47533-2025</t>
        </is>
      </c>
      <c r="B496" s="1" t="n">
        <v>45931.34659722223</v>
      </c>
      <c r="C496" s="1" t="n">
        <v>46074</v>
      </c>
      <c r="D496" t="inlineStr">
        <is>
          <t>JÄMTLANDS LÄN</t>
        </is>
      </c>
      <c r="E496" t="inlineStr">
        <is>
          <t>BERG</t>
        </is>
      </c>
      <c r="G496" t="n">
        <v>3.1</v>
      </c>
      <c r="H496" t="n">
        <v>0</v>
      </c>
      <c r="I496" t="n">
        <v>0</v>
      </c>
      <c r="J496" t="n">
        <v>0</v>
      </c>
      <c r="K496" t="n">
        <v>0</v>
      </c>
      <c r="L496" t="n">
        <v>0</v>
      </c>
      <c r="M496" t="n">
        <v>0</v>
      </c>
      <c r="N496" t="n">
        <v>0</v>
      </c>
      <c r="O496" t="n">
        <v>0</v>
      </c>
      <c r="P496" t="n">
        <v>0</v>
      </c>
      <c r="Q496" t="n">
        <v>0</v>
      </c>
      <c r="R496" s="2" t="inlineStr"/>
    </row>
    <row r="497" ht="15" customHeight="1">
      <c r="A497" t="inlineStr">
        <is>
          <t>A 46298-2024</t>
        </is>
      </c>
      <c r="B497" s="1" t="n">
        <v>45581.67739583334</v>
      </c>
      <c r="C497" s="1" t="n">
        <v>46074</v>
      </c>
      <c r="D497" t="inlineStr">
        <is>
          <t>JÄMTLANDS LÄN</t>
        </is>
      </c>
      <c r="E497" t="inlineStr">
        <is>
          <t>BERG</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47430-2025</t>
        </is>
      </c>
      <c r="B498" s="1" t="n">
        <v>45930.63619212963</v>
      </c>
      <c r="C498" s="1" t="n">
        <v>46074</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47431-2025</t>
        </is>
      </c>
      <c r="B499" s="1" t="n">
        <v>45930.63626157407</v>
      </c>
      <c r="C499" s="1" t="n">
        <v>46074</v>
      </c>
      <c r="D499" t="inlineStr">
        <is>
          <t>JÄMTLANDS LÄN</t>
        </is>
      </c>
      <c r="E499" t="inlineStr">
        <is>
          <t>BERG</t>
        </is>
      </c>
      <c r="F499" t="inlineStr">
        <is>
          <t>SCA</t>
        </is>
      </c>
      <c r="G499" t="n">
        <v>9.5</v>
      </c>
      <c r="H499" t="n">
        <v>0</v>
      </c>
      <c r="I499" t="n">
        <v>0</v>
      </c>
      <c r="J499" t="n">
        <v>0</v>
      </c>
      <c r="K499" t="n">
        <v>0</v>
      </c>
      <c r="L499" t="n">
        <v>0</v>
      </c>
      <c r="M499" t="n">
        <v>0</v>
      </c>
      <c r="N499" t="n">
        <v>0</v>
      </c>
      <c r="O499" t="n">
        <v>0</v>
      </c>
      <c r="P499" t="n">
        <v>0</v>
      </c>
      <c r="Q499" t="n">
        <v>0</v>
      </c>
      <c r="R499" s="2" t="inlineStr"/>
    </row>
    <row r="500" ht="15" customHeight="1">
      <c r="A500" t="inlineStr">
        <is>
          <t>A 47197-2025</t>
        </is>
      </c>
      <c r="B500" s="1" t="n">
        <v>45930.34533564815</v>
      </c>
      <c r="C500" s="1" t="n">
        <v>46074</v>
      </c>
      <c r="D500" t="inlineStr">
        <is>
          <t>JÄMTLANDS LÄN</t>
        </is>
      </c>
      <c r="E500" t="inlineStr">
        <is>
          <t>BERG</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37066-2025</t>
        </is>
      </c>
      <c r="B501" s="1" t="n">
        <v>45875.3862962963</v>
      </c>
      <c r="C501" s="1" t="n">
        <v>46074</v>
      </c>
      <c r="D501" t="inlineStr">
        <is>
          <t>JÄMTLANDS LÄN</t>
        </is>
      </c>
      <c r="E501" t="inlineStr">
        <is>
          <t>BERG</t>
        </is>
      </c>
      <c r="F501" t="inlineStr">
        <is>
          <t>SCA</t>
        </is>
      </c>
      <c r="G501" t="n">
        <v>9.6</v>
      </c>
      <c r="H501" t="n">
        <v>0</v>
      </c>
      <c r="I501" t="n">
        <v>0</v>
      </c>
      <c r="J501" t="n">
        <v>0</v>
      </c>
      <c r="K501" t="n">
        <v>0</v>
      </c>
      <c r="L501" t="n">
        <v>0</v>
      </c>
      <c r="M501" t="n">
        <v>0</v>
      </c>
      <c r="N501" t="n">
        <v>0</v>
      </c>
      <c r="O501" t="n">
        <v>0</v>
      </c>
      <c r="P501" t="n">
        <v>0</v>
      </c>
      <c r="Q501" t="n">
        <v>0</v>
      </c>
      <c r="R501" s="2" t="inlineStr"/>
    </row>
    <row r="502" ht="15" customHeight="1">
      <c r="A502" t="inlineStr">
        <is>
          <t>A 47434-2025</t>
        </is>
      </c>
      <c r="B502" s="1" t="n">
        <v>45930.63659722222</v>
      </c>
      <c r="C502" s="1" t="n">
        <v>46074</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36-2024</t>
        </is>
      </c>
      <c r="B503" s="1" t="n">
        <v>45293</v>
      </c>
      <c r="C503" s="1" t="n">
        <v>46074</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46074</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36896-2025</t>
        </is>
      </c>
      <c r="B505" s="1" t="n">
        <v>45874.4740625</v>
      </c>
      <c r="C505" s="1" t="n">
        <v>46074</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45206-2024</t>
        </is>
      </c>
      <c r="B506" s="1" t="n">
        <v>45575.69966435185</v>
      </c>
      <c r="C506" s="1" t="n">
        <v>46074</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36714-2025</t>
        </is>
      </c>
      <c r="B507" s="1" t="n">
        <v>45873.46881944445</v>
      </c>
      <c r="C507" s="1" t="n">
        <v>46074</v>
      </c>
      <c r="D507" t="inlineStr">
        <is>
          <t>JÄMTLANDS LÄN</t>
        </is>
      </c>
      <c r="E507" t="inlineStr">
        <is>
          <t>BERG</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36718-2025</t>
        </is>
      </c>
      <c r="B508" s="1" t="n">
        <v>45873.47069444445</v>
      </c>
      <c r="C508" s="1" t="n">
        <v>46074</v>
      </c>
      <c r="D508" t="inlineStr">
        <is>
          <t>JÄMTLANDS LÄN</t>
        </is>
      </c>
      <c r="E508" t="inlineStr">
        <is>
          <t>BERG</t>
        </is>
      </c>
      <c r="F508" t="inlineStr">
        <is>
          <t>Sveaskog</t>
        </is>
      </c>
      <c r="G508" t="n">
        <v>2.8</v>
      </c>
      <c r="H508" t="n">
        <v>0</v>
      </c>
      <c r="I508" t="n">
        <v>0</v>
      </c>
      <c r="J508" t="n">
        <v>0</v>
      </c>
      <c r="K508" t="n">
        <v>0</v>
      </c>
      <c r="L508" t="n">
        <v>0</v>
      </c>
      <c r="M508" t="n">
        <v>0</v>
      </c>
      <c r="N508" t="n">
        <v>0</v>
      </c>
      <c r="O508" t="n">
        <v>0</v>
      </c>
      <c r="P508" t="n">
        <v>0</v>
      </c>
      <c r="Q508" t="n">
        <v>0</v>
      </c>
      <c r="R508" s="2" t="inlineStr"/>
    </row>
    <row r="509" ht="15" customHeight="1">
      <c r="A509" t="inlineStr">
        <is>
          <t>A 48250-2025</t>
        </is>
      </c>
      <c r="B509" s="1" t="n">
        <v>45933.55259259259</v>
      </c>
      <c r="C509" s="1" t="n">
        <v>46074</v>
      </c>
      <c r="D509" t="inlineStr">
        <is>
          <t>JÄMTLANDS LÄN</t>
        </is>
      </c>
      <c r="E509" t="inlineStr">
        <is>
          <t>BERG</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37062-2025</t>
        </is>
      </c>
      <c r="B510" s="1" t="n">
        <v>45875.38579861111</v>
      </c>
      <c r="C510" s="1" t="n">
        <v>46074</v>
      </c>
      <c r="D510" t="inlineStr">
        <is>
          <t>JÄMTLANDS LÄN</t>
        </is>
      </c>
      <c r="E510" t="inlineStr">
        <is>
          <t>BERG</t>
        </is>
      </c>
      <c r="F510" t="inlineStr">
        <is>
          <t>SCA</t>
        </is>
      </c>
      <c r="G510" t="n">
        <v>8.5</v>
      </c>
      <c r="H510" t="n">
        <v>0</v>
      </c>
      <c r="I510" t="n">
        <v>0</v>
      </c>
      <c r="J510" t="n">
        <v>0</v>
      </c>
      <c r="K510" t="n">
        <v>0</v>
      </c>
      <c r="L510" t="n">
        <v>0</v>
      </c>
      <c r="M510" t="n">
        <v>0</v>
      </c>
      <c r="N510" t="n">
        <v>0</v>
      </c>
      <c r="O510" t="n">
        <v>0</v>
      </c>
      <c r="P510" t="n">
        <v>0</v>
      </c>
      <c r="Q510" t="n">
        <v>0</v>
      </c>
      <c r="R510" s="2" t="inlineStr"/>
    </row>
    <row r="511" ht="15" customHeight="1">
      <c r="A511" t="inlineStr">
        <is>
          <t>A 36341-2025</t>
        </is>
      </c>
      <c r="B511" s="1" t="n">
        <v>45868</v>
      </c>
      <c r="C511" s="1" t="n">
        <v>46074</v>
      </c>
      <c r="D511" t="inlineStr">
        <is>
          <t>JÄMTLANDS LÄN</t>
        </is>
      </c>
      <c r="E511" t="inlineStr">
        <is>
          <t>BERG</t>
        </is>
      </c>
      <c r="G511" t="n">
        <v>3.1</v>
      </c>
      <c r="H511" t="n">
        <v>0</v>
      </c>
      <c r="I511" t="n">
        <v>0</v>
      </c>
      <c r="J511" t="n">
        <v>0</v>
      </c>
      <c r="K511" t="n">
        <v>0</v>
      </c>
      <c r="L511" t="n">
        <v>0</v>
      </c>
      <c r="M511" t="n">
        <v>0</v>
      </c>
      <c r="N511" t="n">
        <v>0</v>
      </c>
      <c r="O511" t="n">
        <v>0</v>
      </c>
      <c r="P511" t="n">
        <v>0</v>
      </c>
      <c r="Q511" t="n">
        <v>0</v>
      </c>
      <c r="R511" s="2" t="inlineStr"/>
    </row>
    <row r="512" ht="15" customHeight="1">
      <c r="A512" t="inlineStr">
        <is>
          <t>A 37488-2025</t>
        </is>
      </c>
      <c r="B512" s="1" t="n">
        <v>45877.63582175926</v>
      </c>
      <c r="C512" s="1" t="n">
        <v>46074</v>
      </c>
      <c r="D512" t="inlineStr">
        <is>
          <t>JÄMTLANDS LÄN</t>
        </is>
      </c>
      <c r="E512" t="inlineStr">
        <is>
          <t>BERG</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37455-2025</t>
        </is>
      </c>
      <c r="B513" s="1" t="n">
        <v>45877.56710648148</v>
      </c>
      <c r="C513" s="1" t="n">
        <v>46074</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37463-2025</t>
        </is>
      </c>
      <c r="B514" s="1" t="n">
        <v>45877.5738425926</v>
      </c>
      <c r="C514" s="1" t="n">
        <v>46074</v>
      </c>
      <c r="D514" t="inlineStr">
        <is>
          <t>JÄMTLANDS LÄN</t>
        </is>
      </c>
      <c r="E514" t="inlineStr">
        <is>
          <t>BERG</t>
        </is>
      </c>
      <c r="F514" t="inlineStr">
        <is>
          <t>SCA</t>
        </is>
      </c>
      <c r="G514" t="n">
        <v>13.3</v>
      </c>
      <c r="H514" t="n">
        <v>0</v>
      </c>
      <c r="I514" t="n">
        <v>0</v>
      </c>
      <c r="J514" t="n">
        <v>0</v>
      </c>
      <c r="K514" t="n">
        <v>0</v>
      </c>
      <c r="L514" t="n">
        <v>0</v>
      </c>
      <c r="M514" t="n">
        <v>0</v>
      </c>
      <c r="N514" t="n">
        <v>0</v>
      </c>
      <c r="O514" t="n">
        <v>0</v>
      </c>
      <c r="P514" t="n">
        <v>0</v>
      </c>
      <c r="Q514" t="n">
        <v>0</v>
      </c>
      <c r="R514" s="2" t="inlineStr"/>
    </row>
    <row r="515" ht="15" customHeight="1">
      <c r="A515" t="inlineStr">
        <is>
          <t>A 23877-2024</t>
        </is>
      </c>
      <c r="B515" s="1" t="n">
        <v>45455.63024305556</v>
      </c>
      <c r="C515" s="1" t="n">
        <v>46074</v>
      </c>
      <c r="D515" t="inlineStr">
        <is>
          <t>JÄMTLANDS LÄN</t>
        </is>
      </c>
      <c r="E515" t="inlineStr">
        <is>
          <t>BERG</t>
        </is>
      </c>
      <c r="G515" t="n">
        <v>2</v>
      </c>
      <c r="H515" t="n">
        <v>0</v>
      </c>
      <c r="I515" t="n">
        <v>0</v>
      </c>
      <c r="J515" t="n">
        <v>0</v>
      </c>
      <c r="K515" t="n">
        <v>0</v>
      </c>
      <c r="L515" t="n">
        <v>0</v>
      </c>
      <c r="M515" t="n">
        <v>0</v>
      </c>
      <c r="N515" t="n">
        <v>0</v>
      </c>
      <c r="O515" t="n">
        <v>0</v>
      </c>
      <c r="P515" t="n">
        <v>0</v>
      </c>
      <c r="Q515" t="n">
        <v>0</v>
      </c>
      <c r="R515" s="2" t="inlineStr"/>
    </row>
    <row r="516" ht="15" customHeight="1">
      <c r="A516" t="inlineStr">
        <is>
          <t>A 23880-2024</t>
        </is>
      </c>
      <c r="B516" s="1" t="n">
        <v>45455.63731481481</v>
      </c>
      <c r="C516" s="1" t="n">
        <v>46074</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62299-2023</t>
        </is>
      </c>
      <c r="B517" s="1" t="n">
        <v>45266</v>
      </c>
      <c r="C517" s="1" t="n">
        <v>46074</v>
      </c>
      <c r="D517" t="inlineStr">
        <is>
          <t>JÄMTLANDS LÄN</t>
        </is>
      </c>
      <c r="E517" t="inlineStr">
        <is>
          <t>BERG</t>
        </is>
      </c>
      <c r="G517" t="n">
        <v>2.6</v>
      </c>
      <c r="H517" t="n">
        <v>0</v>
      </c>
      <c r="I517" t="n">
        <v>0</v>
      </c>
      <c r="J517" t="n">
        <v>0</v>
      </c>
      <c r="K517" t="n">
        <v>0</v>
      </c>
      <c r="L517" t="n">
        <v>0</v>
      </c>
      <c r="M517" t="n">
        <v>0</v>
      </c>
      <c r="N517" t="n">
        <v>0</v>
      </c>
      <c r="O517" t="n">
        <v>0</v>
      </c>
      <c r="P517" t="n">
        <v>0</v>
      </c>
      <c r="Q517" t="n">
        <v>0</v>
      </c>
      <c r="R517" s="2" t="inlineStr"/>
    </row>
    <row r="518" ht="15" customHeight="1">
      <c r="A518" t="inlineStr">
        <is>
          <t>A 29087-2024</t>
        </is>
      </c>
      <c r="B518" s="1" t="n">
        <v>45481.92946759259</v>
      </c>
      <c r="C518" s="1" t="n">
        <v>46074</v>
      </c>
      <c r="D518" t="inlineStr">
        <is>
          <t>JÄMTLANDS LÄN</t>
        </is>
      </c>
      <c r="E518" t="inlineStr">
        <is>
          <t>BERG</t>
        </is>
      </c>
      <c r="G518" t="n">
        <v>10.7</v>
      </c>
      <c r="H518" t="n">
        <v>0</v>
      </c>
      <c r="I518" t="n">
        <v>0</v>
      </c>
      <c r="J518" t="n">
        <v>0</v>
      </c>
      <c r="K518" t="n">
        <v>0</v>
      </c>
      <c r="L518" t="n">
        <v>0</v>
      </c>
      <c r="M518" t="n">
        <v>0</v>
      </c>
      <c r="N518" t="n">
        <v>0</v>
      </c>
      <c r="O518" t="n">
        <v>0</v>
      </c>
      <c r="P518" t="n">
        <v>0</v>
      </c>
      <c r="Q518" t="n">
        <v>0</v>
      </c>
      <c r="R518" s="2" t="inlineStr"/>
    </row>
    <row r="519" ht="15" customHeight="1">
      <c r="A519" t="inlineStr">
        <is>
          <t>A 37431-2025</t>
        </is>
      </c>
      <c r="B519" s="1" t="n">
        <v>45877.51092592593</v>
      </c>
      <c r="C519" s="1" t="n">
        <v>46074</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48168-2025</t>
        </is>
      </c>
      <c r="B520" s="1" t="n">
        <v>45933.43004629629</v>
      </c>
      <c r="C520" s="1" t="n">
        <v>46074</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48508-2025</t>
        </is>
      </c>
      <c r="B521" s="1" t="n">
        <v>45936.3859837963</v>
      </c>
      <c r="C521" s="1" t="n">
        <v>46074</v>
      </c>
      <c r="D521" t="inlineStr">
        <is>
          <t>JÄMTLANDS LÄN</t>
        </is>
      </c>
      <c r="E521" t="inlineStr">
        <is>
          <t>BERG</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46074</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48704-2025</t>
        </is>
      </c>
      <c r="B523" s="1" t="n">
        <v>45936.6222337963</v>
      </c>
      <c r="C523" s="1" t="n">
        <v>46074</v>
      </c>
      <c r="D523" t="inlineStr">
        <is>
          <t>JÄMTLANDS LÄN</t>
        </is>
      </c>
      <c r="E523" t="inlineStr">
        <is>
          <t>BERG</t>
        </is>
      </c>
      <c r="G523" t="n">
        <v>2.7</v>
      </c>
      <c r="H523" t="n">
        <v>0</v>
      </c>
      <c r="I523" t="n">
        <v>0</v>
      </c>
      <c r="J523" t="n">
        <v>0</v>
      </c>
      <c r="K523" t="n">
        <v>0</v>
      </c>
      <c r="L523" t="n">
        <v>0</v>
      </c>
      <c r="M523" t="n">
        <v>0</v>
      </c>
      <c r="N523" t="n">
        <v>0</v>
      </c>
      <c r="O523" t="n">
        <v>0</v>
      </c>
      <c r="P523" t="n">
        <v>0</v>
      </c>
      <c r="Q523" t="n">
        <v>0</v>
      </c>
      <c r="R523" s="2" t="inlineStr"/>
    </row>
    <row r="524" ht="15" customHeight="1">
      <c r="A524" t="inlineStr">
        <is>
          <t>A 38082-2025</t>
        </is>
      </c>
      <c r="B524" s="1" t="n">
        <v>45882</v>
      </c>
      <c r="C524" s="1" t="n">
        <v>46074</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46074</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38388-2025</t>
        </is>
      </c>
      <c r="B526" s="1" t="n">
        <v>45883.57467592593</v>
      </c>
      <c r="C526" s="1" t="n">
        <v>46074</v>
      </c>
      <c r="D526" t="inlineStr">
        <is>
          <t>JÄMTLANDS LÄN</t>
        </is>
      </c>
      <c r="E526" t="inlineStr">
        <is>
          <t>BERG</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38428-2025</t>
        </is>
      </c>
      <c r="B527" s="1" t="n">
        <v>45883.63628472222</v>
      </c>
      <c r="C527" s="1" t="n">
        <v>46074</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48865-2025</t>
        </is>
      </c>
      <c r="B528" s="1" t="n">
        <v>45937.44760416666</v>
      </c>
      <c r="C528" s="1" t="n">
        <v>46074</v>
      </c>
      <c r="D528" t="inlineStr">
        <is>
          <t>JÄMTLANDS LÄN</t>
        </is>
      </c>
      <c r="E528" t="inlineStr">
        <is>
          <t>BERG</t>
        </is>
      </c>
      <c r="G528" t="n">
        <v>5.8</v>
      </c>
      <c r="H528" t="n">
        <v>0</v>
      </c>
      <c r="I528" t="n">
        <v>0</v>
      </c>
      <c r="J528" t="n">
        <v>0</v>
      </c>
      <c r="K528" t="n">
        <v>0</v>
      </c>
      <c r="L528" t="n">
        <v>0</v>
      </c>
      <c r="M528" t="n">
        <v>0</v>
      </c>
      <c r="N528" t="n">
        <v>0</v>
      </c>
      <c r="O528" t="n">
        <v>0</v>
      </c>
      <c r="P528" t="n">
        <v>0</v>
      </c>
      <c r="Q528" t="n">
        <v>0</v>
      </c>
      <c r="R528" s="2" t="inlineStr"/>
    </row>
    <row r="529" ht="15" customHeight="1">
      <c r="A529" t="inlineStr">
        <is>
          <t>A 38080-2025</t>
        </is>
      </c>
      <c r="B529" s="1" t="n">
        <v>45882</v>
      </c>
      <c r="C529" s="1" t="n">
        <v>46074</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48968-2025</t>
        </is>
      </c>
      <c r="B530" s="1" t="n">
        <v>45937.56285879629</v>
      </c>
      <c r="C530" s="1" t="n">
        <v>46074</v>
      </c>
      <c r="D530" t="inlineStr">
        <is>
          <t>JÄMTLANDS LÄN</t>
        </is>
      </c>
      <c r="E530" t="inlineStr">
        <is>
          <t>BERG</t>
        </is>
      </c>
      <c r="G530" t="n">
        <v>20</v>
      </c>
      <c r="H530" t="n">
        <v>0</v>
      </c>
      <c r="I530" t="n">
        <v>0</v>
      </c>
      <c r="J530" t="n">
        <v>0</v>
      </c>
      <c r="K530" t="n">
        <v>0</v>
      </c>
      <c r="L530" t="n">
        <v>0</v>
      </c>
      <c r="M530" t="n">
        <v>0</v>
      </c>
      <c r="N530" t="n">
        <v>0</v>
      </c>
      <c r="O530" t="n">
        <v>0</v>
      </c>
      <c r="P530" t="n">
        <v>0</v>
      </c>
      <c r="Q530" t="n">
        <v>0</v>
      </c>
      <c r="R530" s="2" t="inlineStr"/>
    </row>
    <row r="531" ht="15" customHeight="1">
      <c r="A531" t="inlineStr">
        <is>
          <t>A 48770-2025</t>
        </is>
      </c>
      <c r="B531" s="1" t="n">
        <v>45936.91108796297</v>
      </c>
      <c r="C531" s="1" t="n">
        <v>46074</v>
      </c>
      <c r="D531" t="inlineStr">
        <is>
          <t>JÄMTLANDS LÄN</t>
        </is>
      </c>
      <c r="E531" t="inlineStr">
        <is>
          <t>BERG</t>
        </is>
      </c>
      <c r="G531" t="n">
        <v>1.7</v>
      </c>
      <c r="H531" t="n">
        <v>0</v>
      </c>
      <c r="I531" t="n">
        <v>0</v>
      </c>
      <c r="J531" t="n">
        <v>0</v>
      </c>
      <c r="K531" t="n">
        <v>0</v>
      </c>
      <c r="L531" t="n">
        <v>0</v>
      </c>
      <c r="M531" t="n">
        <v>0</v>
      </c>
      <c r="N531" t="n">
        <v>0</v>
      </c>
      <c r="O531" t="n">
        <v>0</v>
      </c>
      <c r="P531" t="n">
        <v>0</v>
      </c>
      <c r="Q531" t="n">
        <v>0</v>
      </c>
      <c r="R531" s="2" t="inlineStr"/>
    </row>
    <row r="532" ht="15" customHeight="1">
      <c r="A532" t="inlineStr">
        <is>
          <t>A 49391-2025</t>
        </is>
      </c>
      <c r="B532" s="1" t="n">
        <v>45938.65011574074</v>
      </c>
      <c r="C532" s="1" t="n">
        <v>46074</v>
      </c>
      <c r="D532" t="inlineStr">
        <is>
          <t>JÄMTLANDS LÄN</t>
        </is>
      </c>
      <c r="E532" t="inlineStr">
        <is>
          <t>BERG</t>
        </is>
      </c>
      <c r="G532" t="n">
        <v>3.7</v>
      </c>
      <c r="H532" t="n">
        <v>0</v>
      </c>
      <c r="I532" t="n">
        <v>0</v>
      </c>
      <c r="J532" t="n">
        <v>0</v>
      </c>
      <c r="K532" t="n">
        <v>0</v>
      </c>
      <c r="L532" t="n">
        <v>0</v>
      </c>
      <c r="M532" t="n">
        <v>0</v>
      </c>
      <c r="N532" t="n">
        <v>0</v>
      </c>
      <c r="O532" t="n">
        <v>0</v>
      </c>
      <c r="P532" t="n">
        <v>0</v>
      </c>
      <c r="Q532" t="n">
        <v>0</v>
      </c>
      <c r="R532" s="2" t="inlineStr"/>
    </row>
    <row r="533" ht="15" customHeight="1">
      <c r="A533" t="inlineStr">
        <is>
          <t>A 5644-2025</t>
        </is>
      </c>
      <c r="B533" s="1" t="n">
        <v>45693.6833449074</v>
      </c>
      <c r="C533" s="1" t="n">
        <v>46074</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49041-2025</t>
        </is>
      </c>
      <c r="B534" s="1" t="n">
        <v>45937.63592592593</v>
      </c>
      <c r="C534" s="1" t="n">
        <v>46074</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29424-2024</t>
        </is>
      </c>
      <c r="B535" s="1" t="n">
        <v>45483.71451388889</v>
      </c>
      <c r="C535" s="1" t="n">
        <v>46074</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60249-2022</t>
        </is>
      </c>
      <c r="B536" s="1" t="n">
        <v>44903</v>
      </c>
      <c r="C536" s="1" t="n">
        <v>46074</v>
      </c>
      <c r="D536" t="inlineStr">
        <is>
          <t>JÄMTLANDS LÄN</t>
        </is>
      </c>
      <c r="E536" t="inlineStr">
        <is>
          <t>BERG</t>
        </is>
      </c>
      <c r="G536" t="n">
        <v>6</v>
      </c>
      <c r="H536" t="n">
        <v>0</v>
      </c>
      <c r="I536" t="n">
        <v>0</v>
      </c>
      <c r="J536" t="n">
        <v>0</v>
      </c>
      <c r="K536" t="n">
        <v>0</v>
      </c>
      <c r="L536" t="n">
        <v>0</v>
      </c>
      <c r="M536" t="n">
        <v>0</v>
      </c>
      <c r="N536" t="n">
        <v>0</v>
      </c>
      <c r="O536" t="n">
        <v>0</v>
      </c>
      <c r="P536" t="n">
        <v>0</v>
      </c>
      <c r="Q536" t="n">
        <v>0</v>
      </c>
      <c r="R536" s="2" t="inlineStr"/>
    </row>
    <row r="537" ht="15" customHeight="1">
      <c r="A537" t="inlineStr">
        <is>
          <t>A 49573-2025</t>
        </is>
      </c>
      <c r="B537" s="1" t="n">
        <v>45939.49037037037</v>
      </c>
      <c r="C537" s="1" t="n">
        <v>46074</v>
      </c>
      <c r="D537" t="inlineStr">
        <is>
          <t>JÄMTLANDS LÄN</t>
        </is>
      </c>
      <c r="E537" t="inlineStr">
        <is>
          <t>BERG</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8065-2024</t>
        </is>
      </c>
      <c r="B538" s="1" t="n">
        <v>45351.40697916667</v>
      </c>
      <c r="C538" s="1" t="n">
        <v>46074</v>
      </c>
      <c r="D538" t="inlineStr">
        <is>
          <t>JÄMTLANDS LÄN</t>
        </is>
      </c>
      <c r="E538" t="inlineStr">
        <is>
          <t>BERG</t>
        </is>
      </c>
      <c r="G538" t="n">
        <v>6.9</v>
      </c>
      <c r="H538" t="n">
        <v>0</v>
      </c>
      <c r="I538" t="n">
        <v>0</v>
      </c>
      <c r="J538" t="n">
        <v>0</v>
      </c>
      <c r="K538" t="n">
        <v>0</v>
      </c>
      <c r="L538" t="n">
        <v>0</v>
      </c>
      <c r="M538" t="n">
        <v>0</v>
      </c>
      <c r="N538" t="n">
        <v>0</v>
      </c>
      <c r="O538" t="n">
        <v>0</v>
      </c>
      <c r="P538" t="n">
        <v>0</v>
      </c>
      <c r="Q538" t="n">
        <v>0</v>
      </c>
      <c r="R538" s="2" t="inlineStr"/>
    </row>
    <row r="539" ht="15" customHeight="1">
      <c r="A539" t="inlineStr">
        <is>
          <t>A 49349-2025</t>
        </is>
      </c>
      <c r="B539" s="1" t="n">
        <v>45938.61060185185</v>
      </c>
      <c r="C539" s="1" t="n">
        <v>46074</v>
      </c>
      <c r="D539" t="inlineStr">
        <is>
          <t>JÄMTLANDS LÄN</t>
        </is>
      </c>
      <c r="E539" t="inlineStr">
        <is>
          <t>BERG</t>
        </is>
      </c>
      <c r="G539" t="n">
        <v>2.5</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46074</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49918-2025</t>
        </is>
      </c>
      <c r="B541" s="1" t="n">
        <v>45940.6290625</v>
      </c>
      <c r="C541" s="1" t="n">
        <v>46074</v>
      </c>
      <c r="D541" t="inlineStr">
        <is>
          <t>JÄMTLANDS LÄN</t>
        </is>
      </c>
      <c r="E541" t="inlineStr">
        <is>
          <t>BERG</t>
        </is>
      </c>
      <c r="G541" t="n">
        <v>0.7</v>
      </c>
      <c r="H541" t="n">
        <v>0</v>
      </c>
      <c r="I541" t="n">
        <v>0</v>
      </c>
      <c r="J541" t="n">
        <v>0</v>
      </c>
      <c r="K541" t="n">
        <v>0</v>
      </c>
      <c r="L541" t="n">
        <v>0</v>
      </c>
      <c r="M541" t="n">
        <v>0</v>
      </c>
      <c r="N541" t="n">
        <v>0</v>
      </c>
      <c r="O541" t="n">
        <v>0</v>
      </c>
      <c r="P541" t="n">
        <v>0</v>
      </c>
      <c r="Q541" t="n">
        <v>0</v>
      </c>
      <c r="R541" s="2" t="inlineStr"/>
    </row>
    <row r="542" ht="15" customHeight="1">
      <c r="A542" t="inlineStr">
        <is>
          <t>A 35911-2024</t>
        </is>
      </c>
      <c r="B542" s="1" t="n">
        <v>45533.41498842592</v>
      </c>
      <c r="C542" s="1" t="n">
        <v>46074</v>
      </c>
      <c r="D542" t="inlineStr">
        <is>
          <t>JÄMTLANDS LÄN</t>
        </is>
      </c>
      <c r="E542" t="inlineStr">
        <is>
          <t>BERG</t>
        </is>
      </c>
      <c r="G542" t="n">
        <v>4.1</v>
      </c>
      <c r="H542" t="n">
        <v>0</v>
      </c>
      <c r="I542" t="n">
        <v>0</v>
      </c>
      <c r="J542" t="n">
        <v>0</v>
      </c>
      <c r="K542" t="n">
        <v>0</v>
      </c>
      <c r="L542" t="n">
        <v>0</v>
      </c>
      <c r="M542" t="n">
        <v>0</v>
      </c>
      <c r="N542" t="n">
        <v>0</v>
      </c>
      <c r="O542" t="n">
        <v>0</v>
      </c>
      <c r="P542" t="n">
        <v>0</v>
      </c>
      <c r="Q542" t="n">
        <v>0</v>
      </c>
      <c r="R542" s="2" t="inlineStr"/>
    </row>
    <row r="543" ht="15" customHeight="1">
      <c r="A543" t="inlineStr">
        <is>
          <t>A 50024-2025</t>
        </is>
      </c>
      <c r="B543" s="1" t="n">
        <v>45943.37563657408</v>
      </c>
      <c r="C543" s="1" t="n">
        <v>46074</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50094-2025</t>
        </is>
      </c>
      <c r="B544" s="1" t="n">
        <v>45943.49340277778</v>
      </c>
      <c r="C544" s="1" t="n">
        <v>46074</v>
      </c>
      <c r="D544" t="inlineStr">
        <is>
          <t>JÄMTLANDS LÄN</t>
        </is>
      </c>
      <c r="E544" t="inlineStr">
        <is>
          <t>BERG</t>
        </is>
      </c>
      <c r="G544" t="n">
        <v>3</v>
      </c>
      <c r="H544" t="n">
        <v>0</v>
      </c>
      <c r="I544" t="n">
        <v>0</v>
      </c>
      <c r="J544" t="n">
        <v>0</v>
      </c>
      <c r="K544" t="n">
        <v>0</v>
      </c>
      <c r="L544" t="n">
        <v>0</v>
      </c>
      <c r="M544" t="n">
        <v>0</v>
      </c>
      <c r="N544" t="n">
        <v>0</v>
      </c>
      <c r="O544" t="n">
        <v>0</v>
      </c>
      <c r="P544" t="n">
        <v>0</v>
      </c>
      <c r="Q544" t="n">
        <v>0</v>
      </c>
      <c r="R544" s="2" t="inlineStr"/>
    </row>
    <row r="545" ht="15" customHeight="1">
      <c r="A545" t="inlineStr">
        <is>
          <t>A 61837-2023</t>
        </is>
      </c>
      <c r="B545" s="1" t="n">
        <v>45264</v>
      </c>
      <c r="C545" s="1" t="n">
        <v>46074</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62104-2023</t>
        </is>
      </c>
      <c r="B546" s="1" t="n">
        <v>45266.95052083334</v>
      </c>
      <c r="C546" s="1" t="n">
        <v>46074</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62105-2023</t>
        </is>
      </c>
      <c r="B547" s="1" t="n">
        <v>45266.95074074074</v>
      </c>
      <c r="C547" s="1" t="n">
        <v>46074</v>
      </c>
      <c r="D547" t="inlineStr">
        <is>
          <t>JÄMTLANDS LÄN</t>
        </is>
      </c>
      <c r="E547" t="inlineStr">
        <is>
          <t>BERG</t>
        </is>
      </c>
      <c r="F547" t="inlineStr">
        <is>
          <t>SCA</t>
        </is>
      </c>
      <c r="G547" t="n">
        <v>13.1</v>
      </c>
      <c r="H547" t="n">
        <v>0</v>
      </c>
      <c r="I547" t="n">
        <v>0</v>
      </c>
      <c r="J547" t="n">
        <v>0</v>
      </c>
      <c r="K547" t="n">
        <v>0</v>
      </c>
      <c r="L547" t="n">
        <v>0</v>
      </c>
      <c r="M547" t="n">
        <v>0</v>
      </c>
      <c r="N547" t="n">
        <v>0</v>
      </c>
      <c r="O547" t="n">
        <v>0</v>
      </c>
      <c r="P547" t="n">
        <v>0</v>
      </c>
      <c r="Q547" t="n">
        <v>0</v>
      </c>
      <c r="R547" s="2" t="inlineStr"/>
    </row>
    <row r="548" ht="15" customHeight="1">
      <c r="A548" t="inlineStr">
        <is>
          <t>A 18872-2023</t>
        </is>
      </c>
      <c r="B548" s="1" t="n">
        <v>45042</v>
      </c>
      <c r="C548" s="1" t="n">
        <v>46074</v>
      </c>
      <c r="D548" t="inlineStr">
        <is>
          <t>JÄMTLANDS LÄN</t>
        </is>
      </c>
      <c r="E548" t="inlineStr">
        <is>
          <t>BERG</t>
        </is>
      </c>
      <c r="G548" t="n">
        <v>13.2</v>
      </c>
      <c r="H548" t="n">
        <v>0</v>
      </c>
      <c r="I548" t="n">
        <v>0</v>
      </c>
      <c r="J548" t="n">
        <v>0</v>
      </c>
      <c r="K548" t="n">
        <v>0</v>
      </c>
      <c r="L548" t="n">
        <v>0</v>
      </c>
      <c r="M548" t="n">
        <v>0</v>
      </c>
      <c r="N548" t="n">
        <v>0</v>
      </c>
      <c r="O548" t="n">
        <v>0</v>
      </c>
      <c r="P548" t="n">
        <v>0</v>
      </c>
      <c r="Q548" t="n">
        <v>0</v>
      </c>
      <c r="R548" s="2" t="inlineStr"/>
    </row>
    <row r="549" ht="15" customHeight="1">
      <c r="A549" t="inlineStr">
        <is>
          <t>A 60028-2022</t>
        </is>
      </c>
      <c r="B549" s="1" t="n">
        <v>44902</v>
      </c>
      <c r="C549" s="1" t="n">
        <v>46074</v>
      </c>
      <c r="D549" t="inlineStr">
        <is>
          <t>JÄMTLANDS LÄN</t>
        </is>
      </c>
      <c r="E549" t="inlineStr">
        <is>
          <t>BERG</t>
        </is>
      </c>
      <c r="G549" t="n">
        <v>20</v>
      </c>
      <c r="H549" t="n">
        <v>0</v>
      </c>
      <c r="I549" t="n">
        <v>0</v>
      </c>
      <c r="J549" t="n">
        <v>0</v>
      </c>
      <c r="K549" t="n">
        <v>0</v>
      </c>
      <c r="L549" t="n">
        <v>0</v>
      </c>
      <c r="M549" t="n">
        <v>0</v>
      </c>
      <c r="N549" t="n">
        <v>0</v>
      </c>
      <c r="O549" t="n">
        <v>0</v>
      </c>
      <c r="P549" t="n">
        <v>0</v>
      </c>
      <c r="Q549" t="n">
        <v>0</v>
      </c>
      <c r="R549" s="2" t="inlineStr"/>
    </row>
    <row r="550" ht="15" customHeight="1">
      <c r="A550" t="inlineStr">
        <is>
          <t>A 50020-2025</t>
        </is>
      </c>
      <c r="B550" s="1" t="n">
        <v>45943.36899305556</v>
      </c>
      <c r="C550" s="1" t="n">
        <v>46074</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50231-2025</t>
        </is>
      </c>
      <c r="B551" s="1" t="n">
        <v>45943.70643518519</v>
      </c>
      <c r="C551" s="1" t="n">
        <v>46074</v>
      </c>
      <c r="D551" t="inlineStr">
        <is>
          <t>JÄMTLANDS LÄN</t>
        </is>
      </c>
      <c r="E551" t="inlineStr">
        <is>
          <t>BERG</t>
        </is>
      </c>
      <c r="G551" t="n">
        <v>4.6</v>
      </c>
      <c r="H551" t="n">
        <v>0</v>
      </c>
      <c r="I551" t="n">
        <v>0</v>
      </c>
      <c r="J551" t="n">
        <v>0</v>
      </c>
      <c r="K551" t="n">
        <v>0</v>
      </c>
      <c r="L551" t="n">
        <v>0</v>
      </c>
      <c r="M551" t="n">
        <v>0</v>
      </c>
      <c r="N551" t="n">
        <v>0</v>
      </c>
      <c r="O551" t="n">
        <v>0</v>
      </c>
      <c r="P551" t="n">
        <v>0</v>
      </c>
      <c r="Q551" t="n">
        <v>0</v>
      </c>
      <c r="R551" s="2" t="inlineStr"/>
    </row>
    <row r="552" ht="15" customHeight="1">
      <c r="A552" t="inlineStr">
        <is>
          <t>A 50233-2025</t>
        </is>
      </c>
      <c r="B552" s="1" t="n">
        <v>45943.71228009259</v>
      </c>
      <c r="C552" s="1" t="n">
        <v>46074</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50227-2025</t>
        </is>
      </c>
      <c r="B553" s="1" t="n">
        <v>45943.69686342592</v>
      </c>
      <c r="C553" s="1" t="n">
        <v>46074</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50230-2025</t>
        </is>
      </c>
      <c r="B554" s="1" t="n">
        <v>45943.70216435185</v>
      </c>
      <c r="C554" s="1" t="n">
        <v>46074</v>
      </c>
      <c r="D554" t="inlineStr">
        <is>
          <t>JÄMTLANDS LÄN</t>
        </is>
      </c>
      <c r="E554" t="inlineStr">
        <is>
          <t>BERG</t>
        </is>
      </c>
      <c r="G554" t="n">
        <v>6.3</v>
      </c>
      <c r="H554" t="n">
        <v>0</v>
      </c>
      <c r="I554" t="n">
        <v>0</v>
      </c>
      <c r="J554" t="n">
        <v>0</v>
      </c>
      <c r="K554" t="n">
        <v>0</v>
      </c>
      <c r="L554" t="n">
        <v>0</v>
      </c>
      <c r="M554" t="n">
        <v>0</v>
      </c>
      <c r="N554" t="n">
        <v>0</v>
      </c>
      <c r="O554" t="n">
        <v>0</v>
      </c>
      <c r="P554" t="n">
        <v>0</v>
      </c>
      <c r="Q554" t="n">
        <v>0</v>
      </c>
      <c r="R554" s="2" t="inlineStr"/>
    </row>
    <row r="555" ht="15" customHeight="1">
      <c r="A555" t="inlineStr">
        <is>
          <t>A 50435-2025</t>
        </is>
      </c>
      <c r="B555" s="1" t="n">
        <v>45944.6984837963</v>
      </c>
      <c r="C555" s="1" t="n">
        <v>46074</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50273-2025</t>
        </is>
      </c>
      <c r="B556" s="1" t="n">
        <v>45944.36600694444</v>
      </c>
      <c r="C556" s="1" t="n">
        <v>46074</v>
      </c>
      <c r="D556" t="inlineStr">
        <is>
          <t>JÄMTLANDS LÄN</t>
        </is>
      </c>
      <c r="E556" t="inlineStr">
        <is>
          <t>BERG</t>
        </is>
      </c>
      <c r="G556" t="n">
        <v>5.7</v>
      </c>
      <c r="H556" t="n">
        <v>0</v>
      </c>
      <c r="I556" t="n">
        <v>0</v>
      </c>
      <c r="J556" t="n">
        <v>0</v>
      </c>
      <c r="K556" t="n">
        <v>0</v>
      </c>
      <c r="L556" t="n">
        <v>0</v>
      </c>
      <c r="M556" t="n">
        <v>0</v>
      </c>
      <c r="N556" t="n">
        <v>0</v>
      </c>
      <c r="O556" t="n">
        <v>0</v>
      </c>
      <c r="P556" t="n">
        <v>0</v>
      </c>
      <c r="Q556" t="n">
        <v>0</v>
      </c>
      <c r="R556" s="2" t="inlineStr"/>
    </row>
    <row r="557" ht="15" customHeight="1">
      <c r="A557" t="inlineStr">
        <is>
          <t>A 50408-2025</t>
        </is>
      </c>
      <c r="B557" s="1" t="n">
        <v>45944.64006944445</v>
      </c>
      <c r="C557" s="1" t="n">
        <v>46074</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46074</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46074</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46074</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46074</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32465-2024</t>
        </is>
      </c>
      <c r="B562" s="1" t="n">
        <v>45512.96096064815</v>
      </c>
      <c r="C562" s="1" t="n">
        <v>46074</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51548-2023</t>
        </is>
      </c>
      <c r="B563" s="1" t="n">
        <v>45215</v>
      </c>
      <c r="C563" s="1" t="n">
        <v>46074</v>
      </c>
      <c r="D563" t="inlineStr">
        <is>
          <t>JÄMTLANDS LÄN</t>
        </is>
      </c>
      <c r="E563" t="inlineStr">
        <is>
          <t>BERG</t>
        </is>
      </c>
      <c r="G563" t="n">
        <v>4.8</v>
      </c>
      <c r="H563" t="n">
        <v>0</v>
      </c>
      <c r="I563" t="n">
        <v>0</v>
      </c>
      <c r="J563" t="n">
        <v>0</v>
      </c>
      <c r="K563" t="n">
        <v>0</v>
      </c>
      <c r="L563" t="n">
        <v>0</v>
      </c>
      <c r="M563" t="n">
        <v>0</v>
      </c>
      <c r="N563" t="n">
        <v>0</v>
      </c>
      <c r="O563" t="n">
        <v>0</v>
      </c>
      <c r="P563" t="n">
        <v>0</v>
      </c>
      <c r="Q563" t="n">
        <v>0</v>
      </c>
      <c r="R563" s="2" t="inlineStr"/>
    </row>
    <row r="564" ht="15" customHeight="1">
      <c r="A564" t="inlineStr">
        <is>
          <t>A 32654-2025</t>
        </is>
      </c>
      <c r="B564" s="1" t="n">
        <v>45838.6778587963</v>
      </c>
      <c r="C564" s="1" t="n">
        <v>46074</v>
      </c>
      <c r="D564" t="inlineStr">
        <is>
          <t>JÄMTLANDS LÄN</t>
        </is>
      </c>
      <c r="E564" t="inlineStr">
        <is>
          <t>BERG</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60068-2022</t>
        </is>
      </c>
      <c r="B565" s="1" t="n">
        <v>44902</v>
      </c>
      <c r="C565" s="1" t="n">
        <v>46074</v>
      </c>
      <c r="D565" t="inlineStr">
        <is>
          <t>JÄMTLANDS LÄN</t>
        </is>
      </c>
      <c r="E565" t="inlineStr">
        <is>
          <t>BERG</t>
        </is>
      </c>
      <c r="G565" t="n">
        <v>5.2</v>
      </c>
      <c r="H565" t="n">
        <v>0</v>
      </c>
      <c r="I565" t="n">
        <v>0</v>
      </c>
      <c r="J565" t="n">
        <v>0</v>
      </c>
      <c r="K565" t="n">
        <v>0</v>
      </c>
      <c r="L565" t="n">
        <v>0</v>
      </c>
      <c r="M565" t="n">
        <v>0</v>
      </c>
      <c r="N565" t="n">
        <v>0</v>
      </c>
      <c r="O565" t="n">
        <v>0</v>
      </c>
      <c r="P565" t="n">
        <v>0</v>
      </c>
      <c r="Q565" t="n">
        <v>0</v>
      </c>
      <c r="R565" s="2" t="inlineStr"/>
    </row>
    <row r="566" ht="15" customHeight="1">
      <c r="A566" t="inlineStr">
        <is>
          <t>A 7482-2022</t>
        </is>
      </c>
      <c r="B566" s="1" t="n">
        <v>44606</v>
      </c>
      <c r="C566" s="1" t="n">
        <v>46074</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46074</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50698-2025</t>
        </is>
      </c>
      <c r="B568" s="1" t="n">
        <v>45945.91894675926</v>
      </c>
      <c r="C568" s="1" t="n">
        <v>46074</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31641-2022</t>
        </is>
      </c>
      <c r="B569" s="1" t="n">
        <v>44775.94119212963</v>
      </c>
      <c r="C569" s="1" t="n">
        <v>46074</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46074</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51079-2025</t>
        </is>
      </c>
      <c r="B571" s="1" t="n">
        <v>45947.465</v>
      </c>
      <c r="C571" s="1" t="n">
        <v>46074</v>
      </c>
      <c r="D571" t="inlineStr">
        <is>
          <t>JÄMTLANDS LÄN</t>
        </is>
      </c>
      <c r="E571" t="inlineStr">
        <is>
          <t>BERG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16247-2024</t>
        </is>
      </c>
      <c r="B572" s="1" t="n">
        <v>45407.05797453703</v>
      </c>
      <c r="C572" s="1" t="n">
        <v>46074</v>
      </c>
      <c r="D572" t="inlineStr">
        <is>
          <t>JÄMTLANDS LÄN</t>
        </is>
      </c>
      <c r="E572" t="inlineStr">
        <is>
          <t>BERG</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51080-2025</t>
        </is>
      </c>
      <c r="B573" s="1" t="n">
        <v>45947.46655092593</v>
      </c>
      <c r="C573" s="1" t="n">
        <v>46074</v>
      </c>
      <c r="D573" t="inlineStr">
        <is>
          <t>JÄMTLANDS LÄN</t>
        </is>
      </c>
      <c r="E573" t="inlineStr">
        <is>
          <t>BERG</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51301-2025</t>
        </is>
      </c>
      <c r="B574" s="1" t="n">
        <v>45950.36480324074</v>
      </c>
      <c r="C574" s="1" t="n">
        <v>46074</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46268-2023</t>
        </is>
      </c>
      <c r="B575" s="1" t="n">
        <v>45196</v>
      </c>
      <c r="C575" s="1" t="n">
        <v>46074</v>
      </c>
      <c r="D575" t="inlineStr">
        <is>
          <t>JÄMTLANDS LÄN</t>
        </is>
      </c>
      <c r="E575" t="inlineStr">
        <is>
          <t>BERG</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46074</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51495-2025</t>
        </is>
      </c>
      <c r="B577" s="1" t="n">
        <v>45950.6366550926</v>
      </c>
      <c r="C577" s="1" t="n">
        <v>46074</v>
      </c>
      <c r="D577" t="inlineStr">
        <is>
          <t>JÄMTLANDS LÄN</t>
        </is>
      </c>
      <c r="E577" t="inlineStr">
        <is>
          <t>BERG</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8069-2024</t>
        </is>
      </c>
      <c r="B578" s="1" t="n">
        <v>45351.41600694445</v>
      </c>
      <c r="C578" s="1" t="n">
        <v>46074</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61788-2023</t>
        </is>
      </c>
      <c r="B579" s="1" t="n">
        <v>45265.9577199074</v>
      </c>
      <c r="C579" s="1" t="n">
        <v>46074</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39785-2024</t>
        </is>
      </c>
      <c r="B580" s="1" t="n">
        <v>45553.29927083333</v>
      </c>
      <c r="C580" s="1" t="n">
        <v>46074</v>
      </c>
      <c r="D580" t="inlineStr">
        <is>
          <t>JÄMTLANDS LÄN</t>
        </is>
      </c>
      <c r="E580" t="inlineStr">
        <is>
          <t>BERG</t>
        </is>
      </c>
      <c r="G580" t="n">
        <v>16.1</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46074</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46074</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56226-2024</t>
        </is>
      </c>
      <c r="B583" s="1" t="n">
        <v>45624.61572916667</v>
      </c>
      <c r="C583" s="1" t="n">
        <v>46074</v>
      </c>
      <c r="D583" t="inlineStr">
        <is>
          <t>JÄMTLANDS LÄN</t>
        </is>
      </c>
      <c r="E583" t="inlineStr">
        <is>
          <t>BERG</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52341-2025</t>
        </is>
      </c>
      <c r="B584" s="1" t="n">
        <v>45953.71564814815</v>
      </c>
      <c r="C584" s="1" t="n">
        <v>46074</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46074</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46074</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41868-2024</t>
        </is>
      </c>
      <c r="B587" s="1" t="n">
        <v>45561.46900462963</v>
      </c>
      <c r="C587" s="1" t="n">
        <v>46074</v>
      </c>
      <c r="D587" t="inlineStr">
        <is>
          <t>JÄMTLANDS LÄN</t>
        </is>
      </c>
      <c r="E587" t="inlineStr">
        <is>
          <t>BERG</t>
        </is>
      </c>
      <c r="G587" t="n">
        <v>2.3</v>
      </c>
      <c r="H587" t="n">
        <v>0</v>
      </c>
      <c r="I587" t="n">
        <v>0</v>
      </c>
      <c r="J587" t="n">
        <v>0</v>
      </c>
      <c r="K587" t="n">
        <v>0</v>
      </c>
      <c r="L587" t="n">
        <v>0</v>
      </c>
      <c r="M587" t="n">
        <v>0</v>
      </c>
      <c r="N587" t="n">
        <v>0</v>
      </c>
      <c r="O587" t="n">
        <v>0</v>
      </c>
      <c r="P587" t="n">
        <v>0</v>
      </c>
      <c r="Q587" t="n">
        <v>0</v>
      </c>
      <c r="R587" s="2" t="inlineStr"/>
    </row>
    <row r="588" ht="15" customHeight="1">
      <c r="A588" t="inlineStr">
        <is>
          <t>A 52340-2025</t>
        </is>
      </c>
      <c r="B588" s="1" t="n">
        <v>45953.70571759259</v>
      </c>
      <c r="C588" s="1" t="n">
        <v>46074</v>
      </c>
      <c r="D588" t="inlineStr">
        <is>
          <t>JÄMTLANDS LÄN</t>
        </is>
      </c>
      <c r="E588" t="inlineStr">
        <is>
          <t>BERG</t>
        </is>
      </c>
      <c r="G588" t="n">
        <v>6.7</v>
      </c>
      <c r="H588" t="n">
        <v>0</v>
      </c>
      <c r="I588" t="n">
        <v>0</v>
      </c>
      <c r="J588" t="n">
        <v>0</v>
      </c>
      <c r="K588" t="n">
        <v>0</v>
      </c>
      <c r="L588" t="n">
        <v>0</v>
      </c>
      <c r="M588" t="n">
        <v>0</v>
      </c>
      <c r="N588" t="n">
        <v>0</v>
      </c>
      <c r="O588" t="n">
        <v>0</v>
      </c>
      <c r="P588" t="n">
        <v>0</v>
      </c>
      <c r="Q588" t="n">
        <v>0</v>
      </c>
      <c r="R588" s="2" t="inlineStr"/>
    </row>
    <row r="589" ht="15" customHeight="1">
      <c r="A589" t="inlineStr">
        <is>
          <t>A 52260-2025</t>
        </is>
      </c>
      <c r="B589" s="1" t="n">
        <v>45953.51113425926</v>
      </c>
      <c r="C589" s="1" t="n">
        <v>46074</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51883-2025</t>
        </is>
      </c>
      <c r="B590" s="1" t="n">
        <v>45952.40701388889</v>
      </c>
      <c r="C590" s="1" t="n">
        <v>46074</v>
      </c>
      <c r="D590" t="inlineStr">
        <is>
          <t>JÄMTLANDS LÄN</t>
        </is>
      </c>
      <c r="E590" t="inlineStr">
        <is>
          <t>BERG</t>
        </is>
      </c>
      <c r="G590" t="n">
        <v>0.9</v>
      </c>
      <c r="H590" t="n">
        <v>0</v>
      </c>
      <c r="I590" t="n">
        <v>0</v>
      </c>
      <c r="J590" t="n">
        <v>0</v>
      </c>
      <c r="K590" t="n">
        <v>0</v>
      </c>
      <c r="L590" t="n">
        <v>0</v>
      </c>
      <c r="M590" t="n">
        <v>0</v>
      </c>
      <c r="N590" t="n">
        <v>0</v>
      </c>
      <c r="O590" t="n">
        <v>0</v>
      </c>
      <c r="P590" t="n">
        <v>0</v>
      </c>
      <c r="Q590" t="n">
        <v>0</v>
      </c>
      <c r="R590" s="2" t="inlineStr"/>
    </row>
    <row r="591" ht="15" customHeight="1">
      <c r="A591" t="inlineStr">
        <is>
          <t>A 52348-2025</t>
        </is>
      </c>
      <c r="B591" s="1" t="n">
        <v>45953.72064814815</v>
      </c>
      <c r="C591" s="1" t="n">
        <v>46074</v>
      </c>
      <c r="D591" t="inlineStr">
        <is>
          <t>JÄMTLANDS LÄN</t>
        </is>
      </c>
      <c r="E591" t="inlineStr">
        <is>
          <t>BERG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18261-2022</t>
        </is>
      </c>
      <c r="B592" s="1" t="n">
        <v>44685.45633101852</v>
      </c>
      <c r="C592" s="1" t="n">
        <v>46074</v>
      </c>
      <c r="D592" t="inlineStr">
        <is>
          <t>JÄMTLANDS LÄN</t>
        </is>
      </c>
      <c r="E592" t="inlineStr">
        <is>
          <t>BERG</t>
        </is>
      </c>
      <c r="G592" t="n">
        <v>3</v>
      </c>
      <c r="H592" t="n">
        <v>0</v>
      </c>
      <c r="I592" t="n">
        <v>0</v>
      </c>
      <c r="J592" t="n">
        <v>0</v>
      </c>
      <c r="K592" t="n">
        <v>0</v>
      </c>
      <c r="L592" t="n">
        <v>0</v>
      </c>
      <c r="M592" t="n">
        <v>0</v>
      </c>
      <c r="N592" t="n">
        <v>0</v>
      </c>
      <c r="O592" t="n">
        <v>0</v>
      </c>
      <c r="P592" t="n">
        <v>0</v>
      </c>
      <c r="Q592" t="n">
        <v>0</v>
      </c>
      <c r="R592" s="2" t="inlineStr"/>
    </row>
    <row r="593" ht="15" customHeight="1">
      <c r="A593" t="inlineStr">
        <is>
          <t>A 52062-2025</t>
        </is>
      </c>
      <c r="B593" s="1" t="n">
        <v>45952.63679398148</v>
      </c>
      <c r="C593" s="1" t="n">
        <v>46074</v>
      </c>
      <c r="D593" t="inlineStr">
        <is>
          <t>JÄMTLANDS LÄN</t>
        </is>
      </c>
      <c r="E593" t="inlineStr">
        <is>
          <t>BERG</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52225-2025</t>
        </is>
      </c>
      <c r="B594" s="1" t="n">
        <v>45953.44831018519</v>
      </c>
      <c r="C594" s="1" t="n">
        <v>46074</v>
      </c>
      <c r="D594" t="inlineStr">
        <is>
          <t>JÄMTLANDS LÄN</t>
        </is>
      </c>
      <c r="E594" t="inlineStr">
        <is>
          <t>BERG</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52562-2025</t>
        </is>
      </c>
      <c r="B595" s="1" t="n">
        <v>45954.57357638889</v>
      </c>
      <c r="C595" s="1" t="n">
        <v>46074</v>
      </c>
      <c r="D595" t="inlineStr">
        <is>
          <t>JÄMTLANDS LÄN</t>
        </is>
      </c>
      <c r="E595" t="inlineStr">
        <is>
          <t>BERG</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52933-2025</t>
        </is>
      </c>
      <c r="B596" s="1" t="n">
        <v>45957.62528935185</v>
      </c>
      <c r="C596" s="1" t="n">
        <v>46074</v>
      </c>
      <c r="D596" t="inlineStr">
        <is>
          <t>JÄMTLANDS LÄN</t>
        </is>
      </c>
      <c r="E596" t="inlineStr">
        <is>
          <t>BERG</t>
        </is>
      </c>
      <c r="G596" t="n">
        <v>10.1</v>
      </c>
      <c r="H596" t="n">
        <v>0</v>
      </c>
      <c r="I596" t="n">
        <v>0</v>
      </c>
      <c r="J596" t="n">
        <v>0</v>
      </c>
      <c r="K596" t="n">
        <v>0</v>
      </c>
      <c r="L596" t="n">
        <v>0</v>
      </c>
      <c r="M596" t="n">
        <v>0</v>
      </c>
      <c r="N596" t="n">
        <v>0</v>
      </c>
      <c r="O596" t="n">
        <v>0</v>
      </c>
      <c r="P596" t="n">
        <v>0</v>
      </c>
      <c r="Q596" t="n">
        <v>0</v>
      </c>
      <c r="R596" s="2" t="inlineStr"/>
    </row>
    <row r="597" ht="15" customHeight="1">
      <c r="A597" t="inlineStr">
        <is>
          <t>A 44997-2021</t>
        </is>
      </c>
      <c r="B597" s="1" t="n">
        <v>44438</v>
      </c>
      <c r="C597" s="1" t="n">
        <v>46074</v>
      </c>
      <c r="D597" t="inlineStr">
        <is>
          <t>JÄMTLANDS LÄN</t>
        </is>
      </c>
      <c r="E597" t="inlineStr">
        <is>
          <t>BERG</t>
        </is>
      </c>
      <c r="G597" t="n">
        <v>3.8</v>
      </c>
      <c r="H597" t="n">
        <v>0</v>
      </c>
      <c r="I597" t="n">
        <v>0</v>
      </c>
      <c r="J597" t="n">
        <v>0</v>
      </c>
      <c r="K597" t="n">
        <v>0</v>
      </c>
      <c r="L597" t="n">
        <v>0</v>
      </c>
      <c r="M597" t="n">
        <v>0</v>
      </c>
      <c r="N597" t="n">
        <v>0</v>
      </c>
      <c r="O597" t="n">
        <v>0</v>
      </c>
      <c r="P597" t="n">
        <v>0</v>
      </c>
      <c r="Q597" t="n">
        <v>0</v>
      </c>
      <c r="R597" s="2" t="inlineStr"/>
    </row>
    <row r="598" ht="15" customHeight="1">
      <c r="A598" t="inlineStr">
        <is>
          <t>A 52938-2025</t>
        </is>
      </c>
      <c r="B598" s="1" t="n">
        <v>45957.63680555556</v>
      </c>
      <c r="C598" s="1" t="n">
        <v>46074</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13473-2025</t>
        </is>
      </c>
      <c r="B599" s="1" t="n">
        <v>45736.40671296296</v>
      </c>
      <c r="C599" s="1" t="n">
        <v>46074</v>
      </c>
      <c r="D599" t="inlineStr">
        <is>
          <t>JÄMTLANDS LÄN</t>
        </is>
      </c>
      <c r="E599" t="inlineStr">
        <is>
          <t>BERG</t>
        </is>
      </c>
      <c r="F599" t="inlineStr">
        <is>
          <t>SCA</t>
        </is>
      </c>
      <c r="G599" t="n">
        <v>13.7</v>
      </c>
      <c r="H599" t="n">
        <v>0</v>
      </c>
      <c r="I599" t="n">
        <v>0</v>
      </c>
      <c r="J599" t="n">
        <v>0</v>
      </c>
      <c r="K599" t="n">
        <v>0</v>
      </c>
      <c r="L599" t="n">
        <v>0</v>
      </c>
      <c r="M599" t="n">
        <v>0</v>
      </c>
      <c r="N599" t="n">
        <v>0</v>
      </c>
      <c r="O599" t="n">
        <v>0</v>
      </c>
      <c r="P599" t="n">
        <v>0</v>
      </c>
      <c r="Q599" t="n">
        <v>0</v>
      </c>
      <c r="R599" s="2" t="inlineStr"/>
    </row>
    <row r="600" ht="15" customHeight="1">
      <c r="A600" t="inlineStr">
        <is>
          <t>A 59498-2024</t>
        </is>
      </c>
      <c r="B600" s="1" t="n">
        <v>45638.54635416667</v>
      </c>
      <c r="C600" s="1" t="n">
        <v>46074</v>
      </c>
      <c r="D600" t="inlineStr">
        <is>
          <t>JÄMTLANDS LÄN</t>
        </is>
      </c>
      <c r="E600" t="inlineStr">
        <is>
          <t>BERG</t>
        </is>
      </c>
      <c r="G600" t="n">
        <v>2.4</v>
      </c>
      <c r="H600" t="n">
        <v>0</v>
      </c>
      <c r="I600" t="n">
        <v>0</v>
      </c>
      <c r="J600" t="n">
        <v>0</v>
      </c>
      <c r="K600" t="n">
        <v>0</v>
      </c>
      <c r="L600" t="n">
        <v>0</v>
      </c>
      <c r="M600" t="n">
        <v>0</v>
      </c>
      <c r="N600" t="n">
        <v>0</v>
      </c>
      <c r="O600" t="n">
        <v>0</v>
      </c>
      <c r="P600" t="n">
        <v>0</v>
      </c>
      <c r="Q600" t="n">
        <v>0</v>
      </c>
      <c r="R600" s="2" t="inlineStr"/>
    </row>
    <row r="601" ht="15" customHeight="1">
      <c r="A601" t="inlineStr">
        <is>
          <t>A 53155-2025</t>
        </is>
      </c>
      <c r="B601" s="1" t="n">
        <v>45958.49011574074</v>
      </c>
      <c r="C601" s="1" t="n">
        <v>46074</v>
      </c>
      <c r="D601" t="inlineStr">
        <is>
          <t>JÄMTLANDS LÄN</t>
        </is>
      </c>
      <c r="E601" t="inlineStr">
        <is>
          <t>BERG</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46074</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47119-2024</t>
        </is>
      </c>
      <c r="B603" s="1" t="n">
        <v>45586.56431712963</v>
      </c>
      <c r="C603" s="1" t="n">
        <v>46074</v>
      </c>
      <c r="D603" t="inlineStr">
        <is>
          <t>JÄMTLANDS LÄN</t>
        </is>
      </c>
      <c r="E603" t="inlineStr">
        <is>
          <t>BERG</t>
        </is>
      </c>
      <c r="G603" t="n">
        <v>5</v>
      </c>
      <c r="H603" t="n">
        <v>0</v>
      </c>
      <c r="I603" t="n">
        <v>0</v>
      </c>
      <c r="J603" t="n">
        <v>0</v>
      </c>
      <c r="K603" t="n">
        <v>0</v>
      </c>
      <c r="L603" t="n">
        <v>0</v>
      </c>
      <c r="M603" t="n">
        <v>0</v>
      </c>
      <c r="N603" t="n">
        <v>0</v>
      </c>
      <c r="O603" t="n">
        <v>0</v>
      </c>
      <c r="P603" t="n">
        <v>0</v>
      </c>
      <c r="Q603" t="n">
        <v>0</v>
      </c>
      <c r="R603" s="2" t="inlineStr"/>
    </row>
    <row r="604" ht="15" customHeight="1">
      <c r="A604" t="inlineStr">
        <is>
          <t>A 53349-2025</t>
        </is>
      </c>
      <c r="B604" s="1" t="n">
        <v>45959.43579861111</v>
      </c>
      <c r="C604" s="1" t="n">
        <v>46074</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53085-2025</t>
        </is>
      </c>
      <c r="B605" s="1" t="n">
        <v>45958.40675925926</v>
      </c>
      <c r="C605" s="1" t="n">
        <v>46074</v>
      </c>
      <c r="D605" t="inlineStr">
        <is>
          <t>JÄMTLANDS LÄN</t>
        </is>
      </c>
      <c r="E605" t="inlineStr">
        <is>
          <t>BERG</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53625-2025</t>
        </is>
      </c>
      <c r="B606" s="1" t="n">
        <v>45960.49020833334</v>
      </c>
      <c r="C606" s="1" t="n">
        <v>46074</v>
      </c>
      <c r="D606" t="inlineStr">
        <is>
          <t>JÄMTLANDS LÄN</t>
        </is>
      </c>
      <c r="E606" t="inlineStr">
        <is>
          <t>BERG</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53610-2025</t>
        </is>
      </c>
      <c r="B607" s="1" t="n">
        <v>45960.46951388889</v>
      </c>
      <c r="C607" s="1" t="n">
        <v>46074</v>
      </c>
      <c r="D607" t="inlineStr">
        <is>
          <t>JÄMTLANDS LÄN</t>
        </is>
      </c>
      <c r="E607" t="inlineStr">
        <is>
          <t>BERG</t>
        </is>
      </c>
      <c r="F607" t="inlineStr">
        <is>
          <t>SCA</t>
        </is>
      </c>
      <c r="G607" t="n">
        <v>30.7</v>
      </c>
      <c r="H607" t="n">
        <v>0</v>
      </c>
      <c r="I607" t="n">
        <v>0</v>
      </c>
      <c r="J607" t="n">
        <v>0</v>
      </c>
      <c r="K607" t="n">
        <v>0</v>
      </c>
      <c r="L607" t="n">
        <v>0</v>
      </c>
      <c r="M607" t="n">
        <v>0</v>
      </c>
      <c r="N607" t="n">
        <v>0</v>
      </c>
      <c r="O607" t="n">
        <v>0</v>
      </c>
      <c r="P607" t="n">
        <v>0</v>
      </c>
      <c r="Q607" t="n">
        <v>0</v>
      </c>
      <c r="R607" s="2" t="inlineStr"/>
    </row>
    <row r="608" ht="15" customHeight="1">
      <c r="A608" t="inlineStr">
        <is>
          <t>A 50169-2023</t>
        </is>
      </c>
      <c r="B608" s="1" t="n">
        <v>45208</v>
      </c>
      <c r="C608" s="1" t="n">
        <v>46074</v>
      </c>
      <c r="D608" t="inlineStr">
        <is>
          <t>JÄMTLANDS LÄN</t>
        </is>
      </c>
      <c r="E608" t="inlineStr">
        <is>
          <t>BERG</t>
        </is>
      </c>
      <c r="G608" t="n">
        <v>3.9</v>
      </c>
      <c r="H608" t="n">
        <v>0</v>
      </c>
      <c r="I608" t="n">
        <v>0</v>
      </c>
      <c r="J608" t="n">
        <v>0</v>
      </c>
      <c r="K608" t="n">
        <v>0</v>
      </c>
      <c r="L608" t="n">
        <v>0</v>
      </c>
      <c r="M608" t="n">
        <v>0</v>
      </c>
      <c r="N608" t="n">
        <v>0</v>
      </c>
      <c r="O608" t="n">
        <v>0</v>
      </c>
      <c r="P608" t="n">
        <v>0</v>
      </c>
      <c r="Q608" t="n">
        <v>0</v>
      </c>
      <c r="R608" s="2" t="inlineStr"/>
    </row>
    <row r="609" ht="15" customHeight="1">
      <c r="A609" t="inlineStr">
        <is>
          <t>A 50172-2023</t>
        </is>
      </c>
      <c r="B609" s="1" t="n">
        <v>45208</v>
      </c>
      <c r="C609" s="1" t="n">
        <v>46074</v>
      </c>
      <c r="D609" t="inlineStr">
        <is>
          <t>JÄMTLANDS LÄN</t>
        </is>
      </c>
      <c r="E609" t="inlineStr">
        <is>
          <t>BERG</t>
        </is>
      </c>
      <c r="G609" t="n">
        <v>0.9</v>
      </c>
      <c r="H609" t="n">
        <v>0</v>
      </c>
      <c r="I609" t="n">
        <v>0</v>
      </c>
      <c r="J609" t="n">
        <v>0</v>
      </c>
      <c r="K609" t="n">
        <v>0</v>
      </c>
      <c r="L609" t="n">
        <v>0</v>
      </c>
      <c r="M609" t="n">
        <v>0</v>
      </c>
      <c r="N609" t="n">
        <v>0</v>
      </c>
      <c r="O609" t="n">
        <v>0</v>
      </c>
      <c r="P609" t="n">
        <v>0</v>
      </c>
      <c r="Q609" t="n">
        <v>0</v>
      </c>
      <c r="R609" s="2" t="inlineStr"/>
    </row>
    <row r="610" ht="15" customHeight="1">
      <c r="A610" t="inlineStr">
        <is>
          <t>A 53680-2025</t>
        </is>
      </c>
      <c r="B610" s="1" t="n">
        <v>45960.57361111111</v>
      </c>
      <c r="C610" s="1" t="n">
        <v>46074</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2474-2025</t>
        </is>
      </c>
      <c r="B611" s="1" t="n">
        <v>45674.47496527778</v>
      </c>
      <c r="C611" s="1" t="n">
        <v>46074</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41886-2024</t>
        </is>
      </c>
      <c r="B612" s="1" t="n">
        <v>45561.48825231481</v>
      </c>
      <c r="C612" s="1" t="n">
        <v>46074</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49277-2024</t>
        </is>
      </c>
      <c r="B613" s="1" t="n">
        <v>45595.50820601852</v>
      </c>
      <c r="C613" s="1" t="n">
        <v>46074</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34225-2024</t>
        </is>
      </c>
      <c r="B614" s="1" t="n">
        <v>45524.55398148148</v>
      </c>
      <c r="C614" s="1" t="n">
        <v>46074</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19538-2023</t>
        </is>
      </c>
      <c r="B615" s="1" t="n">
        <v>45050</v>
      </c>
      <c r="C615" s="1" t="n">
        <v>46074</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53712-2025</t>
        </is>
      </c>
      <c r="B616" s="1" t="n">
        <v>45960.61547453704</v>
      </c>
      <c r="C616" s="1" t="n">
        <v>46074</v>
      </c>
      <c r="D616" t="inlineStr">
        <is>
          <t>JÄMTLANDS LÄN</t>
        </is>
      </c>
      <c r="E616" t="inlineStr">
        <is>
          <t>BERG</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9077-2023</t>
        </is>
      </c>
      <c r="B617" s="1" t="n">
        <v>44979</v>
      </c>
      <c r="C617" s="1" t="n">
        <v>46074</v>
      </c>
      <c r="D617" t="inlineStr">
        <is>
          <t>JÄMTLANDS LÄN</t>
        </is>
      </c>
      <c r="E617" t="inlineStr">
        <is>
          <t>BERG</t>
        </is>
      </c>
      <c r="G617" t="n">
        <v>3.6</v>
      </c>
      <c r="H617" t="n">
        <v>0</v>
      </c>
      <c r="I617" t="n">
        <v>0</v>
      </c>
      <c r="J617" t="n">
        <v>0</v>
      </c>
      <c r="K617" t="n">
        <v>0</v>
      </c>
      <c r="L617" t="n">
        <v>0</v>
      </c>
      <c r="M617" t="n">
        <v>0</v>
      </c>
      <c r="N617" t="n">
        <v>0</v>
      </c>
      <c r="O617" t="n">
        <v>0</v>
      </c>
      <c r="P617" t="n">
        <v>0</v>
      </c>
      <c r="Q617" t="n">
        <v>0</v>
      </c>
      <c r="R617" s="2" t="inlineStr"/>
    </row>
    <row r="618" ht="15" customHeight="1">
      <c r="A618" t="inlineStr">
        <is>
          <t>A 53859-2025</t>
        </is>
      </c>
      <c r="B618" s="1" t="n">
        <v>45961</v>
      </c>
      <c r="C618" s="1" t="n">
        <v>46074</v>
      </c>
      <c r="D618" t="inlineStr">
        <is>
          <t>JÄMTLANDS LÄN</t>
        </is>
      </c>
      <c r="E618" t="inlineStr">
        <is>
          <t>BERG</t>
        </is>
      </c>
      <c r="G618" t="n">
        <v>1</v>
      </c>
      <c r="H618" t="n">
        <v>0</v>
      </c>
      <c r="I618" t="n">
        <v>0</v>
      </c>
      <c r="J618" t="n">
        <v>0</v>
      </c>
      <c r="K618" t="n">
        <v>0</v>
      </c>
      <c r="L618" t="n">
        <v>0</v>
      </c>
      <c r="M618" t="n">
        <v>0</v>
      </c>
      <c r="N618" t="n">
        <v>0</v>
      </c>
      <c r="O618" t="n">
        <v>0</v>
      </c>
      <c r="P618" t="n">
        <v>0</v>
      </c>
      <c r="Q618" t="n">
        <v>0</v>
      </c>
      <c r="R618" s="2" t="inlineStr"/>
    </row>
    <row r="619" ht="15" customHeight="1">
      <c r="A619" t="inlineStr">
        <is>
          <t>A 18752-2024</t>
        </is>
      </c>
      <c r="B619" s="1" t="n">
        <v>45426.54224537037</v>
      </c>
      <c r="C619" s="1" t="n">
        <v>46074</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64486-2023</t>
        </is>
      </c>
      <c r="B620" s="1" t="n">
        <v>45280</v>
      </c>
      <c r="C620" s="1" t="n">
        <v>46074</v>
      </c>
      <c r="D620" t="inlineStr">
        <is>
          <t>JÄMTLANDS LÄN</t>
        </is>
      </c>
      <c r="E620" t="inlineStr">
        <is>
          <t>BERG</t>
        </is>
      </c>
      <c r="G620" t="n">
        <v>2</v>
      </c>
      <c r="H620" t="n">
        <v>0</v>
      </c>
      <c r="I620" t="n">
        <v>0</v>
      </c>
      <c r="J620" t="n">
        <v>0</v>
      </c>
      <c r="K620" t="n">
        <v>0</v>
      </c>
      <c r="L620" t="n">
        <v>0</v>
      </c>
      <c r="M620" t="n">
        <v>0</v>
      </c>
      <c r="N620" t="n">
        <v>0</v>
      </c>
      <c r="O620" t="n">
        <v>0</v>
      </c>
      <c r="P620" t="n">
        <v>0</v>
      </c>
      <c r="Q620" t="n">
        <v>0</v>
      </c>
      <c r="R620" s="2" t="inlineStr"/>
    </row>
    <row r="621" ht="15" customHeight="1">
      <c r="A621" t="inlineStr">
        <is>
          <t>A 64488-2023</t>
        </is>
      </c>
      <c r="B621" s="1" t="n">
        <v>45280.92618055556</v>
      </c>
      <c r="C621" s="1" t="n">
        <v>46074</v>
      </c>
      <c r="D621" t="inlineStr">
        <is>
          <t>JÄMTLANDS LÄN</t>
        </is>
      </c>
      <c r="E621" t="inlineStr">
        <is>
          <t>BERG</t>
        </is>
      </c>
      <c r="F621" t="inlineStr">
        <is>
          <t>Övriga Aktiebolag</t>
        </is>
      </c>
      <c r="G621" t="n">
        <v>7.1</v>
      </c>
      <c r="H621" t="n">
        <v>0</v>
      </c>
      <c r="I621" t="n">
        <v>0</v>
      </c>
      <c r="J621" t="n">
        <v>0</v>
      </c>
      <c r="K621" t="n">
        <v>0</v>
      </c>
      <c r="L621" t="n">
        <v>0</v>
      </c>
      <c r="M621" t="n">
        <v>0</v>
      </c>
      <c r="N621" t="n">
        <v>0</v>
      </c>
      <c r="O621" t="n">
        <v>0</v>
      </c>
      <c r="P621" t="n">
        <v>0</v>
      </c>
      <c r="Q621" t="n">
        <v>0</v>
      </c>
      <c r="R621" s="2" t="inlineStr"/>
    </row>
    <row r="622" ht="15" customHeight="1">
      <c r="A622" t="inlineStr">
        <is>
          <t>A 58817-2024</t>
        </is>
      </c>
      <c r="B622" s="1" t="n">
        <v>45636.35909722222</v>
      </c>
      <c r="C622" s="1" t="n">
        <v>46074</v>
      </c>
      <c r="D622" t="inlineStr">
        <is>
          <t>JÄMTLANDS LÄN</t>
        </is>
      </c>
      <c r="E622" t="inlineStr">
        <is>
          <t>BERG</t>
        </is>
      </c>
      <c r="G622" t="n">
        <v>1.5</v>
      </c>
      <c r="H622" t="n">
        <v>0</v>
      </c>
      <c r="I622" t="n">
        <v>0</v>
      </c>
      <c r="J622" t="n">
        <v>0</v>
      </c>
      <c r="K622" t="n">
        <v>0</v>
      </c>
      <c r="L622" t="n">
        <v>0</v>
      </c>
      <c r="M622" t="n">
        <v>0</v>
      </c>
      <c r="N622" t="n">
        <v>0</v>
      </c>
      <c r="O622" t="n">
        <v>0</v>
      </c>
      <c r="P622" t="n">
        <v>0</v>
      </c>
      <c r="Q622" t="n">
        <v>0</v>
      </c>
      <c r="R622" s="2" t="inlineStr"/>
    </row>
    <row r="623" ht="15" customHeight="1">
      <c r="A623" t="inlineStr">
        <is>
          <t>A 13108-2025</t>
        </is>
      </c>
      <c r="B623" s="1" t="n">
        <v>45734</v>
      </c>
      <c r="C623" s="1" t="n">
        <v>46074</v>
      </c>
      <c r="D623" t="inlineStr">
        <is>
          <t>JÄMTLANDS LÄN</t>
        </is>
      </c>
      <c r="E623" t="inlineStr">
        <is>
          <t>BERG</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54852-2025</t>
        </is>
      </c>
      <c r="B624" s="1" t="n">
        <v>45966.71946759259</v>
      </c>
      <c r="C624" s="1" t="n">
        <v>46074</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54720-2025</t>
        </is>
      </c>
      <c r="B625" s="1" t="n">
        <v>45966.53177083333</v>
      </c>
      <c r="C625" s="1" t="n">
        <v>46074</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54825-2025</t>
        </is>
      </c>
      <c r="B626" s="1" t="n">
        <v>45966.66768518519</v>
      </c>
      <c r="C626" s="1" t="n">
        <v>46074</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32178-2024</t>
        </is>
      </c>
      <c r="B627" s="1" t="n">
        <v>45511</v>
      </c>
      <c r="C627" s="1" t="n">
        <v>46074</v>
      </c>
      <c r="D627" t="inlineStr">
        <is>
          <t>JÄMTLANDS LÄN</t>
        </is>
      </c>
      <c r="E627" t="inlineStr">
        <is>
          <t>BERG</t>
        </is>
      </c>
      <c r="G627" t="n">
        <v>11.4</v>
      </c>
      <c r="H627" t="n">
        <v>0</v>
      </c>
      <c r="I627" t="n">
        <v>0</v>
      </c>
      <c r="J627" t="n">
        <v>0</v>
      </c>
      <c r="K627" t="n">
        <v>0</v>
      </c>
      <c r="L627" t="n">
        <v>0</v>
      </c>
      <c r="M627" t="n">
        <v>0</v>
      </c>
      <c r="N627" t="n">
        <v>0</v>
      </c>
      <c r="O627" t="n">
        <v>0</v>
      </c>
      <c r="P627" t="n">
        <v>0</v>
      </c>
      <c r="Q627" t="n">
        <v>0</v>
      </c>
      <c r="R627" s="2" t="inlineStr"/>
    </row>
    <row r="628" ht="15" customHeight="1">
      <c r="A628" t="inlineStr">
        <is>
          <t>A 55022-2025</t>
        </is>
      </c>
      <c r="B628" s="1" t="n">
        <v>45967.62862268519</v>
      </c>
      <c r="C628" s="1" t="n">
        <v>46074</v>
      </c>
      <c r="D628" t="inlineStr">
        <is>
          <t>JÄMTLANDS LÄN</t>
        </is>
      </c>
      <c r="E628" t="inlineStr">
        <is>
          <t>BERG</t>
        </is>
      </c>
      <c r="G628" t="n">
        <v>0.5</v>
      </c>
      <c r="H628" t="n">
        <v>0</v>
      </c>
      <c r="I628" t="n">
        <v>0</v>
      </c>
      <c r="J628" t="n">
        <v>0</v>
      </c>
      <c r="K628" t="n">
        <v>0</v>
      </c>
      <c r="L628" t="n">
        <v>0</v>
      </c>
      <c r="M628" t="n">
        <v>0</v>
      </c>
      <c r="N628" t="n">
        <v>0</v>
      </c>
      <c r="O628" t="n">
        <v>0</v>
      </c>
      <c r="P628" t="n">
        <v>0</v>
      </c>
      <c r="Q628" t="n">
        <v>0</v>
      </c>
      <c r="R628" s="2" t="inlineStr"/>
    </row>
    <row r="629" ht="15" customHeight="1">
      <c r="A629" t="inlineStr">
        <is>
          <t>A 55043-2025</t>
        </is>
      </c>
      <c r="B629" s="1" t="n">
        <v>45967.65983796296</v>
      </c>
      <c r="C629" s="1" t="n">
        <v>46074</v>
      </c>
      <c r="D629" t="inlineStr">
        <is>
          <t>JÄMTLANDS LÄN</t>
        </is>
      </c>
      <c r="E629" t="inlineStr">
        <is>
          <t>BERG</t>
        </is>
      </c>
      <c r="G629" t="n">
        <v>3</v>
      </c>
      <c r="H629" t="n">
        <v>0</v>
      </c>
      <c r="I629" t="n">
        <v>0</v>
      </c>
      <c r="J629" t="n">
        <v>0</v>
      </c>
      <c r="K629" t="n">
        <v>0</v>
      </c>
      <c r="L629" t="n">
        <v>0</v>
      </c>
      <c r="M629" t="n">
        <v>0</v>
      </c>
      <c r="N629" t="n">
        <v>0</v>
      </c>
      <c r="O629" t="n">
        <v>0</v>
      </c>
      <c r="P629" t="n">
        <v>0</v>
      </c>
      <c r="Q629" t="n">
        <v>0</v>
      </c>
      <c r="R629" s="2" t="inlineStr"/>
    </row>
    <row r="630" ht="15" customHeight="1">
      <c r="A630" t="inlineStr">
        <is>
          <t>A 43616-2024</t>
        </is>
      </c>
      <c r="B630" s="1" t="n">
        <v>45569</v>
      </c>
      <c r="C630" s="1" t="n">
        <v>46074</v>
      </c>
      <c r="D630" t="inlineStr">
        <is>
          <t>JÄMTLANDS LÄN</t>
        </is>
      </c>
      <c r="E630" t="inlineStr">
        <is>
          <t>BERG</t>
        </is>
      </c>
      <c r="G630" t="n">
        <v>12.3</v>
      </c>
      <c r="H630" t="n">
        <v>0</v>
      </c>
      <c r="I630" t="n">
        <v>0</v>
      </c>
      <c r="J630" t="n">
        <v>0</v>
      </c>
      <c r="K630" t="n">
        <v>0</v>
      </c>
      <c r="L630" t="n">
        <v>0</v>
      </c>
      <c r="M630" t="n">
        <v>0</v>
      </c>
      <c r="N630" t="n">
        <v>0</v>
      </c>
      <c r="O630" t="n">
        <v>0</v>
      </c>
      <c r="P630" t="n">
        <v>0</v>
      </c>
      <c r="Q630" t="n">
        <v>0</v>
      </c>
      <c r="R630" s="2" t="inlineStr"/>
    </row>
    <row r="631" ht="15" customHeight="1">
      <c r="A631" t="inlineStr">
        <is>
          <t>A 5215-2024</t>
        </is>
      </c>
      <c r="B631" s="1" t="n">
        <v>45330</v>
      </c>
      <c r="C631" s="1" t="n">
        <v>46074</v>
      </c>
      <c r="D631" t="inlineStr">
        <is>
          <t>JÄMTLANDS LÄN</t>
        </is>
      </c>
      <c r="E631" t="inlineStr">
        <is>
          <t>BERG</t>
        </is>
      </c>
      <c r="G631" t="n">
        <v>0.8</v>
      </c>
      <c r="H631" t="n">
        <v>0</v>
      </c>
      <c r="I631" t="n">
        <v>0</v>
      </c>
      <c r="J631" t="n">
        <v>0</v>
      </c>
      <c r="K631" t="n">
        <v>0</v>
      </c>
      <c r="L631" t="n">
        <v>0</v>
      </c>
      <c r="M631" t="n">
        <v>0</v>
      </c>
      <c r="N631" t="n">
        <v>0</v>
      </c>
      <c r="O631" t="n">
        <v>0</v>
      </c>
      <c r="P631" t="n">
        <v>0</v>
      </c>
      <c r="Q631" t="n">
        <v>0</v>
      </c>
      <c r="R631" s="2" t="inlineStr"/>
    </row>
    <row r="632" ht="15" customHeight="1">
      <c r="A632" t="inlineStr">
        <is>
          <t>A 16002-2025</t>
        </is>
      </c>
      <c r="B632" s="1" t="n">
        <v>45749.59398148148</v>
      </c>
      <c r="C632" s="1" t="n">
        <v>46074</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55553-2025</t>
        </is>
      </c>
      <c r="B633" s="1" t="n">
        <v>45971.64445601852</v>
      </c>
      <c r="C633" s="1" t="n">
        <v>46074</v>
      </c>
      <c r="D633" t="inlineStr">
        <is>
          <t>JÄMTLANDS LÄN</t>
        </is>
      </c>
      <c r="E633" t="inlineStr">
        <is>
          <t>BERG</t>
        </is>
      </c>
      <c r="G633" t="n">
        <v>2.9</v>
      </c>
      <c r="H633" t="n">
        <v>0</v>
      </c>
      <c r="I633" t="n">
        <v>0</v>
      </c>
      <c r="J633" t="n">
        <v>0</v>
      </c>
      <c r="K633" t="n">
        <v>0</v>
      </c>
      <c r="L633" t="n">
        <v>0</v>
      </c>
      <c r="M633" t="n">
        <v>0</v>
      </c>
      <c r="N633" t="n">
        <v>0</v>
      </c>
      <c r="O633" t="n">
        <v>0</v>
      </c>
      <c r="P633" t="n">
        <v>0</v>
      </c>
      <c r="Q633" t="n">
        <v>0</v>
      </c>
      <c r="R633" s="2" t="inlineStr"/>
    </row>
    <row r="634" ht="15" customHeight="1">
      <c r="A634" t="inlineStr">
        <is>
          <t>A 55472-2025</t>
        </is>
      </c>
      <c r="B634" s="1" t="n">
        <v>45971.54526620371</v>
      </c>
      <c r="C634" s="1" t="n">
        <v>46074</v>
      </c>
      <c r="D634" t="inlineStr">
        <is>
          <t>JÄMTLANDS LÄN</t>
        </is>
      </c>
      <c r="E634" t="inlineStr">
        <is>
          <t>BERG</t>
        </is>
      </c>
      <c r="G634" t="n">
        <v>3.2</v>
      </c>
      <c r="H634" t="n">
        <v>0</v>
      </c>
      <c r="I634" t="n">
        <v>0</v>
      </c>
      <c r="J634" t="n">
        <v>0</v>
      </c>
      <c r="K634" t="n">
        <v>0</v>
      </c>
      <c r="L634" t="n">
        <v>0</v>
      </c>
      <c r="M634" t="n">
        <v>0</v>
      </c>
      <c r="N634" t="n">
        <v>0</v>
      </c>
      <c r="O634" t="n">
        <v>0</v>
      </c>
      <c r="P634" t="n">
        <v>0</v>
      </c>
      <c r="Q634" t="n">
        <v>0</v>
      </c>
      <c r="R634" s="2" t="inlineStr"/>
    </row>
    <row r="635" ht="15" customHeight="1">
      <c r="A635" t="inlineStr">
        <is>
          <t>A 55497-2025</t>
        </is>
      </c>
      <c r="B635" s="1" t="n">
        <v>45971.58337962963</v>
      </c>
      <c r="C635" s="1" t="n">
        <v>46074</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55237-2025</t>
        </is>
      </c>
      <c r="B636" s="1" t="n">
        <v>45968</v>
      </c>
      <c r="C636" s="1" t="n">
        <v>46074</v>
      </c>
      <c r="D636" t="inlineStr">
        <is>
          <t>JÄMTLANDS LÄN</t>
        </is>
      </c>
      <c r="E636" t="inlineStr">
        <is>
          <t>BERG</t>
        </is>
      </c>
      <c r="G636" t="n">
        <v>11.9</v>
      </c>
      <c r="H636" t="n">
        <v>0</v>
      </c>
      <c r="I636" t="n">
        <v>0</v>
      </c>
      <c r="J636" t="n">
        <v>0</v>
      </c>
      <c r="K636" t="n">
        <v>0</v>
      </c>
      <c r="L636" t="n">
        <v>0</v>
      </c>
      <c r="M636" t="n">
        <v>0</v>
      </c>
      <c r="N636" t="n">
        <v>0</v>
      </c>
      <c r="O636" t="n">
        <v>0</v>
      </c>
      <c r="P636" t="n">
        <v>0</v>
      </c>
      <c r="Q636" t="n">
        <v>0</v>
      </c>
      <c r="R636" s="2" t="inlineStr"/>
    </row>
    <row r="637" ht="15" customHeight="1">
      <c r="A637" t="inlineStr">
        <is>
          <t>A 55267-2025</t>
        </is>
      </c>
      <c r="B637" s="1" t="n">
        <v>45968.66726851852</v>
      </c>
      <c r="C637" s="1" t="n">
        <v>46074</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55239-2025</t>
        </is>
      </c>
      <c r="B638" s="1" t="n">
        <v>45968</v>
      </c>
      <c r="C638" s="1" t="n">
        <v>46074</v>
      </c>
      <c r="D638" t="inlineStr">
        <is>
          <t>JÄMTLANDS LÄN</t>
        </is>
      </c>
      <c r="E638" t="inlineStr">
        <is>
          <t>BERG</t>
        </is>
      </c>
      <c r="G638" t="n">
        <v>6.3</v>
      </c>
      <c r="H638" t="n">
        <v>0</v>
      </c>
      <c r="I638" t="n">
        <v>0</v>
      </c>
      <c r="J638" t="n">
        <v>0</v>
      </c>
      <c r="K638" t="n">
        <v>0</v>
      </c>
      <c r="L638" t="n">
        <v>0</v>
      </c>
      <c r="M638" t="n">
        <v>0</v>
      </c>
      <c r="N638" t="n">
        <v>0</v>
      </c>
      <c r="O638" t="n">
        <v>0</v>
      </c>
      <c r="P638" t="n">
        <v>0</v>
      </c>
      <c r="Q638" t="n">
        <v>0</v>
      </c>
      <c r="R638" s="2" t="inlineStr"/>
    </row>
    <row r="639" ht="15" customHeight="1">
      <c r="A639" t="inlineStr">
        <is>
          <t>A 55240-2025</t>
        </is>
      </c>
      <c r="B639" s="1" t="n">
        <v>45968</v>
      </c>
      <c r="C639" s="1" t="n">
        <v>46074</v>
      </c>
      <c r="D639" t="inlineStr">
        <is>
          <t>JÄMTLANDS LÄN</t>
        </is>
      </c>
      <c r="E639" t="inlineStr">
        <is>
          <t>BERG</t>
        </is>
      </c>
      <c r="G639" t="n">
        <v>11.2</v>
      </c>
      <c r="H639" t="n">
        <v>0</v>
      </c>
      <c r="I639" t="n">
        <v>0</v>
      </c>
      <c r="J639" t="n">
        <v>0</v>
      </c>
      <c r="K639" t="n">
        <v>0</v>
      </c>
      <c r="L639" t="n">
        <v>0</v>
      </c>
      <c r="M639" t="n">
        <v>0</v>
      </c>
      <c r="N639" t="n">
        <v>0</v>
      </c>
      <c r="O639" t="n">
        <v>0</v>
      </c>
      <c r="P639" t="n">
        <v>0</v>
      </c>
      <c r="Q639" t="n">
        <v>0</v>
      </c>
      <c r="R639" s="2" t="inlineStr"/>
    </row>
    <row r="640" ht="15" customHeight="1">
      <c r="A640" t="inlineStr">
        <is>
          <t>A 18032-2024</t>
        </is>
      </c>
      <c r="B640" s="1" t="n">
        <v>45420.34979166667</v>
      </c>
      <c r="C640" s="1" t="n">
        <v>46074</v>
      </c>
      <c r="D640" t="inlineStr">
        <is>
          <t>JÄMTLANDS LÄN</t>
        </is>
      </c>
      <c r="E640" t="inlineStr">
        <is>
          <t>BERG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55575-2025</t>
        </is>
      </c>
      <c r="B641" s="1" t="n">
        <v>45971.66145833334</v>
      </c>
      <c r="C641" s="1" t="n">
        <v>46074</v>
      </c>
      <c r="D641" t="inlineStr">
        <is>
          <t>JÄMTLANDS LÄN</t>
        </is>
      </c>
      <c r="E641" t="inlineStr">
        <is>
          <t>BERG</t>
        </is>
      </c>
      <c r="G641" t="n">
        <v>3.5</v>
      </c>
      <c r="H641" t="n">
        <v>0</v>
      </c>
      <c r="I641" t="n">
        <v>0</v>
      </c>
      <c r="J641" t="n">
        <v>0</v>
      </c>
      <c r="K641" t="n">
        <v>0</v>
      </c>
      <c r="L641" t="n">
        <v>0</v>
      </c>
      <c r="M641" t="n">
        <v>0</v>
      </c>
      <c r="N641" t="n">
        <v>0</v>
      </c>
      <c r="O641" t="n">
        <v>0</v>
      </c>
      <c r="P641" t="n">
        <v>0</v>
      </c>
      <c r="Q641" t="n">
        <v>0</v>
      </c>
      <c r="R641" s="2" t="inlineStr"/>
    </row>
    <row r="642" ht="15" customHeight="1">
      <c r="A642" t="inlineStr">
        <is>
          <t>A 34845-2023</t>
        </is>
      </c>
      <c r="B642" s="1" t="n">
        <v>45141.95964120371</v>
      </c>
      <c r="C642" s="1" t="n">
        <v>46074</v>
      </c>
      <c r="D642" t="inlineStr">
        <is>
          <t>JÄMTLANDS LÄN</t>
        </is>
      </c>
      <c r="E642" t="inlineStr">
        <is>
          <t>BERG</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41069-2022</t>
        </is>
      </c>
      <c r="B643" s="1" t="n">
        <v>44825.60015046296</v>
      </c>
      <c r="C643" s="1" t="n">
        <v>46074</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54863-2023</t>
        </is>
      </c>
      <c r="B644" s="1" t="n">
        <v>45236</v>
      </c>
      <c r="C644" s="1" t="n">
        <v>46074</v>
      </c>
      <c r="D644" t="inlineStr">
        <is>
          <t>JÄMTLANDS LÄN</t>
        </is>
      </c>
      <c r="E644" t="inlineStr">
        <is>
          <t>BERG</t>
        </is>
      </c>
      <c r="G644" t="n">
        <v>3.3</v>
      </c>
      <c r="H644" t="n">
        <v>0</v>
      </c>
      <c r="I644" t="n">
        <v>0</v>
      </c>
      <c r="J644" t="n">
        <v>0</v>
      </c>
      <c r="K644" t="n">
        <v>0</v>
      </c>
      <c r="L644" t="n">
        <v>0</v>
      </c>
      <c r="M644" t="n">
        <v>0</v>
      </c>
      <c r="N644" t="n">
        <v>0</v>
      </c>
      <c r="O644" t="n">
        <v>0</v>
      </c>
      <c r="P644" t="n">
        <v>0</v>
      </c>
      <c r="Q644" t="n">
        <v>0</v>
      </c>
      <c r="R644" s="2" t="inlineStr"/>
    </row>
    <row r="645" ht="15" customHeight="1">
      <c r="A645" t="inlineStr">
        <is>
          <t>A 46167-2022</t>
        </is>
      </c>
      <c r="B645" s="1" t="n">
        <v>44845</v>
      </c>
      <c r="C645" s="1" t="n">
        <v>46074</v>
      </c>
      <c r="D645" t="inlineStr">
        <is>
          <t>JÄMTLANDS LÄN</t>
        </is>
      </c>
      <c r="E645" t="inlineStr">
        <is>
          <t>BERG</t>
        </is>
      </c>
      <c r="G645" t="n">
        <v>35.2</v>
      </c>
      <c r="H645" t="n">
        <v>0</v>
      </c>
      <c r="I645" t="n">
        <v>0</v>
      </c>
      <c r="J645" t="n">
        <v>0</v>
      </c>
      <c r="K645" t="n">
        <v>0</v>
      </c>
      <c r="L645" t="n">
        <v>0</v>
      </c>
      <c r="M645" t="n">
        <v>0</v>
      </c>
      <c r="N645" t="n">
        <v>0</v>
      </c>
      <c r="O645" t="n">
        <v>0</v>
      </c>
      <c r="P645" t="n">
        <v>0</v>
      </c>
      <c r="Q645" t="n">
        <v>0</v>
      </c>
      <c r="R645" s="2" t="inlineStr"/>
    </row>
    <row r="646" ht="15" customHeight="1">
      <c r="A646" t="inlineStr">
        <is>
          <t>A 56199-2025</t>
        </is>
      </c>
      <c r="B646" s="1" t="n">
        <v>45974.45790509259</v>
      </c>
      <c r="C646" s="1" t="n">
        <v>46074</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56457-2025</t>
        </is>
      </c>
      <c r="B647" s="1" t="n">
        <v>45975.36277777778</v>
      </c>
      <c r="C647" s="1" t="n">
        <v>46074</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39269-2024</t>
        </is>
      </c>
      <c r="B648" s="1" t="n">
        <v>45551.34488425926</v>
      </c>
      <c r="C648" s="1" t="n">
        <v>46074</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13805-2024</t>
        </is>
      </c>
      <c r="B649" s="1" t="n">
        <v>45390</v>
      </c>
      <c r="C649" s="1" t="n">
        <v>46074</v>
      </c>
      <c r="D649" t="inlineStr">
        <is>
          <t>JÄMTLANDS LÄN</t>
        </is>
      </c>
      <c r="E649" t="inlineStr">
        <is>
          <t>BERG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46074</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37589-2021</t>
        </is>
      </c>
      <c r="B651" s="1" t="n">
        <v>44399</v>
      </c>
      <c r="C651" s="1" t="n">
        <v>46074</v>
      </c>
      <c r="D651" t="inlineStr">
        <is>
          <t>JÄMTLANDS LÄN</t>
        </is>
      </c>
      <c r="E651" t="inlineStr">
        <is>
          <t>BERG</t>
        </is>
      </c>
      <c r="G651" t="n">
        <v>8.6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46074</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57669-2024</t>
        </is>
      </c>
      <c r="B653" s="1" t="n">
        <v>45630.62520833333</v>
      </c>
      <c r="C653" s="1" t="n">
        <v>46074</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35921-2024</t>
        </is>
      </c>
      <c r="B654" s="1" t="n">
        <v>45533.42659722222</v>
      </c>
      <c r="C654" s="1" t="n">
        <v>46074</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57046-2025</t>
        </is>
      </c>
      <c r="B655" s="1" t="n">
        <v>45979.34672453703</v>
      </c>
      <c r="C655" s="1" t="n">
        <v>46074</v>
      </c>
      <c r="D655" t="inlineStr">
        <is>
          <t>JÄMTLANDS LÄN</t>
        </is>
      </c>
      <c r="E655" t="inlineStr">
        <is>
          <t>BERG</t>
        </is>
      </c>
      <c r="F655" t="inlineStr">
        <is>
          <t>SCA</t>
        </is>
      </c>
      <c r="G655" t="n">
        <v>10.8</v>
      </c>
      <c r="H655" t="n">
        <v>0</v>
      </c>
      <c r="I655" t="n">
        <v>0</v>
      </c>
      <c r="J655" t="n">
        <v>0</v>
      </c>
      <c r="K655" t="n">
        <v>0</v>
      </c>
      <c r="L655" t="n">
        <v>0</v>
      </c>
      <c r="M655" t="n">
        <v>0</v>
      </c>
      <c r="N655" t="n">
        <v>0</v>
      </c>
      <c r="O655" t="n">
        <v>0</v>
      </c>
      <c r="P655" t="n">
        <v>0</v>
      </c>
      <c r="Q655" t="n">
        <v>0</v>
      </c>
      <c r="R655" s="2" t="inlineStr"/>
    </row>
    <row r="656" ht="15" customHeight="1">
      <c r="A656" t="inlineStr">
        <is>
          <t>A 64752-2023</t>
        </is>
      </c>
      <c r="B656" s="1" t="n">
        <v>45281.92891203704</v>
      </c>
      <c r="C656" s="1" t="n">
        <v>46074</v>
      </c>
      <c r="D656" t="inlineStr">
        <is>
          <t>JÄMTLANDS LÄN</t>
        </is>
      </c>
      <c r="E656" t="inlineStr">
        <is>
          <t>BERG</t>
        </is>
      </c>
      <c r="F656" t="inlineStr">
        <is>
          <t>Övriga Aktiebolag</t>
        </is>
      </c>
      <c r="G656" t="n">
        <v>3.4</v>
      </c>
      <c r="H656" t="n">
        <v>0</v>
      </c>
      <c r="I656" t="n">
        <v>0</v>
      </c>
      <c r="J656" t="n">
        <v>0</v>
      </c>
      <c r="K656" t="n">
        <v>0</v>
      </c>
      <c r="L656" t="n">
        <v>0</v>
      </c>
      <c r="M656" t="n">
        <v>0</v>
      </c>
      <c r="N656" t="n">
        <v>0</v>
      </c>
      <c r="O656" t="n">
        <v>0</v>
      </c>
      <c r="P656" t="n">
        <v>0</v>
      </c>
      <c r="Q656" t="n">
        <v>0</v>
      </c>
      <c r="R656" s="2" t="inlineStr"/>
    </row>
    <row r="657" ht="15" customHeight="1">
      <c r="A657" t="inlineStr">
        <is>
          <t>A 57039-2025</t>
        </is>
      </c>
      <c r="B657" s="1" t="n">
        <v>45979.34543981482</v>
      </c>
      <c r="C657" s="1" t="n">
        <v>46074</v>
      </c>
      <c r="D657" t="inlineStr">
        <is>
          <t>JÄMTLANDS LÄN</t>
        </is>
      </c>
      <c r="E657" t="inlineStr">
        <is>
          <t>BERG</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57192-2025</t>
        </is>
      </c>
      <c r="B658" s="1" t="n">
        <v>45979.57696759259</v>
      </c>
      <c r="C658" s="1" t="n">
        <v>46074</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57602-2025</t>
        </is>
      </c>
      <c r="B659" s="1" t="n">
        <v>45981.31667824074</v>
      </c>
      <c r="C659" s="1" t="n">
        <v>46074</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14728-2025</t>
        </is>
      </c>
      <c r="B660" s="1" t="n">
        <v>45742.63574074074</v>
      </c>
      <c r="C660" s="1" t="n">
        <v>46074</v>
      </c>
      <c r="D660" t="inlineStr">
        <is>
          <t>JÄMTLANDS LÄN</t>
        </is>
      </c>
      <c r="E660" t="inlineStr">
        <is>
          <t>BERG</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31129-2024</t>
        </is>
      </c>
      <c r="B661" s="1" t="n">
        <v>45502</v>
      </c>
      <c r="C661" s="1" t="n">
        <v>46074</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57763-2025</t>
        </is>
      </c>
      <c r="B662" s="1" t="n">
        <v>45981.55693287037</v>
      </c>
      <c r="C662" s="1" t="n">
        <v>46074</v>
      </c>
      <c r="D662" t="inlineStr">
        <is>
          <t>JÄMTLANDS LÄN</t>
        </is>
      </c>
      <c r="E662" t="inlineStr">
        <is>
          <t>BERG</t>
        </is>
      </c>
      <c r="F662" t="inlineStr">
        <is>
          <t>Övriga Aktiebolag</t>
        </is>
      </c>
      <c r="G662" t="n">
        <v>13.1</v>
      </c>
      <c r="H662" t="n">
        <v>0</v>
      </c>
      <c r="I662" t="n">
        <v>0</v>
      </c>
      <c r="J662" t="n">
        <v>0</v>
      </c>
      <c r="K662" t="n">
        <v>0</v>
      </c>
      <c r="L662" t="n">
        <v>0</v>
      </c>
      <c r="M662" t="n">
        <v>0</v>
      </c>
      <c r="N662" t="n">
        <v>0</v>
      </c>
      <c r="O662" t="n">
        <v>0</v>
      </c>
      <c r="P662" t="n">
        <v>0</v>
      </c>
      <c r="Q662" t="n">
        <v>0</v>
      </c>
      <c r="R662" s="2" t="inlineStr"/>
    </row>
    <row r="663" ht="15" customHeight="1">
      <c r="A663" t="inlineStr">
        <is>
          <t>A 3961-2025</t>
        </is>
      </c>
      <c r="B663" s="1" t="n">
        <v>45684.50217592593</v>
      </c>
      <c r="C663" s="1" t="n">
        <v>46074</v>
      </c>
      <c r="D663" t="inlineStr">
        <is>
          <t>JÄMTLANDS LÄN</t>
        </is>
      </c>
      <c r="E663" t="inlineStr">
        <is>
          <t>BERG</t>
        </is>
      </c>
      <c r="G663" t="n">
        <v>14.9</v>
      </c>
      <c r="H663" t="n">
        <v>0</v>
      </c>
      <c r="I663" t="n">
        <v>0</v>
      </c>
      <c r="J663" t="n">
        <v>0</v>
      </c>
      <c r="K663" t="n">
        <v>0</v>
      </c>
      <c r="L663" t="n">
        <v>0</v>
      </c>
      <c r="M663" t="n">
        <v>0</v>
      </c>
      <c r="N663" t="n">
        <v>0</v>
      </c>
      <c r="O663" t="n">
        <v>0</v>
      </c>
      <c r="P663" t="n">
        <v>0</v>
      </c>
      <c r="Q663" t="n">
        <v>0</v>
      </c>
      <c r="R663" s="2" t="inlineStr"/>
    </row>
    <row r="664" ht="15" customHeight="1">
      <c r="A664" t="inlineStr">
        <is>
          <t>A 35636-2023</t>
        </is>
      </c>
      <c r="B664" s="1" t="n">
        <v>45147</v>
      </c>
      <c r="C664" s="1" t="n">
        <v>46074</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45347-2023</t>
        </is>
      </c>
      <c r="B665" s="1" t="n">
        <v>45191</v>
      </c>
      <c r="C665" s="1" t="n">
        <v>46074</v>
      </c>
      <c r="D665" t="inlineStr">
        <is>
          <t>JÄMTLANDS LÄN</t>
        </is>
      </c>
      <c r="E665" t="inlineStr">
        <is>
          <t>BERG</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57861-2025</t>
        </is>
      </c>
      <c r="B666" s="1" t="n">
        <v>45981.64236111111</v>
      </c>
      <c r="C666" s="1" t="n">
        <v>46074</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57503-2025</t>
        </is>
      </c>
      <c r="B667" s="1" t="n">
        <v>45980.59431712963</v>
      </c>
      <c r="C667" s="1" t="n">
        <v>46074</v>
      </c>
      <c r="D667" t="inlineStr">
        <is>
          <t>JÄMTLANDS LÄN</t>
        </is>
      </c>
      <c r="E667" t="inlineStr">
        <is>
          <t>BERG</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57849-2025</t>
        </is>
      </c>
      <c r="B668" s="1" t="n">
        <v>45981.63472222222</v>
      </c>
      <c r="C668" s="1" t="n">
        <v>46074</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58413-2025</t>
        </is>
      </c>
      <c r="B669" s="1" t="n">
        <v>45985.57662037037</v>
      </c>
      <c r="C669" s="1" t="n">
        <v>46074</v>
      </c>
      <c r="D669" t="inlineStr">
        <is>
          <t>JÄMTLANDS LÄN</t>
        </is>
      </c>
      <c r="E669" t="inlineStr">
        <is>
          <t>BERG</t>
        </is>
      </c>
      <c r="G669" t="n">
        <v>4.2</v>
      </c>
      <c r="H669" t="n">
        <v>0</v>
      </c>
      <c r="I669" t="n">
        <v>0</v>
      </c>
      <c r="J669" t="n">
        <v>0</v>
      </c>
      <c r="K669" t="n">
        <v>0</v>
      </c>
      <c r="L669" t="n">
        <v>0</v>
      </c>
      <c r="M669" t="n">
        <v>0</v>
      </c>
      <c r="N669" t="n">
        <v>0</v>
      </c>
      <c r="O669" t="n">
        <v>0</v>
      </c>
      <c r="P669" t="n">
        <v>0</v>
      </c>
      <c r="Q669" t="n">
        <v>0</v>
      </c>
      <c r="R669" s="2" t="inlineStr"/>
    </row>
    <row r="670" ht="15" customHeight="1">
      <c r="A670" t="inlineStr">
        <is>
          <t>A 58438-2025</t>
        </is>
      </c>
      <c r="B670" s="1" t="n">
        <v>45985.61513888889</v>
      </c>
      <c r="C670" s="1" t="n">
        <v>46074</v>
      </c>
      <c r="D670" t="inlineStr">
        <is>
          <t>JÄMTLANDS LÄN</t>
        </is>
      </c>
      <c r="E670" t="inlineStr">
        <is>
          <t>BERG</t>
        </is>
      </c>
      <c r="G670" t="n">
        <v>5.1</v>
      </c>
      <c r="H670" t="n">
        <v>0</v>
      </c>
      <c r="I670" t="n">
        <v>0</v>
      </c>
      <c r="J670" t="n">
        <v>0</v>
      </c>
      <c r="K670" t="n">
        <v>0</v>
      </c>
      <c r="L670" t="n">
        <v>0</v>
      </c>
      <c r="M670" t="n">
        <v>0</v>
      </c>
      <c r="N670" t="n">
        <v>0</v>
      </c>
      <c r="O670" t="n">
        <v>0</v>
      </c>
      <c r="P670" t="n">
        <v>0</v>
      </c>
      <c r="Q670" t="n">
        <v>0</v>
      </c>
      <c r="R670" s="2" t="inlineStr"/>
    </row>
    <row r="671" ht="15" customHeight="1">
      <c r="A671" t="inlineStr">
        <is>
          <t>A 58436-2025</t>
        </is>
      </c>
      <c r="B671" s="1" t="n">
        <v>45985.61510416667</v>
      </c>
      <c r="C671" s="1" t="n">
        <v>46074</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58470-2025</t>
        </is>
      </c>
      <c r="B672" s="1" t="n">
        <v>45985.63704861111</v>
      </c>
      <c r="C672" s="1" t="n">
        <v>46074</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58437-2025</t>
        </is>
      </c>
      <c r="B673" s="1" t="n">
        <v>45985.61512731481</v>
      </c>
      <c r="C673" s="1" t="n">
        <v>46074</v>
      </c>
      <c r="D673" t="inlineStr">
        <is>
          <t>JÄMTLANDS LÄN</t>
        </is>
      </c>
      <c r="E673" t="inlineStr">
        <is>
          <t>BERG</t>
        </is>
      </c>
      <c r="G673" t="n">
        <v>1.6</v>
      </c>
      <c r="H673" t="n">
        <v>0</v>
      </c>
      <c r="I673" t="n">
        <v>0</v>
      </c>
      <c r="J673" t="n">
        <v>0</v>
      </c>
      <c r="K673" t="n">
        <v>0</v>
      </c>
      <c r="L673" t="n">
        <v>0</v>
      </c>
      <c r="M673" t="n">
        <v>0</v>
      </c>
      <c r="N673" t="n">
        <v>0</v>
      </c>
      <c r="O673" t="n">
        <v>0</v>
      </c>
      <c r="P673" t="n">
        <v>0</v>
      </c>
      <c r="Q673" t="n">
        <v>0</v>
      </c>
      <c r="R673" s="2" t="inlineStr"/>
    </row>
    <row r="674" ht="15" customHeight="1">
      <c r="A674" t="inlineStr">
        <is>
          <t>A 58581-2025</t>
        </is>
      </c>
      <c r="B674" s="1" t="n">
        <v>45986.38626157407</v>
      </c>
      <c r="C674" s="1" t="n">
        <v>46074</v>
      </c>
      <c r="D674" t="inlineStr">
        <is>
          <t>JÄMTLANDS LÄN</t>
        </is>
      </c>
      <c r="E674" t="inlineStr">
        <is>
          <t>BERG</t>
        </is>
      </c>
      <c r="G674" t="n">
        <v>6.9</v>
      </c>
      <c r="H674" t="n">
        <v>0</v>
      </c>
      <c r="I674" t="n">
        <v>0</v>
      </c>
      <c r="J674" t="n">
        <v>0</v>
      </c>
      <c r="K674" t="n">
        <v>0</v>
      </c>
      <c r="L674" t="n">
        <v>0</v>
      </c>
      <c r="M674" t="n">
        <v>0</v>
      </c>
      <c r="N674" t="n">
        <v>0</v>
      </c>
      <c r="O674" t="n">
        <v>0</v>
      </c>
      <c r="P674" t="n">
        <v>0</v>
      </c>
      <c r="Q674" t="n">
        <v>0</v>
      </c>
      <c r="R674" s="2" t="inlineStr"/>
    </row>
    <row r="675" ht="15" customHeight="1">
      <c r="A675" t="inlineStr">
        <is>
          <t>A 59010-2025</t>
        </is>
      </c>
      <c r="B675" s="1" t="n">
        <v>45987</v>
      </c>
      <c r="C675" s="1" t="n">
        <v>46074</v>
      </c>
      <c r="D675" t="inlineStr">
        <is>
          <t>JÄMTLANDS LÄN</t>
        </is>
      </c>
      <c r="E675" t="inlineStr">
        <is>
          <t>BERG</t>
        </is>
      </c>
      <c r="G675" t="n">
        <v>0.7</v>
      </c>
      <c r="H675" t="n">
        <v>0</v>
      </c>
      <c r="I675" t="n">
        <v>0</v>
      </c>
      <c r="J675" t="n">
        <v>0</v>
      </c>
      <c r="K675" t="n">
        <v>0</v>
      </c>
      <c r="L675" t="n">
        <v>0</v>
      </c>
      <c r="M675" t="n">
        <v>0</v>
      </c>
      <c r="N675" t="n">
        <v>0</v>
      </c>
      <c r="O675" t="n">
        <v>0</v>
      </c>
      <c r="P675" t="n">
        <v>0</v>
      </c>
      <c r="Q675" t="n">
        <v>0</v>
      </c>
      <c r="R675" s="2" t="inlineStr"/>
    </row>
    <row r="676" ht="15" customHeight="1">
      <c r="A676" t="inlineStr">
        <is>
          <t>A 58861-2025</t>
        </is>
      </c>
      <c r="B676" s="1" t="n">
        <v>45987.42820601852</v>
      </c>
      <c r="C676" s="1" t="n">
        <v>46074</v>
      </c>
      <c r="D676" t="inlineStr">
        <is>
          <t>JÄMTLANDS LÄN</t>
        </is>
      </c>
      <c r="E676" t="inlineStr">
        <is>
          <t>BERG</t>
        </is>
      </c>
      <c r="G676" t="n">
        <v>29.3</v>
      </c>
      <c r="H676" t="n">
        <v>0</v>
      </c>
      <c r="I676" t="n">
        <v>0</v>
      </c>
      <c r="J676" t="n">
        <v>0</v>
      </c>
      <c r="K676" t="n">
        <v>0</v>
      </c>
      <c r="L676" t="n">
        <v>0</v>
      </c>
      <c r="M676" t="n">
        <v>0</v>
      </c>
      <c r="N676" t="n">
        <v>0</v>
      </c>
      <c r="O676" t="n">
        <v>0</v>
      </c>
      <c r="P676" t="n">
        <v>0</v>
      </c>
      <c r="Q676" t="n">
        <v>0</v>
      </c>
      <c r="R676" s="2" t="inlineStr"/>
    </row>
    <row r="677" ht="15" customHeight="1">
      <c r="A677" t="inlineStr">
        <is>
          <t>A 58822-2025</t>
        </is>
      </c>
      <c r="B677" s="1" t="n">
        <v>45987.34506944445</v>
      </c>
      <c r="C677" s="1" t="n">
        <v>46074</v>
      </c>
      <c r="D677" t="inlineStr">
        <is>
          <t>JÄMTLANDS LÄN</t>
        </is>
      </c>
      <c r="E677" t="inlineStr">
        <is>
          <t>BERG</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58708-2025</t>
        </is>
      </c>
      <c r="B678" s="1" t="n">
        <v>45986.60412037037</v>
      </c>
      <c r="C678" s="1" t="n">
        <v>46074</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59401-2025</t>
        </is>
      </c>
      <c r="B679" s="1" t="n">
        <v>45989.48791666667</v>
      </c>
      <c r="C679" s="1" t="n">
        <v>46074</v>
      </c>
      <c r="D679" t="inlineStr">
        <is>
          <t>JÄMTLANDS LÄN</t>
        </is>
      </c>
      <c r="E679" t="inlineStr">
        <is>
          <t>BERG</t>
        </is>
      </c>
      <c r="G679" t="n">
        <v>4.6</v>
      </c>
      <c r="H679" t="n">
        <v>0</v>
      </c>
      <c r="I679" t="n">
        <v>0</v>
      </c>
      <c r="J679" t="n">
        <v>0</v>
      </c>
      <c r="K679" t="n">
        <v>0</v>
      </c>
      <c r="L679" t="n">
        <v>0</v>
      </c>
      <c r="M679" t="n">
        <v>0</v>
      </c>
      <c r="N679" t="n">
        <v>0</v>
      </c>
      <c r="O679" t="n">
        <v>0</v>
      </c>
      <c r="P679" t="n">
        <v>0</v>
      </c>
      <c r="Q679" t="n">
        <v>0</v>
      </c>
      <c r="R679" s="2" t="inlineStr"/>
    </row>
    <row r="680" ht="15" customHeight="1">
      <c r="A680" t="inlineStr">
        <is>
          <t>A 59411-2025</t>
        </is>
      </c>
      <c r="B680" s="1" t="n">
        <v>45989.49638888889</v>
      </c>
      <c r="C680" s="1" t="n">
        <v>46074</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59415-2025</t>
        </is>
      </c>
      <c r="B681" s="1" t="n">
        <v>45989.50196759259</v>
      </c>
      <c r="C681" s="1" t="n">
        <v>46074</v>
      </c>
      <c r="D681" t="inlineStr">
        <is>
          <t>JÄMTLANDS LÄN</t>
        </is>
      </c>
      <c r="E681" t="inlineStr">
        <is>
          <t>BERG</t>
        </is>
      </c>
      <c r="G681" t="n">
        <v>6.8</v>
      </c>
      <c r="H681" t="n">
        <v>0</v>
      </c>
      <c r="I681" t="n">
        <v>0</v>
      </c>
      <c r="J681" t="n">
        <v>0</v>
      </c>
      <c r="K681" t="n">
        <v>0</v>
      </c>
      <c r="L681" t="n">
        <v>0</v>
      </c>
      <c r="M681" t="n">
        <v>0</v>
      </c>
      <c r="N681" t="n">
        <v>0</v>
      </c>
      <c r="O681" t="n">
        <v>0</v>
      </c>
      <c r="P681" t="n">
        <v>0</v>
      </c>
      <c r="Q681" t="n">
        <v>0</v>
      </c>
      <c r="R681" s="2" t="inlineStr"/>
    </row>
    <row r="682" ht="15" customHeight="1">
      <c r="A682" t="inlineStr">
        <is>
          <t>A 59404-2025</t>
        </is>
      </c>
      <c r="B682" s="1" t="n">
        <v>45989.48997685185</v>
      </c>
      <c r="C682" s="1" t="n">
        <v>46074</v>
      </c>
      <c r="D682" t="inlineStr">
        <is>
          <t>JÄMTLANDS LÄN</t>
        </is>
      </c>
      <c r="E682" t="inlineStr">
        <is>
          <t>BERG</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59447-2025</t>
        </is>
      </c>
      <c r="B683" s="1" t="n">
        <v>45989</v>
      </c>
      <c r="C683" s="1" t="n">
        <v>46074</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49225-2024</t>
        </is>
      </c>
      <c r="B684" s="1" t="n">
        <v>45595.4177662037</v>
      </c>
      <c r="C684" s="1" t="n">
        <v>46074</v>
      </c>
      <c r="D684" t="inlineStr">
        <is>
          <t>JÄMTLANDS LÄN</t>
        </is>
      </c>
      <c r="E684" t="inlineStr">
        <is>
          <t>BERG</t>
        </is>
      </c>
      <c r="G684" t="n">
        <v>2</v>
      </c>
      <c r="H684" t="n">
        <v>0</v>
      </c>
      <c r="I684" t="n">
        <v>0</v>
      </c>
      <c r="J684" t="n">
        <v>0</v>
      </c>
      <c r="K684" t="n">
        <v>0</v>
      </c>
      <c r="L684" t="n">
        <v>0</v>
      </c>
      <c r="M684" t="n">
        <v>0</v>
      </c>
      <c r="N684" t="n">
        <v>0</v>
      </c>
      <c r="O684" t="n">
        <v>0</v>
      </c>
      <c r="P684" t="n">
        <v>0</v>
      </c>
      <c r="Q684" t="n">
        <v>0</v>
      </c>
      <c r="R684" s="2" t="inlineStr"/>
    </row>
    <row r="685" ht="15" customHeight="1">
      <c r="A685" t="inlineStr">
        <is>
          <t>A 59210-2025</t>
        </is>
      </c>
      <c r="B685" s="1" t="n">
        <v>45988.61516203704</v>
      </c>
      <c r="C685" s="1" t="n">
        <v>46074</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59253-2025</t>
        </is>
      </c>
      <c r="B686" s="1" t="n">
        <v>45988.65121527778</v>
      </c>
      <c r="C686" s="1" t="n">
        <v>46074</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59267-2025</t>
        </is>
      </c>
      <c r="B687" s="1" t="n">
        <v>45988.66127314815</v>
      </c>
      <c r="C687" s="1" t="n">
        <v>46074</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59281-2025</t>
        </is>
      </c>
      <c r="B688" s="1" t="n">
        <v>45988.7234375</v>
      </c>
      <c r="C688" s="1" t="n">
        <v>46074</v>
      </c>
      <c r="D688" t="inlineStr">
        <is>
          <t>JÄMTLANDS LÄN</t>
        </is>
      </c>
      <c r="E688" t="inlineStr">
        <is>
          <t>BERG</t>
        </is>
      </c>
      <c r="G688" t="n">
        <v>16.7</v>
      </c>
      <c r="H688" t="n">
        <v>0</v>
      </c>
      <c r="I688" t="n">
        <v>0</v>
      </c>
      <c r="J688" t="n">
        <v>0</v>
      </c>
      <c r="K688" t="n">
        <v>0</v>
      </c>
      <c r="L688" t="n">
        <v>0</v>
      </c>
      <c r="M688" t="n">
        <v>0</v>
      </c>
      <c r="N688" t="n">
        <v>0</v>
      </c>
      <c r="O688" t="n">
        <v>0</v>
      </c>
      <c r="P688" t="n">
        <v>0</v>
      </c>
      <c r="Q688" t="n">
        <v>0</v>
      </c>
      <c r="R688" s="2" t="inlineStr"/>
    </row>
    <row r="689" ht="15" customHeight="1">
      <c r="A689" t="inlineStr">
        <is>
          <t>A 59424-2025</t>
        </is>
      </c>
      <c r="B689" s="1" t="n">
        <v>45989.53782407408</v>
      </c>
      <c r="C689" s="1" t="n">
        <v>46074</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59652-2025</t>
        </is>
      </c>
      <c r="B690" s="1" t="n">
        <v>45992</v>
      </c>
      <c r="C690" s="1" t="n">
        <v>46074</v>
      </c>
      <c r="D690" t="inlineStr">
        <is>
          <t>JÄMTLANDS LÄN</t>
        </is>
      </c>
      <c r="E690" t="inlineStr">
        <is>
          <t>BERG</t>
        </is>
      </c>
      <c r="G690" t="n">
        <v>4</v>
      </c>
      <c r="H690" t="n">
        <v>0</v>
      </c>
      <c r="I690" t="n">
        <v>0</v>
      </c>
      <c r="J690" t="n">
        <v>0</v>
      </c>
      <c r="K690" t="n">
        <v>0</v>
      </c>
      <c r="L690" t="n">
        <v>0</v>
      </c>
      <c r="M690" t="n">
        <v>0</v>
      </c>
      <c r="N690" t="n">
        <v>0</v>
      </c>
      <c r="O690" t="n">
        <v>0</v>
      </c>
      <c r="P690" t="n">
        <v>0</v>
      </c>
      <c r="Q690" t="n">
        <v>0</v>
      </c>
      <c r="R690" s="2" t="inlineStr"/>
    </row>
    <row r="691" ht="15" customHeight="1">
      <c r="A691" t="inlineStr">
        <is>
          <t>A 59890-2025</t>
        </is>
      </c>
      <c r="B691" s="1" t="n">
        <v>45993.33128472222</v>
      </c>
      <c r="C691" s="1" t="n">
        <v>46074</v>
      </c>
      <c r="D691" t="inlineStr">
        <is>
          <t>JÄMTLANDS LÄN</t>
        </is>
      </c>
      <c r="E691" t="inlineStr">
        <is>
          <t>BERG</t>
        </is>
      </c>
      <c r="G691" t="n">
        <v>4</v>
      </c>
      <c r="H691" t="n">
        <v>0</v>
      </c>
      <c r="I691" t="n">
        <v>0</v>
      </c>
      <c r="J691" t="n">
        <v>0</v>
      </c>
      <c r="K691" t="n">
        <v>0</v>
      </c>
      <c r="L691" t="n">
        <v>0</v>
      </c>
      <c r="M691" t="n">
        <v>0</v>
      </c>
      <c r="N691" t="n">
        <v>0</v>
      </c>
      <c r="O691" t="n">
        <v>0</v>
      </c>
      <c r="P691" t="n">
        <v>0</v>
      </c>
      <c r="Q691" t="n">
        <v>0</v>
      </c>
      <c r="R691" s="2" t="inlineStr"/>
    </row>
    <row r="692" ht="15" customHeight="1">
      <c r="A692" t="inlineStr">
        <is>
          <t>A 59763-2025</t>
        </is>
      </c>
      <c r="B692" s="1" t="n">
        <v>45992.59430555555</v>
      </c>
      <c r="C692" s="1" t="n">
        <v>46074</v>
      </c>
      <c r="D692" t="inlineStr">
        <is>
          <t>JÄMTLANDS LÄN</t>
        </is>
      </c>
      <c r="E692" t="inlineStr">
        <is>
          <t>BERG</t>
        </is>
      </c>
      <c r="F692" t="inlineStr">
        <is>
          <t>SCA</t>
        </is>
      </c>
      <c r="G692" t="n">
        <v>16.5</v>
      </c>
      <c r="H692" t="n">
        <v>0</v>
      </c>
      <c r="I692" t="n">
        <v>0</v>
      </c>
      <c r="J692" t="n">
        <v>0</v>
      </c>
      <c r="K692" t="n">
        <v>0</v>
      </c>
      <c r="L692" t="n">
        <v>0</v>
      </c>
      <c r="M692" t="n">
        <v>0</v>
      </c>
      <c r="N692" t="n">
        <v>0</v>
      </c>
      <c r="O692" t="n">
        <v>0</v>
      </c>
      <c r="P692" t="n">
        <v>0</v>
      </c>
      <c r="Q692" t="n">
        <v>0</v>
      </c>
      <c r="R692" s="2" t="inlineStr"/>
    </row>
    <row r="693" ht="15" customHeight="1">
      <c r="A693" t="inlineStr">
        <is>
          <t>A 1495-2026</t>
        </is>
      </c>
      <c r="B693" s="1" t="n">
        <v>46034.32285879629</v>
      </c>
      <c r="C693" s="1" t="n">
        <v>46074</v>
      </c>
      <c r="D693" t="inlineStr">
        <is>
          <t>JÄMTLANDS LÄN</t>
        </is>
      </c>
      <c r="E693" t="inlineStr">
        <is>
          <t>BERG</t>
        </is>
      </c>
      <c r="G693" t="n">
        <v>2</v>
      </c>
      <c r="H693" t="n">
        <v>0</v>
      </c>
      <c r="I693" t="n">
        <v>0</v>
      </c>
      <c r="J693" t="n">
        <v>0</v>
      </c>
      <c r="K693" t="n">
        <v>0</v>
      </c>
      <c r="L693" t="n">
        <v>0</v>
      </c>
      <c r="M693" t="n">
        <v>0</v>
      </c>
      <c r="N693" t="n">
        <v>0</v>
      </c>
      <c r="O693" t="n">
        <v>0</v>
      </c>
      <c r="P693" t="n">
        <v>0</v>
      </c>
      <c r="Q693" t="n">
        <v>0</v>
      </c>
      <c r="R693" s="2" t="inlineStr"/>
    </row>
    <row r="694" ht="15" customHeight="1">
      <c r="A694" t="inlineStr">
        <is>
          <t>A 59841-2025</t>
        </is>
      </c>
      <c r="B694" s="1" t="n">
        <v>45992</v>
      </c>
      <c r="C694" s="1" t="n">
        <v>46074</v>
      </c>
      <c r="D694" t="inlineStr">
        <is>
          <t>JÄMTLANDS LÄN</t>
        </is>
      </c>
      <c r="E694" t="inlineStr">
        <is>
          <t>BERG</t>
        </is>
      </c>
      <c r="G694" t="n">
        <v>14.9</v>
      </c>
      <c r="H694" t="n">
        <v>0</v>
      </c>
      <c r="I694" t="n">
        <v>0</v>
      </c>
      <c r="J694" t="n">
        <v>0</v>
      </c>
      <c r="K694" t="n">
        <v>0</v>
      </c>
      <c r="L694" t="n">
        <v>0</v>
      </c>
      <c r="M694" t="n">
        <v>0</v>
      </c>
      <c r="N694" t="n">
        <v>0</v>
      </c>
      <c r="O694" t="n">
        <v>0</v>
      </c>
      <c r="P694" t="n">
        <v>0</v>
      </c>
      <c r="Q694" t="n">
        <v>0</v>
      </c>
      <c r="R694" s="2" t="inlineStr"/>
    </row>
    <row r="695" ht="15" customHeight="1">
      <c r="A695" t="inlineStr">
        <is>
          <t>A 60077-2025</t>
        </is>
      </c>
      <c r="B695" s="1" t="n">
        <v>45993.67987268518</v>
      </c>
      <c r="C695" s="1" t="n">
        <v>46074</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45020.94496527778</v>
      </c>
      <c r="C696" s="1" t="n">
        <v>46074</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46074</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60051-2025</t>
        </is>
      </c>
      <c r="B698" s="1" t="n">
        <v>45993.6353125</v>
      </c>
      <c r="C698" s="1" t="n">
        <v>46074</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1939-2026</t>
        </is>
      </c>
      <c r="B699" s="1" t="n">
        <v>46035.58862268519</v>
      </c>
      <c r="C699" s="1" t="n">
        <v>46074</v>
      </c>
      <c r="D699" t="inlineStr">
        <is>
          <t>JÄMTLANDS LÄN</t>
        </is>
      </c>
      <c r="E699" t="inlineStr">
        <is>
          <t>BERG</t>
        </is>
      </c>
      <c r="G699" t="n">
        <v>3.9</v>
      </c>
      <c r="H699" t="n">
        <v>0</v>
      </c>
      <c r="I699" t="n">
        <v>0</v>
      </c>
      <c r="J699" t="n">
        <v>0</v>
      </c>
      <c r="K699" t="n">
        <v>0</v>
      </c>
      <c r="L699" t="n">
        <v>0</v>
      </c>
      <c r="M699" t="n">
        <v>0</v>
      </c>
      <c r="N699" t="n">
        <v>0</v>
      </c>
      <c r="O699" t="n">
        <v>0</v>
      </c>
      <c r="P699" t="n">
        <v>0</v>
      </c>
      <c r="Q699" t="n">
        <v>0</v>
      </c>
      <c r="R699" s="2" t="inlineStr"/>
    </row>
    <row r="700" ht="15" customHeight="1">
      <c r="A700" t="inlineStr">
        <is>
          <t>A 1498-2026</t>
        </is>
      </c>
      <c r="B700" s="1" t="n">
        <v>46034.331875</v>
      </c>
      <c r="C700" s="1" t="n">
        <v>46074</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60163-2025</t>
        </is>
      </c>
      <c r="B701" s="1" t="n">
        <v>45994.43094907407</v>
      </c>
      <c r="C701" s="1" t="n">
        <v>46074</v>
      </c>
      <c r="D701" t="inlineStr">
        <is>
          <t>JÄMTLANDS LÄN</t>
        </is>
      </c>
      <c r="E701" t="inlineStr">
        <is>
          <t>BERG</t>
        </is>
      </c>
      <c r="F701" t="inlineStr">
        <is>
          <t>Övriga Aktiebolag</t>
        </is>
      </c>
      <c r="G701" t="n">
        <v>7</v>
      </c>
      <c r="H701" t="n">
        <v>0</v>
      </c>
      <c r="I701" t="n">
        <v>0</v>
      </c>
      <c r="J701" t="n">
        <v>0</v>
      </c>
      <c r="K701" t="n">
        <v>0</v>
      </c>
      <c r="L701" t="n">
        <v>0</v>
      </c>
      <c r="M701" t="n">
        <v>0</v>
      </c>
      <c r="N701" t="n">
        <v>0</v>
      </c>
      <c r="O701" t="n">
        <v>0</v>
      </c>
      <c r="P701" t="n">
        <v>0</v>
      </c>
      <c r="Q701" t="n">
        <v>0</v>
      </c>
      <c r="R701" s="2" t="inlineStr"/>
    </row>
    <row r="702" ht="15" customHeight="1">
      <c r="A702" t="inlineStr">
        <is>
          <t>A 12774-2023</t>
        </is>
      </c>
      <c r="B702" s="1" t="n">
        <v>45001</v>
      </c>
      <c r="C702" s="1" t="n">
        <v>46074</v>
      </c>
      <c r="D702" t="inlineStr">
        <is>
          <t>JÄMTLANDS LÄN</t>
        </is>
      </c>
      <c r="E702" t="inlineStr">
        <is>
          <t>BERG</t>
        </is>
      </c>
      <c r="G702" t="n">
        <v>0.7</v>
      </c>
      <c r="H702" t="n">
        <v>0</v>
      </c>
      <c r="I702" t="n">
        <v>0</v>
      </c>
      <c r="J702" t="n">
        <v>0</v>
      </c>
      <c r="K702" t="n">
        <v>0</v>
      </c>
      <c r="L702" t="n">
        <v>0</v>
      </c>
      <c r="M702" t="n">
        <v>0</v>
      </c>
      <c r="N702" t="n">
        <v>0</v>
      </c>
      <c r="O702" t="n">
        <v>0</v>
      </c>
      <c r="P702" t="n">
        <v>0</v>
      </c>
      <c r="Q702" t="n">
        <v>0</v>
      </c>
      <c r="R702" s="2" t="inlineStr"/>
    </row>
    <row r="703" ht="15" customHeight="1">
      <c r="A703" t="inlineStr">
        <is>
          <t>A 2312-2026</t>
        </is>
      </c>
      <c r="B703" s="1" t="n">
        <v>46036.59519675926</v>
      </c>
      <c r="C703" s="1" t="n">
        <v>46074</v>
      </c>
      <c r="D703" t="inlineStr">
        <is>
          <t>JÄMTLANDS LÄN</t>
        </is>
      </c>
      <c r="E703" t="inlineStr">
        <is>
          <t>BERG</t>
        </is>
      </c>
      <c r="G703" t="n">
        <v>5.4</v>
      </c>
      <c r="H703" t="n">
        <v>0</v>
      </c>
      <c r="I703" t="n">
        <v>0</v>
      </c>
      <c r="J703" t="n">
        <v>0</v>
      </c>
      <c r="K703" t="n">
        <v>0</v>
      </c>
      <c r="L703" t="n">
        <v>0</v>
      </c>
      <c r="M703" t="n">
        <v>0</v>
      </c>
      <c r="N703" t="n">
        <v>0</v>
      </c>
      <c r="O703" t="n">
        <v>0</v>
      </c>
      <c r="P703" t="n">
        <v>0</v>
      </c>
      <c r="Q703" t="n">
        <v>0</v>
      </c>
      <c r="R703" s="2" t="inlineStr"/>
    </row>
    <row r="704" ht="15" customHeight="1">
      <c r="A704" t="inlineStr">
        <is>
          <t>A 2632-2026</t>
        </is>
      </c>
      <c r="B704" s="1" t="n">
        <v>46035</v>
      </c>
      <c r="C704" s="1" t="n">
        <v>46074</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60587-2022</t>
        </is>
      </c>
      <c r="B705" s="1" t="n">
        <v>44911.58445601852</v>
      </c>
      <c r="C705" s="1" t="n">
        <v>46074</v>
      </c>
      <c r="D705" t="inlineStr">
        <is>
          <t>JÄMTLANDS LÄN</t>
        </is>
      </c>
      <c r="E705" t="inlineStr">
        <is>
          <t>BERG</t>
        </is>
      </c>
      <c r="G705" t="n">
        <v>4.8</v>
      </c>
      <c r="H705" t="n">
        <v>0</v>
      </c>
      <c r="I705" t="n">
        <v>0</v>
      </c>
      <c r="J705" t="n">
        <v>0</v>
      </c>
      <c r="K705" t="n">
        <v>0</v>
      </c>
      <c r="L705" t="n">
        <v>0</v>
      </c>
      <c r="M705" t="n">
        <v>0</v>
      </c>
      <c r="N705" t="n">
        <v>0</v>
      </c>
      <c r="O705" t="n">
        <v>0</v>
      </c>
      <c r="P705" t="n">
        <v>0</v>
      </c>
      <c r="Q705" t="n">
        <v>0</v>
      </c>
      <c r="R705" s="2" t="inlineStr"/>
    </row>
    <row r="706" ht="15" customHeight="1">
      <c r="A706" t="inlineStr">
        <is>
          <t>A 6645-2025</t>
        </is>
      </c>
      <c r="B706" s="1" t="n">
        <v>45700.39645833334</v>
      </c>
      <c r="C706" s="1" t="n">
        <v>46074</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60463-2025</t>
        </is>
      </c>
      <c r="B707" s="1" t="n">
        <v>45995.55276620371</v>
      </c>
      <c r="C707" s="1" t="n">
        <v>46074</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12254-2025</t>
        </is>
      </c>
      <c r="B708" s="1" t="n">
        <v>45729</v>
      </c>
      <c r="C708" s="1" t="n">
        <v>46074</v>
      </c>
      <c r="D708" t="inlineStr">
        <is>
          <t>JÄMTLANDS LÄN</t>
        </is>
      </c>
      <c r="E708" t="inlineStr">
        <is>
          <t>BERG</t>
        </is>
      </c>
      <c r="G708" t="n">
        <v>26.3</v>
      </c>
      <c r="H708" t="n">
        <v>0</v>
      </c>
      <c r="I708" t="n">
        <v>0</v>
      </c>
      <c r="J708" t="n">
        <v>0</v>
      </c>
      <c r="K708" t="n">
        <v>0</v>
      </c>
      <c r="L708" t="n">
        <v>0</v>
      </c>
      <c r="M708" t="n">
        <v>0</v>
      </c>
      <c r="N708" t="n">
        <v>0</v>
      </c>
      <c r="O708" t="n">
        <v>0</v>
      </c>
      <c r="P708" t="n">
        <v>0</v>
      </c>
      <c r="Q708" t="n">
        <v>0</v>
      </c>
      <c r="R708" s="2" t="inlineStr"/>
    </row>
    <row r="709" ht="15" customHeight="1">
      <c r="A709" t="inlineStr">
        <is>
          <t>A 2346-2026</t>
        </is>
      </c>
      <c r="B709" s="1" t="n">
        <v>46036.62737268519</v>
      </c>
      <c r="C709" s="1" t="n">
        <v>46074</v>
      </c>
      <c r="D709" t="inlineStr">
        <is>
          <t>JÄMTLANDS LÄN</t>
        </is>
      </c>
      <c r="E709" t="inlineStr">
        <is>
          <t>BERG</t>
        </is>
      </c>
      <c r="G709" t="n">
        <v>4.2</v>
      </c>
      <c r="H709" t="n">
        <v>0</v>
      </c>
      <c r="I709" t="n">
        <v>0</v>
      </c>
      <c r="J709" t="n">
        <v>0</v>
      </c>
      <c r="K709" t="n">
        <v>0</v>
      </c>
      <c r="L709" t="n">
        <v>0</v>
      </c>
      <c r="M709" t="n">
        <v>0</v>
      </c>
      <c r="N709" t="n">
        <v>0</v>
      </c>
      <c r="O709" t="n">
        <v>0</v>
      </c>
      <c r="P709" t="n">
        <v>0</v>
      </c>
      <c r="Q709" t="n">
        <v>0</v>
      </c>
      <c r="R709" s="2" t="inlineStr"/>
    </row>
    <row r="710" ht="15" customHeight="1">
      <c r="A710" t="inlineStr">
        <is>
          <t>A 60632-2025</t>
        </is>
      </c>
      <c r="B710" s="1" t="n">
        <v>45996.42769675926</v>
      </c>
      <c r="C710" s="1" t="n">
        <v>46074</v>
      </c>
      <c r="D710" t="inlineStr">
        <is>
          <t>JÄMTLANDS LÄN</t>
        </is>
      </c>
      <c r="E710" t="inlineStr">
        <is>
          <t>BERG</t>
        </is>
      </c>
      <c r="F710" t="inlineStr">
        <is>
          <t>SCA</t>
        </is>
      </c>
      <c r="G710" t="n">
        <v>18.2</v>
      </c>
      <c r="H710" t="n">
        <v>0</v>
      </c>
      <c r="I710" t="n">
        <v>0</v>
      </c>
      <c r="J710" t="n">
        <v>0</v>
      </c>
      <c r="K710" t="n">
        <v>0</v>
      </c>
      <c r="L710" t="n">
        <v>0</v>
      </c>
      <c r="M710" t="n">
        <v>0</v>
      </c>
      <c r="N710" t="n">
        <v>0</v>
      </c>
      <c r="O710" t="n">
        <v>0</v>
      </c>
      <c r="P710" t="n">
        <v>0</v>
      </c>
      <c r="Q710" t="n">
        <v>0</v>
      </c>
      <c r="R710" s="2" t="inlineStr"/>
    </row>
    <row r="711" ht="15" customHeight="1">
      <c r="A711" t="inlineStr">
        <is>
          <t>A 60635-2025</t>
        </is>
      </c>
      <c r="B711" s="1" t="n">
        <v>45996.42826388889</v>
      </c>
      <c r="C711" s="1" t="n">
        <v>46074</v>
      </c>
      <c r="D711" t="inlineStr">
        <is>
          <t>JÄMTLANDS LÄN</t>
        </is>
      </c>
      <c r="E711" t="inlineStr">
        <is>
          <t>BERG</t>
        </is>
      </c>
      <c r="F711" t="inlineStr">
        <is>
          <t>SCA</t>
        </is>
      </c>
      <c r="G711" t="n">
        <v>7.4</v>
      </c>
      <c r="H711" t="n">
        <v>0</v>
      </c>
      <c r="I711" t="n">
        <v>0</v>
      </c>
      <c r="J711" t="n">
        <v>0</v>
      </c>
      <c r="K711" t="n">
        <v>0</v>
      </c>
      <c r="L711" t="n">
        <v>0</v>
      </c>
      <c r="M711" t="n">
        <v>0</v>
      </c>
      <c r="N711" t="n">
        <v>0</v>
      </c>
      <c r="O711" t="n">
        <v>0</v>
      </c>
      <c r="P711" t="n">
        <v>0</v>
      </c>
      <c r="Q711" t="n">
        <v>0</v>
      </c>
      <c r="R711" s="2" t="inlineStr"/>
    </row>
    <row r="712" ht="15" customHeight="1">
      <c r="A712" t="inlineStr">
        <is>
          <t>A 60634-2025</t>
        </is>
      </c>
      <c r="B712" s="1" t="n">
        <v>45996.42805555555</v>
      </c>
      <c r="C712" s="1" t="n">
        <v>46074</v>
      </c>
      <c r="D712" t="inlineStr">
        <is>
          <t>JÄMTLANDS LÄN</t>
        </is>
      </c>
      <c r="E712" t="inlineStr">
        <is>
          <t>BERG</t>
        </is>
      </c>
      <c r="F712" t="inlineStr">
        <is>
          <t>SCA</t>
        </is>
      </c>
      <c r="G712" t="n">
        <v>6.2</v>
      </c>
      <c r="H712" t="n">
        <v>0</v>
      </c>
      <c r="I712" t="n">
        <v>0</v>
      </c>
      <c r="J712" t="n">
        <v>0</v>
      </c>
      <c r="K712" t="n">
        <v>0</v>
      </c>
      <c r="L712" t="n">
        <v>0</v>
      </c>
      <c r="M712" t="n">
        <v>0</v>
      </c>
      <c r="N712" t="n">
        <v>0</v>
      </c>
      <c r="O712" t="n">
        <v>0</v>
      </c>
      <c r="P712" t="n">
        <v>0</v>
      </c>
      <c r="Q712" t="n">
        <v>0</v>
      </c>
      <c r="R712" s="2" t="inlineStr"/>
    </row>
    <row r="713" ht="15" customHeight="1">
      <c r="A713" t="inlineStr">
        <is>
          <t>A 23560-2024</t>
        </is>
      </c>
      <c r="B713" s="1" t="n">
        <v>45453.95467592592</v>
      </c>
      <c r="C713" s="1" t="n">
        <v>46074</v>
      </c>
      <c r="D713" t="inlineStr">
        <is>
          <t>JÄMTLANDS LÄN</t>
        </is>
      </c>
      <c r="E713" t="inlineStr">
        <is>
          <t>BERG</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46041.56872685185</v>
      </c>
      <c r="C714" s="1" t="n">
        <v>46074</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1982-2022</t>
        </is>
      </c>
      <c r="B715" s="1" t="n">
        <v>44575</v>
      </c>
      <c r="C715" s="1" t="n">
        <v>46074</v>
      </c>
      <c r="D715" t="inlineStr">
        <is>
          <t>JÄMTLANDS LÄN</t>
        </is>
      </c>
      <c r="E715" t="inlineStr">
        <is>
          <t>BERG</t>
        </is>
      </c>
      <c r="G715" t="n">
        <v>1.6</v>
      </c>
      <c r="H715" t="n">
        <v>0</v>
      </c>
      <c r="I715" t="n">
        <v>0</v>
      </c>
      <c r="J715" t="n">
        <v>0</v>
      </c>
      <c r="K715" t="n">
        <v>0</v>
      </c>
      <c r="L715" t="n">
        <v>0</v>
      </c>
      <c r="M715" t="n">
        <v>0</v>
      </c>
      <c r="N715" t="n">
        <v>0</v>
      </c>
      <c r="O715" t="n">
        <v>0</v>
      </c>
      <c r="P715" t="n">
        <v>0</v>
      </c>
      <c r="Q715" t="n">
        <v>0</v>
      </c>
      <c r="R715" s="2" t="inlineStr"/>
    </row>
    <row r="716" ht="15" customHeight="1">
      <c r="A716" t="inlineStr">
        <is>
          <t>A 1989-2022</t>
        </is>
      </c>
      <c r="B716" s="1" t="n">
        <v>44575.55935185185</v>
      </c>
      <c r="C716" s="1" t="n">
        <v>46074</v>
      </c>
      <c r="D716" t="inlineStr">
        <is>
          <t>JÄMTLANDS LÄN</t>
        </is>
      </c>
      <c r="E716" t="inlineStr">
        <is>
          <t>BERG</t>
        </is>
      </c>
      <c r="G716" t="n">
        <v>0.7</v>
      </c>
      <c r="H716" t="n">
        <v>0</v>
      </c>
      <c r="I716" t="n">
        <v>0</v>
      </c>
      <c r="J716" t="n">
        <v>0</v>
      </c>
      <c r="K716" t="n">
        <v>0</v>
      </c>
      <c r="L716" t="n">
        <v>0</v>
      </c>
      <c r="M716" t="n">
        <v>0</v>
      </c>
      <c r="N716" t="n">
        <v>0</v>
      </c>
      <c r="O716" t="n">
        <v>0</v>
      </c>
      <c r="P716" t="n">
        <v>0</v>
      </c>
      <c r="Q716" t="n">
        <v>0</v>
      </c>
      <c r="R716" s="2" t="inlineStr"/>
    </row>
    <row r="717" ht="15" customHeight="1">
      <c r="A717" t="inlineStr">
        <is>
          <t>A 3173-2025</t>
        </is>
      </c>
      <c r="B717" s="1" t="n">
        <v>45679.38309027778</v>
      </c>
      <c r="C717" s="1" t="n">
        <v>46074</v>
      </c>
      <c r="D717" t="inlineStr">
        <is>
          <t>JÄMTLANDS LÄN</t>
        </is>
      </c>
      <c r="E717" t="inlineStr">
        <is>
          <t>BERG</t>
        </is>
      </c>
      <c r="G717" t="n">
        <v>8.9</v>
      </c>
      <c r="H717" t="n">
        <v>0</v>
      </c>
      <c r="I717" t="n">
        <v>0</v>
      </c>
      <c r="J717" t="n">
        <v>0</v>
      </c>
      <c r="K717" t="n">
        <v>0</v>
      </c>
      <c r="L717" t="n">
        <v>0</v>
      </c>
      <c r="M717" t="n">
        <v>0</v>
      </c>
      <c r="N717" t="n">
        <v>0</v>
      </c>
      <c r="O717" t="n">
        <v>0</v>
      </c>
      <c r="P717" t="n">
        <v>0</v>
      </c>
      <c r="Q717" t="n">
        <v>0</v>
      </c>
      <c r="R717" s="2" t="inlineStr"/>
    </row>
    <row r="718" ht="15" customHeight="1">
      <c r="A718" t="inlineStr">
        <is>
          <t>A 62153-2022</t>
        </is>
      </c>
      <c r="B718" s="1" t="n">
        <v>44914</v>
      </c>
      <c r="C718" s="1" t="n">
        <v>46074</v>
      </c>
      <c r="D718" t="inlineStr">
        <is>
          <t>JÄMTLANDS LÄN</t>
        </is>
      </c>
      <c r="E718" t="inlineStr">
        <is>
          <t>BERG</t>
        </is>
      </c>
      <c r="G718" t="n">
        <v>1</v>
      </c>
      <c r="H718" t="n">
        <v>0</v>
      </c>
      <c r="I718" t="n">
        <v>0</v>
      </c>
      <c r="J718" t="n">
        <v>0</v>
      </c>
      <c r="K718" t="n">
        <v>0</v>
      </c>
      <c r="L718" t="n">
        <v>0</v>
      </c>
      <c r="M718" t="n">
        <v>0</v>
      </c>
      <c r="N718" t="n">
        <v>0</v>
      </c>
      <c r="O718" t="n">
        <v>0</v>
      </c>
      <c r="P718" t="n">
        <v>0</v>
      </c>
      <c r="Q718" t="n">
        <v>0</v>
      </c>
      <c r="R718" s="2" t="inlineStr"/>
    </row>
    <row r="719" ht="15" customHeight="1">
      <c r="A719" t="inlineStr">
        <is>
          <t>A 15156-2024</t>
        </is>
      </c>
      <c r="B719" s="1" t="n">
        <v>45399.94496527778</v>
      </c>
      <c r="C719" s="1" t="n">
        <v>46074</v>
      </c>
      <c r="D719" t="inlineStr">
        <is>
          <t>JÄMTLANDS LÄN</t>
        </is>
      </c>
      <c r="E719" t="inlineStr">
        <is>
          <t>BERG</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3810-2026</t>
        </is>
      </c>
      <c r="B720" s="1" t="n">
        <v>46043.58373842593</v>
      </c>
      <c r="C720" s="1" t="n">
        <v>46074</v>
      </c>
      <c r="D720" t="inlineStr">
        <is>
          <t>JÄMTLANDS LÄN</t>
        </is>
      </c>
      <c r="E720" t="inlineStr">
        <is>
          <t>BERG</t>
        </is>
      </c>
      <c r="G720" t="n">
        <v>2.5</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46074</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47168-2025</t>
        </is>
      </c>
      <c r="B722" s="1" t="n">
        <v>45929</v>
      </c>
      <c r="C722" s="1" t="n">
        <v>46074</v>
      </c>
      <c r="D722" t="inlineStr">
        <is>
          <t>JÄMTLANDS LÄN</t>
        </is>
      </c>
      <c r="E722" t="inlineStr">
        <is>
          <t>BERG</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46858-2023</t>
        </is>
      </c>
      <c r="B723" s="1" t="n">
        <v>45199.97042824074</v>
      </c>
      <c r="C723" s="1" t="n">
        <v>46074</v>
      </c>
      <c r="D723" t="inlineStr">
        <is>
          <t>JÄMTLANDS LÄN</t>
        </is>
      </c>
      <c r="E723" t="inlineStr">
        <is>
          <t>BERG</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36192-2024</t>
        </is>
      </c>
      <c r="B724" s="1" t="n">
        <v>45534.42809027778</v>
      </c>
      <c r="C724" s="1" t="n">
        <v>46074</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14594-2025</t>
        </is>
      </c>
      <c r="B725" s="1" t="n">
        <v>45742.34414351852</v>
      </c>
      <c r="C725" s="1" t="n">
        <v>46074</v>
      </c>
      <c r="D725" t="inlineStr">
        <is>
          <t>JÄMTLANDS LÄN</t>
        </is>
      </c>
      <c r="E725" t="inlineStr">
        <is>
          <t>BERG</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14596-2025</t>
        </is>
      </c>
      <c r="B726" s="1" t="n">
        <v>45742.34449074074</v>
      </c>
      <c r="C726" s="1" t="n">
        <v>46074</v>
      </c>
      <c r="D726" t="inlineStr">
        <is>
          <t>JÄMTLANDS LÄN</t>
        </is>
      </c>
      <c r="E726" t="inlineStr">
        <is>
          <t>BERG</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3796-2026</t>
        </is>
      </c>
      <c r="B727" s="1" t="n">
        <v>46043.57982638889</v>
      </c>
      <c r="C727" s="1" t="n">
        <v>46074</v>
      </c>
      <c r="D727" t="inlineStr">
        <is>
          <t>JÄMTLANDS LÄN</t>
        </is>
      </c>
      <c r="E727" t="inlineStr">
        <is>
          <t>BERG</t>
        </is>
      </c>
      <c r="G727" t="n">
        <v>2.5</v>
      </c>
      <c r="H727" t="n">
        <v>0</v>
      </c>
      <c r="I727" t="n">
        <v>0</v>
      </c>
      <c r="J727" t="n">
        <v>0</v>
      </c>
      <c r="K727" t="n">
        <v>0</v>
      </c>
      <c r="L727" t="n">
        <v>0</v>
      </c>
      <c r="M727" t="n">
        <v>0</v>
      </c>
      <c r="N727" t="n">
        <v>0</v>
      </c>
      <c r="O727" t="n">
        <v>0</v>
      </c>
      <c r="P727" t="n">
        <v>0</v>
      </c>
      <c r="Q727" t="n">
        <v>0</v>
      </c>
      <c r="R727" s="2" t="inlineStr"/>
    </row>
    <row r="728" ht="15" customHeight="1">
      <c r="A728" t="inlineStr">
        <is>
          <t>A 14431-2025</t>
        </is>
      </c>
      <c r="B728" s="1" t="n">
        <v>45741</v>
      </c>
      <c r="C728" s="1" t="n">
        <v>46074</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61459-2025</t>
        </is>
      </c>
      <c r="B729" s="1" t="n">
        <v>46001.59416666667</v>
      </c>
      <c r="C729" s="1" t="n">
        <v>46074</v>
      </c>
      <c r="D729" t="inlineStr">
        <is>
          <t>JÄMTLANDS LÄN</t>
        </is>
      </c>
      <c r="E729" t="inlineStr">
        <is>
          <t>BERG</t>
        </is>
      </c>
      <c r="G729" t="n">
        <v>2.7</v>
      </c>
      <c r="H729" t="n">
        <v>0</v>
      </c>
      <c r="I729" t="n">
        <v>0</v>
      </c>
      <c r="J729" t="n">
        <v>0</v>
      </c>
      <c r="K729" t="n">
        <v>0</v>
      </c>
      <c r="L729" t="n">
        <v>0</v>
      </c>
      <c r="M729" t="n">
        <v>0</v>
      </c>
      <c r="N729" t="n">
        <v>0</v>
      </c>
      <c r="O729" t="n">
        <v>0</v>
      </c>
      <c r="P729" t="n">
        <v>0</v>
      </c>
      <c r="Q729" t="n">
        <v>0</v>
      </c>
      <c r="R729" s="2" t="inlineStr"/>
    </row>
    <row r="730" ht="15" customHeight="1">
      <c r="A730" t="inlineStr">
        <is>
          <t>A 61460-2025</t>
        </is>
      </c>
      <c r="B730" s="1" t="n">
        <v>46001.59425925926</v>
      </c>
      <c r="C730" s="1" t="n">
        <v>46074</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3798-2022</t>
        </is>
      </c>
      <c r="B731" s="1" t="n">
        <v>44586</v>
      </c>
      <c r="C731" s="1" t="n">
        <v>46074</v>
      </c>
      <c r="D731" t="inlineStr">
        <is>
          <t>JÄMTLANDS LÄN</t>
        </is>
      </c>
      <c r="E731" t="inlineStr">
        <is>
          <t>BERG</t>
        </is>
      </c>
      <c r="G731" t="n">
        <v>0.1</v>
      </c>
      <c r="H731" t="n">
        <v>0</v>
      </c>
      <c r="I731" t="n">
        <v>0</v>
      </c>
      <c r="J731" t="n">
        <v>0</v>
      </c>
      <c r="K731" t="n">
        <v>0</v>
      </c>
      <c r="L731" t="n">
        <v>0</v>
      </c>
      <c r="M731" t="n">
        <v>0</v>
      </c>
      <c r="N731" t="n">
        <v>0</v>
      </c>
      <c r="O731" t="n">
        <v>0</v>
      </c>
      <c r="P731" t="n">
        <v>0</v>
      </c>
      <c r="Q731" t="n">
        <v>0</v>
      </c>
      <c r="R731" s="2" t="inlineStr"/>
    </row>
    <row r="732" ht="15" customHeight="1">
      <c r="A732" t="inlineStr">
        <is>
          <t>A 4337-2026</t>
        </is>
      </c>
      <c r="B732" s="1" t="n">
        <v>46045</v>
      </c>
      <c r="C732" s="1" t="n">
        <v>46074</v>
      </c>
      <c r="D732" t="inlineStr">
        <is>
          <t>JÄMTLANDS LÄN</t>
        </is>
      </c>
      <c r="E732" t="inlineStr">
        <is>
          <t>BERG</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11274-2025</t>
        </is>
      </c>
      <c r="B733" s="1" t="n">
        <v>45726.40868055556</v>
      </c>
      <c r="C733" s="1" t="n">
        <v>46074</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149-2024</t>
        </is>
      </c>
      <c r="B734" s="1" t="n">
        <v>45294</v>
      </c>
      <c r="C734" s="1" t="n">
        <v>46074</v>
      </c>
      <c r="D734" t="inlineStr">
        <is>
          <t>JÄMTLANDS LÄN</t>
        </is>
      </c>
      <c r="E734" t="inlineStr">
        <is>
          <t>BERG</t>
        </is>
      </c>
      <c r="F734" t="inlineStr">
        <is>
          <t>Kyrkan</t>
        </is>
      </c>
      <c r="G734" t="n">
        <v>3.7</v>
      </c>
      <c r="H734" t="n">
        <v>0</v>
      </c>
      <c r="I734" t="n">
        <v>0</v>
      </c>
      <c r="J734" t="n">
        <v>0</v>
      </c>
      <c r="K734" t="n">
        <v>0</v>
      </c>
      <c r="L734" t="n">
        <v>0</v>
      </c>
      <c r="M734" t="n">
        <v>0</v>
      </c>
      <c r="N734" t="n">
        <v>0</v>
      </c>
      <c r="O734" t="n">
        <v>0</v>
      </c>
      <c r="P734" t="n">
        <v>0</v>
      </c>
      <c r="Q734" t="n">
        <v>0</v>
      </c>
      <c r="R734" s="2" t="inlineStr"/>
    </row>
    <row r="735" ht="15" customHeight="1">
      <c r="A735" t="inlineStr">
        <is>
          <t>A 36708-2023</t>
        </is>
      </c>
      <c r="B735" s="1" t="n">
        <v>45153.65226851852</v>
      </c>
      <c r="C735" s="1" t="n">
        <v>46074</v>
      </c>
      <c r="D735" t="inlineStr">
        <is>
          <t>JÄMTLANDS LÄN</t>
        </is>
      </c>
      <c r="E735" t="inlineStr">
        <is>
          <t>BERG</t>
        </is>
      </c>
      <c r="G735" t="n">
        <v>1</v>
      </c>
      <c r="H735" t="n">
        <v>0</v>
      </c>
      <c r="I735" t="n">
        <v>0</v>
      </c>
      <c r="J735" t="n">
        <v>0</v>
      </c>
      <c r="K735" t="n">
        <v>0</v>
      </c>
      <c r="L735" t="n">
        <v>0</v>
      </c>
      <c r="M735" t="n">
        <v>0</v>
      </c>
      <c r="N735" t="n">
        <v>0</v>
      </c>
      <c r="O735" t="n">
        <v>0</v>
      </c>
      <c r="P735" t="n">
        <v>0</v>
      </c>
      <c r="Q735" t="n">
        <v>0</v>
      </c>
      <c r="R735" s="2" t="inlineStr"/>
    </row>
    <row r="736" ht="15" customHeight="1">
      <c r="A736" t="inlineStr">
        <is>
          <t>A 33750-2023</t>
        </is>
      </c>
      <c r="B736" s="1" t="n">
        <v>45120</v>
      </c>
      <c r="C736" s="1" t="n">
        <v>46074</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31682-2022</t>
        </is>
      </c>
      <c r="B737" s="1" t="n">
        <v>44776</v>
      </c>
      <c r="C737" s="1" t="n">
        <v>46074</v>
      </c>
      <c r="D737" t="inlineStr">
        <is>
          <t>JÄMTLANDS LÄN</t>
        </is>
      </c>
      <c r="E737" t="inlineStr">
        <is>
          <t>BERG</t>
        </is>
      </c>
      <c r="G737" t="n">
        <v>8</v>
      </c>
      <c r="H737" t="n">
        <v>0</v>
      </c>
      <c r="I737" t="n">
        <v>0</v>
      </c>
      <c r="J737" t="n">
        <v>0</v>
      </c>
      <c r="K737" t="n">
        <v>0</v>
      </c>
      <c r="L737" t="n">
        <v>0</v>
      </c>
      <c r="M737" t="n">
        <v>0</v>
      </c>
      <c r="N737" t="n">
        <v>0</v>
      </c>
      <c r="O737" t="n">
        <v>0</v>
      </c>
      <c r="P737" t="n">
        <v>0</v>
      </c>
      <c r="Q737" t="n">
        <v>0</v>
      </c>
      <c r="R737" s="2" t="inlineStr"/>
    </row>
    <row r="738" ht="15" customHeight="1">
      <c r="A738" t="inlineStr">
        <is>
          <t>A 1684-2026</t>
        </is>
      </c>
      <c r="B738" s="1" t="n">
        <v>46034.58386574074</v>
      </c>
      <c r="C738" s="1" t="n">
        <v>46074</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61647-2025</t>
        </is>
      </c>
      <c r="B739" s="1" t="n">
        <v>46002.4403587963</v>
      </c>
      <c r="C739" s="1" t="n">
        <v>46074</v>
      </c>
      <c r="D739" t="inlineStr">
        <is>
          <t>JÄMTLANDS LÄN</t>
        </is>
      </c>
      <c r="E739" t="inlineStr">
        <is>
          <t>BERG</t>
        </is>
      </c>
      <c r="G739" t="n">
        <v>3.2</v>
      </c>
      <c r="H739" t="n">
        <v>0</v>
      </c>
      <c r="I739" t="n">
        <v>0</v>
      </c>
      <c r="J739" t="n">
        <v>0</v>
      </c>
      <c r="K739" t="n">
        <v>0</v>
      </c>
      <c r="L739" t="n">
        <v>0</v>
      </c>
      <c r="M739" t="n">
        <v>0</v>
      </c>
      <c r="N739" t="n">
        <v>0</v>
      </c>
      <c r="O739" t="n">
        <v>0</v>
      </c>
      <c r="P739" t="n">
        <v>0</v>
      </c>
      <c r="Q739" t="n">
        <v>0</v>
      </c>
      <c r="R739" s="2" t="inlineStr"/>
    </row>
    <row r="740" ht="15" customHeight="1">
      <c r="A740" t="inlineStr">
        <is>
          <t>A 8722-2024</t>
        </is>
      </c>
      <c r="B740" s="1" t="n">
        <v>45355</v>
      </c>
      <c r="C740" s="1" t="n">
        <v>46074</v>
      </c>
      <c r="D740" t="inlineStr">
        <is>
          <t>JÄMTLANDS LÄN</t>
        </is>
      </c>
      <c r="E740" t="inlineStr">
        <is>
          <t>BERG</t>
        </is>
      </c>
      <c r="G740" t="n">
        <v>2.4</v>
      </c>
      <c r="H740" t="n">
        <v>0</v>
      </c>
      <c r="I740" t="n">
        <v>0</v>
      </c>
      <c r="J740" t="n">
        <v>0</v>
      </c>
      <c r="K740" t="n">
        <v>0</v>
      </c>
      <c r="L740" t="n">
        <v>0</v>
      </c>
      <c r="M740" t="n">
        <v>0</v>
      </c>
      <c r="N740" t="n">
        <v>0</v>
      </c>
      <c r="O740" t="n">
        <v>0</v>
      </c>
      <c r="P740" t="n">
        <v>0</v>
      </c>
      <c r="Q740" t="n">
        <v>0</v>
      </c>
      <c r="R740" s="2" t="inlineStr"/>
    </row>
    <row r="741" ht="15" customHeight="1">
      <c r="A741" t="inlineStr">
        <is>
          <t>A 8726-2024</t>
        </is>
      </c>
      <c r="B741" s="1" t="n">
        <v>45355</v>
      </c>
      <c r="C741" s="1" t="n">
        <v>46074</v>
      </c>
      <c r="D741" t="inlineStr">
        <is>
          <t>JÄMTLANDS LÄN</t>
        </is>
      </c>
      <c r="E741" t="inlineStr">
        <is>
          <t>BERG</t>
        </is>
      </c>
      <c r="G741" t="n">
        <v>1.3</v>
      </c>
      <c r="H741" t="n">
        <v>0</v>
      </c>
      <c r="I741" t="n">
        <v>0</v>
      </c>
      <c r="J741" t="n">
        <v>0</v>
      </c>
      <c r="K741" t="n">
        <v>0</v>
      </c>
      <c r="L741" t="n">
        <v>0</v>
      </c>
      <c r="M741" t="n">
        <v>0</v>
      </c>
      <c r="N741" t="n">
        <v>0</v>
      </c>
      <c r="O741" t="n">
        <v>0</v>
      </c>
      <c r="P741" t="n">
        <v>0</v>
      </c>
      <c r="Q741" t="n">
        <v>0</v>
      </c>
      <c r="R741" s="2" t="inlineStr"/>
    </row>
    <row r="742" ht="15" customHeight="1">
      <c r="A742" t="inlineStr">
        <is>
          <t>A 8733-2024</t>
        </is>
      </c>
      <c r="B742" s="1" t="n">
        <v>45355</v>
      </c>
      <c r="C742" s="1" t="n">
        <v>46074</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61987-2025</t>
        </is>
      </c>
      <c r="B743" s="1" t="n">
        <v>46003.62914351852</v>
      </c>
      <c r="C743" s="1" t="n">
        <v>46074</v>
      </c>
      <c r="D743" t="inlineStr">
        <is>
          <t>JÄMTLANDS LÄN</t>
        </is>
      </c>
      <c r="E743" t="inlineStr">
        <is>
          <t>BERG</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61977-2025</t>
        </is>
      </c>
      <c r="B744" s="1" t="n">
        <v>46003.61158564815</v>
      </c>
      <c r="C744" s="1" t="n">
        <v>46074</v>
      </c>
      <c r="D744" t="inlineStr">
        <is>
          <t>JÄMTLANDS LÄN</t>
        </is>
      </c>
      <c r="E744" t="inlineStr">
        <is>
          <t>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61991-2025</t>
        </is>
      </c>
      <c r="B745" s="1" t="n">
        <v>46003.62962962963</v>
      </c>
      <c r="C745" s="1" t="n">
        <v>46074</v>
      </c>
      <c r="D745" t="inlineStr">
        <is>
          <t>JÄMTLANDS LÄN</t>
        </is>
      </c>
      <c r="E745" t="inlineStr">
        <is>
          <t>BERG</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4383-2026</t>
        </is>
      </c>
      <c r="B746" s="1" t="n">
        <v>46045.56296296296</v>
      </c>
      <c r="C746" s="1" t="n">
        <v>46074</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30992-2024</t>
        </is>
      </c>
      <c r="B747" s="1" t="n">
        <v>45499</v>
      </c>
      <c r="C747" s="1" t="n">
        <v>46074</v>
      </c>
      <c r="D747" t="inlineStr">
        <is>
          <t>JÄMTLANDS LÄN</t>
        </is>
      </c>
      <c r="E747" t="inlineStr">
        <is>
          <t>BERG</t>
        </is>
      </c>
      <c r="F747" t="inlineStr">
        <is>
          <t>Sveaskog</t>
        </is>
      </c>
      <c r="G747" t="n">
        <v>5.1</v>
      </c>
      <c r="H747" t="n">
        <v>0</v>
      </c>
      <c r="I747" t="n">
        <v>0</v>
      </c>
      <c r="J747" t="n">
        <v>0</v>
      </c>
      <c r="K747" t="n">
        <v>0</v>
      </c>
      <c r="L747" t="n">
        <v>0</v>
      </c>
      <c r="M747" t="n">
        <v>0</v>
      </c>
      <c r="N747" t="n">
        <v>0</v>
      </c>
      <c r="O747" t="n">
        <v>0</v>
      </c>
      <c r="P747" t="n">
        <v>0</v>
      </c>
      <c r="Q747" t="n">
        <v>0</v>
      </c>
      <c r="R747" s="2" t="inlineStr"/>
    </row>
    <row r="748" ht="15" customHeight="1">
      <c r="A748" t="inlineStr">
        <is>
          <t>A 4833-2026</t>
        </is>
      </c>
      <c r="B748" s="1" t="n">
        <v>46048.60271990741</v>
      </c>
      <c r="C748" s="1" t="n">
        <v>46074</v>
      </c>
      <c r="D748" t="inlineStr">
        <is>
          <t>JÄMTLANDS LÄN</t>
        </is>
      </c>
      <c r="E748" t="inlineStr">
        <is>
          <t>BERG</t>
        </is>
      </c>
      <c r="G748" t="n">
        <v>0.8</v>
      </c>
      <c r="H748" t="n">
        <v>0</v>
      </c>
      <c r="I748" t="n">
        <v>0</v>
      </c>
      <c r="J748" t="n">
        <v>0</v>
      </c>
      <c r="K748" t="n">
        <v>0</v>
      </c>
      <c r="L748" t="n">
        <v>0</v>
      </c>
      <c r="M748" t="n">
        <v>0</v>
      </c>
      <c r="N748" t="n">
        <v>0</v>
      </c>
      <c r="O748" t="n">
        <v>0</v>
      </c>
      <c r="P748" t="n">
        <v>0</v>
      </c>
      <c r="Q748" t="n">
        <v>0</v>
      </c>
      <c r="R748" s="2" t="inlineStr"/>
    </row>
    <row r="749" ht="15" customHeight="1">
      <c r="A749" t="inlineStr">
        <is>
          <t>A 49048-2024</t>
        </is>
      </c>
      <c r="B749" s="1" t="n">
        <v>45594.57427083333</v>
      </c>
      <c r="C749" s="1" t="n">
        <v>46074</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62052-2025</t>
        </is>
      </c>
      <c r="B750" s="1" t="n">
        <v>46006.32145833333</v>
      </c>
      <c r="C750" s="1" t="n">
        <v>46074</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54071-2023</t>
        </is>
      </c>
      <c r="B751" s="1" t="n">
        <v>45231</v>
      </c>
      <c r="C751" s="1" t="n">
        <v>46074</v>
      </c>
      <c r="D751" t="inlineStr">
        <is>
          <t>JÄMTLANDS LÄN</t>
        </is>
      </c>
      <c r="E751" t="inlineStr">
        <is>
          <t>BERG</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39809-2025</t>
        </is>
      </c>
      <c r="B752" s="1" t="n">
        <v>45891</v>
      </c>
      <c r="C752" s="1" t="n">
        <v>46074</v>
      </c>
      <c r="D752" t="inlineStr">
        <is>
          <t>JÄMTLANDS LÄN</t>
        </is>
      </c>
      <c r="E752" t="inlineStr">
        <is>
          <t>BERG</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46049.55258101852</v>
      </c>
      <c r="C753" s="1" t="n">
        <v>46074</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5491-2026</t>
        </is>
      </c>
      <c r="B754" s="1" t="n">
        <v>46050.61548611111</v>
      </c>
      <c r="C754" s="1" t="n">
        <v>46074</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461-2023</t>
        </is>
      </c>
      <c r="B755" s="1" t="n">
        <v>44929</v>
      </c>
      <c r="C755" s="1" t="n">
        <v>46074</v>
      </c>
      <c r="D755" t="inlineStr">
        <is>
          <t>JÄMTLANDS LÄN</t>
        </is>
      </c>
      <c r="E755" t="inlineStr">
        <is>
          <t>BERG</t>
        </is>
      </c>
      <c r="G755" t="n">
        <v>5.8</v>
      </c>
      <c r="H755" t="n">
        <v>0</v>
      </c>
      <c r="I755" t="n">
        <v>0</v>
      </c>
      <c r="J755" t="n">
        <v>0</v>
      </c>
      <c r="K755" t="n">
        <v>0</v>
      </c>
      <c r="L755" t="n">
        <v>0</v>
      </c>
      <c r="M755" t="n">
        <v>0</v>
      </c>
      <c r="N755" t="n">
        <v>0</v>
      </c>
      <c r="O755" t="n">
        <v>0</v>
      </c>
      <c r="P755" t="n">
        <v>0</v>
      </c>
      <c r="Q755" t="n">
        <v>0</v>
      </c>
      <c r="R755" s="2" t="inlineStr"/>
    </row>
    <row r="756" ht="15" customHeight="1">
      <c r="A756" t="inlineStr">
        <is>
          <t>A 525-2023</t>
        </is>
      </c>
      <c r="B756" s="1" t="n">
        <v>44924</v>
      </c>
      <c r="C756" s="1" t="n">
        <v>46074</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5688-2026</t>
        </is>
      </c>
      <c r="B757" s="1" t="n">
        <v>46051.49005787037</v>
      </c>
      <c r="C757" s="1" t="n">
        <v>46074</v>
      </c>
      <c r="D757" t="inlineStr">
        <is>
          <t>JÄMTLANDS LÄN</t>
        </is>
      </c>
      <c r="E757" t="inlineStr">
        <is>
          <t>BERG</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62826-2025</t>
        </is>
      </c>
      <c r="B758" s="1" t="n">
        <v>46008.65883101852</v>
      </c>
      <c r="C758" s="1" t="n">
        <v>46074</v>
      </c>
      <c r="D758" t="inlineStr">
        <is>
          <t>JÄMTLANDS LÄN</t>
        </is>
      </c>
      <c r="E758" t="inlineStr">
        <is>
          <t>BERG</t>
        </is>
      </c>
      <c r="G758" t="n">
        <v>4</v>
      </c>
      <c r="H758" t="n">
        <v>0</v>
      </c>
      <c r="I758" t="n">
        <v>0</v>
      </c>
      <c r="J758" t="n">
        <v>0</v>
      </c>
      <c r="K758" t="n">
        <v>0</v>
      </c>
      <c r="L758" t="n">
        <v>0</v>
      </c>
      <c r="M758" t="n">
        <v>0</v>
      </c>
      <c r="N758" t="n">
        <v>0</v>
      </c>
      <c r="O758" t="n">
        <v>0</v>
      </c>
      <c r="P758" t="n">
        <v>0</v>
      </c>
      <c r="Q758" t="n">
        <v>0</v>
      </c>
      <c r="R758" s="2" t="inlineStr"/>
    </row>
    <row r="759" ht="15" customHeight="1">
      <c r="A759" t="inlineStr">
        <is>
          <t>A 53427-2025</t>
        </is>
      </c>
      <c r="B759" s="1" t="n">
        <v>45959</v>
      </c>
      <c r="C759" s="1" t="n">
        <v>46074</v>
      </c>
      <c r="D759" t="inlineStr">
        <is>
          <t>JÄMTLANDS LÄN</t>
        </is>
      </c>
      <c r="E759" t="inlineStr">
        <is>
          <t>BERG</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62814-2025</t>
        </is>
      </c>
      <c r="B760" s="1" t="n">
        <v>46008.6502662037</v>
      </c>
      <c r="C760" s="1" t="n">
        <v>46074</v>
      </c>
      <c r="D760" t="inlineStr">
        <is>
          <t>JÄMTLANDS LÄN</t>
        </is>
      </c>
      <c r="E760" t="inlineStr">
        <is>
          <t>BERG</t>
        </is>
      </c>
      <c r="G760" t="n">
        <v>7.8</v>
      </c>
      <c r="H760" t="n">
        <v>0</v>
      </c>
      <c r="I760" t="n">
        <v>0</v>
      </c>
      <c r="J760" t="n">
        <v>0</v>
      </c>
      <c r="K760" t="n">
        <v>0</v>
      </c>
      <c r="L760" t="n">
        <v>0</v>
      </c>
      <c r="M760" t="n">
        <v>0</v>
      </c>
      <c r="N760" t="n">
        <v>0</v>
      </c>
      <c r="O760" t="n">
        <v>0</v>
      </c>
      <c r="P760" t="n">
        <v>0</v>
      </c>
      <c r="Q760" t="n">
        <v>0</v>
      </c>
      <c r="R760" s="2" t="inlineStr"/>
    </row>
    <row r="761" ht="15" customHeight="1">
      <c r="A761" t="inlineStr">
        <is>
          <t>A 26918-2024</t>
        </is>
      </c>
      <c r="B761" s="1" t="n">
        <v>45470</v>
      </c>
      <c r="C761" s="1" t="n">
        <v>46074</v>
      </c>
      <c r="D761" t="inlineStr">
        <is>
          <t>JÄMTLANDS LÄN</t>
        </is>
      </c>
      <c r="E761" t="inlineStr">
        <is>
          <t>BERG</t>
        </is>
      </c>
      <c r="G761" t="n">
        <v>0.4</v>
      </c>
      <c r="H761" t="n">
        <v>0</v>
      </c>
      <c r="I761" t="n">
        <v>0</v>
      </c>
      <c r="J761" t="n">
        <v>0</v>
      </c>
      <c r="K761" t="n">
        <v>0</v>
      </c>
      <c r="L761" t="n">
        <v>0</v>
      </c>
      <c r="M761" t="n">
        <v>0</v>
      </c>
      <c r="N761" t="n">
        <v>0</v>
      </c>
      <c r="O761" t="n">
        <v>0</v>
      </c>
      <c r="P761" t="n">
        <v>0</v>
      </c>
      <c r="Q761" t="n">
        <v>0</v>
      </c>
      <c r="R761" s="2" t="inlineStr"/>
    </row>
    <row r="762" ht="15" customHeight="1">
      <c r="A762" t="inlineStr">
        <is>
          <t>A 27579-2024</t>
        </is>
      </c>
      <c r="B762" s="1" t="n">
        <v>45474.65244212963</v>
      </c>
      <c r="C762" s="1" t="n">
        <v>46074</v>
      </c>
      <c r="D762" t="inlineStr">
        <is>
          <t>JÄMTLANDS LÄN</t>
        </is>
      </c>
      <c r="E762" t="inlineStr">
        <is>
          <t>BERG</t>
        </is>
      </c>
      <c r="G762" t="n">
        <v>1.8</v>
      </c>
      <c r="H762" t="n">
        <v>0</v>
      </c>
      <c r="I762" t="n">
        <v>0</v>
      </c>
      <c r="J762" t="n">
        <v>0</v>
      </c>
      <c r="K762" t="n">
        <v>0</v>
      </c>
      <c r="L762" t="n">
        <v>0</v>
      </c>
      <c r="M762" t="n">
        <v>0</v>
      </c>
      <c r="N762" t="n">
        <v>0</v>
      </c>
      <c r="O762" t="n">
        <v>0</v>
      </c>
      <c r="P762" t="n">
        <v>0</v>
      </c>
      <c r="Q762" t="n">
        <v>0</v>
      </c>
      <c r="R762" s="2" t="inlineStr"/>
    </row>
    <row r="763" ht="15" customHeight="1">
      <c r="A763" t="inlineStr">
        <is>
          <t>A 63345-2025</t>
        </is>
      </c>
      <c r="B763" s="1" t="n">
        <v>46010.65959490741</v>
      </c>
      <c r="C763" s="1" t="n">
        <v>46074</v>
      </c>
      <c r="D763" t="inlineStr">
        <is>
          <t>JÄMTLANDS LÄN</t>
        </is>
      </c>
      <c r="E763" t="inlineStr">
        <is>
          <t>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54992-2023</t>
        </is>
      </c>
      <c r="B764" s="1" t="n">
        <v>45236.96789351852</v>
      </c>
      <c r="C764" s="1" t="n">
        <v>46074</v>
      </c>
      <c r="D764" t="inlineStr">
        <is>
          <t>JÄMTLANDS LÄN</t>
        </is>
      </c>
      <c r="E764" t="inlineStr">
        <is>
          <t>BERG</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54994-2023</t>
        </is>
      </c>
      <c r="B765" s="1" t="n">
        <v>45236</v>
      </c>
      <c r="C765" s="1" t="n">
        <v>46074</v>
      </c>
      <c r="D765" t="inlineStr">
        <is>
          <t>JÄMTLANDS LÄN</t>
        </is>
      </c>
      <c r="E765" t="inlineStr">
        <is>
          <t>BERG</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5858-2026</t>
        </is>
      </c>
      <c r="B766" s="1" t="n">
        <v>46052.36512731481</v>
      </c>
      <c r="C766" s="1" t="n">
        <v>46074</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57226-2022</t>
        </is>
      </c>
      <c r="B767" s="1" t="n">
        <v>44895.66629629629</v>
      </c>
      <c r="C767" s="1" t="n">
        <v>46074</v>
      </c>
      <c r="D767" t="inlineStr">
        <is>
          <t>JÄMTLANDS LÄN</t>
        </is>
      </c>
      <c r="E767" t="inlineStr">
        <is>
          <t>BERG</t>
        </is>
      </c>
      <c r="G767" t="n">
        <v>4.6</v>
      </c>
      <c r="H767" t="n">
        <v>0</v>
      </c>
      <c r="I767" t="n">
        <v>0</v>
      </c>
      <c r="J767" t="n">
        <v>0</v>
      </c>
      <c r="K767" t="n">
        <v>0</v>
      </c>
      <c r="L767" t="n">
        <v>0</v>
      </c>
      <c r="M767" t="n">
        <v>0</v>
      </c>
      <c r="N767" t="n">
        <v>0</v>
      </c>
      <c r="O767" t="n">
        <v>0</v>
      </c>
      <c r="P767" t="n">
        <v>0</v>
      </c>
      <c r="Q767" t="n">
        <v>0</v>
      </c>
      <c r="R767" s="2" t="inlineStr"/>
    </row>
    <row r="768" ht="15" customHeight="1">
      <c r="A768" t="inlineStr">
        <is>
          <t>A 6333-2026</t>
        </is>
      </c>
      <c r="B768" s="1" t="n">
        <v>46055.59460648148</v>
      </c>
      <c r="C768" s="1" t="n">
        <v>46074</v>
      </c>
      <c r="D768" t="inlineStr">
        <is>
          <t>JÄMTLANDS LÄN</t>
        </is>
      </c>
      <c r="E768" t="inlineStr">
        <is>
          <t>BERG</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5911-2024</t>
        </is>
      </c>
      <c r="B769" s="1" t="n">
        <v>45335</v>
      </c>
      <c r="C769" s="1" t="n">
        <v>46074</v>
      </c>
      <c r="D769" t="inlineStr">
        <is>
          <t>JÄMTLANDS LÄN</t>
        </is>
      </c>
      <c r="E769" t="inlineStr">
        <is>
          <t>BERG</t>
        </is>
      </c>
      <c r="F769" t="inlineStr">
        <is>
          <t>SCA</t>
        </is>
      </c>
      <c r="G769" t="n">
        <v>28.6</v>
      </c>
      <c r="H769" t="n">
        <v>0</v>
      </c>
      <c r="I769" t="n">
        <v>0</v>
      </c>
      <c r="J769" t="n">
        <v>0</v>
      </c>
      <c r="K769" t="n">
        <v>0</v>
      </c>
      <c r="L769" t="n">
        <v>0</v>
      </c>
      <c r="M769" t="n">
        <v>0</v>
      </c>
      <c r="N769" t="n">
        <v>0</v>
      </c>
      <c r="O769" t="n">
        <v>0</v>
      </c>
      <c r="P769" t="n">
        <v>0</v>
      </c>
      <c r="Q769" t="n">
        <v>0</v>
      </c>
      <c r="R769" s="2" t="inlineStr"/>
    </row>
    <row r="770" ht="15" customHeight="1">
      <c r="A770" t="inlineStr">
        <is>
          <t>A 25306-2023</t>
        </is>
      </c>
      <c r="B770" s="1" t="n">
        <v>45086</v>
      </c>
      <c r="C770" s="1" t="n">
        <v>46074</v>
      </c>
      <c r="D770" t="inlineStr">
        <is>
          <t>JÄMTLANDS LÄN</t>
        </is>
      </c>
      <c r="E770" t="inlineStr">
        <is>
          <t>BERG</t>
        </is>
      </c>
      <c r="G770" t="n">
        <v>23.3</v>
      </c>
      <c r="H770" t="n">
        <v>0</v>
      </c>
      <c r="I770" t="n">
        <v>0</v>
      </c>
      <c r="J770" t="n">
        <v>0</v>
      </c>
      <c r="K770" t="n">
        <v>0</v>
      </c>
      <c r="L770" t="n">
        <v>0</v>
      </c>
      <c r="M770" t="n">
        <v>0</v>
      </c>
      <c r="N770" t="n">
        <v>0</v>
      </c>
      <c r="O770" t="n">
        <v>0</v>
      </c>
      <c r="P770" t="n">
        <v>0</v>
      </c>
      <c r="Q770" t="n">
        <v>0</v>
      </c>
      <c r="R770" s="2" t="inlineStr"/>
    </row>
    <row r="771" ht="15" customHeight="1">
      <c r="A771" t="inlineStr">
        <is>
          <t>A 63332-2025</t>
        </is>
      </c>
      <c r="B771" s="1" t="n">
        <v>46010.64340277778</v>
      </c>
      <c r="C771" s="1" t="n">
        <v>46074</v>
      </c>
      <c r="D771" t="inlineStr">
        <is>
          <t>JÄMTLANDS LÄN</t>
        </is>
      </c>
      <c r="E771" t="inlineStr">
        <is>
          <t>BERG</t>
        </is>
      </c>
      <c r="G771" t="n">
        <v>5.4</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46074</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5832-2026</t>
        </is>
      </c>
      <c r="B773" s="1" t="n">
        <v>46052.32890046296</v>
      </c>
      <c r="C773" s="1" t="n">
        <v>46074</v>
      </c>
      <c r="D773" t="inlineStr">
        <is>
          <t>JÄMTLANDS LÄN</t>
        </is>
      </c>
      <c r="E773" t="inlineStr">
        <is>
          <t>BERG</t>
        </is>
      </c>
      <c r="G773" t="n">
        <v>5.7</v>
      </c>
      <c r="H773" t="n">
        <v>0</v>
      </c>
      <c r="I773" t="n">
        <v>0</v>
      </c>
      <c r="J773" t="n">
        <v>0</v>
      </c>
      <c r="K773" t="n">
        <v>0</v>
      </c>
      <c r="L773" t="n">
        <v>0</v>
      </c>
      <c r="M773" t="n">
        <v>0</v>
      </c>
      <c r="N773" t="n">
        <v>0</v>
      </c>
      <c r="O773" t="n">
        <v>0</v>
      </c>
      <c r="P773" t="n">
        <v>0</v>
      </c>
      <c r="Q773" t="n">
        <v>0</v>
      </c>
      <c r="R773" s="2" t="inlineStr"/>
    </row>
    <row r="774" ht="15" customHeight="1">
      <c r="A774" t="inlineStr">
        <is>
          <t>A 6332-2026</t>
        </is>
      </c>
      <c r="B774" s="1" t="n">
        <v>46055.59442129629</v>
      </c>
      <c r="C774" s="1" t="n">
        <v>46074</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13373-2024</t>
        </is>
      </c>
      <c r="B775" s="1" t="n">
        <v>45387.37010416666</v>
      </c>
      <c r="C775" s="1" t="n">
        <v>46074</v>
      </c>
      <c r="D775" t="inlineStr">
        <is>
          <t>JÄMTLANDS LÄN</t>
        </is>
      </c>
      <c r="E775" t="inlineStr">
        <is>
          <t>BERG</t>
        </is>
      </c>
      <c r="G775" t="n">
        <v>3.8</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46074</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63559-2025</t>
        </is>
      </c>
      <c r="B777" s="1" t="n">
        <v>46013.61951388889</v>
      </c>
      <c r="C777" s="1" t="n">
        <v>46074</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5857-2026</t>
        </is>
      </c>
      <c r="B778" s="1" t="n">
        <v>46052.36511574074</v>
      </c>
      <c r="C778" s="1" t="n">
        <v>46074</v>
      </c>
      <c r="D778" t="inlineStr">
        <is>
          <t>JÄMTLANDS LÄN</t>
        </is>
      </c>
      <c r="E778" t="inlineStr">
        <is>
          <t>BERG</t>
        </is>
      </c>
      <c r="G778" t="n">
        <v>0.2</v>
      </c>
      <c r="H778" t="n">
        <v>0</v>
      </c>
      <c r="I778" t="n">
        <v>0</v>
      </c>
      <c r="J778" t="n">
        <v>0</v>
      </c>
      <c r="K778" t="n">
        <v>0</v>
      </c>
      <c r="L778" t="n">
        <v>0</v>
      </c>
      <c r="M778" t="n">
        <v>0</v>
      </c>
      <c r="N778" t="n">
        <v>0</v>
      </c>
      <c r="O778" t="n">
        <v>0</v>
      </c>
      <c r="P778" t="n">
        <v>0</v>
      </c>
      <c r="Q778" t="n">
        <v>0</v>
      </c>
      <c r="R778" s="2" t="inlineStr"/>
    </row>
    <row r="779" ht="15" customHeight="1">
      <c r="A779" t="inlineStr">
        <is>
          <t>A 5859-2026</t>
        </is>
      </c>
      <c r="B779" s="1" t="n">
        <v>46052.36515046296</v>
      </c>
      <c r="C779" s="1" t="n">
        <v>46074</v>
      </c>
      <c r="D779" t="inlineStr">
        <is>
          <t>JÄMTLANDS LÄN</t>
        </is>
      </c>
      <c r="E779" t="inlineStr">
        <is>
          <t>BERG</t>
        </is>
      </c>
      <c r="G779" t="n">
        <v>1.7</v>
      </c>
      <c r="H779" t="n">
        <v>0</v>
      </c>
      <c r="I779" t="n">
        <v>0</v>
      </c>
      <c r="J779" t="n">
        <v>0</v>
      </c>
      <c r="K779" t="n">
        <v>0</v>
      </c>
      <c r="L779" t="n">
        <v>0</v>
      </c>
      <c r="M779" t="n">
        <v>0</v>
      </c>
      <c r="N779" t="n">
        <v>0</v>
      </c>
      <c r="O779" t="n">
        <v>0</v>
      </c>
      <c r="P779" t="n">
        <v>0</v>
      </c>
      <c r="Q779" t="n">
        <v>0</v>
      </c>
      <c r="R779" s="2" t="inlineStr"/>
    </row>
    <row r="780" ht="15" customHeight="1">
      <c r="A780" t="inlineStr">
        <is>
          <t>A 63562-2025</t>
        </is>
      </c>
      <c r="B780" s="1" t="n">
        <v>46013.62353009259</v>
      </c>
      <c r="C780" s="1" t="n">
        <v>46074</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24011-2023</t>
        </is>
      </c>
      <c r="B781" s="1" t="n">
        <v>45078</v>
      </c>
      <c r="C781" s="1" t="n">
        <v>46074</v>
      </c>
      <c r="D781" t="inlineStr">
        <is>
          <t>JÄMTLANDS LÄN</t>
        </is>
      </c>
      <c r="E781" t="inlineStr">
        <is>
          <t>BERG</t>
        </is>
      </c>
      <c r="G781" t="n">
        <v>1.4</v>
      </c>
      <c r="H781" t="n">
        <v>0</v>
      </c>
      <c r="I781" t="n">
        <v>0</v>
      </c>
      <c r="J781" t="n">
        <v>0</v>
      </c>
      <c r="K781" t="n">
        <v>0</v>
      </c>
      <c r="L781" t="n">
        <v>0</v>
      </c>
      <c r="M781" t="n">
        <v>0</v>
      </c>
      <c r="N781" t="n">
        <v>0</v>
      </c>
      <c r="O781" t="n">
        <v>0</v>
      </c>
      <c r="P781" t="n">
        <v>0</v>
      </c>
      <c r="Q781" t="n">
        <v>0</v>
      </c>
      <c r="R781" s="2" t="inlineStr"/>
    </row>
    <row r="782" ht="15" customHeight="1">
      <c r="A782" t="inlineStr">
        <is>
          <t>A 11704-2023</t>
        </is>
      </c>
      <c r="B782" s="1" t="n">
        <v>44994.54274305556</v>
      </c>
      <c r="C782" s="1" t="n">
        <v>46074</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63597-2025</t>
        </is>
      </c>
      <c r="B783" s="1" t="n">
        <v>46014.28792824074</v>
      </c>
      <c r="C783" s="1" t="n">
        <v>46074</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6872-2026</t>
        </is>
      </c>
      <c r="B784" s="1" t="n">
        <v>46057</v>
      </c>
      <c r="C784" s="1" t="n">
        <v>46074</v>
      </c>
      <c r="D784" t="inlineStr">
        <is>
          <t>JÄMTLANDS LÄN</t>
        </is>
      </c>
      <c r="E784" t="inlineStr">
        <is>
          <t>BERG</t>
        </is>
      </c>
      <c r="G784" t="n">
        <v>42.2</v>
      </c>
      <c r="H784" t="n">
        <v>0</v>
      </c>
      <c r="I784" t="n">
        <v>0</v>
      </c>
      <c r="J784" t="n">
        <v>0</v>
      </c>
      <c r="K784" t="n">
        <v>0</v>
      </c>
      <c r="L784" t="n">
        <v>0</v>
      </c>
      <c r="M784" t="n">
        <v>0</v>
      </c>
      <c r="N784" t="n">
        <v>0</v>
      </c>
      <c r="O784" t="n">
        <v>0</v>
      </c>
      <c r="P784" t="n">
        <v>0</v>
      </c>
      <c r="Q784" t="n">
        <v>0</v>
      </c>
      <c r="R784" s="2" t="inlineStr"/>
    </row>
    <row r="785" ht="15" customHeight="1">
      <c r="A785" t="inlineStr">
        <is>
          <t>A 59459-2024</t>
        </is>
      </c>
      <c r="B785" s="1" t="n">
        <v>45638</v>
      </c>
      <c r="C785" s="1" t="n">
        <v>46074</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14153-2023</t>
        </is>
      </c>
      <c r="B786" s="1" t="n">
        <v>45008</v>
      </c>
      <c r="C786" s="1" t="n">
        <v>46074</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20899-2023</t>
        </is>
      </c>
      <c r="B787" s="1" t="n">
        <v>45060</v>
      </c>
      <c r="C787" s="1" t="n">
        <v>46074</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6885-2026</t>
        </is>
      </c>
      <c r="B788" s="1" t="n">
        <v>46057</v>
      </c>
      <c r="C788" s="1" t="n">
        <v>46074</v>
      </c>
      <c r="D788" t="inlineStr">
        <is>
          <t>JÄMTLANDS LÄN</t>
        </is>
      </c>
      <c r="E788" t="inlineStr">
        <is>
          <t>BERG</t>
        </is>
      </c>
      <c r="G788" t="n">
        <v>4.6</v>
      </c>
      <c r="H788" t="n">
        <v>0</v>
      </c>
      <c r="I788" t="n">
        <v>0</v>
      </c>
      <c r="J788" t="n">
        <v>0</v>
      </c>
      <c r="K788" t="n">
        <v>0</v>
      </c>
      <c r="L788" t="n">
        <v>0</v>
      </c>
      <c r="M788" t="n">
        <v>0</v>
      </c>
      <c r="N788" t="n">
        <v>0</v>
      </c>
      <c r="O788" t="n">
        <v>0</v>
      </c>
      <c r="P788" t="n">
        <v>0</v>
      </c>
      <c r="Q788" t="n">
        <v>0</v>
      </c>
      <c r="R788" s="2" t="inlineStr"/>
    </row>
    <row r="789" ht="15" customHeight="1">
      <c r="A789" t="inlineStr">
        <is>
          <t>A 41106-2023</t>
        </is>
      </c>
      <c r="B789" s="1" t="n">
        <v>45170</v>
      </c>
      <c r="C789" s="1" t="n">
        <v>46074</v>
      </c>
      <c r="D789" t="inlineStr">
        <is>
          <t>JÄMTLANDS LÄN</t>
        </is>
      </c>
      <c r="E789" t="inlineStr">
        <is>
          <t>BERG</t>
        </is>
      </c>
      <c r="G789" t="n">
        <v>0.7</v>
      </c>
      <c r="H789" t="n">
        <v>0</v>
      </c>
      <c r="I789" t="n">
        <v>0</v>
      </c>
      <c r="J789" t="n">
        <v>0</v>
      </c>
      <c r="K789" t="n">
        <v>0</v>
      </c>
      <c r="L789" t="n">
        <v>0</v>
      </c>
      <c r="M789" t="n">
        <v>0</v>
      </c>
      <c r="N789" t="n">
        <v>0</v>
      </c>
      <c r="O789" t="n">
        <v>0</v>
      </c>
      <c r="P789" t="n">
        <v>0</v>
      </c>
      <c r="Q789" t="n">
        <v>0</v>
      </c>
      <c r="R789" s="2" t="inlineStr"/>
    </row>
    <row r="790" ht="15" customHeight="1">
      <c r="A790" t="inlineStr">
        <is>
          <t>A 7744-2024</t>
        </is>
      </c>
      <c r="B790" s="1" t="n">
        <v>45349</v>
      </c>
      <c r="C790" s="1" t="n">
        <v>46074</v>
      </c>
      <c r="D790" t="inlineStr">
        <is>
          <t>JÄMTLANDS LÄN</t>
        </is>
      </c>
      <c r="E790" t="inlineStr">
        <is>
          <t>BERG</t>
        </is>
      </c>
      <c r="G790" t="n">
        <v>1.7</v>
      </c>
      <c r="H790" t="n">
        <v>0</v>
      </c>
      <c r="I790" t="n">
        <v>0</v>
      </c>
      <c r="J790" t="n">
        <v>0</v>
      </c>
      <c r="K790" t="n">
        <v>0</v>
      </c>
      <c r="L790" t="n">
        <v>0</v>
      </c>
      <c r="M790" t="n">
        <v>0</v>
      </c>
      <c r="N790" t="n">
        <v>0</v>
      </c>
      <c r="O790" t="n">
        <v>0</v>
      </c>
      <c r="P790" t="n">
        <v>0</v>
      </c>
      <c r="Q790" t="n">
        <v>0</v>
      </c>
      <c r="R790" s="2" t="inlineStr"/>
    </row>
    <row r="791" ht="15" customHeight="1">
      <c r="A791" t="inlineStr">
        <is>
          <t>A 7515-2026</t>
        </is>
      </c>
      <c r="B791" s="1" t="n">
        <v>46059.59258101852</v>
      </c>
      <c r="C791" s="1" t="n">
        <v>46074</v>
      </c>
      <c r="D791" t="inlineStr">
        <is>
          <t>JÄMTLANDS LÄN</t>
        </is>
      </c>
      <c r="E791" t="inlineStr">
        <is>
          <t>BERG</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36142-2025</t>
        </is>
      </c>
      <c r="B792" s="1" t="n">
        <v>45866</v>
      </c>
      <c r="C792" s="1" t="n">
        <v>46074</v>
      </c>
      <c r="D792" t="inlineStr">
        <is>
          <t>JÄMTLANDS LÄN</t>
        </is>
      </c>
      <c r="E792" t="inlineStr">
        <is>
          <t>BERG</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511-2025</t>
        </is>
      </c>
      <c r="B793" s="1" t="n">
        <v>45664.47284722222</v>
      </c>
      <c r="C793" s="1" t="n">
        <v>46074</v>
      </c>
      <c r="D793" t="inlineStr">
        <is>
          <t>JÄMTLANDS LÄN</t>
        </is>
      </c>
      <c r="E793" t="inlineStr">
        <is>
          <t>BERG</t>
        </is>
      </c>
      <c r="G793" t="n">
        <v>4.5</v>
      </c>
      <c r="H793" t="n">
        <v>0</v>
      </c>
      <c r="I793" t="n">
        <v>0</v>
      </c>
      <c r="J793" t="n">
        <v>0</v>
      </c>
      <c r="K793" t="n">
        <v>0</v>
      </c>
      <c r="L793" t="n">
        <v>0</v>
      </c>
      <c r="M793" t="n">
        <v>0</v>
      </c>
      <c r="N793" t="n">
        <v>0</v>
      </c>
      <c r="O793" t="n">
        <v>0</v>
      </c>
      <c r="P793" t="n">
        <v>0</v>
      </c>
      <c r="Q793" t="n">
        <v>0</v>
      </c>
      <c r="R793" s="2" t="inlineStr"/>
    </row>
    <row r="794" ht="15" customHeight="1">
      <c r="A794" t="inlineStr">
        <is>
          <t>A 48209-2025</t>
        </is>
      </c>
      <c r="B794" s="1" t="n">
        <v>45933.4900462963</v>
      </c>
      <c r="C794" s="1" t="n">
        <v>46074</v>
      </c>
      <c r="D794" t="inlineStr">
        <is>
          <t>JÄMTLANDS LÄN</t>
        </is>
      </c>
      <c r="E794" t="inlineStr">
        <is>
          <t>BERG</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45570-2025</t>
        </is>
      </c>
      <c r="B795" s="1" t="n">
        <v>45922.65715277778</v>
      </c>
      <c r="C795" s="1" t="n">
        <v>46074</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48190-2025</t>
        </is>
      </c>
      <c r="B796" s="1" t="n">
        <v>45933.46930555555</v>
      </c>
      <c r="C796" s="1" t="n">
        <v>46074</v>
      </c>
      <c r="D796" t="inlineStr">
        <is>
          <t>JÄMTLANDS LÄN</t>
        </is>
      </c>
      <c r="E796" t="inlineStr">
        <is>
          <t>BERG</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40415-2023</t>
        </is>
      </c>
      <c r="B797" s="1" t="n">
        <v>45169.93925925926</v>
      </c>
      <c r="C797" s="1" t="n">
        <v>46074</v>
      </c>
      <c r="D797" t="inlineStr">
        <is>
          <t>JÄMTLANDS LÄN</t>
        </is>
      </c>
      <c r="E797" t="inlineStr">
        <is>
          <t>BERG</t>
        </is>
      </c>
      <c r="F797" t="inlineStr">
        <is>
          <t>SCA</t>
        </is>
      </c>
      <c r="G797" t="n">
        <v>10.2</v>
      </c>
      <c r="H797" t="n">
        <v>0</v>
      </c>
      <c r="I797" t="n">
        <v>0</v>
      </c>
      <c r="J797" t="n">
        <v>0</v>
      </c>
      <c r="K797" t="n">
        <v>0</v>
      </c>
      <c r="L797" t="n">
        <v>0</v>
      </c>
      <c r="M797" t="n">
        <v>0</v>
      </c>
      <c r="N797" t="n">
        <v>0</v>
      </c>
      <c r="O797" t="n">
        <v>0</v>
      </c>
      <c r="P797" t="n">
        <v>0</v>
      </c>
      <c r="Q797" t="n">
        <v>0</v>
      </c>
      <c r="R797" s="2" t="inlineStr"/>
    </row>
    <row r="798" ht="15" customHeight="1">
      <c r="A798" t="inlineStr">
        <is>
          <t>A 60831-2025</t>
        </is>
      </c>
      <c r="B798" s="1" t="n">
        <v>45999.46935185185</v>
      </c>
      <c r="C798" s="1" t="n">
        <v>46074</v>
      </c>
      <c r="D798" t="inlineStr">
        <is>
          <t>JÄMTLANDS LÄN</t>
        </is>
      </c>
      <c r="E798" t="inlineStr">
        <is>
          <t>BERG</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12611-2025</t>
        </is>
      </c>
      <c r="B799" s="1" t="n">
        <v>45733.33921296296</v>
      </c>
      <c r="C799" s="1" t="n">
        <v>46074</v>
      </c>
      <c r="D799" t="inlineStr">
        <is>
          <t>JÄMTLANDS LÄN</t>
        </is>
      </c>
      <c r="E799" t="inlineStr">
        <is>
          <t>BERG</t>
        </is>
      </c>
      <c r="G799" t="n">
        <v>7.7</v>
      </c>
      <c r="H799" t="n">
        <v>0</v>
      </c>
      <c r="I799" t="n">
        <v>0</v>
      </c>
      <c r="J799" t="n">
        <v>0</v>
      </c>
      <c r="K799" t="n">
        <v>0</v>
      </c>
      <c r="L799" t="n">
        <v>0</v>
      </c>
      <c r="M799" t="n">
        <v>0</v>
      </c>
      <c r="N799" t="n">
        <v>0</v>
      </c>
      <c r="O799" t="n">
        <v>0</v>
      </c>
      <c r="P799" t="n">
        <v>0</v>
      </c>
      <c r="Q799" t="n">
        <v>0</v>
      </c>
      <c r="R799" s="2" t="inlineStr"/>
    </row>
    <row r="800" ht="15" customHeight="1">
      <c r="A800" t="inlineStr">
        <is>
          <t>A 46908-2025</t>
        </is>
      </c>
      <c r="B800" s="1" t="n">
        <v>45929.40664351852</v>
      </c>
      <c r="C800" s="1" t="n">
        <v>46074</v>
      </c>
      <c r="D800" t="inlineStr">
        <is>
          <t>JÄMTLANDS LÄN</t>
        </is>
      </c>
      <c r="E800" t="inlineStr">
        <is>
          <t>BERG</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2247-2025</t>
        </is>
      </c>
      <c r="B801" s="1" t="n">
        <v>45673.49039351852</v>
      </c>
      <c r="C801" s="1" t="n">
        <v>46074</v>
      </c>
      <c r="D801" t="inlineStr">
        <is>
          <t>JÄMTLANDS LÄN</t>
        </is>
      </c>
      <c r="E801" t="inlineStr">
        <is>
          <t>BERG</t>
        </is>
      </c>
      <c r="F801" t="inlineStr">
        <is>
          <t>SCA</t>
        </is>
      </c>
      <c r="G801" t="n">
        <v>13.3</v>
      </c>
      <c r="H801" t="n">
        <v>0</v>
      </c>
      <c r="I801" t="n">
        <v>0</v>
      </c>
      <c r="J801" t="n">
        <v>0</v>
      </c>
      <c r="K801" t="n">
        <v>0</v>
      </c>
      <c r="L801" t="n">
        <v>0</v>
      </c>
      <c r="M801" t="n">
        <v>0</v>
      </c>
      <c r="N801" t="n">
        <v>0</v>
      </c>
      <c r="O801" t="n">
        <v>0</v>
      </c>
      <c r="P801" t="n">
        <v>0</v>
      </c>
      <c r="Q801" t="n">
        <v>0</v>
      </c>
      <c r="R801" s="2" t="inlineStr"/>
    </row>
    <row r="802" ht="15" customHeight="1">
      <c r="A802" t="inlineStr">
        <is>
          <t>A 55223-2025</t>
        </is>
      </c>
      <c r="B802" s="1" t="n">
        <v>45968.59439814815</v>
      </c>
      <c r="C802" s="1" t="n">
        <v>46074</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57271-2025</t>
        </is>
      </c>
      <c r="B803" s="1" t="n">
        <v>45979.67789351852</v>
      </c>
      <c r="C803" s="1" t="n">
        <v>46074</v>
      </c>
      <c r="D803" t="inlineStr">
        <is>
          <t>JÄMTLANDS LÄN</t>
        </is>
      </c>
      <c r="E803" t="inlineStr">
        <is>
          <t>BERG</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40339-2025</t>
        </is>
      </c>
      <c r="B804" s="1" t="n">
        <v>45895</v>
      </c>
      <c r="C804" s="1" t="n">
        <v>46074</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40340-2025</t>
        </is>
      </c>
      <c r="B805" s="1" t="n">
        <v>45895.46922453704</v>
      </c>
      <c r="C805" s="1" t="n">
        <v>46074</v>
      </c>
      <c r="D805" t="inlineStr">
        <is>
          <t>JÄMTLANDS LÄN</t>
        </is>
      </c>
      <c r="E805" t="inlineStr">
        <is>
          <t>BERG</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48056-2025</t>
        </is>
      </c>
      <c r="B806" s="1" t="n">
        <v>45932.67946759259</v>
      </c>
      <c r="C806" s="1" t="n">
        <v>46074</v>
      </c>
      <c r="D806" t="inlineStr">
        <is>
          <t>JÄMTLANDS LÄN</t>
        </is>
      </c>
      <c r="E806" t="inlineStr">
        <is>
          <t>BERG</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55224-2025</t>
        </is>
      </c>
      <c r="B807" s="1" t="n">
        <v>45968.59447916667</v>
      </c>
      <c r="C807" s="1" t="n">
        <v>46074</v>
      </c>
      <c r="D807" t="inlineStr">
        <is>
          <t>JÄMTLANDS LÄN</t>
        </is>
      </c>
      <c r="E807" t="inlineStr">
        <is>
          <t>BERG</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55770-2025</t>
        </is>
      </c>
      <c r="B808" s="1" t="n">
        <v>45972</v>
      </c>
      <c r="C808" s="1" t="n">
        <v>46074</v>
      </c>
      <c r="D808" t="inlineStr">
        <is>
          <t>JÄMTLANDS LÄN</t>
        </is>
      </c>
      <c r="E808" t="inlineStr">
        <is>
          <t>BERG</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44051-2025</t>
        </is>
      </c>
      <c r="B809" s="1" t="n">
        <v>45915.51079861111</v>
      </c>
      <c r="C809" s="1" t="n">
        <v>46074</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1983-2022</t>
        </is>
      </c>
      <c r="B810" s="1" t="n">
        <v>44575</v>
      </c>
      <c r="C810" s="1" t="n">
        <v>46074</v>
      </c>
      <c r="D810" t="inlineStr">
        <is>
          <t>JÄMTLANDS LÄN</t>
        </is>
      </c>
      <c r="E810" t="inlineStr">
        <is>
          <t>BERG</t>
        </is>
      </c>
      <c r="G810" t="n">
        <v>1.8</v>
      </c>
      <c r="H810" t="n">
        <v>0</v>
      </c>
      <c r="I810" t="n">
        <v>0</v>
      </c>
      <c r="J810" t="n">
        <v>0</v>
      </c>
      <c r="K810" t="n">
        <v>0</v>
      </c>
      <c r="L810" t="n">
        <v>0</v>
      </c>
      <c r="M810" t="n">
        <v>0</v>
      </c>
      <c r="N810" t="n">
        <v>0</v>
      </c>
      <c r="O810" t="n">
        <v>0</v>
      </c>
      <c r="P810" t="n">
        <v>0</v>
      </c>
      <c r="Q810" t="n">
        <v>0</v>
      </c>
      <c r="R810" s="2" t="inlineStr"/>
    </row>
    <row r="811" ht="15" customHeight="1">
      <c r="A811" t="inlineStr">
        <is>
          <t>A 13936-2024</t>
        </is>
      </c>
      <c r="B811" s="1" t="n">
        <v>45391.9533912037</v>
      </c>
      <c r="C811" s="1" t="n">
        <v>46074</v>
      </c>
      <c r="D811" t="inlineStr">
        <is>
          <t>JÄMTLANDS LÄN</t>
        </is>
      </c>
      <c r="E811" t="inlineStr">
        <is>
          <t>BERG</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4527-2025</t>
        </is>
      </c>
      <c r="B812" s="1" t="n">
        <v>45686</v>
      </c>
      <c r="C812" s="1" t="n">
        <v>46074</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37098-2024</t>
        </is>
      </c>
      <c r="B813" s="1" t="n">
        <v>45539.50243055556</v>
      </c>
      <c r="C813" s="1" t="n">
        <v>46074</v>
      </c>
      <c r="D813" t="inlineStr">
        <is>
          <t>JÄMTLANDS LÄN</t>
        </is>
      </c>
      <c r="E813" t="inlineStr">
        <is>
          <t>BERG</t>
        </is>
      </c>
      <c r="F813" t="inlineStr">
        <is>
          <t>Övriga Aktiebolag</t>
        </is>
      </c>
      <c r="G813" t="n">
        <v>4.5</v>
      </c>
      <c r="H813" t="n">
        <v>0</v>
      </c>
      <c r="I813" t="n">
        <v>0</v>
      </c>
      <c r="J813" t="n">
        <v>0</v>
      </c>
      <c r="K813" t="n">
        <v>0</v>
      </c>
      <c r="L813" t="n">
        <v>0</v>
      </c>
      <c r="M813" t="n">
        <v>0</v>
      </c>
      <c r="N813" t="n">
        <v>0</v>
      </c>
      <c r="O813" t="n">
        <v>0</v>
      </c>
      <c r="P813" t="n">
        <v>0</v>
      </c>
      <c r="Q813" t="n">
        <v>0</v>
      </c>
      <c r="R813" s="2" t="inlineStr"/>
    </row>
    <row r="814" ht="15" customHeight="1">
      <c r="A814" t="inlineStr">
        <is>
          <t>A 44088-2021</t>
        </is>
      </c>
      <c r="B814" s="1" t="n">
        <v>44434</v>
      </c>
      <c r="C814" s="1" t="n">
        <v>46074</v>
      </c>
      <c r="D814" t="inlineStr">
        <is>
          <t>JÄMTLANDS LÄN</t>
        </is>
      </c>
      <c r="E814" t="inlineStr">
        <is>
          <t>BERG</t>
        </is>
      </c>
      <c r="G814" t="n">
        <v>1.1</v>
      </c>
      <c r="H814" t="n">
        <v>0</v>
      </c>
      <c r="I814" t="n">
        <v>0</v>
      </c>
      <c r="J814" t="n">
        <v>0</v>
      </c>
      <c r="K814" t="n">
        <v>0</v>
      </c>
      <c r="L814" t="n">
        <v>0</v>
      </c>
      <c r="M814" t="n">
        <v>0</v>
      </c>
      <c r="N814" t="n">
        <v>0</v>
      </c>
      <c r="O814" t="n">
        <v>0</v>
      </c>
      <c r="P814" t="n">
        <v>0</v>
      </c>
      <c r="Q814" t="n">
        <v>0</v>
      </c>
      <c r="R814" s="2" t="inlineStr"/>
    </row>
    <row r="815" ht="15" customHeight="1">
      <c r="A815" t="inlineStr">
        <is>
          <t>A 26959-2022</t>
        </is>
      </c>
      <c r="B815" s="1" t="n">
        <v>44740.66048611111</v>
      </c>
      <c r="C815" s="1" t="n">
        <v>46074</v>
      </c>
      <c r="D815" t="inlineStr">
        <is>
          <t>JÄMTLANDS LÄN</t>
        </is>
      </c>
      <c r="E815" t="inlineStr">
        <is>
          <t>BERG</t>
        </is>
      </c>
      <c r="G815" t="n">
        <v>2.8</v>
      </c>
      <c r="H815" t="n">
        <v>0</v>
      </c>
      <c r="I815" t="n">
        <v>0</v>
      </c>
      <c r="J815" t="n">
        <v>0</v>
      </c>
      <c r="K815" t="n">
        <v>0</v>
      </c>
      <c r="L815" t="n">
        <v>0</v>
      </c>
      <c r="M815" t="n">
        <v>0</v>
      </c>
      <c r="N815" t="n">
        <v>0</v>
      </c>
      <c r="O815" t="n">
        <v>0</v>
      </c>
      <c r="P815" t="n">
        <v>0</v>
      </c>
      <c r="Q815" t="n">
        <v>0</v>
      </c>
      <c r="R815" s="2" t="inlineStr"/>
    </row>
    <row r="816" ht="15" customHeight="1">
      <c r="A816" t="inlineStr">
        <is>
          <t>A 2855-2025</t>
        </is>
      </c>
      <c r="B816" s="1" t="n">
        <v>45678</v>
      </c>
      <c r="C816" s="1" t="n">
        <v>46074</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7759-2026</t>
        </is>
      </c>
      <c r="B817" s="1" t="n">
        <v>46062.55266203704</v>
      </c>
      <c r="C817" s="1" t="n">
        <v>46074</v>
      </c>
      <c r="D817" t="inlineStr">
        <is>
          <t>JÄMTLANDS LÄN</t>
        </is>
      </c>
      <c r="E817" t="inlineStr">
        <is>
          <t>BERG</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57905-2024</t>
        </is>
      </c>
      <c r="B818" s="1" t="n">
        <v>45631.48989583334</v>
      </c>
      <c r="C818" s="1" t="n">
        <v>46074</v>
      </c>
      <c r="D818" t="inlineStr">
        <is>
          <t>JÄMTLANDS LÄN</t>
        </is>
      </c>
      <c r="E818" t="inlineStr">
        <is>
          <t>BERG</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7983-2026</t>
        </is>
      </c>
      <c r="B819" s="1" t="n">
        <v>46063.49013888889</v>
      </c>
      <c r="C819" s="1" t="n">
        <v>46074</v>
      </c>
      <c r="D819" t="inlineStr">
        <is>
          <t>JÄMTLANDS LÄN</t>
        </is>
      </c>
      <c r="E819" t="inlineStr">
        <is>
          <t>BERG</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46074</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8171-2026</t>
        </is>
      </c>
      <c r="B821" s="1" t="n">
        <v>46064.39402777778</v>
      </c>
      <c r="C821" s="1" t="n">
        <v>46074</v>
      </c>
      <c r="D821" t="inlineStr">
        <is>
          <t>JÄMTLANDS LÄN</t>
        </is>
      </c>
      <c r="E821" t="inlineStr">
        <is>
          <t>BERG</t>
        </is>
      </c>
      <c r="G821" t="n">
        <v>2.9</v>
      </c>
      <c r="H821" t="n">
        <v>0</v>
      </c>
      <c r="I821" t="n">
        <v>0</v>
      </c>
      <c r="J821" t="n">
        <v>0</v>
      </c>
      <c r="K821" t="n">
        <v>0</v>
      </c>
      <c r="L821" t="n">
        <v>0</v>
      </c>
      <c r="M821" t="n">
        <v>0</v>
      </c>
      <c r="N821" t="n">
        <v>0</v>
      </c>
      <c r="O821" t="n">
        <v>0</v>
      </c>
      <c r="P821" t="n">
        <v>0</v>
      </c>
      <c r="Q821" t="n">
        <v>0</v>
      </c>
      <c r="R821" s="2" t="inlineStr"/>
    </row>
    <row r="822" ht="15" customHeight="1">
      <c r="A822" t="inlineStr">
        <is>
          <t>A 8572-2026</t>
        </is>
      </c>
      <c r="B822" s="1" t="n">
        <v>46065.68355324074</v>
      </c>
      <c r="C822" s="1" t="n">
        <v>46074</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8571-2026</t>
        </is>
      </c>
      <c r="B823" s="1" t="n">
        <v>46065.67915509259</v>
      </c>
      <c r="C823" s="1" t="n">
        <v>46074</v>
      </c>
      <c r="D823" t="inlineStr">
        <is>
          <t>JÄMTLANDS LÄN</t>
        </is>
      </c>
      <c r="E823" t="inlineStr">
        <is>
          <t>BERG</t>
        </is>
      </c>
      <c r="G823" t="n">
        <v>5.5</v>
      </c>
      <c r="H823" t="n">
        <v>0</v>
      </c>
      <c r="I823" t="n">
        <v>0</v>
      </c>
      <c r="J823" t="n">
        <v>0</v>
      </c>
      <c r="K823" t="n">
        <v>0</v>
      </c>
      <c r="L823" t="n">
        <v>0</v>
      </c>
      <c r="M823" t="n">
        <v>0</v>
      </c>
      <c r="N823" t="n">
        <v>0</v>
      </c>
      <c r="O823" t="n">
        <v>0</v>
      </c>
      <c r="P823" t="n">
        <v>0</v>
      </c>
      <c r="Q823" t="n">
        <v>0</v>
      </c>
      <c r="R823" s="2" t="inlineStr"/>
    </row>
    <row r="824" ht="15" customHeight="1">
      <c r="A824" t="inlineStr">
        <is>
          <t>A 41782-2024</t>
        </is>
      </c>
      <c r="B824" s="1" t="n">
        <v>45561</v>
      </c>
      <c r="C824" s="1" t="n">
        <v>46074</v>
      </c>
      <c r="D824" t="inlineStr">
        <is>
          <t>JÄMTLANDS LÄN</t>
        </is>
      </c>
      <c r="E824" t="inlineStr">
        <is>
          <t>BERG</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10465-2023</t>
        </is>
      </c>
      <c r="B825" s="1" t="n">
        <v>44987.60319444445</v>
      </c>
      <c r="C825" s="1" t="n">
        <v>46074</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18551-2025</t>
        </is>
      </c>
      <c r="B826" s="1" t="n">
        <v>45763.43650462963</v>
      </c>
      <c r="C826" s="1" t="n">
        <v>46074</v>
      </c>
      <c r="D826" t="inlineStr">
        <is>
          <t>JÄMTLANDS LÄN</t>
        </is>
      </c>
      <c r="E826" t="inlineStr">
        <is>
          <t>BERG</t>
        </is>
      </c>
      <c r="G826" t="n">
        <v>3.5</v>
      </c>
      <c r="H826" t="n">
        <v>0</v>
      </c>
      <c r="I826" t="n">
        <v>0</v>
      </c>
      <c r="J826" t="n">
        <v>0</v>
      </c>
      <c r="K826" t="n">
        <v>0</v>
      </c>
      <c r="L826" t="n">
        <v>0</v>
      </c>
      <c r="M826" t="n">
        <v>0</v>
      </c>
      <c r="N826" t="n">
        <v>0</v>
      </c>
      <c r="O826" t="n">
        <v>0</v>
      </c>
      <c r="P826" t="n">
        <v>0</v>
      </c>
      <c r="Q826" t="n">
        <v>0</v>
      </c>
      <c r="R826" s="2" t="inlineStr"/>
    </row>
    <row r="827" ht="15" customHeight="1">
      <c r="A827" t="inlineStr">
        <is>
          <t>A 31131-2024</t>
        </is>
      </c>
      <c r="B827" s="1" t="n">
        <v>45502</v>
      </c>
      <c r="C827" s="1" t="n">
        <v>46074</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31154-2024</t>
        </is>
      </c>
      <c r="B828" s="1" t="n">
        <v>45503.32976851852</v>
      </c>
      <c r="C828" s="1" t="n">
        <v>46074</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17929-2024</t>
        </is>
      </c>
      <c r="B829" s="1" t="n">
        <v>45419.60266203704</v>
      </c>
      <c r="C829" s="1" t="n">
        <v>46074</v>
      </c>
      <c r="D829" t="inlineStr">
        <is>
          <t>JÄMTLANDS LÄN</t>
        </is>
      </c>
      <c r="E829" t="inlineStr">
        <is>
          <t>BERG</t>
        </is>
      </c>
      <c r="F829" t="inlineStr">
        <is>
          <t>Holmen skog AB</t>
        </is>
      </c>
      <c r="G829" t="n">
        <v>3</v>
      </c>
      <c r="H829" t="n">
        <v>0</v>
      </c>
      <c r="I829" t="n">
        <v>0</v>
      </c>
      <c r="J829" t="n">
        <v>0</v>
      </c>
      <c r="K829" t="n">
        <v>0</v>
      </c>
      <c r="L829" t="n">
        <v>0</v>
      </c>
      <c r="M829" t="n">
        <v>0</v>
      </c>
      <c r="N829" t="n">
        <v>0</v>
      </c>
      <c r="O829" t="n">
        <v>0</v>
      </c>
      <c r="P829" t="n">
        <v>0</v>
      </c>
      <c r="Q829" t="n">
        <v>0</v>
      </c>
      <c r="R829" s="2" t="inlineStr"/>
    </row>
    <row r="830" ht="15" customHeight="1">
      <c r="A830" t="inlineStr">
        <is>
          <t>A 8653-2026</t>
        </is>
      </c>
      <c r="B830" s="1" t="n">
        <v>46066.36811342592</v>
      </c>
      <c r="C830" s="1" t="n">
        <v>46074</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46074</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9118-2026</t>
        </is>
      </c>
      <c r="B832" s="1" t="n">
        <v>46069.67773148148</v>
      </c>
      <c r="C832" s="1" t="n">
        <v>46074</v>
      </c>
      <c r="D832" t="inlineStr">
        <is>
          <t>JÄMTLANDS LÄN</t>
        </is>
      </c>
      <c r="E832" t="inlineStr">
        <is>
          <t>BERG</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41105-2023</t>
        </is>
      </c>
      <c r="B833" s="1" t="n">
        <v>45170</v>
      </c>
      <c r="C833" s="1" t="n">
        <v>46074</v>
      </c>
      <c r="D833" t="inlineStr">
        <is>
          <t>JÄMTLANDS LÄN</t>
        </is>
      </c>
      <c r="E833" t="inlineStr">
        <is>
          <t>BERG</t>
        </is>
      </c>
      <c r="G833" t="n">
        <v>0.9</v>
      </c>
      <c r="H833" t="n">
        <v>0</v>
      </c>
      <c r="I833" t="n">
        <v>0</v>
      </c>
      <c r="J833" t="n">
        <v>0</v>
      </c>
      <c r="K833" t="n">
        <v>0</v>
      </c>
      <c r="L833" t="n">
        <v>0</v>
      </c>
      <c r="M833" t="n">
        <v>0</v>
      </c>
      <c r="N833" t="n">
        <v>0</v>
      </c>
      <c r="O833" t="n">
        <v>0</v>
      </c>
      <c r="P833" t="n">
        <v>0</v>
      </c>
      <c r="Q833" t="n">
        <v>0</v>
      </c>
      <c r="R833" s="2" t="inlineStr"/>
    </row>
    <row r="834" ht="15" customHeight="1">
      <c r="A834" t="inlineStr">
        <is>
          <t>A 2270-2026</t>
        </is>
      </c>
      <c r="B834" s="1" t="n">
        <v>46029</v>
      </c>
      <c r="C834" s="1" t="n">
        <v>46074</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9012-2026</t>
        </is>
      </c>
      <c r="B835" s="1" t="n">
        <v>46069.4900462963</v>
      </c>
      <c r="C835" s="1" t="n">
        <v>46074</v>
      </c>
      <c r="D835" t="inlineStr">
        <is>
          <t>JÄMTLANDS LÄN</t>
        </is>
      </c>
      <c r="E835" t="inlineStr">
        <is>
          <t>BERG</t>
        </is>
      </c>
      <c r="G835" t="n">
        <v>10.7</v>
      </c>
      <c r="H835" t="n">
        <v>0</v>
      </c>
      <c r="I835" t="n">
        <v>0</v>
      </c>
      <c r="J835" t="n">
        <v>0</v>
      </c>
      <c r="K835" t="n">
        <v>0</v>
      </c>
      <c r="L835" t="n">
        <v>0</v>
      </c>
      <c r="M835" t="n">
        <v>0</v>
      </c>
      <c r="N835" t="n">
        <v>0</v>
      </c>
      <c r="O835" t="n">
        <v>0</v>
      </c>
      <c r="P835" t="n">
        <v>0</v>
      </c>
      <c r="Q835" t="n">
        <v>0</v>
      </c>
      <c r="R835" s="2" t="inlineStr"/>
    </row>
    <row r="836" ht="15" customHeight="1">
      <c r="A836" t="inlineStr">
        <is>
          <t>A 61980-2024</t>
        </is>
      </c>
      <c r="B836" s="1" t="n">
        <v>45653.66269675926</v>
      </c>
      <c r="C836" s="1" t="n">
        <v>46074</v>
      </c>
      <c r="D836" t="inlineStr">
        <is>
          <t>JÄMTLANDS LÄN</t>
        </is>
      </c>
      <c r="E836" t="inlineStr">
        <is>
          <t>BERG</t>
        </is>
      </c>
      <c r="G836" t="n">
        <v>1.3</v>
      </c>
      <c r="H836" t="n">
        <v>0</v>
      </c>
      <c r="I836" t="n">
        <v>0</v>
      </c>
      <c r="J836" t="n">
        <v>0</v>
      </c>
      <c r="K836" t="n">
        <v>0</v>
      </c>
      <c r="L836" t="n">
        <v>0</v>
      </c>
      <c r="M836" t="n">
        <v>0</v>
      </c>
      <c r="N836" t="n">
        <v>0</v>
      </c>
      <c r="O836" t="n">
        <v>0</v>
      </c>
      <c r="P836" t="n">
        <v>0</v>
      </c>
      <c r="Q836" t="n">
        <v>0</v>
      </c>
      <c r="R836" s="2" t="inlineStr"/>
    </row>
    <row r="837" ht="15" customHeight="1">
      <c r="A837" t="inlineStr">
        <is>
          <t>A 18112-2024</t>
        </is>
      </c>
      <c r="B837" s="1" t="n">
        <v>45420.49851851852</v>
      </c>
      <c r="C837" s="1" t="n">
        <v>46074</v>
      </c>
      <c r="D837" t="inlineStr">
        <is>
          <t>JÄMTLANDS LÄN</t>
        </is>
      </c>
      <c r="E837" t="inlineStr">
        <is>
          <t>BERG</t>
        </is>
      </c>
      <c r="F837" t="inlineStr">
        <is>
          <t>Holmen skog AB</t>
        </is>
      </c>
      <c r="G837" t="n">
        <v>16.6</v>
      </c>
      <c r="H837" t="n">
        <v>0</v>
      </c>
      <c r="I837" t="n">
        <v>0</v>
      </c>
      <c r="J837" t="n">
        <v>0</v>
      </c>
      <c r="K837" t="n">
        <v>0</v>
      </c>
      <c r="L837" t="n">
        <v>0</v>
      </c>
      <c r="M837" t="n">
        <v>0</v>
      </c>
      <c r="N837" t="n">
        <v>0</v>
      </c>
      <c r="O837" t="n">
        <v>0</v>
      </c>
      <c r="P837" t="n">
        <v>0</v>
      </c>
      <c r="Q837" t="n">
        <v>0</v>
      </c>
      <c r="R837" s="2" t="inlineStr"/>
    </row>
    <row r="838" ht="15" customHeight="1">
      <c r="A838" t="inlineStr">
        <is>
          <t>A 8765-2026</t>
        </is>
      </c>
      <c r="B838" s="1" t="n">
        <v>46066.56057870371</v>
      </c>
      <c r="C838" s="1" t="n">
        <v>46074</v>
      </c>
      <c r="D838" t="inlineStr">
        <is>
          <t>JÄMTLANDS LÄN</t>
        </is>
      </c>
      <c r="E838" t="inlineStr">
        <is>
          <t>BERG</t>
        </is>
      </c>
      <c r="G838" t="n">
        <v>5.6</v>
      </c>
      <c r="H838" t="n">
        <v>0</v>
      </c>
      <c r="I838" t="n">
        <v>0</v>
      </c>
      <c r="J838" t="n">
        <v>0</v>
      </c>
      <c r="K838" t="n">
        <v>0</v>
      </c>
      <c r="L838" t="n">
        <v>0</v>
      </c>
      <c r="M838" t="n">
        <v>0</v>
      </c>
      <c r="N838" t="n">
        <v>0</v>
      </c>
      <c r="O838" t="n">
        <v>0</v>
      </c>
      <c r="P838" t="n">
        <v>0</v>
      </c>
      <c r="Q838" t="n">
        <v>0</v>
      </c>
      <c r="R838" s="2" t="inlineStr"/>
    </row>
    <row r="839" ht="15" customHeight="1">
      <c r="A839" t="inlineStr">
        <is>
          <t>A 13436-2024</t>
        </is>
      </c>
      <c r="B839" s="1" t="n">
        <v>45387.4865625</v>
      </c>
      <c r="C839" s="1" t="n">
        <v>46074</v>
      </c>
      <c r="D839" t="inlineStr">
        <is>
          <t>JÄMTLANDS LÄN</t>
        </is>
      </c>
      <c r="E839" t="inlineStr">
        <is>
          <t>BERG</t>
        </is>
      </c>
      <c r="G839" t="n">
        <v>28.9</v>
      </c>
      <c r="H839" t="n">
        <v>0</v>
      </c>
      <c r="I839" t="n">
        <v>0</v>
      </c>
      <c r="J839" t="n">
        <v>0</v>
      </c>
      <c r="K839" t="n">
        <v>0</v>
      </c>
      <c r="L839" t="n">
        <v>0</v>
      </c>
      <c r="M839" t="n">
        <v>0</v>
      </c>
      <c r="N839" t="n">
        <v>0</v>
      </c>
      <c r="O839" t="n">
        <v>0</v>
      </c>
      <c r="P839" t="n">
        <v>0</v>
      </c>
      <c r="Q839" t="n">
        <v>0</v>
      </c>
      <c r="R839" s="2" t="inlineStr"/>
    </row>
    <row r="840" ht="15" customHeight="1">
      <c r="A840" t="inlineStr">
        <is>
          <t>A 9223-2026</t>
        </is>
      </c>
      <c r="B840" s="1" t="n">
        <v>46070.44862268519</v>
      </c>
      <c r="C840" s="1" t="n">
        <v>46074</v>
      </c>
      <c r="D840" t="inlineStr">
        <is>
          <t>JÄMTLANDS LÄN</t>
        </is>
      </c>
      <c r="E840" t="inlineStr">
        <is>
          <t>BERG</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9277-2026</t>
        </is>
      </c>
      <c r="B841" s="1" t="n">
        <v>46070.57337962963</v>
      </c>
      <c r="C841" s="1" t="n">
        <v>46074</v>
      </c>
      <c r="D841" t="inlineStr">
        <is>
          <t>JÄMTLANDS LÄN</t>
        </is>
      </c>
      <c r="E841" t="inlineStr">
        <is>
          <t>BERG</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47821-2025</t>
        </is>
      </c>
      <c r="B842" s="1" t="n">
        <v>45932.34421296296</v>
      </c>
      <c r="C842" s="1" t="n">
        <v>46074</v>
      </c>
      <c r="D842" t="inlineStr">
        <is>
          <t>JÄMTLANDS LÄN</t>
        </is>
      </c>
      <c r="E842" t="inlineStr">
        <is>
          <t>BERG</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49749-2025</t>
        </is>
      </c>
      <c r="B843" s="1" t="n">
        <v>45940.34486111111</v>
      </c>
      <c r="C843" s="1" t="n">
        <v>46074</v>
      </c>
      <c r="D843" t="inlineStr">
        <is>
          <t>JÄMTLANDS LÄN</t>
        </is>
      </c>
      <c r="E843" t="inlineStr">
        <is>
          <t>BERG</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53778-2025</t>
        </is>
      </c>
      <c r="B844" s="1" t="n">
        <v>45960.69841435185</v>
      </c>
      <c r="C844" s="1" t="n">
        <v>46074</v>
      </c>
      <c r="D844" t="inlineStr">
        <is>
          <t>JÄMTLANDS LÄN</t>
        </is>
      </c>
      <c r="E844" t="inlineStr">
        <is>
          <t>BERG</t>
        </is>
      </c>
      <c r="F844" t="inlineStr">
        <is>
          <t>SCA</t>
        </is>
      </c>
      <c r="G844" t="n">
        <v>18.7</v>
      </c>
      <c r="H844" t="n">
        <v>0</v>
      </c>
      <c r="I844" t="n">
        <v>0</v>
      </c>
      <c r="J844" t="n">
        <v>0</v>
      </c>
      <c r="K844" t="n">
        <v>0</v>
      </c>
      <c r="L844" t="n">
        <v>0</v>
      </c>
      <c r="M844" t="n">
        <v>0</v>
      </c>
      <c r="N844" t="n">
        <v>0</v>
      </c>
      <c r="O844" t="n">
        <v>0</v>
      </c>
      <c r="P844" t="n">
        <v>0</v>
      </c>
      <c r="Q844" t="n">
        <v>0</v>
      </c>
      <c r="R844" s="2" t="inlineStr"/>
      <c r="U844">
        <f>HYPERLINK("https://klasma.github.io/Logging_2326/knärot/A 53778-2025 karta knärot.png", "A 53778-2025")</f>
        <v/>
      </c>
      <c r="V844">
        <f>HYPERLINK("https://klasma.github.io/Logging_2326/klagomål/A 53778-2025 FSC-klagomål.docx", "A 53778-2025")</f>
        <v/>
      </c>
      <c r="W844">
        <f>HYPERLINK("https://klasma.github.io/Logging_2326/klagomålsmail/A 53778-2025 FSC-klagomål mail.docx", "A 53778-2025")</f>
        <v/>
      </c>
      <c r="X844">
        <f>HYPERLINK("https://klasma.github.io/Logging_2326/tillsyn/A 53778-2025 tillsynsbegäran.docx", "A 53778-2025")</f>
        <v/>
      </c>
      <c r="Y844">
        <f>HYPERLINK("https://klasma.github.io/Logging_2326/tillsynsmail/A 53778-2025 tillsynsbegäran mail.docx", "A 53778-2025")</f>
        <v/>
      </c>
    </row>
    <row r="845" ht="15" customHeight="1">
      <c r="A845" t="inlineStr">
        <is>
          <t>A 58237-2025</t>
        </is>
      </c>
      <c r="B845" s="1" t="n">
        <v>45985.38751157407</v>
      </c>
      <c r="C845" s="1" t="n">
        <v>46074</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9282-2026</t>
        </is>
      </c>
      <c r="B846" s="1" t="n">
        <v>46070.58050925926</v>
      </c>
      <c r="C846" s="1" t="n">
        <v>46074</v>
      </c>
      <c r="D846" t="inlineStr">
        <is>
          <t>JÄMTLANDS LÄN</t>
        </is>
      </c>
      <c r="E846" t="inlineStr">
        <is>
          <t>BERG</t>
        </is>
      </c>
      <c r="G846" t="n">
        <v>2.2</v>
      </c>
      <c r="H846" t="n">
        <v>0</v>
      </c>
      <c r="I846" t="n">
        <v>0</v>
      </c>
      <c r="J846" t="n">
        <v>0</v>
      </c>
      <c r="K846" t="n">
        <v>0</v>
      </c>
      <c r="L846" t="n">
        <v>0</v>
      </c>
      <c r="M846" t="n">
        <v>0</v>
      </c>
      <c r="N846" t="n">
        <v>0</v>
      </c>
      <c r="O846" t="n">
        <v>0</v>
      </c>
      <c r="P846" t="n">
        <v>0</v>
      </c>
      <c r="Q846" t="n">
        <v>0</v>
      </c>
      <c r="R846" s="2" t="inlineStr"/>
    </row>
    <row r="847" ht="15" customHeight="1">
      <c r="A847" t="inlineStr">
        <is>
          <t>A 59824-2025</t>
        </is>
      </c>
      <c r="B847" s="1" t="n">
        <v>45992.65116898148</v>
      </c>
      <c r="C847" s="1" t="n">
        <v>46074</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62158-2025</t>
        </is>
      </c>
      <c r="B848" s="1" t="n">
        <v>46006.490625</v>
      </c>
      <c r="C848" s="1" t="n">
        <v>46074</v>
      </c>
      <c r="D848" t="inlineStr">
        <is>
          <t>JÄMTLANDS LÄN</t>
        </is>
      </c>
      <c r="E848" t="inlineStr">
        <is>
          <t>BERG</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9201-2026</t>
        </is>
      </c>
      <c r="B849" s="1" t="n">
        <v>46070.40723379629</v>
      </c>
      <c r="C849" s="1" t="n">
        <v>46074</v>
      </c>
      <c r="D849" t="inlineStr">
        <is>
          <t>JÄMTLANDS LÄN</t>
        </is>
      </c>
      <c r="E849" t="inlineStr">
        <is>
          <t>BERG</t>
        </is>
      </c>
      <c r="G849" t="n">
        <v>2.3</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46074</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50458-2025</t>
        </is>
      </c>
      <c r="B851" s="1" t="n">
        <v>45945</v>
      </c>
      <c r="C851" s="1" t="n">
        <v>46074</v>
      </c>
      <c r="D851" t="inlineStr">
        <is>
          <t>JÄMTLANDS LÄN</t>
        </is>
      </c>
      <c r="E851" t="inlineStr">
        <is>
          <t>BERG</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679-2026</t>
        </is>
      </c>
      <c r="B852" s="1" t="n">
        <v>46029.60032407408</v>
      </c>
      <c r="C852" s="1" t="n">
        <v>46074</v>
      </c>
      <c r="D852" t="inlineStr">
        <is>
          <t>JÄMTLANDS LÄN</t>
        </is>
      </c>
      <c r="E852" t="inlineStr">
        <is>
          <t>BERG</t>
        </is>
      </c>
      <c r="G852" t="n">
        <v>1.9</v>
      </c>
      <c r="H852" t="n">
        <v>0</v>
      </c>
      <c r="I852" t="n">
        <v>0</v>
      </c>
      <c r="J852" t="n">
        <v>0</v>
      </c>
      <c r="K852" t="n">
        <v>0</v>
      </c>
      <c r="L852" t="n">
        <v>0</v>
      </c>
      <c r="M852" t="n">
        <v>0</v>
      </c>
      <c r="N852" t="n">
        <v>0</v>
      </c>
      <c r="O852" t="n">
        <v>0</v>
      </c>
      <c r="P852" t="n">
        <v>0</v>
      </c>
      <c r="Q852" t="n">
        <v>0</v>
      </c>
      <c r="R852" s="2" t="inlineStr"/>
    </row>
    <row r="853" ht="15" customHeight="1">
      <c r="A853" t="inlineStr">
        <is>
          <t>A 1287-2026</t>
        </is>
      </c>
      <c r="B853" s="1" t="n">
        <v>46031.49944444445</v>
      </c>
      <c r="C853" s="1" t="n">
        <v>46074</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18153-2024</t>
        </is>
      </c>
      <c r="B854" s="1" t="n">
        <v>45420</v>
      </c>
      <c r="C854" s="1" t="n">
        <v>46074</v>
      </c>
      <c r="D854" t="inlineStr">
        <is>
          <t>JÄMTLANDS LÄN</t>
        </is>
      </c>
      <c r="E854" t="inlineStr">
        <is>
          <t>BERG</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1401-2026</t>
        </is>
      </c>
      <c r="B855" s="1" t="n">
        <v>46031.64333333333</v>
      </c>
      <c r="C855" s="1" t="n">
        <v>46074</v>
      </c>
      <c r="D855" t="inlineStr">
        <is>
          <t>JÄMTLANDS LÄN</t>
        </is>
      </c>
      <c r="E855" t="inlineStr">
        <is>
          <t>BERG</t>
        </is>
      </c>
      <c r="G855" t="n">
        <v>2.1</v>
      </c>
      <c r="H855" t="n">
        <v>0</v>
      </c>
      <c r="I855" t="n">
        <v>0</v>
      </c>
      <c r="J855" t="n">
        <v>0</v>
      </c>
      <c r="K855" t="n">
        <v>0</v>
      </c>
      <c r="L855" t="n">
        <v>0</v>
      </c>
      <c r="M855" t="n">
        <v>0</v>
      </c>
      <c r="N855" t="n">
        <v>0</v>
      </c>
      <c r="O855" t="n">
        <v>0</v>
      </c>
      <c r="P855" t="n">
        <v>0</v>
      </c>
      <c r="Q855" t="n">
        <v>0</v>
      </c>
      <c r="R855" s="2" t="inlineStr"/>
    </row>
    <row r="856" ht="15" customHeight="1">
      <c r="A856" t="inlineStr">
        <is>
          <t>A 1282-2026</t>
        </is>
      </c>
      <c r="B856" s="1" t="n">
        <v>46031.49096064815</v>
      </c>
      <c r="C856" s="1" t="n">
        <v>46074</v>
      </c>
      <c r="D856" t="inlineStr">
        <is>
          <t>JÄMTLANDS LÄN</t>
        </is>
      </c>
      <c r="E856" t="inlineStr">
        <is>
          <t>BERG</t>
        </is>
      </c>
      <c r="G856" t="n">
        <v>3.5</v>
      </c>
      <c r="H856" t="n">
        <v>0</v>
      </c>
      <c r="I856" t="n">
        <v>0</v>
      </c>
      <c r="J856" t="n">
        <v>0</v>
      </c>
      <c r="K856" t="n">
        <v>0</v>
      </c>
      <c r="L856" t="n">
        <v>0</v>
      </c>
      <c r="M856" t="n">
        <v>0</v>
      </c>
      <c r="N856" t="n">
        <v>0</v>
      </c>
      <c r="O856" t="n">
        <v>0</v>
      </c>
      <c r="P856" t="n">
        <v>0</v>
      </c>
      <c r="Q856" t="n">
        <v>0</v>
      </c>
      <c r="R856" s="2" t="inlineStr"/>
    </row>
    <row r="857" ht="15" customHeight="1">
      <c r="A857" t="inlineStr">
        <is>
          <t>A 17266-2025</t>
        </is>
      </c>
      <c r="B857" s="1" t="n">
        <v>45756</v>
      </c>
      <c r="C857" s="1" t="n">
        <v>46074</v>
      </c>
      <c r="D857" t="inlineStr">
        <is>
          <t>JÄMTLANDS LÄN</t>
        </is>
      </c>
      <c r="E857" t="inlineStr">
        <is>
          <t>BERG</t>
        </is>
      </c>
      <c r="G857" t="n">
        <v>20.1</v>
      </c>
      <c r="H857" t="n">
        <v>0</v>
      </c>
      <c r="I857" t="n">
        <v>0</v>
      </c>
      <c r="J857" t="n">
        <v>0</v>
      </c>
      <c r="K857" t="n">
        <v>0</v>
      </c>
      <c r="L857" t="n">
        <v>0</v>
      </c>
      <c r="M857" t="n">
        <v>0</v>
      </c>
      <c r="N857" t="n">
        <v>0</v>
      </c>
      <c r="O857" t="n">
        <v>0</v>
      </c>
      <c r="P857" t="n">
        <v>0</v>
      </c>
      <c r="Q857" t="n">
        <v>0</v>
      </c>
      <c r="R857" s="2" t="inlineStr"/>
    </row>
    <row r="858" ht="15" customHeight="1">
      <c r="A858" t="inlineStr">
        <is>
          <t>A 1386-2026</t>
        </is>
      </c>
      <c r="B858" s="1" t="n">
        <v>46031.62633101852</v>
      </c>
      <c r="C858" s="1" t="n">
        <v>46074</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1391-2026</t>
        </is>
      </c>
      <c r="B859" s="1" t="n">
        <v>46031.63359953704</v>
      </c>
      <c r="C859" s="1" t="n">
        <v>46074</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46874-2023</t>
        </is>
      </c>
      <c r="B860" s="1" t="n">
        <v>45200</v>
      </c>
      <c r="C860" s="1" t="n">
        <v>46074</v>
      </c>
      <c r="D860" t="inlineStr">
        <is>
          <t>JÄMTLANDS LÄN</t>
        </is>
      </c>
      <c r="E860" t="inlineStr">
        <is>
          <t>BERG</t>
        </is>
      </c>
      <c r="F860" t="inlineStr">
        <is>
          <t>Naturvårdsverket</t>
        </is>
      </c>
      <c r="G860" t="n">
        <v>1.1</v>
      </c>
      <c r="H860" t="n">
        <v>0</v>
      </c>
      <c r="I860" t="n">
        <v>0</v>
      </c>
      <c r="J860" t="n">
        <v>0</v>
      </c>
      <c r="K860" t="n">
        <v>0</v>
      </c>
      <c r="L860" t="n">
        <v>0</v>
      </c>
      <c r="M860" t="n">
        <v>0</v>
      </c>
      <c r="N860" t="n">
        <v>0</v>
      </c>
      <c r="O860" t="n">
        <v>0</v>
      </c>
      <c r="P860" t="n">
        <v>0</v>
      </c>
      <c r="Q860" t="n">
        <v>0</v>
      </c>
      <c r="R860" s="2" t="inlineStr"/>
    </row>
    <row r="861" ht="15" customHeight="1">
      <c r="A861" t="inlineStr">
        <is>
          <t>A 1407-2026</t>
        </is>
      </c>
      <c r="B861" s="1" t="n">
        <v>46031.64733796296</v>
      </c>
      <c r="C861" s="1" t="n">
        <v>46074</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5816-2026</t>
        </is>
      </c>
      <c r="B862" s="1" t="n">
        <v>46051</v>
      </c>
      <c r="C862" s="1" t="n">
        <v>46074</v>
      </c>
      <c r="D862" t="inlineStr">
        <is>
          <t>JÄMTLANDS LÄN</t>
        </is>
      </c>
      <c r="E862" t="inlineStr">
        <is>
          <t>BERG</t>
        </is>
      </c>
      <c r="G862" t="n">
        <v>3.6</v>
      </c>
      <c r="H862" t="n">
        <v>0</v>
      </c>
      <c r="I862" t="n">
        <v>0</v>
      </c>
      <c r="J862" t="n">
        <v>0</v>
      </c>
      <c r="K862" t="n">
        <v>0</v>
      </c>
      <c r="L862" t="n">
        <v>0</v>
      </c>
      <c r="M862" t="n">
        <v>0</v>
      </c>
      <c r="N862" t="n">
        <v>0</v>
      </c>
      <c r="O862" t="n">
        <v>0</v>
      </c>
      <c r="P862" t="n">
        <v>0</v>
      </c>
      <c r="Q862" t="n">
        <v>0</v>
      </c>
      <c r="R862" s="2" t="inlineStr"/>
    </row>
    <row r="863" ht="15" customHeight="1">
      <c r="A863" t="inlineStr">
        <is>
          <t>A 47304-2023</t>
        </is>
      </c>
      <c r="B863" s="1" t="n">
        <v>45202.48180555556</v>
      </c>
      <c r="C863" s="1" t="n">
        <v>46074</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14697-2025</t>
        </is>
      </c>
      <c r="B864" s="1" t="n">
        <v>45742.59415509259</v>
      </c>
      <c r="C864" s="1" t="n">
        <v>46074</v>
      </c>
      <c r="D864" t="inlineStr">
        <is>
          <t>JÄMTLANDS LÄN</t>
        </is>
      </c>
      <c r="E864" t="inlineStr">
        <is>
          <t>BERG</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54415-2023</t>
        </is>
      </c>
      <c r="B865" s="1" t="n">
        <v>45233.40039351852</v>
      </c>
      <c r="C865" s="1" t="n">
        <v>46074</v>
      </c>
      <c r="D865" t="inlineStr">
        <is>
          <t>JÄMTLANDS LÄN</t>
        </is>
      </c>
      <c r="E865" t="inlineStr">
        <is>
          <t>BERG</t>
        </is>
      </c>
      <c r="G865" t="n">
        <v>1.5</v>
      </c>
      <c r="H865" t="n">
        <v>0</v>
      </c>
      <c r="I865" t="n">
        <v>0</v>
      </c>
      <c r="J865" t="n">
        <v>0</v>
      </c>
      <c r="K865" t="n">
        <v>0</v>
      </c>
      <c r="L865" t="n">
        <v>0</v>
      </c>
      <c r="M865" t="n">
        <v>0</v>
      </c>
      <c r="N865" t="n">
        <v>0</v>
      </c>
      <c r="O865" t="n">
        <v>0</v>
      </c>
      <c r="P865" t="n">
        <v>0</v>
      </c>
      <c r="Q865" t="n">
        <v>0</v>
      </c>
      <c r="R865" s="2" t="inlineStr"/>
    </row>
    <row r="866" ht="15" customHeight="1">
      <c r="A866" t="inlineStr">
        <is>
          <t>A 24307-2023</t>
        </is>
      </c>
      <c r="B866" s="1" t="n">
        <v>45079.94229166667</v>
      </c>
      <c r="C866" s="1" t="n">
        <v>46074</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40990-2022</t>
        </is>
      </c>
      <c r="B867" s="1" t="n">
        <v>44823</v>
      </c>
      <c r="C867" s="1" t="n">
        <v>46074</v>
      </c>
      <c r="D867" t="inlineStr">
        <is>
          <t>JÄMTLANDS LÄN</t>
        </is>
      </c>
      <c r="E867" t="inlineStr">
        <is>
          <t>BERG</t>
        </is>
      </c>
      <c r="G867" t="n">
        <v>11.7</v>
      </c>
      <c r="H867" t="n">
        <v>0</v>
      </c>
      <c r="I867" t="n">
        <v>0</v>
      </c>
      <c r="J867" t="n">
        <v>0</v>
      </c>
      <c r="K867" t="n">
        <v>0</v>
      </c>
      <c r="L867" t="n">
        <v>0</v>
      </c>
      <c r="M867" t="n">
        <v>0</v>
      </c>
      <c r="N867" t="n">
        <v>0</v>
      </c>
      <c r="O867" t="n">
        <v>0</v>
      </c>
      <c r="P867" t="n">
        <v>0</v>
      </c>
      <c r="Q867" t="n">
        <v>0</v>
      </c>
      <c r="R867" s="2" t="inlineStr"/>
    </row>
    <row r="868" ht="15" customHeight="1">
      <c r="A868" t="inlineStr">
        <is>
          <t>A 21521-2024</t>
        </is>
      </c>
      <c r="B868" s="1" t="n">
        <v>45441.58313657407</v>
      </c>
      <c r="C868" s="1" t="n">
        <v>46074</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54998-2023</t>
        </is>
      </c>
      <c r="B869" s="1" t="n">
        <v>45236</v>
      </c>
      <c r="C869" s="1" t="n">
        <v>46074</v>
      </c>
      <c r="D869" t="inlineStr">
        <is>
          <t>JÄMTLANDS LÄN</t>
        </is>
      </c>
      <c r="E869" t="inlineStr">
        <is>
          <t>BERG</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32156-2024</t>
        </is>
      </c>
      <c r="B870" s="1" t="n">
        <v>45511</v>
      </c>
      <c r="C870" s="1" t="n">
        <v>46074</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23165-2024</t>
        </is>
      </c>
      <c r="B871" s="1" t="n">
        <v>45450</v>
      </c>
      <c r="C871" s="1" t="n">
        <v>46074</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19345-2024</t>
        </is>
      </c>
      <c r="B872" s="1" t="n">
        <v>45428.97185185185</v>
      </c>
      <c r="C872" s="1" t="n">
        <v>46074</v>
      </c>
      <c r="D872" t="inlineStr">
        <is>
          <t>JÄMTLANDS LÄN</t>
        </is>
      </c>
      <c r="E872" t="inlineStr">
        <is>
          <t>BERG</t>
        </is>
      </c>
      <c r="F872" t="inlineStr">
        <is>
          <t>SCA</t>
        </is>
      </c>
      <c r="G872" t="n">
        <v>14.7</v>
      </c>
      <c r="H872" t="n">
        <v>0</v>
      </c>
      <c r="I872" t="n">
        <v>0</v>
      </c>
      <c r="J872" t="n">
        <v>0</v>
      </c>
      <c r="K872" t="n">
        <v>0</v>
      </c>
      <c r="L872" t="n">
        <v>0</v>
      </c>
      <c r="M872" t="n">
        <v>0</v>
      </c>
      <c r="N872" t="n">
        <v>0</v>
      </c>
      <c r="O872" t="n">
        <v>0</v>
      </c>
      <c r="P872" t="n">
        <v>0</v>
      </c>
      <c r="Q872" t="n">
        <v>0</v>
      </c>
      <c r="R872" s="2" t="inlineStr"/>
    </row>
    <row r="873" ht="15" customHeight="1">
      <c r="A873" t="inlineStr">
        <is>
          <t>A 53456-2022</t>
        </is>
      </c>
      <c r="B873" s="1" t="n">
        <v>44874</v>
      </c>
      <c r="C873" s="1" t="n">
        <v>46074</v>
      </c>
      <c r="D873" t="inlineStr">
        <is>
          <t>JÄMTLANDS LÄN</t>
        </is>
      </c>
      <c r="E873" t="inlineStr">
        <is>
          <t>BERG</t>
        </is>
      </c>
      <c r="G873" t="n">
        <v>13.3</v>
      </c>
      <c r="H873" t="n">
        <v>0</v>
      </c>
      <c r="I873" t="n">
        <v>0</v>
      </c>
      <c r="J873" t="n">
        <v>0</v>
      </c>
      <c r="K873" t="n">
        <v>0</v>
      </c>
      <c r="L873" t="n">
        <v>0</v>
      </c>
      <c r="M873" t="n">
        <v>0</v>
      </c>
      <c r="N873" t="n">
        <v>0</v>
      </c>
      <c r="O873" t="n">
        <v>0</v>
      </c>
      <c r="P873" t="n">
        <v>0</v>
      </c>
      <c r="Q873" t="n">
        <v>0</v>
      </c>
      <c r="R873" s="2" t="inlineStr"/>
    </row>
    <row r="874" ht="15" customHeight="1">
      <c r="A874" t="inlineStr">
        <is>
          <t>A 9252-2025</t>
        </is>
      </c>
      <c r="B874" s="1" t="n">
        <v>45714.59415509259</v>
      </c>
      <c r="C874" s="1" t="n">
        <v>46074</v>
      </c>
      <c r="D874" t="inlineStr">
        <is>
          <t>JÄMTLANDS LÄN</t>
        </is>
      </c>
      <c r="E874" t="inlineStr">
        <is>
          <t>BERG</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64247-2023</t>
        </is>
      </c>
      <c r="B875" s="1" t="n">
        <v>45279.92739583334</v>
      </c>
      <c r="C875" s="1" t="n">
        <v>46074</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31330-2024</t>
        </is>
      </c>
      <c r="B876" s="1" t="n">
        <v>45504</v>
      </c>
      <c r="C876" s="1" t="n">
        <v>46074</v>
      </c>
      <c r="D876" t="inlineStr">
        <is>
          <t>JÄMTLANDS LÄN</t>
        </is>
      </c>
      <c r="E876" t="inlineStr">
        <is>
          <t>BERG</t>
        </is>
      </c>
      <c r="G876" t="n">
        <v>30.5</v>
      </c>
      <c r="H876" t="n">
        <v>0</v>
      </c>
      <c r="I876" t="n">
        <v>0</v>
      </c>
      <c r="J876" t="n">
        <v>0</v>
      </c>
      <c r="K876" t="n">
        <v>0</v>
      </c>
      <c r="L876" t="n">
        <v>0</v>
      </c>
      <c r="M876" t="n">
        <v>0</v>
      </c>
      <c r="N876" t="n">
        <v>0</v>
      </c>
      <c r="O876" t="n">
        <v>0</v>
      </c>
      <c r="P876" t="n">
        <v>0</v>
      </c>
      <c r="Q876" t="n">
        <v>0</v>
      </c>
      <c r="R876" s="2" t="inlineStr"/>
    </row>
    <row r="877" ht="15" customHeight="1">
      <c r="A877" t="inlineStr">
        <is>
          <t>A 60404-2023</t>
        </is>
      </c>
      <c r="B877" s="1" t="n">
        <v>45259.46332175926</v>
      </c>
      <c r="C877" s="1" t="n">
        <v>46074</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39186-2024</t>
        </is>
      </c>
      <c r="B878" s="1" t="n">
        <v>45548.66489583333</v>
      </c>
      <c r="C878" s="1" t="n">
        <v>46074</v>
      </c>
      <c r="D878" t="inlineStr">
        <is>
          <t>JÄMTLANDS LÄN</t>
        </is>
      </c>
      <c r="E878" t="inlineStr">
        <is>
          <t>BERG</t>
        </is>
      </c>
      <c r="G878" t="n">
        <v>38.4</v>
      </c>
      <c r="H878" t="n">
        <v>0</v>
      </c>
      <c r="I878" t="n">
        <v>0</v>
      </c>
      <c r="J878" t="n">
        <v>0</v>
      </c>
      <c r="K878" t="n">
        <v>0</v>
      </c>
      <c r="L878" t="n">
        <v>0</v>
      </c>
      <c r="M878" t="n">
        <v>0</v>
      </c>
      <c r="N878" t="n">
        <v>0</v>
      </c>
      <c r="O878" t="n">
        <v>0</v>
      </c>
      <c r="P878" t="n">
        <v>0</v>
      </c>
      <c r="Q878" t="n">
        <v>0</v>
      </c>
      <c r="R878" s="2" t="inlineStr"/>
    </row>
    <row r="879" ht="15" customHeight="1">
      <c r="A879" t="inlineStr">
        <is>
          <t>A 50706-2023</t>
        </is>
      </c>
      <c r="B879" s="1" t="n">
        <v>45217.55832175926</v>
      </c>
      <c r="C879" s="1" t="n">
        <v>46074</v>
      </c>
      <c r="D879" t="inlineStr">
        <is>
          <t>JÄMTLANDS LÄN</t>
        </is>
      </c>
      <c r="E879" t="inlineStr">
        <is>
          <t>BERG</t>
        </is>
      </c>
      <c r="G879" t="n">
        <v>4.1</v>
      </c>
      <c r="H879" t="n">
        <v>0</v>
      </c>
      <c r="I879" t="n">
        <v>0</v>
      </c>
      <c r="J879" t="n">
        <v>0</v>
      </c>
      <c r="K879" t="n">
        <v>0</v>
      </c>
      <c r="L879" t="n">
        <v>0</v>
      </c>
      <c r="M879" t="n">
        <v>0</v>
      </c>
      <c r="N879" t="n">
        <v>0</v>
      </c>
      <c r="O879" t="n">
        <v>0</v>
      </c>
      <c r="P879" t="n">
        <v>0</v>
      </c>
      <c r="Q879" t="n">
        <v>0</v>
      </c>
      <c r="R879" s="2" t="inlineStr"/>
    </row>
    <row r="880" ht="15" customHeight="1">
      <c r="A880" t="inlineStr">
        <is>
          <t>A 3625-2024</t>
        </is>
      </c>
      <c r="B880" s="1" t="n">
        <v>45320</v>
      </c>
      <c r="C880" s="1" t="n">
        <v>46074</v>
      </c>
      <c r="D880" t="inlineStr">
        <is>
          <t>JÄMTLANDS LÄN</t>
        </is>
      </c>
      <c r="E880" t="inlineStr">
        <is>
          <t>BERG</t>
        </is>
      </c>
      <c r="F880" t="inlineStr">
        <is>
          <t>SCA</t>
        </is>
      </c>
      <c r="G880" t="n">
        <v>23.7</v>
      </c>
      <c r="H880" t="n">
        <v>0</v>
      </c>
      <c r="I880" t="n">
        <v>0</v>
      </c>
      <c r="J880" t="n">
        <v>0</v>
      </c>
      <c r="K880" t="n">
        <v>0</v>
      </c>
      <c r="L880" t="n">
        <v>0</v>
      </c>
      <c r="M880" t="n">
        <v>0</v>
      </c>
      <c r="N880" t="n">
        <v>0</v>
      </c>
      <c r="O880" t="n">
        <v>0</v>
      </c>
      <c r="P880" t="n">
        <v>0</v>
      </c>
      <c r="Q880" t="n">
        <v>0</v>
      </c>
      <c r="R880" s="2" t="inlineStr"/>
    </row>
    <row r="881" ht="15" customHeight="1">
      <c r="A881" t="inlineStr">
        <is>
          <t>A 18408-2025</t>
        </is>
      </c>
      <c r="B881" s="1" t="n">
        <v>45762.61128472222</v>
      </c>
      <c r="C881" s="1" t="n">
        <v>46074</v>
      </c>
      <c r="D881" t="inlineStr">
        <is>
          <t>JÄMTLANDS LÄN</t>
        </is>
      </c>
      <c r="E881" t="inlineStr">
        <is>
          <t>BERG</t>
        </is>
      </c>
      <c r="G881" t="n">
        <v>5.1</v>
      </c>
      <c r="H881" t="n">
        <v>0</v>
      </c>
      <c r="I881" t="n">
        <v>0</v>
      </c>
      <c r="J881" t="n">
        <v>0</v>
      </c>
      <c r="K881" t="n">
        <v>0</v>
      </c>
      <c r="L881" t="n">
        <v>0</v>
      </c>
      <c r="M881" t="n">
        <v>0</v>
      </c>
      <c r="N881" t="n">
        <v>0</v>
      </c>
      <c r="O881" t="n">
        <v>0</v>
      </c>
      <c r="P881" t="n">
        <v>0</v>
      </c>
      <c r="Q881" t="n">
        <v>0</v>
      </c>
      <c r="R881" s="2" t="inlineStr"/>
    </row>
    <row r="882" ht="15" customHeight="1">
      <c r="A882" t="inlineStr">
        <is>
          <t>A 37086-2024</t>
        </is>
      </c>
      <c r="B882" s="1" t="n">
        <v>45539.49776620371</v>
      </c>
      <c r="C882" s="1" t="n">
        <v>46074</v>
      </c>
      <c r="D882" t="inlineStr">
        <is>
          <t>JÄMTLANDS LÄN</t>
        </is>
      </c>
      <c r="E882" t="inlineStr">
        <is>
          <t>BERG</t>
        </is>
      </c>
      <c r="F882" t="inlineStr">
        <is>
          <t>Övriga Aktiebolag</t>
        </is>
      </c>
      <c r="G882" t="n">
        <v>1.1</v>
      </c>
      <c r="H882" t="n">
        <v>0</v>
      </c>
      <c r="I882" t="n">
        <v>0</v>
      </c>
      <c r="J882" t="n">
        <v>0</v>
      </c>
      <c r="K882" t="n">
        <v>0</v>
      </c>
      <c r="L882" t="n">
        <v>0</v>
      </c>
      <c r="M882" t="n">
        <v>0</v>
      </c>
      <c r="N882" t="n">
        <v>0</v>
      </c>
      <c r="O882" t="n">
        <v>0</v>
      </c>
      <c r="P882" t="n">
        <v>0</v>
      </c>
      <c r="Q882" t="n">
        <v>0</v>
      </c>
      <c r="R882" s="2" t="inlineStr"/>
    </row>
    <row r="883" ht="15" customHeight="1">
      <c r="A883" t="inlineStr">
        <is>
          <t>A 59968-2024</t>
        </is>
      </c>
      <c r="B883" s="1" t="n">
        <v>45642</v>
      </c>
      <c r="C883" s="1" t="n">
        <v>46074</v>
      </c>
      <c r="D883" t="inlineStr">
        <is>
          <t>JÄMTLANDS LÄN</t>
        </is>
      </c>
      <c r="E883" t="inlineStr">
        <is>
          <t>BERG</t>
        </is>
      </c>
      <c r="G883" t="n">
        <v>4.7</v>
      </c>
      <c r="H883" t="n">
        <v>0</v>
      </c>
      <c r="I883" t="n">
        <v>0</v>
      </c>
      <c r="J883" t="n">
        <v>0</v>
      </c>
      <c r="K883" t="n">
        <v>0</v>
      </c>
      <c r="L883" t="n">
        <v>0</v>
      </c>
      <c r="M883" t="n">
        <v>0</v>
      </c>
      <c r="N883" t="n">
        <v>0</v>
      </c>
      <c r="O883" t="n">
        <v>0</v>
      </c>
      <c r="P883" t="n">
        <v>0</v>
      </c>
      <c r="Q883" t="n">
        <v>0</v>
      </c>
      <c r="R883" s="2" t="inlineStr"/>
    </row>
    <row r="884" ht="15" customHeight="1">
      <c r="A884" t="inlineStr">
        <is>
          <t>A 22275-2022</t>
        </is>
      </c>
      <c r="B884" s="1" t="n">
        <v>44712</v>
      </c>
      <c r="C884" s="1" t="n">
        <v>46074</v>
      </c>
      <c r="D884" t="inlineStr">
        <is>
          <t>JÄMTLANDS LÄN</t>
        </is>
      </c>
      <c r="E884" t="inlineStr">
        <is>
          <t>BERG</t>
        </is>
      </c>
      <c r="G884" t="n">
        <v>2.1</v>
      </c>
      <c r="H884" t="n">
        <v>0</v>
      </c>
      <c r="I884" t="n">
        <v>0</v>
      </c>
      <c r="J884" t="n">
        <v>0</v>
      </c>
      <c r="K884" t="n">
        <v>0</v>
      </c>
      <c r="L884" t="n">
        <v>0</v>
      </c>
      <c r="M884" t="n">
        <v>0</v>
      </c>
      <c r="N884" t="n">
        <v>0</v>
      </c>
      <c r="O884" t="n">
        <v>0</v>
      </c>
      <c r="P884" t="n">
        <v>0</v>
      </c>
      <c r="Q884" t="n">
        <v>0</v>
      </c>
      <c r="R884" s="2" t="inlineStr"/>
    </row>
    <row r="885" ht="15" customHeight="1">
      <c r="A885" t="inlineStr">
        <is>
          <t>A 4561-2024</t>
        </is>
      </c>
      <c r="B885" s="1" t="n">
        <v>45327</v>
      </c>
      <c r="C885" s="1" t="n">
        <v>46074</v>
      </c>
      <c r="D885" t="inlineStr">
        <is>
          <t>JÄMTLANDS LÄN</t>
        </is>
      </c>
      <c r="E885" t="inlineStr">
        <is>
          <t>BERG</t>
        </is>
      </c>
      <c r="G885" t="n">
        <v>7.4</v>
      </c>
      <c r="H885" t="n">
        <v>0</v>
      </c>
      <c r="I885" t="n">
        <v>0</v>
      </c>
      <c r="J885" t="n">
        <v>0</v>
      </c>
      <c r="K885" t="n">
        <v>0</v>
      </c>
      <c r="L885" t="n">
        <v>0</v>
      </c>
      <c r="M885" t="n">
        <v>0</v>
      </c>
      <c r="N885" t="n">
        <v>0</v>
      </c>
      <c r="O885" t="n">
        <v>0</v>
      </c>
      <c r="P885" t="n">
        <v>0</v>
      </c>
      <c r="Q885" t="n">
        <v>0</v>
      </c>
      <c r="R885" s="2" t="inlineStr"/>
    </row>
    <row r="886" ht="15" customHeight="1">
      <c r="A886" t="inlineStr">
        <is>
          <t>A 14190-2023</t>
        </is>
      </c>
      <c r="B886" s="1" t="n">
        <v>45009.56106481481</v>
      </c>
      <c r="C886" s="1" t="n">
        <v>46074</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31079-2024</t>
        </is>
      </c>
      <c r="B887" s="1" t="n">
        <v>45502.46423611111</v>
      </c>
      <c r="C887" s="1" t="n">
        <v>46074</v>
      </c>
      <c r="D887" t="inlineStr">
        <is>
          <t>JÄMTLANDS LÄN</t>
        </is>
      </c>
      <c r="E887" t="inlineStr">
        <is>
          <t>BERG</t>
        </is>
      </c>
      <c r="G887" t="n">
        <v>2.5</v>
      </c>
      <c r="H887" t="n">
        <v>0</v>
      </c>
      <c r="I887" t="n">
        <v>0</v>
      </c>
      <c r="J887" t="n">
        <v>0</v>
      </c>
      <c r="K887" t="n">
        <v>0</v>
      </c>
      <c r="L887" t="n">
        <v>0</v>
      </c>
      <c r="M887" t="n">
        <v>0</v>
      </c>
      <c r="N887" t="n">
        <v>0</v>
      </c>
      <c r="O887" t="n">
        <v>0</v>
      </c>
      <c r="P887" t="n">
        <v>0</v>
      </c>
      <c r="Q887" t="n">
        <v>0</v>
      </c>
      <c r="R887" s="2" t="inlineStr"/>
    </row>
    <row r="888" ht="15" customHeight="1">
      <c r="A888" t="inlineStr">
        <is>
          <t>A 64487-2023</t>
        </is>
      </c>
      <c r="B888" s="1" t="n">
        <v>45280.92613425926</v>
      </c>
      <c r="C888" s="1" t="n">
        <v>46074</v>
      </c>
      <c r="D888" t="inlineStr">
        <is>
          <t>JÄMTLANDS LÄN</t>
        </is>
      </c>
      <c r="E888" t="inlineStr">
        <is>
          <t>BERG</t>
        </is>
      </c>
      <c r="F888" t="inlineStr">
        <is>
          <t>Övriga Aktiebolag</t>
        </is>
      </c>
      <c r="G888" t="n">
        <v>7.6</v>
      </c>
      <c r="H888" t="n">
        <v>0</v>
      </c>
      <c r="I888" t="n">
        <v>0</v>
      </c>
      <c r="J888" t="n">
        <v>0</v>
      </c>
      <c r="K888" t="n">
        <v>0</v>
      </c>
      <c r="L888" t="n">
        <v>0</v>
      </c>
      <c r="M888" t="n">
        <v>0</v>
      </c>
      <c r="N888" t="n">
        <v>0</v>
      </c>
      <c r="O888" t="n">
        <v>0</v>
      </c>
      <c r="P888" t="n">
        <v>0</v>
      </c>
      <c r="Q888" t="n">
        <v>0</v>
      </c>
      <c r="R888" s="2" t="inlineStr"/>
    </row>
    <row r="889" ht="15" customHeight="1">
      <c r="A889" t="inlineStr">
        <is>
          <t>A 64489-2023</t>
        </is>
      </c>
      <c r="B889" s="1" t="n">
        <v>45280</v>
      </c>
      <c r="C889" s="1" t="n">
        <v>46074</v>
      </c>
      <c r="D889" t="inlineStr">
        <is>
          <t>JÄMTLANDS LÄN</t>
        </is>
      </c>
      <c r="E889" t="inlineStr">
        <is>
          <t>BERG</t>
        </is>
      </c>
      <c r="F889" t="inlineStr">
        <is>
          <t>Övriga Aktiebolag</t>
        </is>
      </c>
      <c r="G889" t="n">
        <v>14.1</v>
      </c>
      <c r="H889" t="n">
        <v>0</v>
      </c>
      <c r="I889" t="n">
        <v>0</v>
      </c>
      <c r="J889" t="n">
        <v>0</v>
      </c>
      <c r="K889" t="n">
        <v>0</v>
      </c>
      <c r="L889" t="n">
        <v>0</v>
      </c>
      <c r="M889" t="n">
        <v>0</v>
      </c>
      <c r="N889" t="n">
        <v>0</v>
      </c>
      <c r="O889" t="n">
        <v>0</v>
      </c>
      <c r="P889" t="n">
        <v>0</v>
      </c>
      <c r="Q889" t="n">
        <v>0</v>
      </c>
      <c r="R889" s="2" t="inlineStr"/>
    </row>
    <row r="890" ht="15" customHeight="1">
      <c r="A890" t="inlineStr">
        <is>
          <t>A 39510-2023</t>
        </is>
      </c>
      <c r="B890" s="1" t="n">
        <v>45166</v>
      </c>
      <c r="C890" s="1" t="n">
        <v>46074</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41636-2024</t>
        </is>
      </c>
      <c r="B891" s="1" t="n">
        <v>45560.61606481481</v>
      </c>
      <c r="C891" s="1" t="n">
        <v>46074</v>
      </c>
      <c r="D891" t="inlineStr">
        <is>
          <t>JÄMTLANDS LÄN</t>
        </is>
      </c>
      <c r="E891" t="inlineStr">
        <is>
          <t>BERG</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41634-2024</t>
        </is>
      </c>
      <c r="B892" s="1" t="n">
        <v>45560.61496527777</v>
      </c>
      <c r="C892" s="1" t="n">
        <v>46074</v>
      </c>
      <c r="D892" t="inlineStr">
        <is>
          <t>JÄMTLANDS LÄN</t>
        </is>
      </c>
      <c r="E892" t="inlineStr">
        <is>
          <t>BERG</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27395-2021</t>
        </is>
      </c>
      <c r="B893" s="1" t="n">
        <v>44350</v>
      </c>
      <c r="C893" s="1" t="n">
        <v>46074</v>
      </c>
      <c r="D893" t="inlineStr">
        <is>
          <t>JÄMTLANDS LÄN</t>
        </is>
      </c>
      <c r="E893" t="inlineStr">
        <is>
          <t>BERG</t>
        </is>
      </c>
      <c r="G893" t="n">
        <v>4.4</v>
      </c>
      <c r="H893" t="n">
        <v>0</v>
      </c>
      <c r="I893" t="n">
        <v>0</v>
      </c>
      <c r="J893" t="n">
        <v>0</v>
      </c>
      <c r="K893" t="n">
        <v>0</v>
      </c>
      <c r="L893" t="n">
        <v>0</v>
      </c>
      <c r="M893" t="n">
        <v>0</v>
      </c>
      <c r="N893" t="n">
        <v>0</v>
      </c>
      <c r="O893" t="n">
        <v>0</v>
      </c>
      <c r="P893" t="n">
        <v>0</v>
      </c>
      <c r="Q893" t="n">
        <v>0</v>
      </c>
      <c r="R893" s="2" t="inlineStr"/>
    </row>
    <row r="894" ht="15" customHeight="1">
      <c r="A894" t="inlineStr">
        <is>
          <t>A 5219-2022</t>
        </is>
      </c>
      <c r="B894" s="1" t="n">
        <v>44594.48569444445</v>
      </c>
      <c r="C894" s="1" t="n">
        <v>46074</v>
      </c>
      <c r="D894" t="inlineStr">
        <is>
          <t>JÄMTLANDS LÄN</t>
        </is>
      </c>
      <c r="E894" t="inlineStr">
        <is>
          <t>BERG</t>
        </is>
      </c>
      <c r="G894" t="n">
        <v>1.9</v>
      </c>
      <c r="H894" t="n">
        <v>0</v>
      </c>
      <c r="I894" t="n">
        <v>0</v>
      </c>
      <c r="J894" t="n">
        <v>0</v>
      </c>
      <c r="K894" t="n">
        <v>0</v>
      </c>
      <c r="L894" t="n">
        <v>0</v>
      </c>
      <c r="M894" t="n">
        <v>0</v>
      </c>
      <c r="N894" t="n">
        <v>0</v>
      </c>
      <c r="O894" t="n">
        <v>0</v>
      </c>
      <c r="P894" t="n">
        <v>0</v>
      </c>
      <c r="Q894" t="n">
        <v>0</v>
      </c>
      <c r="R894" s="2" t="inlineStr"/>
    </row>
    <row r="895" ht="15" customHeight="1">
      <c r="A895" t="inlineStr">
        <is>
          <t>A 14672-2025</t>
        </is>
      </c>
      <c r="B895" s="1" t="n">
        <v>45742.55269675926</v>
      </c>
      <c r="C895" s="1" t="n">
        <v>46074</v>
      </c>
      <c r="D895" t="inlineStr">
        <is>
          <t>JÄMTLANDS LÄN</t>
        </is>
      </c>
      <c r="E895" t="inlineStr">
        <is>
          <t>BERG</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13149-2025</t>
        </is>
      </c>
      <c r="B896" s="1" t="n">
        <v>45735.34424768519</v>
      </c>
      <c r="C896" s="1" t="n">
        <v>46074</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15013-2025</t>
        </is>
      </c>
      <c r="B897" s="1" t="n">
        <v>45743.62734953704</v>
      </c>
      <c r="C897" s="1" t="n">
        <v>46074</v>
      </c>
      <c r="D897" t="inlineStr">
        <is>
          <t>JÄMTLANDS LÄN</t>
        </is>
      </c>
      <c r="E897" t="inlineStr">
        <is>
          <t>BERG</t>
        </is>
      </c>
      <c r="G897" t="n">
        <v>4.6</v>
      </c>
      <c r="H897" t="n">
        <v>0</v>
      </c>
      <c r="I897" t="n">
        <v>0</v>
      </c>
      <c r="J897" t="n">
        <v>0</v>
      </c>
      <c r="K897" t="n">
        <v>0</v>
      </c>
      <c r="L897" t="n">
        <v>0</v>
      </c>
      <c r="M897" t="n">
        <v>0</v>
      </c>
      <c r="N897" t="n">
        <v>0</v>
      </c>
      <c r="O897" t="n">
        <v>0</v>
      </c>
      <c r="P897" t="n">
        <v>0</v>
      </c>
      <c r="Q897" t="n">
        <v>0</v>
      </c>
      <c r="R897" s="2" t="inlineStr"/>
    </row>
    <row r="898" ht="15" customHeight="1">
      <c r="A898" t="inlineStr">
        <is>
          <t>A 40824-2023</t>
        </is>
      </c>
      <c r="B898" s="1" t="n">
        <v>45171</v>
      </c>
      <c r="C898" s="1" t="n">
        <v>46074</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35986-2023</t>
        </is>
      </c>
      <c r="B899" s="1" t="n">
        <v>45148</v>
      </c>
      <c r="C899" s="1" t="n">
        <v>46074</v>
      </c>
      <c r="D899" t="inlineStr">
        <is>
          <t>JÄMTLANDS LÄN</t>
        </is>
      </c>
      <c r="E899" t="inlineStr">
        <is>
          <t>BERG</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171-2022</t>
        </is>
      </c>
      <c r="B900" s="1" t="n">
        <v>44564</v>
      </c>
      <c r="C900" s="1" t="n">
        <v>46074</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2002-2022</t>
        </is>
      </c>
      <c r="B901" s="1" t="n">
        <v>44575</v>
      </c>
      <c r="C901" s="1" t="n">
        <v>46074</v>
      </c>
      <c r="D901" t="inlineStr">
        <is>
          <t>JÄMTLANDS LÄN</t>
        </is>
      </c>
      <c r="E901" t="inlineStr">
        <is>
          <t>BERG</t>
        </is>
      </c>
      <c r="G901" t="n">
        <v>11.3</v>
      </c>
      <c r="H901" t="n">
        <v>0</v>
      </c>
      <c r="I901" t="n">
        <v>0</v>
      </c>
      <c r="J901" t="n">
        <v>0</v>
      </c>
      <c r="K901" t="n">
        <v>0</v>
      </c>
      <c r="L901" t="n">
        <v>0</v>
      </c>
      <c r="M901" t="n">
        <v>0</v>
      </c>
      <c r="N901" t="n">
        <v>0</v>
      </c>
      <c r="O901" t="n">
        <v>0</v>
      </c>
      <c r="P901" t="n">
        <v>0</v>
      </c>
      <c r="Q901" t="n">
        <v>0</v>
      </c>
      <c r="R901" s="2" t="inlineStr"/>
    </row>
    <row r="902" ht="15" customHeight="1">
      <c r="A902" t="inlineStr">
        <is>
          <t>A 53883-2023</t>
        </is>
      </c>
      <c r="B902" s="1" t="n">
        <v>45231.5221875</v>
      </c>
      <c r="C902" s="1" t="n">
        <v>46074</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41875-2024</t>
        </is>
      </c>
      <c r="B903" s="1" t="n">
        <v>45561.47431712963</v>
      </c>
      <c r="C903" s="1" t="n">
        <v>46074</v>
      </c>
      <c r="D903" t="inlineStr">
        <is>
          <t>JÄMTLANDS LÄN</t>
        </is>
      </c>
      <c r="E903" t="inlineStr">
        <is>
          <t>BERG</t>
        </is>
      </c>
      <c r="G903" t="n">
        <v>1.3</v>
      </c>
      <c r="H903" t="n">
        <v>0</v>
      </c>
      <c r="I903" t="n">
        <v>0</v>
      </c>
      <c r="J903" t="n">
        <v>0</v>
      </c>
      <c r="K903" t="n">
        <v>0</v>
      </c>
      <c r="L903" t="n">
        <v>0</v>
      </c>
      <c r="M903" t="n">
        <v>0</v>
      </c>
      <c r="N903" t="n">
        <v>0</v>
      </c>
      <c r="O903" t="n">
        <v>0</v>
      </c>
      <c r="P903" t="n">
        <v>0</v>
      </c>
      <c r="Q903" t="n">
        <v>0</v>
      </c>
      <c r="R903" s="2" t="inlineStr"/>
    </row>
    <row r="904" ht="15" customHeight="1">
      <c r="A904" t="inlineStr">
        <is>
          <t>A 4246-2025</t>
        </is>
      </c>
      <c r="B904" s="1" t="n">
        <v>45685.59083333334</v>
      </c>
      <c r="C904" s="1" t="n">
        <v>46074</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8251-2023</t>
        </is>
      </c>
      <c r="B905" s="1" t="n">
        <v>44974</v>
      </c>
      <c r="C905" s="1" t="n">
        <v>46074</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16553-2025</t>
        </is>
      </c>
      <c r="B906" s="1" t="n">
        <v>45751.69967592593</v>
      </c>
      <c r="C906" s="1" t="n">
        <v>46074</v>
      </c>
      <c r="D906" t="inlineStr">
        <is>
          <t>JÄMTLANDS LÄN</t>
        </is>
      </c>
      <c r="E906" t="inlineStr">
        <is>
          <t>BERG</t>
        </is>
      </c>
      <c r="G906" t="n">
        <v>2</v>
      </c>
      <c r="H906" t="n">
        <v>0</v>
      </c>
      <c r="I906" t="n">
        <v>0</v>
      </c>
      <c r="J906" t="n">
        <v>0</v>
      </c>
      <c r="K906" t="n">
        <v>0</v>
      </c>
      <c r="L906" t="n">
        <v>0</v>
      </c>
      <c r="M906" t="n">
        <v>0</v>
      </c>
      <c r="N906" t="n">
        <v>0</v>
      </c>
      <c r="O906" t="n">
        <v>0</v>
      </c>
      <c r="P906" t="n">
        <v>0</v>
      </c>
      <c r="Q906" t="n">
        <v>0</v>
      </c>
      <c r="R906" s="2" t="inlineStr"/>
    </row>
    <row r="907" ht="15" customHeight="1">
      <c r="A907" t="inlineStr">
        <is>
          <t>A 45081-2022</t>
        </is>
      </c>
      <c r="B907" s="1" t="n">
        <v>44841</v>
      </c>
      <c r="C907" s="1" t="n">
        <v>46074</v>
      </c>
      <c r="D907" t="inlineStr">
        <is>
          <t>JÄMTLANDS LÄN</t>
        </is>
      </c>
      <c r="E907" t="inlineStr">
        <is>
          <t>BERG</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47289-2023</t>
        </is>
      </c>
      <c r="B908" s="1" t="n">
        <v>45202.46581018518</v>
      </c>
      <c r="C908" s="1" t="n">
        <v>46074</v>
      </c>
      <c r="D908" t="inlineStr">
        <is>
          <t>JÄMTLANDS LÄN</t>
        </is>
      </c>
      <c r="E908" t="inlineStr">
        <is>
          <t>BERG</t>
        </is>
      </c>
      <c r="G908" t="n">
        <v>1.8</v>
      </c>
      <c r="H908" t="n">
        <v>0</v>
      </c>
      <c r="I908" t="n">
        <v>0</v>
      </c>
      <c r="J908" t="n">
        <v>0</v>
      </c>
      <c r="K908" t="n">
        <v>0</v>
      </c>
      <c r="L908" t="n">
        <v>0</v>
      </c>
      <c r="M908" t="n">
        <v>0</v>
      </c>
      <c r="N908" t="n">
        <v>0</v>
      </c>
      <c r="O908" t="n">
        <v>0</v>
      </c>
      <c r="P908" t="n">
        <v>0</v>
      </c>
      <c r="Q908" t="n">
        <v>0</v>
      </c>
      <c r="R908" s="2" t="inlineStr"/>
    </row>
    <row r="909" ht="15" customHeight="1">
      <c r="A909" t="inlineStr">
        <is>
          <t>A 8388-2022</t>
        </is>
      </c>
      <c r="B909" s="1" t="n">
        <v>44610</v>
      </c>
      <c r="C909" s="1" t="n">
        <v>46074</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4522-2024</t>
        </is>
      </c>
      <c r="B910" s="1" t="n">
        <v>45327</v>
      </c>
      <c r="C910" s="1" t="n">
        <v>46074</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11599-2025</t>
        </is>
      </c>
      <c r="B911" s="1" t="n">
        <v>45727.4261574074</v>
      </c>
      <c r="C911" s="1" t="n">
        <v>46074</v>
      </c>
      <c r="D911" t="inlineStr">
        <is>
          <t>JÄMTLANDS LÄN</t>
        </is>
      </c>
      <c r="E911" t="inlineStr">
        <is>
          <t>BERG</t>
        </is>
      </c>
      <c r="G911" t="n">
        <v>1.4</v>
      </c>
      <c r="H911" t="n">
        <v>0</v>
      </c>
      <c r="I911" t="n">
        <v>0</v>
      </c>
      <c r="J911" t="n">
        <v>0</v>
      </c>
      <c r="K911" t="n">
        <v>0</v>
      </c>
      <c r="L911" t="n">
        <v>0</v>
      </c>
      <c r="M911" t="n">
        <v>0</v>
      </c>
      <c r="N911" t="n">
        <v>0</v>
      </c>
      <c r="O911" t="n">
        <v>0</v>
      </c>
      <c r="P911" t="n">
        <v>0</v>
      </c>
      <c r="Q911" t="n">
        <v>0</v>
      </c>
      <c r="R911" s="2" t="inlineStr"/>
    </row>
    <row r="912" ht="15" customHeight="1">
      <c r="A912" t="inlineStr">
        <is>
          <t>A 48307-2024</t>
        </is>
      </c>
      <c r="B912" s="1" t="n">
        <v>45590.47684027778</v>
      </c>
      <c r="C912" s="1" t="n">
        <v>46074</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61652-2024</t>
        </is>
      </c>
      <c r="B913" s="1" t="n">
        <v>45646.72293981481</v>
      </c>
      <c r="C913" s="1" t="n">
        <v>46074</v>
      </c>
      <c r="D913" t="inlineStr">
        <is>
          <t>JÄMTLANDS LÄN</t>
        </is>
      </c>
      <c r="E913" t="inlineStr">
        <is>
          <t>BERG</t>
        </is>
      </c>
      <c r="G913" t="n">
        <v>6.4</v>
      </c>
      <c r="H913" t="n">
        <v>0</v>
      </c>
      <c r="I913" t="n">
        <v>0</v>
      </c>
      <c r="J913" t="n">
        <v>0</v>
      </c>
      <c r="K913" t="n">
        <v>0</v>
      </c>
      <c r="L913" t="n">
        <v>0</v>
      </c>
      <c r="M913" t="n">
        <v>0</v>
      </c>
      <c r="N913" t="n">
        <v>0</v>
      </c>
      <c r="O913" t="n">
        <v>0</v>
      </c>
      <c r="P913" t="n">
        <v>0</v>
      </c>
      <c r="Q913" t="n">
        <v>0</v>
      </c>
      <c r="R913" s="2" t="inlineStr"/>
    </row>
    <row r="914" ht="15" customHeight="1">
      <c r="A914" t="inlineStr">
        <is>
          <t>A 48663-2023</t>
        </is>
      </c>
      <c r="B914" s="1" t="n">
        <v>45202</v>
      </c>
      <c r="C914" s="1" t="n">
        <v>46074</v>
      </c>
      <c r="D914" t="inlineStr">
        <is>
          <t>JÄMTLANDS LÄN</t>
        </is>
      </c>
      <c r="E914" t="inlineStr">
        <is>
          <t>BERG</t>
        </is>
      </c>
      <c r="G914" t="n">
        <v>1.6</v>
      </c>
      <c r="H914" t="n">
        <v>0</v>
      </c>
      <c r="I914" t="n">
        <v>0</v>
      </c>
      <c r="J914" t="n">
        <v>0</v>
      </c>
      <c r="K914" t="n">
        <v>0</v>
      </c>
      <c r="L914" t="n">
        <v>0</v>
      </c>
      <c r="M914" t="n">
        <v>0</v>
      </c>
      <c r="N914" t="n">
        <v>0</v>
      </c>
      <c r="O914" t="n">
        <v>0</v>
      </c>
      <c r="P914" t="n">
        <v>0</v>
      </c>
      <c r="Q914" t="n">
        <v>0</v>
      </c>
      <c r="R914" s="2" t="inlineStr"/>
    </row>
    <row r="915" ht="15" customHeight="1">
      <c r="A915" t="inlineStr">
        <is>
          <t>A 15785-2021</t>
        </is>
      </c>
      <c r="B915" s="1" t="n">
        <v>44286.58679398148</v>
      </c>
      <c r="C915" s="1" t="n">
        <v>46074</v>
      </c>
      <c r="D915" t="inlineStr">
        <is>
          <t>JÄMTLANDS LÄN</t>
        </is>
      </c>
      <c r="E915" t="inlineStr">
        <is>
          <t>BERG</t>
        </is>
      </c>
      <c r="G915" t="n">
        <v>3.2</v>
      </c>
      <c r="H915" t="n">
        <v>0</v>
      </c>
      <c r="I915" t="n">
        <v>0</v>
      </c>
      <c r="J915" t="n">
        <v>0</v>
      </c>
      <c r="K915" t="n">
        <v>0</v>
      </c>
      <c r="L915" t="n">
        <v>0</v>
      </c>
      <c r="M915" t="n">
        <v>0</v>
      </c>
      <c r="N915" t="n">
        <v>0</v>
      </c>
      <c r="O915" t="n">
        <v>0</v>
      </c>
      <c r="P915" t="n">
        <v>0</v>
      </c>
      <c r="Q915" t="n">
        <v>0</v>
      </c>
      <c r="R915" s="2" t="inlineStr"/>
    </row>
    <row r="916" ht="15" customHeight="1">
      <c r="A916" t="inlineStr">
        <is>
          <t>A 38-2024</t>
        </is>
      </c>
      <c r="B916" s="1" t="n">
        <v>45293</v>
      </c>
      <c r="C916" s="1" t="n">
        <v>46074</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43762-2023</t>
        </is>
      </c>
      <c r="B917" s="1" t="n">
        <v>45182</v>
      </c>
      <c r="C917" s="1" t="n">
        <v>46074</v>
      </c>
      <c r="D917" t="inlineStr">
        <is>
          <t>JÄMTLANDS LÄN</t>
        </is>
      </c>
      <c r="E917" t="inlineStr">
        <is>
          <t>BERG</t>
        </is>
      </c>
      <c r="G917" t="n">
        <v>6.4</v>
      </c>
      <c r="H917" t="n">
        <v>0</v>
      </c>
      <c r="I917" t="n">
        <v>0</v>
      </c>
      <c r="J917" t="n">
        <v>0</v>
      </c>
      <c r="K917" t="n">
        <v>0</v>
      </c>
      <c r="L917" t="n">
        <v>0</v>
      </c>
      <c r="M917" t="n">
        <v>0</v>
      </c>
      <c r="N917" t="n">
        <v>0</v>
      </c>
      <c r="O917" t="n">
        <v>0</v>
      </c>
      <c r="P917" t="n">
        <v>0</v>
      </c>
      <c r="Q917" t="n">
        <v>0</v>
      </c>
      <c r="R917" s="2" t="inlineStr"/>
    </row>
    <row r="918" ht="15" customHeight="1">
      <c r="A918" t="inlineStr">
        <is>
          <t>A 51039-2024</t>
        </is>
      </c>
      <c r="B918" s="1" t="n">
        <v>45603.43164351852</v>
      </c>
      <c r="C918" s="1" t="n">
        <v>46074</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60076-2024</t>
        </is>
      </c>
      <c r="B919" s="1" t="n">
        <v>45642.53166666667</v>
      </c>
      <c r="C919" s="1" t="n">
        <v>46074</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32711-2024</t>
        </is>
      </c>
      <c r="B920" s="1" t="n">
        <v>45516</v>
      </c>
      <c r="C920" s="1" t="n">
        <v>46074</v>
      </c>
      <c r="D920" t="inlineStr">
        <is>
          <t>JÄMTLANDS LÄN</t>
        </is>
      </c>
      <c r="E920" t="inlineStr">
        <is>
          <t>BERG</t>
        </is>
      </c>
      <c r="G920" t="n">
        <v>0</v>
      </c>
      <c r="H920" t="n">
        <v>0</v>
      </c>
      <c r="I920" t="n">
        <v>0</v>
      </c>
      <c r="J920" t="n">
        <v>0</v>
      </c>
      <c r="K920" t="n">
        <v>0</v>
      </c>
      <c r="L920" t="n">
        <v>0</v>
      </c>
      <c r="M920" t="n">
        <v>0</v>
      </c>
      <c r="N920" t="n">
        <v>0</v>
      </c>
      <c r="O920" t="n">
        <v>0</v>
      </c>
      <c r="P920" t="n">
        <v>0</v>
      </c>
      <c r="Q920" t="n">
        <v>0</v>
      </c>
      <c r="R920" s="2" t="inlineStr"/>
    </row>
    <row r="921" ht="15" customHeight="1">
      <c r="A921" t="inlineStr">
        <is>
          <t>A 15992-2025</t>
        </is>
      </c>
      <c r="B921" s="1" t="n">
        <v>45749.58319444444</v>
      </c>
      <c r="C921" s="1" t="n">
        <v>46074</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2472-2025</t>
        </is>
      </c>
      <c r="B922" s="1" t="n">
        <v>45674.47341435185</v>
      </c>
      <c r="C922" s="1" t="n">
        <v>46074</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8239-2024</t>
        </is>
      </c>
      <c r="B923" s="1" t="n">
        <v>45351</v>
      </c>
      <c r="C923" s="1" t="n">
        <v>46074</v>
      </c>
      <c r="D923" t="inlineStr">
        <is>
          <t>JÄMTLANDS LÄN</t>
        </is>
      </c>
      <c r="E923" t="inlineStr">
        <is>
          <t>BERG</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46074</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44313-2023</t>
        </is>
      </c>
      <c r="B925" s="1" t="n">
        <v>45188.6505787037</v>
      </c>
      <c r="C925" s="1" t="n">
        <v>46074</v>
      </c>
      <c r="D925" t="inlineStr">
        <is>
          <t>JÄMTLANDS LÄN</t>
        </is>
      </c>
      <c r="E925" t="inlineStr">
        <is>
          <t>BERG</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19181-2025</t>
        </is>
      </c>
      <c r="B926" s="1" t="n">
        <v>45769.40174768519</v>
      </c>
      <c r="C926" s="1" t="n">
        <v>46074</v>
      </c>
      <c r="D926" t="inlineStr">
        <is>
          <t>JÄMTLANDS LÄN</t>
        </is>
      </c>
      <c r="E926" t="inlineStr">
        <is>
          <t>BERG</t>
        </is>
      </c>
      <c r="G926" t="n">
        <v>4.4</v>
      </c>
      <c r="H926" t="n">
        <v>0</v>
      </c>
      <c r="I926" t="n">
        <v>0</v>
      </c>
      <c r="J926" t="n">
        <v>0</v>
      </c>
      <c r="K926" t="n">
        <v>0</v>
      </c>
      <c r="L926" t="n">
        <v>0</v>
      </c>
      <c r="M926" t="n">
        <v>0</v>
      </c>
      <c r="N926" t="n">
        <v>0</v>
      </c>
      <c r="O926" t="n">
        <v>0</v>
      </c>
      <c r="P926" t="n">
        <v>0</v>
      </c>
      <c r="Q926" t="n">
        <v>0</v>
      </c>
      <c r="R926" s="2" t="inlineStr"/>
    </row>
    <row r="927" ht="15" customHeight="1">
      <c r="A927" t="inlineStr">
        <is>
          <t>A 19891-2025</t>
        </is>
      </c>
      <c r="B927" s="1" t="n">
        <v>45771.5743287037</v>
      </c>
      <c r="C927" s="1" t="n">
        <v>46074</v>
      </c>
      <c r="D927" t="inlineStr">
        <is>
          <t>JÄMTLANDS LÄN</t>
        </is>
      </c>
      <c r="E927" t="inlineStr">
        <is>
          <t>BERG</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30917-2024</t>
        </is>
      </c>
      <c r="B928" s="1" t="n">
        <v>45498.66611111111</v>
      </c>
      <c r="C928" s="1" t="n">
        <v>46074</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14341-2025</t>
        </is>
      </c>
      <c r="B929" s="1" t="n">
        <v>45741.26008101852</v>
      </c>
      <c r="C929" s="1" t="n">
        <v>46074</v>
      </c>
      <c r="D929" t="inlineStr">
        <is>
          <t>JÄMTLANDS LÄN</t>
        </is>
      </c>
      <c r="E929" t="inlineStr">
        <is>
          <t>BERG</t>
        </is>
      </c>
      <c r="G929" t="n">
        <v>3.8</v>
      </c>
      <c r="H929" t="n">
        <v>0</v>
      </c>
      <c r="I929" t="n">
        <v>0</v>
      </c>
      <c r="J929" t="n">
        <v>0</v>
      </c>
      <c r="K929" t="n">
        <v>0</v>
      </c>
      <c r="L929" t="n">
        <v>0</v>
      </c>
      <c r="M929" t="n">
        <v>0</v>
      </c>
      <c r="N929" t="n">
        <v>0</v>
      </c>
      <c r="O929" t="n">
        <v>0</v>
      </c>
      <c r="P929" t="n">
        <v>0</v>
      </c>
      <c r="Q929" t="n">
        <v>0</v>
      </c>
      <c r="R929" s="2" t="inlineStr"/>
    </row>
    <row r="930" ht="15" customHeight="1">
      <c r="A930" t="inlineStr">
        <is>
          <t>A 59634-2022</t>
        </is>
      </c>
      <c r="B930" s="1" t="n">
        <v>44907.9645949074</v>
      </c>
      <c r="C930" s="1" t="n">
        <v>46074</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46816-2023</t>
        </is>
      </c>
      <c r="B931" s="1" t="n">
        <v>45198</v>
      </c>
      <c r="C931" s="1" t="n">
        <v>46074</v>
      </c>
      <c r="D931" t="inlineStr">
        <is>
          <t>JÄMTLANDS LÄN</t>
        </is>
      </c>
      <c r="E931" t="inlineStr">
        <is>
          <t>BERG</t>
        </is>
      </c>
      <c r="F931" t="inlineStr">
        <is>
          <t>SCA</t>
        </is>
      </c>
      <c r="G931" t="n">
        <v>66.2</v>
      </c>
      <c r="H931" t="n">
        <v>0</v>
      </c>
      <c r="I931" t="n">
        <v>0</v>
      </c>
      <c r="J931" t="n">
        <v>0</v>
      </c>
      <c r="K931" t="n">
        <v>0</v>
      </c>
      <c r="L931" t="n">
        <v>0</v>
      </c>
      <c r="M931" t="n">
        <v>0</v>
      </c>
      <c r="N931" t="n">
        <v>0</v>
      </c>
      <c r="O931" t="n">
        <v>0</v>
      </c>
      <c r="P931" t="n">
        <v>0</v>
      </c>
      <c r="Q931" t="n">
        <v>0</v>
      </c>
      <c r="R931" s="2" t="inlineStr"/>
    </row>
    <row r="932" ht="15" customHeight="1">
      <c r="A932" t="inlineStr">
        <is>
          <t>A 49555-2023</t>
        </is>
      </c>
      <c r="B932" s="1" t="n">
        <v>45205</v>
      </c>
      <c r="C932" s="1" t="n">
        <v>46074</v>
      </c>
      <c r="D932" t="inlineStr">
        <is>
          <t>JÄMTLANDS LÄN</t>
        </is>
      </c>
      <c r="E932" t="inlineStr">
        <is>
          <t>BERG</t>
        </is>
      </c>
      <c r="G932" t="n">
        <v>0.6</v>
      </c>
      <c r="H932" t="n">
        <v>0</v>
      </c>
      <c r="I932" t="n">
        <v>0</v>
      </c>
      <c r="J932" t="n">
        <v>0</v>
      </c>
      <c r="K932" t="n">
        <v>0</v>
      </c>
      <c r="L932" t="n">
        <v>0</v>
      </c>
      <c r="M932" t="n">
        <v>0</v>
      </c>
      <c r="N932" t="n">
        <v>0</v>
      </c>
      <c r="O932" t="n">
        <v>0</v>
      </c>
      <c r="P932" t="n">
        <v>0</v>
      </c>
      <c r="Q932" t="n">
        <v>0</v>
      </c>
      <c r="R932" s="2" t="inlineStr"/>
    </row>
    <row r="933" ht="15" customHeight="1">
      <c r="A933" t="inlineStr">
        <is>
          <t>A 59521-2024</t>
        </is>
      </c>
      <c r="B933" s="1" t="n">
        <v>45638.57283564815</v>
      </c>
      <c r="C933" s="1" t="n">
        <v>46074</v>
      </c>
      <c r="D933" t="inlineStr">
        <is>
          <t>JÄMTLANDS LÄN</t>
        </is>
      </c>
      <c r="E933" t="inlineStr">
        <is>
          <t>BERG</t>
        </is>
      </c>
      <c r="G933" t="n">
        <v>2.1</v>
      </c>
      <c r="H933" t="n">
        <v>0</v>
      </c>
      <c r="I933" t="n">
        <v>0</v>
      </c>
      <c r="J933" t="n">
        <v>0</v>
      </c>
      <c r="K933" t="n">
        <v>0</v>
      </c>
      <c r="L933" t="n">
        <v>0</v>
      </c>
      <c r="M933" t="n">
        <v>0</v>
      </c>
      <c r="N933" t="n">
        <v>0</v>
      </c>
      <c r="O933" t="n">
        <v>0</v>
      </c>
      <c r="P933" t="n">
        <v>0</v>
      </c>
      <c r="Q933" t="n">
        <v>0</v>
      </c>
      <c r="R933" s="2" t="inlineStr"/>
    </row>
    <row r="934" ht="15" customHeight="1">
      <c r="A934" t="inlineStr">
        <is>
          <t>A 19513-2025</t>
        </is>
      </c>
      <c r="B934" s="1" t="n">
        <v>45770.42762731481</v>
      </c>
      <c r="C934" s="1" t="n">
        <v>46074</v>
      </c>
      <c r="D934" t="inlineStr">
        <is>
          <t>JÄMTLANDS LÄN</t>
        </is>
      </c>
      <c r="E934" t="inlineStr">
        <is>
          <t>BERG</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9478-2024</t>
        </is>
      </c>
      <c r="B935" s="1" t="n">
        <v>45359.5732175926</v>
      </c>
      <c r="C935" s="1" t="n">
        <v>46074</v>
      </c>
      <c r="D935" t="inlineStr">
        <is>
          <t>JÄMTLANDS LÄN</t>
        </is>
      </c>
      <c r="E935" t="inlineStr">
        <is>
          <t>BERG</t>
        </is>
      </c>
      <c r="G935" t="n">
        <v>6.2</v>
      </c>
      <c r="H935" t="n">
        <v>0</v>
      </c>
      <c r="I935" t="n">
        <v>0</v>
      </c>
      <c r="J935" t="n">
        <v>0</v>
      </c>
      <c r="K935" t="n">
        <v>0</v>
      </c>
      <c r="L935" t="n">
        <v>0</v>
      </c>
      <c r="M935" t="n">
        <v>0</v>
      </c>
      <c r="N935" t="n">
        <v>0</v>
      </c>
      <c r="O935" t="n">
        <v>0</v>
      </c>
      <c r="P935" t="n">
        <v>0</v>
      </c>
      <c r="Q935" t="n">
        <v>0</v>
      </c>
      <c r="R935" s="2" t="inlineStr"/>
    </row>
    <row r="936" ht="15" customHeight="1">
      <c r="A936" t="inlineStr">
        <is>
          <t>A 21156-2025</t>
        </is>
      </c>
      <c r="B936" s="1" t="n">
        <v>45779.37599537037</v>
      </c>
      <c r="C936" s="1" t="n">
        <v>46074</v>
      </c>
      <c r="D936" t="inlineStr">
        <is>
          <t>JÄMTLANDS LÄN</t>
        </is>
      </c>
      <c r="E936" t="inlineStr">
        <is>
          <t>BERG</t>
        </is>
      </c>
      <c r="F936" t="inlineStr">
        <is>
          <t>Holmen skog AB</t>
        </is>
      </c>
      <c r="G936" t="n">
        <v>5.2</v>
      </c>
      <c r="H936" t="n">
        <v>0</v>
      </c>
      <c r="I936" t="n">
        <v>0</v>
      </c>
      <c r="J936" t="n">
        <v>0</v>
      </c>
      <c r="K936" t="n">
        <v>0</v>
      </c>
      <c r="L936" t="n">
        <v>0</v>
      </c>
      <c r="M936" t="n">
        <v>0</v>
      </c>
      <c r="N936" t="n">
        <v>0</v>
      </c>
      <c r="O936" t="n">
        <v>0</v>
      </c>
      <c r="P936" t="n">
        <v>0</v>
      </c>
      <c r="Q936" t="n">
        <v>0</v>
      </c>
      <c r="R936" s="2" t="inlineStr"/>
    </row>
    <row r="937" ht="15" customHeight="1">
      <c r="A937" t="inlineStr">
        <is>
          <t>A 21472-2025</t>
        </is>
      </c>
      <c r="B937" s="1" t="n">
        <v>45782.59024305556</v>
      </c>
      <c r="C937" s="1" t="n">
        <v>46074</v>
      </c>
      <c r="D937" t="inlineStr">
        <is>
          <t>JÄMTLANDS LÄN</t>
        </is>
      </c>
      <c r="E937" t="inlineStr">
        <is>
          <t>BERG</t>
        </is>
      </c>
      <c r="G937" t="n">
        <v>21.9</v>
      </c>
      <c r="H937" t="n">
        <v>0</v>
      </c>
      <c r="I937" t="n">
        <v>0</v>
      </c>
      <c r="J937" t="n">
        <v>0</v>
      </c>
      <c r="K937" t="n">
        <v>0</v>
      </c>
      <c r="L937" t="n">
        <v>0</v>
      </c>
      <c r="M937" t="n">
        <v>0</v>
      </c>
      <c r="N937" t="n">
        <v>0</v>
      </c>
      <c r="O937" t="n">
        <v>0</v>
      </c>
      <c r="P937" t="n">
        <v>0</v>
      </c>
      <c r="Q937" t="n">
        <v>0</v>
      </c>
      <c r="R937" s="2" t="inlineStr"/>
    </row>
    <row r="938" ht="15" customHeight="1">
      <c r="A938" t="inlineStr">
        <is>
          <t>A 21292-2025</t>
        </is>
      </c>
      <c r="B938" s="1" t="n">
        <v>45780.39354166666</v>
      </c>
      <c r="C938" s="1" t="n">
        <v>46074</v>
      </c>
      <c r="D938" t="inlineStr">
        <is>
          <t>JÄMTLANDS LÄN</t>
        </is>
      </c>
      <c r="E938" t="inlineStr">
        <is>
          <t>BERG</t>
        </is>
      </c>
      <c r="G938" t="n">
        <v>1.6</v>
      </c>
      <c r="H938" t="n">
        <v>0</v>
      </c>
      <c r="I938" t="n">
        <v>0</v>
      </c>
      <c r="J938" t="n">
        <v>0</v>
      </c>
      <c r="K938" t="n">
        <v>0</v>
      </c>
      <c r="L938" t="n">
        <v>0</v>
      </c>
      <c r="M938" t="n">
        <v>0</v>
      </c>
      <c r="N938" t="n">
        <v>0</v>
      </c>
      <c r="O938" t="n">
        <v>0</v>
      </c>
      <c r="P938" t="n">
        <v>0</v>
      </c>
      <c r="Q938" t="n">
        <v>0</v>
      </c>
      <c r="R938" s="2" t="inlineStr"/>
    </row>
    <row r="939" ht="15" customHeight="1">
      <c r="A939" t="inlineStr">
        <is>
          <t>A 32020-2023</t>
        </is>
      </c>
      <c r="B939" s="1" t="n">
        <v>45119.49261574074</v>
      </c>
      <c r="C939" s="1" t="n">
        <v>46074</v>
      </c>
      <c r="D939" t="inlineStr">
        <is>
          <t>JÄMTLANDS LÄN</t>
        </is>
      </c>
      <c r="E939" t="inlineStr">
        <is>
          <t>BERG</t>
        </is>
      </c>
      <c r="G939" t="n">
        <v>10.3</v>
      </c>
      <c r="H939" t="n">
        <v>0</v>
      </c>
      <c r="I939" t="n">
        <v>0</v>
      </c>
      <c r="J939" t="n">
        <v>0</v>
      </c>
      <c r="K939" t="n">
        <v>0</v>
      </c>
      <c r="L939" t="n">
        <v>0</v>
      </c>
      <c r="M939" t="n">
        <v>0</v>
      </c>
      <c r="N939" t="n">
        <v>0</v>
      </c>
      <c r="O939" t="n">
        <v>0</v>
      </c>
      <c r="P939" t="n">
        <v>0</v>
      </c>
      <c r="Q939" t="n">
        <v>0</v>
      </c>
      <c r="R939" s="2" t="inlineStr"/>
    </row>
    <row r="940" ht="15" customHeight="1">
      <c r="A940" t="inlineStr">
        <is>
          <t>A 22180-2025</t>
        </is>
      </c>
      <c r="B940" s="1" t="n">
        <v>45785</v>
      </c>
      <c r="C940" s="1" t="n">
        <v>46074</v>
      </c>
      <c r="D940" t="inlineStr">
        <is>
          <t>JÄMTLANDS LÄN</t>
        </is>
      </c>
      <c r="E940" t="inlineStr">
        <is>
          <t>BERG</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60847-2023</t>
        </is>
      </c>
      <c r="B941" s="1" t="n">
        <v>45260</v>
      </c>
      <c r="C941" s="1" t="n">
        <v>46074</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21851-2025</t>
        </is>
      </c>
      <c r="B942" s="1" t="n">
        <v>45784.34417824074</v>
      </c>
      <c r="C942" s="1" t="n">
        <v>46074</v>
      </c>
      <c r="D942" t="inlineStr">
        <is>
          <t>JÄMTLANDS LÄN</t>
        </is>
      </c>
      <c r="E942" t="inlineStr">
        <is>
          <t>BERG</t>
        </is>
      </c>
      <c r="F942" t="inlineStr">
        <is>
          <t>SCA</t>
        </is>
      </c>
      <c r="G942" t="n">
        <v>10</v>
      </c>
      <c r="H942" t="n">
        <v>0</v>
      </c>
      <c r="I942" t="n">
        <v>0</v>
      </c>
      <c r="J942" t="n">
        <v>0</v>
      </c>
      <c r="K942" t="n">
        <v>0</v>
      </c>
      <c r="L942" t="n">
        <v>0</v>
      </c>
      <c r="M942" t="n">
        <v>0</v>
      </c>
      <c r="N942" t="n">
        <v>0</v>
      </c>
      <c r="O942" t="n">
        <v>0</v>
      </c>
      <c r="P942" t="n">
        <v>0</v>
      </c>
      <c r="Q942" t="n">
        <v>0</v>
      </c>
      <c r="R942" s="2" t="inlineStr"/>
    </row>
    <row r="943" ht="15" customHeight="1">
      <c r="A943" t="inlineStr">
        <is>
          <t>A 46366-2024</t>
        </is>
      </c>
      <c r="B943" s="1" t="n">
        <v>45582.36490740741</v>
      </c>
      <c r="C943" s="1" t="n">
        <v>46074</v>
      </c>
      <c r="D943" t="inlineStr">
        <is>
          <t>JÄMTLANDS LÄN</t>
        </is>
      </c>
      <c r="E943" t="inlineStr">
        <is>
          <t>BERG</t>
        </is>
      </c>
      <c r="G943" t="n">
        <v>5</v>
      </c>
      <c r="H943" t="n">
        <v>0</v>
      </c>
      <c r="I943" t="n">
        <v>0</v>
      </c>
      <c r="J943" t="n">
        <v>0</v>
      </c>
      <c r="K943" t="n">
        <v>0</v>
      </c>
      <c r="L943" t="n">
        <v>0</v>
      </c>
      <c r="M943" t="n">
        <v>0</v>
      </c>
      <c r="N943" t="n">
        <v>0</v>
      </c>
      <c r="O943" t="n">
        <v>0</v>
      </c>
      <c r="P943" t="n">
        <v>0</v>
      </c>
      <c r="Q943" t="n">
        <v>0</v>
      </c>
      <c r="R943" s="2" t="inlineStr"/>
    </row>
    <row r="944" ht="15" customHeight="1">
      <c r="A944" t="inlineStr">
        <is>
          <t>A 22724-2025</t>
        </is>
      </c>
      <c r="B944" s="1" t="n">
        <v>45789.57361111111</v>
      </c>
      <c r="C944" s="1" t="n">
        <v>46074</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22672-2025</t>
        </is>
      </c>
      <c r="B945" s="1" t="n">
        <v>45789.4903587963</v>
      </c>
      <c r="C945" s="1" t="n">
        <v>46074</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22653-2025</t>
        </is>
      </c>
      <c r="B946" s="1" t="n">
        <v>45789.46931712963</v>
      </c>
      <c r="C946" s="1" t="n">
        <v>46074</v>
      </c>
      <c r="D946" t="inlineStr">
        <is>
          <t>JÄMTLANDS LÄN</t>
        </is>
      </c>
      <c r="E946" t="inlineStr">
        <is>
          <t>BERG</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22478-2025</t>
        </is>
      </c>
      <c r="B947" s="1" t="n">
        <v>45786.6349537037</v>
      </c>
      <c r="C947" s="1" t="n">
        <v>46074</v>
      </c>
      <c r="D947" t="inlineStr">
        <is>
          <t>JÄMTLANDS LÄN</t>
        </is>
      </c>
      <c r="E947" t="inlineStr">
        <is>
          <t>BERG</t>
        </is>
      </c>
      <c r="G947" t="n">
        <v>2.5</v>
      </c>
      <c r="H947" t="n">
        <v>0</v>
      </c>
      <c r="I947" t="n">
        <v>0</v>
      </c>
      <c r="J947" t="n">
        <v>0</v>
      </c>
      <c r="K947" t="n">
        <v>0</v>
      </c>
      <c r="L947" t="n">
        <v>0</v>
      </c>
      <c r="M947" t="n">
        <v>0</v>
      </c>
      <c r="N947" t="n">
        <v>0</v>
      </c>
      <c r="O947" t="n">
        <v>0</v>
      </c>
      <c r="P947" t="n">
        <v>0</v>
      </c>
      <c r="Q947" t="n">
        <v>0</v>
      </c>
      <c r="R947" s="2" t="inlineStr"/>
    </row>
    <row r="948" ht="15" customHeight="1">
      <c r="A948" t="inlineStr">
        <is>
          <t>A 34650-2024</t>
        </is>
      </c>
      <c r="B948" s="1" t="n">
        <v>45526.48329861111</v>
      </c>
      <c r="C948" s="1" t="n">
        <v>46074</v>
      </c>
      <c r="D948" t="inlineStr">
        <is>
          <t>JÄMTLANDS LÄN</t>
        </is>
      </c>
      <c r="E948" t="inlineStr">
        <is>
          <t>BERG</t>
        </is>
      </c>
      <c r="G948" t="n">
        <v>4.9</v>
      </c>
      <c r="H948" t="n">
        <v>0</v>
      </c>
      <c r="I948" t="n">
        <v>0</v>
      </c>
      <c r="J948" t="n">
        <v>0</v>
      </c>
      <c r="K948" t="n">
        <v>0</v>
      </c>
      <c r="L948" t="n">
        <v>0</v>
      </c>
      <c r="M948" t="n">
        <v>0</v>
      </c>
      <c r="N948" t="n">
        <v>0</v>
      </c>
      <c r="O948" t="n">
        <v>0</v>
      </c>
      <c r="P948" t="n">
        <v>0</v>
      </c>
      <c r="Q948" t="n">
        <v>0</v>
      </c>
      <c r="R948" s="2" t="inlineStr"/>
    </row>
    <row r="949" ht="15" customHeight="1">
      <c r="A949" t="inlineStr">
        <is>
          <t>A 22991-2025</t>
        </is>
      </c>
      <c r="B949" s="1" t="n">
        <v>45790.57836805555</v>
      </c>
      <c r="C949" s="1" t="n">
        <v>46074</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23026-2025</t>
        </is>
      </c>
      <c r="B950" s="1" t="n">
        <v>45790.65690972222</v>
      </c>
      <c r="C950" s="1" t="n">
        <v>46074</v>
      </c>
      <c r="D950" t="inlineStr">
        <is>
          <t>JÄMTLANDS LÄN</t>
        </is>
      </c>
      <c r="E950" t="inlineStr">
        <is>
          <t>BERG</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22995-2025</t>
        </is>
      </c>
      <c r="B951" s="1" t="n">
        <v>45790.58265046297</v>
      </c>
      <c r="C951" s="1" t="n">
        <v>46074</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23766-2025</t>
        </is>
      </c>
      <c r="B952" s="1" t="n">
        <v>45793.46954861111</v>
      </c>
      <c r="C952" s="1" t="n">
        <v>46074</v>
      </c>
      <c r="D952" t="inlineStr">
        <is>
          <t>JÄMTLANDS LÄN</t>
        </is>
      </c>
      <c r="E952" t="inlineStr">
        <is>
          <t>BERG</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23913-2025</t>
        </is>
      </c>
      <c r="B953" s="1" t="n">
        <v>45795.34442129629</v>
      </c>
      <c r="C953" s="1" t="n">
        <v>46074</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23919-2025</t>
        </is>
      </c>
      <c r="B954" s="1" t="n">
        <v>45795.34497685185</v>
      </c>
      <c r="C954" s="1" t="n">
        <v>46074</v>
      </c>
      <c r="D954" t="inlineStr">
        <is>
          <t>JÄMTLANDS LÄN</t>
        </is>
      </c>
      <c r="E954" t="inlineStr">
        <is>
          <t>BERG</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24324-2025</t>
        </is>
      </c>
      <c r="B955" s="1" t="n">
        <v>45797.56049768518</v>
      </c>
      <c r="C955" s="1" t="n">
        <v>46074</v>
      </c>
      <c r="D955" t="inlineStr">
        <is>
          <t>JÄMTLANDS LÄN</t>
        </is>
      </c>
      <c r="E955" t="inlineStr">
        <is>
          <t>BERG</t>
        </is>
      </c>
      <c r="G955" t="n">
        <v>1.6</v>
      </c>
      <c r="H955" t="n">
        <v>0</v>
      </c>
      <c r="I955" t="n">
        <v>0</v>
      </c>
      <c r="J955" t="n">
        <v>0</v>
      </c>
      <c r="K955" t="n">
        <v>0</v>
      </c>
      <c r="L955" t="n">
        <v>0</v>
      </c>
      <c r="M955" t="n">
        <v>0</v>
      </c>
      <c r="N955" t="n">
        <v>0</v>
      </c>
      <c r="O955" t="n">
        <v>0</v>
      </c>
      <c r="P955" t="n">
        <v>0</v>
      </c>
      <c r="Q955" t="n">
        <v>0</v>
      </c>
      <c r="R955" s="2" t="inlineStr"/>
    </row>
    <row r="956" ht="15" customHeight="1">
      <c r="A956" t="inlineStr">
        <is>
          <t>A 23900-2025</t>
        </is>
      </c>
      <c r="B956" s="1" t="n">
        <v>45794.34425925926</v>
      </c>
      <c r="C956" s="1" t="n">
        <v>46074</v>
      </c>
      <c r="D956" t="inlineStr">
        <is>
          <t>JÄMTLANDS LÄN</t>
        </is>
      </c>
      <c r="E956" t="inlineStr">
        <is>
          <t>BERG</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23915-2025</t>
        </is>
      </c>
      <c r="B957" s="1" t="n">
        <v>45795.3446412037</v>
      </c>
      <c r="C957" s="1" t="n">
        <v>46074</v>
      </c>
      <c r="D957" t="inlineStr">
        <is>
          <t>JÄMTLANDS LÄN</t>
        </is>
      </c>
      <c r="E957" t="inlineStr">
        <is>
          <t>BERG</t>
        </is>
      </c>
      <c r="F957" t="inlineStr">
        <is>
          <t>SCA</t>
        </is>
      </c>
      <c r="G957" t="n">
        <v>16.7</v>
      </c>
      <c r="H957" t="n">
        <v>0</v>
      </c>
      <c r="I957" t="n">
        <v>0</v>
      </c>
      <c r="J957" t="n">
        <v>0</v>
      </c>
      <c r="K957" t="n">
        <v>0</v>
      </c>
      <c r="L957" t="n">
        <v>0</v>
      </c>
      <c r="M957" t="n">
        <v>0</v>
      </c>
      <c r="N957" t="n">
        <v>0</v>
      </c>
      <c r="O957" t="n">
        <v>0</v>
      </c>
      <c r="P957" t="n">
        <v>0</v>
      </c>
      <c r="Q957" t="n">
        <v>0</v>
      </c>
      <c r="R957" s="2" t="inlineStr"/>
    </row>
    <row r="958" ht="15" customHeight="1">
      <c r="A958" t="inlineStr">
        <is>
          <t>A 23916-2025</t>
        </is>
      </c>
      <c r="B958" s="1" t="n">
        <v>45795.34472222222</v>
      </c>
      <c r="C958" s="1" t="n">
        <v>46074</v>
      </c>
      <c r="D958" t="inlineStr">
        <is>
          <t>JÄMTLANDS LÄN</t>
        </is>
      </c>
      <c r="E958" t="inlineStr">
        <is>
          <t>BERG</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24360-2025</t>
        </is>
      </c>
      <c r="B959" s="1" t="n">
        <v>45797.59502314815</v>
      </c>
      <c r="C959" s="1" t="n">
        <v>46074</v>
      </c>
      <c r="D959" t="inlineStr">
        <is>
          <t>JÄMTLANDS LÄN</t>
        </is>
      </c>
      <c r="E959" t="inlineStr">
        <is>
          <t>BERG</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24060-2025</t>
        </is>
      </c>
      <c r="B960" s="1" t="n">
        <v>45796.5216087963</v>
      </c>
      <c r="C960" s="1" t="n">
        <v>46074</v>
      </c>
      <c r="D960" t="inlineStr">
        <is>
          <t>JÄMTLANDS LÄN</t>
        </is>
      </c>
      <c r="E960" t="inlineStr">
        <is>
          <t>BERG</t>
        </is>
      </c>
      <c r="G960" t="n">
        <v>4.7</v>
      </c>
      <c r="H960" t="n">
        <v>0</v>
      </c>
      <c r="I960" t="n">
        <v>0</v>
      </c>
      <c r="J960" t="n">
        <v>0</v>
      </c>
      <c r="K960" t="n">
        <v>0</v>
      </c>
      <c r="L960" t="n">
        <v>0</v>
      </c>
      <c r="M960" t="n">
        <v>0</v>
      </c>
      <c r="N960" t="n">
        <v>0</v>
      </c>
      <c r="O960" t="n">
        <v>0</v>
      </c>
      <c r="P960" t="n">
        <v>0</v>
      </c>
      <c r="Q960" t="n">
        <v>0</v>
      </c>
      <c r="R960" s="2" t="inlineStr"/>
    </row>
    <row r="961" ht="15" customHeight="1">
      <c r="A961" t="inlineStr">
        <is>
          <t>A 24390-2025</t>
        </is>
      </c>
      <c r="B961" s="1" t="n">
        <v>45797.63576388889</v>
      </c>
      <c r="C961" s="1" t="n">
        <v>46074</v>
      </c>
      <c r="D961" t="inlineStr">
        <is>
          <t>JÄMTLANDS LÄN</t>
        </is>
      </c>
      <c r="E961" t="inlineStr">
        <is>
          <t>BERG</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23901-2025</t>
        </is>
      </c>
      <c r="B962" s="1" t="n">
        <v>45794.34436342592</v>
      </c>
      <c r="C962" s="1" t="n">
        <v>46074</v>
      </c>
      <c r="D962" t="inlineStr">
        <is>
          <t>JÄMTLANDS LÄN</t>
        </is>
      </c>
      <c r="E962" t="inlineStr">
        <is>
          <t>BERG</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23920-2025</t>
        </is>
      </c>
      <c r="B963" s="1" t="n">
        <v>45795.34505787037</v>
      </c>
      <c r="C963" s="1" t="n">
        <v>46074</v>
      </c>
      <c r="D963" t="inlineStr">
        <is>
          <t>JÄMTLANDS LÄN</t>
        </is>
      </c>
      <c r="E963" t="inlineStr">
        <is>
          <t>BERG</t>
        </is>
      </c>
      <c r="F963" t="inlineStr">
        <is>
          <t>SCA</t>
        </is>
      </c>
      <c r="G963" t="n">
        <v>8.5</v>
      </c>
      <c r="H963" t="n">
        <v>0</v>
      </c>
      <c r="I963" t="n">
        <v>0</v>
      </c>
      <c r="J963" t="n">
        <v>0</v>
      </c>
      <c r="K963" t="n">
        <v>0</v>
      </c>
      <c r="L963" t="n">
        <v>0</v>
      </c>
      <c r="M963" t="n">
        <v>0</v>
      </c>
      <c r="N963" t="n">
        <v>0</v>
      </c>
      <c r="O963" t="n">
        <v>0</v>
      </c>
      <c r="P963" t="n">
        <v>0</v>
      </c>
      <c r="Q963" t="n">
        <v>0</v>
      </c>
      <c r="R963" s="2" t="inlineStr"/>
    </row>
    <row r="964" ht="15" customHeight="1">
      <c r="A964" t="inlineStr">
        <is>
          <t>A 23902-2025</t>
        </is>
      </c>
      <c r="B964" s="1" t="n">
        <v>45794.34447916667</v>
      </c>
      <c r="C964" s="1" t="n">
        <v>46074</v>
      </c>
      <c r="D964" t="inlineStr">
        <is>
          <t>JÄMTLANDS LÄN</t>
        </is>
      </c>
      <c r="E964" t="inlineStr">
        <is>
          <t>BERG</t>
        </is>
      </c>
      <c r="F964" t="inlineStr">
        <is>
          <t>SCA</t>
        </is>
      </c>
      <c r="G964" t="n">
        <v>14.3</v>
      </c>
      <c r="H964" t="n">
        <v>0</v>
      </c>
      <c r="I964" t="n">
        <v>0</v>
      </c>
      <c r="J964" t="n">
        <v>0</v>
      </c>
      <c r="K964" t="n">
        <v>0</v>
      </c>
      <c r="L964" t="n">
        <v>0</v>
      </c>
      <c r="M964" t="n">
        <v>0</v>
      </c>
      <c r="N964" t="n">
        <v>0</v>
      </c>
      <c r="O964" t="n">
        <v>0</v>
      </c>
      <c r="P964" t="n">
        <v>0</v>
      </c>
      <c r="Q964" t="n">
        <v>0</v>
      </c>
      <c r="R964" s="2" t="inlineStr"/>
    </row>
    <row r="965" ht="15" customHeight="1">
      <c r="A965" t="inlineStr">
        <is>
          <t>A 24954-2025</t>
        </is>
      </c>
      <c r="B965" s="1" t="n">
        <v>45799.57385416667</v>
      </c>
      <c r="C965" s="1" t="n">
        <v>46074</v>
      </c>
      <c r="D965" t="inlineStr">
        <is>
          <t>JÄMTLANDS LÄN</t>
        </is>
      </c>
      <c r="E965" t="inlineStr">
        <is>
          <t>BERG</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24786-2025</t>
        </is>
      </c>
      <c r="B966" s="1" t="n">
        <v>45799.42777777778</v>
      </c>
      <c r="C966" s="1" t="n">
        <v>46074</v>
      </c>
      <c r="D966" t="inlineStr">
        <is>
          <t>JÄMTLANDS LÄN</t>
        </is>
      </c>
      <c r="E966" t="inlineStr">
        <is>
          <t>BERG</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24869-2025</t>
        </is>
      </c>
      <c r="B967" s="1" t="n">
        <v>45799.48994212963</v>
      </c>
      <c r="C967" s="1" t="n">
        <v>46074</v>
      </c>
      <c r="D967" t="inlineStr">
        <is>
          <t>JÄMTLANDS LÄN</t>
        </is>
      </c>
      <c r="E967" t="inlineStr">
        <is>
          <t>BERG</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24442-2025</t>
        </is>
      </c>
      <c r="B968" s="1" t="n">
        <v>45797.96236111111</v>
      </c>
      <c r="C968" s="1" t="n">
        <v>46074</v>
      </c>
      <c r="D968" t="inlineStr">
        <is>
          <t>JÄMTLANDS LÄN</t>
        </is>
      </c>
      <c r="E968" t="inlineStr">
        <is>
          <t>BERG</t>
        </is>
      </c>
      <c r="G968" t="n">
        <v>9</v>
      </c>
      <c r="H968" t="n">
        <v>0</v>
      </c>
      <c r="I968" t="n">
        <v>0</v>
      </c>
      <c r="J968" t="n">
        <v>0</v>
      </c>
      <c r="K968" t="n">
        <v>0</v>
      </c>
      <c r="L968" t="n">
        <v>0</v>
      </c>
      <c r="M968" t="n">
        <v>0</v>
      </c>
      <c r="N968" t="n">
        <v>0</v>
      </c>
      <c r="O968" t="n">
        <v>0</v>
      </c>
      <c r="P968" t="n">
        <v>0</v>
      </c>
      <c r="Q968" t="n">
        <v>0</v>
      </c>
      <c r="R968" s="2" t="inlineStr"/>
    </row>
    <row r="969" ht="15" customHeight="1">
      <c r="A969" t="inlineStr">
        <is>
          <t>A 24849-2025</t>
        </is>
      </c>
      <c r="B969" s="1" t="n">
        <v>45799.46949074074</v>
      </c>
      <c r="C969" s="1" t="n">
        <v>46074</v>
      </c>
      <c r="D969" t="inlineStr">
        <is>
          <t>JÄMTLANDS LÄN</t>
        </is>
      </c>
      <c r="E969" t="inlineStr">
        <is>
          <t>BERG</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25452-2025</t>
        </is>
      </c>
      <c r="B970" s="1" t="n">
        <v>45802.34440972222</v>
      </c>
      <c r="C970" s="1" t="n">
        <v>46074</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60409-2023</t>
        </is>
      </c>
      <c r="B971" s="1" t="n">
        <v>45259.47972222222</v>
      </c>
      <c r="C971" s="1" t="n">
        <v>46074</v>
      </c>
      <c r="D971" t="inlineStr">
        <is>
          <t>JÄMTLANDS LÄN</t>
        </is>
      </c>
      <c r="E971" t="inlineStr">
        <is>
          <t>BERG</t>
        </is>
      </c>
      <c r="G971" t="n">
        <v>5.8</v>
      </c>
      <c r="H971" t="n">
        <v>0</v>
      </c>
      <c r="I971" t="n">
        <v>0</v>
      </c>
      <c r="J971" t="n">
        <v>0</v>
      </c>
      <c r="K971" t="n">
        <v>0</v>
      </c>
      <c r="L971" t="n">
        <v>0</v>
      </c>
      <c r="M971" t="n">
        <v>0</v>
      </c>
      <c r="N971" t="n">
        <v>0</v>
      </c>
      <c r="O971" t="n">
        <v>0</v>
      </c>
      <c r="P971" t="n">
        <v>0</v>
      </c>
      <c r="Q971" t="n">
        <v>0</v>
      </c>
      <c r="R971" s="2" t="inlineStr"/>
    </row>
    <row r="972" ht="15" customHeight="1">
      <c r="A972" t="inlineStr">
        <is>
          <t>A 29378-2024</t>
        </is>
      </c>
      <c r="B972" s="1" t="n">
        <v>45483.59328703704</v>
      </c>
      <c r="C972" s="1" t="n">
        <v>46074</v>
      </c>
      <c r="D972" t="inlineStr">
        <is>
          <t>JÄMTLANDS LÄN</t>
        </is>
      </c>
      <c r="E972" t="inlineStr">
        <is>
          <t>BERG</t>
        </is>
      </c>
      <c r="G972" t="n">
        <v>5.6</v>
      </c>
      <c r="H972" t="n">
        <v>0</v>
      </c>
      <c r="I972" t="n">
        <v>0</v>
      </c>
      <c r="J972" t="n">
        <v>0</v>
      </c>
      <c r="K972" t="n">
        <v>0</v>
      </c>
      <c r="L972" t="n">
        <v>0</v>
      </c>
      <c r="M972" t="n">
        <v>0</v>
      </c>
      <c r="N972" t="n">
        <v>0</v>
      </c>
      <c r="O972" t="n">
        <v>0</v>
      </c>
      <c r="P972" t="n">
        <v>0</v>
      </c>
      <c r="Q972" t="n">
        <v>0</v>
      </c>
      <c r="R972" s="2" t="inlineStr"/>
    </row>
    <row r="973" ht="15" customHeight="1">
      <c r="A973" t="inlineStr">
        <is>
          <t>A 21508-2024</t>
        </is>
      </c>
      <c r="B973" s="1" t="n">
        <v>45441.56905092593</v>
      </c>
      <c r="C973" s="1" t="n">
        <v>46074</v>
      </c>
      <c r="D973" t="inlineStr">
        <is>
          <t>JÄMTLANDS LÄN</t>
        </is>
      </c>
      <c r="E973" t="inlineStr">
        <is>
          <t>BERG</t>
        </is>
      </c>
      <c r="G973" t="n">
        <v>3.2</v>
      </c>
      <c r="H973" t="n">
        <v>0</v>
      </c>
      <c r="I973" t="n">
        <v>0</v>
      </c>
      <c r="J973" t="n">
        <v>0</v>
      </c>
      <c r="K973" t="n">
        <v>0</v>
      </c>
      <c r="L973" t="n">
        <v>0</v>
      </c>
      <c r="M973" t="n">
        <v>0</v>
      </c>
      <c r="N973" t="n">
        <v>0</v>
      </c>
      <c r="O973" t="n">
        <v>0</v>
      </c>
      <c r="P973" t="n">
        <v>0</v>
      </c>
      <c r="Q973" t="n">
        <v>0</v>
      </c>
      <c r="R973" s="2" t="inlineStr"/>
    </row>
    <row r="974" ht="15" customHeight="1">
      <c r="A974" t="inlineStr">
        <is>
          <t>A 25454-2025</t>
        </is>
      </c>
      <c r="B974" s="1" t="n">
        <v>45802.34460648148</v>
      </c>
      <c r="C974" s="1" t="n">
        <v>46074</v>
      </c>
      <c r="D974" t="inlineStr">
        <is>
          <t>JÄMTLANDS LÄN</t>
        </is>
      </c>
      <c r="E974" t="inlineStr">
        <is>
          <t>BERG</t>
        </is>
      </c>
      <c r="F974" t="inlineStr">
        <is>
          <t>SCA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25453-2025</t>
        </is>
      </c>
      <c r="B975" s="1" t="n">
        <v>45802.34451388889</v>
      </c>
      <c r="C975" s="1" t="n">
        <v>46074</v>
      </c>
      <c r="D975" t="inlineStr">
        <is>
          <t>JÄMTLANDS LÄN</t>
        </is>
      </c>
      <c r="E975" t="inlineStr">
        <is>
          <t>BERG</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25441-2025</t>
        </is>
      </c>
      <c r="B976" s="1" t="n">
        <v>45801.34476851852</v>
      </c>
      <c r="C976" s="1" t="n">
        <v>46074</v>
      </c>
      <c r="D976" t="inlineStr">
        <is>
          <t>JÄMTLANDS LÄN</t>
        </is>
      </c>
      <c r="E976" t="inlineStr">
        <is>
          <t>BERG</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26013-2025</t>
        </is>
      </c>
      <c r="B977" s="1" t="n">
        <v>45804.67760416667</v>
      </c>
      <c r="C977" s="1" t="n">
        <v>46074</v>
      </c>
      <c r="D977" t="inlineStr">
        <is>
          <t>JÄMTLANDS LÄN</t>
        </is>
      </c>
      <c r="E977" t="inlineStr">
        <is>
          <t>BERG</t>
        </is>
      </c>
      <c r="F977" t="inlineStr">
        <is>
          <t>SCA</t>
        </is>
      </c>
      <c r="G977" t="n">
        <v>11.7</v>
      </c>
      <c r="H977" t="n">
        <v>0</v>
      </c>
      <c r="I977" t="n">
        <v>0</v>
      </c>
      <c r="J977" t="n">
        <v>0</v>
      </c>
      <c r="K977" t="n">
        <v>0</v>
      </c>
      <c r="L977" t="n">
        <v>0</v>
      </c>
      <c r="M977" t="n">
        <v>0</v>
      </c>
      <c r="N977" t="n">
        <v>0</v>
      </c>
      <c r="O977" t="n">
        <v>0</v>
      </c>
      <c r="P977" t="n">
        <v>0</v>
      </c>
      <c r="Q977" t="n">
        <v>0</v>
      </c>
      <c r="R977" s="2" t="inlineStr"/>
    </row>
    <row r="978" ht="15" customHeight="1">
      <c r="A978" t="inlineStr">
        <is>
          <t>A 25976-2025</t>
        </is>
      </c>
      <c r="B978" s="1" t="n">
        <v>45804.63596064815</v>
      </c>
      <c r="C978" s="1" t="n">
        <v>46074</v>
      </c>
      <c r="D978" t="inlineStr">
        <is>
          <t>JÄMTLANDS LÄN</t>
        </is>
      </c>
      <c r="E978" t="inlineStr">
        <is>
          <t>BERG</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25979-2025</t>
        </is>
      </c>
      <c r="B979" s="1" t="n">
        <v>45804.63642361111</v>
      </c>
      <c r="C979" s="1" t="n">
        <v>46074</v>
      </c>
      <c r="D979" t="inlineStr">
        <is>
          <t>JÄMTLANDS LÄN</t>
        </is>
      </c>
      <c r="E979" t="inlineStr">
        <is>
          <t>BERG</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26053-2025</t>
        </is>
      </c>
      <c r="B980" s="1" t="n">
        <v>45804.75445601852</v>
      </c>
      <c r="C980" s="1" t="n">
        <v>46074</v>
      </c>
      <c r="D980" t="inlineStr">
        <is>
          <t>JÄMTLANDS LÄN</t>
        </is>
      </c>
      <c r="E980" t="inlineStr">
        <is>
          <t>BERG</t>
        </is>
      </c>
      <c r="G980" t="n">
        <v>6</v>
      </c>
      <c r="H980" t="n">
        <v>0</v>
      </c>
      <c r="I980" t="n">
        <v>0</v>
      </c>
      <c r="J980" t="n">
        <v>0</v>
      </c>
      <c r="K980" t="n">
        <v>0</v>
      </c>
      <c r="L980" t="n">
        <v>0</v>
      </c>
      <c r="M980" t="n">
        <v>0</v>
      </c>
      <c r="N980" t="n">
        <v>0</v>
      </c>
      <c r="O980" t="n">
        <v>0</v>
      </c>
      <c r="P980" t="n">
        <v>0</v>
      </c>
      <c r="Q980" t="n">
        <v>0</v>
      </c>
      <c r="R980" s="2" t="inlineStr"/>
    </row>
    <row r="981" ht="15" customHeight="1">
      <c r="A981" t="inlineStr">
        <is>
          <t>A 25951-2025</t>
        </is>
      </c>
      <c r="B981" s="1" t="n">
        <v>45804.5984375</v>
      </c>
      <c r="C981" s="1" t="n">
        <v>46074</v>
      </c>
      <c r="D981" t="inlineStr">
        <is>
          <t>JÄMTLANDS LÄN</t>
        </is>
      </c>
      <c r="E981" t="inlineStr">
        <is>
          <t>BERG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25885-2025</t>
        </is>
      </c>
      <c r="B982" s="1" t="n">
        <v>45804.51075231482</v>
      </c>
      <c r="C982" s="1" t="n">
        <v>46074</v>
      </c>
      <c r="D982" t="inlineStr">
        <is>
          <t>JÄMTLANDS LÄN</t>
        </is>
      </c>
      <c r="E982" t="inlineStr">
        <is>
          <t>BERG</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25887-2025</t>
        </is>
      </c>
      <c r="B983" s="1" t="n">
        <v>45804.51104166666</v>
      </c>
      <c r="C983" s="1" t="n">
        <v>46074</v>
      </c>
      <c r="D983" t="inlineStr">
        <is>
          <t>JÄMTLANDS LÄN</t>
        </is>
      </c>
      <c r="E983" t="inlineStr">
        <is>
          <t>BERG</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25960-2025</t>
        </is>
      </c>
      <c r="B984" s="1" t="n">
        <v>45804.60972222222</v>
      </c>
      <c r="C984" s="1" t="n">
        <v>46074</v>
      </c>
      <c r="D984" t="inlineStr">
        <is>
          <t>JÄMTLANDS LÄN</t>
        </is>
      </c>
      <c r="E984" t="inlineStr">
        <is>
          <t>BERG</t>
        </is>
      </c>
      <c r="G984" t="n">
        <v>7.3</v>
      </c>
      <c r="H984" t="n">
        <v>0</v>
      </c>
      <c r="I984" t="n">
        <v>0</v>
      </c>
      <c r="J984" t="n">
        <v>0</v>
      </c>
      <c r="K984" t="n">
        <v>0</v>
      </c>
      <c r="L984" t="n">
        <v>0</v>
      </c>
      <c r="M984" t="n">
        <v>0</v>
      </c>
      <c r="N984" t="n">
        <v>0</v>
      </c>
      <c r="O984" t="n">
        <v>0</v>
      </c>
      <c r="P984" t="n">
        <v>0</v>
      </c>
      <c r="Q984" t="n">
        <v>0</v>
      </c>
      <c r="R984" s="2" t="inlineStr"/>
    </row>
    <row r="985" ht="15" customHeight="1">
      <c r="A985" t="inlineStr">
        <is>
          <t>A 64709-2021</t>
        </is>
      </c>
      <c r="B985" s="1" t="n">
        <v>44512</v>
      </c>
      <c r="C985" s="1" t="n">
        <v>46074</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25938-2025</t>
        </is>
      </c>
      <c r="B986" s="1" t="n">
        <v>45804.59414351852</v>
      </c>
      <c r="C986" s="1" t="n">
        <v>46074</v>
      </c>
      <c r="D986" t="inlineStr">
        <is>
          <t>JÄMTLANDS LÄN</t>
        </is>
      </c>
      <c r="E986" t="inlineStr">
        <is>
          <t>BERG</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25886-2025</t>
        </is>
      </c>
      <c r="B987" s="1" t="n">
        <v>45804.51092592593</v>
      </c>
      <c r="C987" s="1" t="n">
        <v>46074</v>
      </c>
      <c r="D987" t="inlineStr">
        <is>
          <t>JÄMTLANDS LÄN</t>
        </is>
      </c>
      <c r="E987" t="inlineStr">
        <is>
          <t>BERG</t>
        </is>
      </c>
      <c r="F987" t="inlineStr">
        <is>
          <t>SCA</t>
        </is>
      </c>
      <c r="G987" t="n">
        <v>18.3</v>
      </c>
      <c r="H987" t="n">
        <v>0</v>
      </c>
      <c r="I987" t="n">
        <v>0</v>
      </c>
      <c r="J987" t="n">
        <v>0</v>
      </c>
      <c r="K987" t="n">
        <v>0</v>
      </c>
      <c r="L987" t="n">
        <v>0</v>
      </c>
      <c r="M987" t="n">
        <v>0</v>
      </c>
      <c r="N987" t="n">
        <v>0</v>
      </c>
      <c r="O987" t="n">
        <v>0</v>
      </c>
      <c r="P987" t="n">
        <v>0</v>
      </c>
      <c r="Q987" t="n">
        <v>0</v>
      </c>
      <c r="R987" s="2" t="inlineStr"/>
    </row>
    <row r="988" ht="15" customHeight="1">
      <c r="A988" t="inlineStr">
        <is>
          <t>A 26186-2025</t>
        </is>
      </c>
      <c r="B988" s="1" t="n">
        <v>45805.47840277778</v>
      </c>
      <c r="C988" s="1" t="n">
        <v>46074</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26275-2025</t>
        </is>
      </c>
      <c r="B989" s="1" t="n">
        <v>45805.60230324074</v>
      </c>
      <c r="C989" s="1" t="n">
        <v>46074</v>
      </c>
      <c r="D989" t="inlineStr">
        <is>
          <t>JÄMTLANDS LÄN</t>
        </is>
      </c>
      <c r="E989" t="inlineStr">
        <is>
          <t>BERG</t>
        </is>
      </c>
      <c r="G989" t="n">
        <v>10.2</v>
      </c>
      <c r="H989" t="n">
        <v>0</v>
      </c>
      <c r="I989" t="n">
        <v>0</v>
      </c>
      <c r="J989" t="n">
        <v>0</v>
      </c>
      <c r="K989" t="n">
        <v>0</v>
      </c>
      <c r="L989" t="n">
        <v>0</v>
      </c>
      <c r="M989" t="n">
        <v>0</v>
      </c>
      <c r="N989" t="n">
        <v>0</v>
      </c>
      <c r="O989" t="n">
        <v>0</v>
      </c>
      <c r="P989" t="n">
        <v>0</v>
      </c>
      <c r="Q989" t="n">
        <v>0</v>
      </c>
      <c r="R989" s="2" t="inlineStr"/>
    </row>
    <row r="990" ht="15" customHeight="1">
      <c r="A990" t="inlineStr">
        <is>
          <t>A 25980-2025</t>
        </is>
      </c>
      <c r="B990" s="1" t="n">
        <v>45804.63658564815</v>
      </c>
      <c r="C990" s="1" t="n">
        <v>46074</v>
      </c>
      <c r="D990" t="inlineStr">
        <is>
          <t>JÄMTLANDS LÄN</t>
        </is>
      </c>
      <c r="E990" t="inlineStr">
        <is>
          <t>BERG</t>
        </is>
      </c>
      <c r="F990" t="inlineStr">
        <is>
          <t>SCA</t>
        </is>
      </c>
      <c r="G990" t="n">
        <v>8.9</v>
      </c>
      <c r="H990" t="n">
        <v>0</v>
      </c>
      <c r="I990" t="n">
        <v>0</v>
      </c>
      <c r="J990" t="n">
        <v>0</v>
      </c>
      <c r="K990" t="n">
        <v>0</v>
      </c>
      <c r="L990" t="n">
        <v>0</v>
      </c>
      <c r="M990" t="n">
        <v>0</v>
      </c>
      <c r="N990" t="n">
        <v>0</v>
      </c>
      <c r="O990" t="n">
        <v>0</v>
      </c>
      <c r="P990" t="n">
        <v>0</v>
      </c>
      <c r="Q990" t="n">
        <v>0</v>
      </c>
      <c r="R990" s="2" t="inlineStr"/>
    </row>
    <row r="991" ht="15" customHeight="1">
      <c r="A991" t="inlineStr">
        <is>
          <t>A 26378-2025</t>
        </is>
      </c>
      <c r="B991" s="1" t="n">
        <v>45806.48989583334</v>
      </c>
      <c r="C991" s="1" t="n">
        <v>46074</v>
      </c>
      <c r="D991" t="inlineStr">
        <is>
          <t>JÄMTLANDS LÄN</t>
        </is>
      </c>
      <c r="E991" t="inlineStr">
        <is>
          <t>BERG</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26374-2025</t>
        </is>
      </c>
      <c r="B992" s="1" t="n">
        <v>45806.42745370371</v>
      </c>
      <c r="C992" s="1" t="n">
        <v>46074</v>
      </c>
      <c r="D992" t="inlineStr">
        <is>
          <t>JÄMTLANDS LÄN</t>
        </is>
      </c>
      <c r="E992" t="inlineStr">
        <is>
          <t>BERG</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33962-2024</t>
        </is>
      </c>
      <c r="B993" s="1" t="n">
        <v>45523.48854166667</v>
      </c>
      <c r="C993" s="1" t="n">
        <v>46074</v>
      </c>
      <c r="D993" t="inlineStr">
        <is>
          <t>JÄMTLANDS LÄN</t>
        </is>
      </c>
      <c r="E993" t="inlineStr">
        <is>
          <t>BERG</t>
        </is>
      </c>
      <c r="G993" t="n">
        <v>2.2</v>
      </c>
      <c r="H993" t="n">
        <v>0</v>
      </c>
      <c r="I993" t="n">
        <v>0</v>
      </c>
      <c r="J993" t="n">
        <v>0</v>
      </c>
      <c r="K993" t="n">
        <v>0</v>
      </c>
      <c r="L993" t="n">
        <v>0</v>
      </c>
      <c r="M993" t="n">
        <v>0</v>
      </c>
      <c r="N993" t="n">
        <v>0</v>
      </c>
      <c r="O993" t="n">
        <v>0</v>
      </c>
      <c r="P993" t="n">
        <v>0</v>
      </c>
      <c r="Q993" t="n">
        <v>0</v>
      </c>
      <c r="R993" s="2" t="inlineStr"/>
    </row>
    <row r="994" ht="15" customHeight="1">
      <c r="A994" t="inlineStr">
        <is>
          <t>A 26743-2025</t>
        </is>
      </c>
      <c r="B994" s="1" t="n">
        <v>45810.53163194445</v>
      </c>
      <c r="C994" s="1" t="n">
        <v>46074</v>
      </c>
      <c r="D994" t="inlineStr">
        <is>
          <t>JÄMTLANDS LÄN</t>
        </is>
      </c>
      <c r="E994" t="inlineStr">
        <is>
          <t>BERG</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27044-2025</t>
        </is>
      </c>
      <c r="B995" s="1" t="n">
        <v>45811.61496527777</v>
      </c>
      <c r="C995" s="1" t="n">
        <v>46074</v>
      </c>
      <c r="D995" t="inlineStr">
        <is>
          <t>JÄMTLANDS LÄN</t>
        </is>
      </c>
      <c r="E995" t="inlineStr">
        <is>
          <t>BERG</t>
        </is>
      </c>
      <c r="F995" t="inlineStr">
        <is>
          <t>SCA</t>
        </is>
      </c>
      <c r="G995" t="n">
        <v>26.1</v>
      </c>
      <c r="H995" t="n">
        <v>0</v>
      </c>
      <c r="I995" t="n">
        <v>0</v>
      </c>
      <c r="J995" t="n">
        <v>0</v>
      </c>
      <c r="K995" t="n">
        <v>0</v>
      </c>
      <c r="L995" t="n">
        <v>0</v>
      </c>
      <c r="M995" t="n">
        <v>0</v>
      </c>
      <c r="N995" t="n">
        <v>0</v>
      </c>
      <c r="O995" t="n">
        <v>0</v>
      </c>
      <c r="P995" t="n">
        <v>0</v>
      </c>
      <c r="Q995" t="n">
        <v>0</v>
      </c>
      <c r="R995" s="2" t="inlineStr"/>
    </row>
    <row r="996" ht="15" customHeight="1">
      <c r="A996" t="inlineStr">
        <is>
          <t>A 27063-2025</t>
        </is>
      </c>
      <c r="B996" s="1" t="n">
        <v>45811.63626157407</v>
      </c>
      <c r="C996" s="1" t="n">
        <v>46074</v>
      </c>
      <c r="D996" t="inlineStr">
        <is>
          <t>JÄMTLANDS LÄN</t>
        </is>
      </c>
      <c r="E996" t="inlineStr">
        <is>
          <t>BERG</t>
        </is>
      </c>
      <c r="F996" t="inlineStr">
        <is>
          <t>SCA</t>
        </is>
      </c>
      <c r="G996" t="n">
        <v>18.9</v>
      </c>
      <c r="H996" t="n">
        <v>0</v>
      </c>
      <c r="I996" t="n">
        <v>0</v>
      </c>
      <c r="J996" t="n">
        <v>0</v>
      </c>
      <c r="K996" t="n">
        <v>0</v>
      </c>
      <c r="L996" t="n">
        <v>0</v>
      </c>
      <c r="M996" t="n">
        <v>0</v>
      </c>
      <c r="N996" t="n">
        <v>0</v>
      </c>
      <c r="O996" t="n">
        <v>0</v>
      </c>
      <c r="P996" t="n">
        <v>0</v>
      </c>
      <c r="Q996" t="n">
        <v>0</v>
      </c>
      <c r="R996" s="2" t="inlineStr"/>
    </row>
    <row r="997" ht="15" customHeight="1">
      <c r="A997" t="inlineStr">
        <is>
          <t>A 27317-2025</t>
        </is>
      </c>
      <c r="B997" s="1" t="n">
        <v>45812.59011574074</v>
      </c>
      <c r="C997" s="1" t="n">
        <v>46074</v>
      </c>
      <c r="D997" t="inlineStr">
        <is>
          <t>JÄMTLANDS LÄN</t>
        </is>
      </c>
      <c r="E997" t="inlineStr">
        <is>
          <t>BERG</t>
        </is>
      </c>
      <c r="G997" t="n">
        <v>6.2</v>
      </c>
      <c r="H997" t="n">
        <v>0</v>
      </c>
      <c r="I997" t="n">
        <v>0</v>
      </c>
      <c r="J997" t="n">
        <v>0</v>
      </c>
      <c r="K997" t="n">
        <v>0</v>
      </c>
      <c r="L997" t="n">
        <v>0</v>
      </c>
      <c r="M997" t="n">
        <v>0</v>
      </c>
      <c r="N997" t="n">
        <v>0</v>
      </c>
      <c r="O997" t="n">
        <v>0</v>
      </c>
      <c r="P997" t="n">
        <v>0</v>
      </c>
      <c r="Q997" t="n">
        <v>0</v>
      </c>
      <c r="R997" s="2" t="inlineStr"/>
    </row>
    <row r="998" ht="15" customHeight="1">
      <c r="A998" t="inlineStr">
        <is>
          <t>A 27459-2025</t>
        </is>
      </c>
      <c r="B998" s="1" t="n">
        <v>45813.34561342592</v>
      </c>
      <c r="C998" s="1" t="n">
        <v>46074</v>
      </c>
      <c r="D998" t="inlineStr">
        <is>
          <t>JÄMTLANDS LÄN</t>
        </is>
      </c>
      <c r="E998" t="inlineStr">
        <is>
          <t>BERG</t>
        </is>
      </c>
      <c r="F998" t="inlineStr">
        <is>
          <t>SCA</t>
        </is>
      </c>
      <c r="G998" t="n">
        <v>19.2</v>
      </c>
      <c r="H998" t="n">
        <v>0</v>
      </c>
      <c r="I998" t="n">
        <v>0</v>
      </c>
      <c r="J998" t="n">
        <v>0</v>
      </c>
      <c r="K998" t="n">
        <v>0</v>
      </c>
      <c r="L998" t="n">
        <v>0</v>
      </c>
      <c r="M998" t="n">
        <v>0</v>
      </c>
      <c r="N998" t="n">
        <v>0</v>
      </c>
      <c r="O998" t="n">
        <v>0</v>
      </c>
      <c r="P998" t="n">
        <v>0</v>
      </c>
      <c r="Q998" t="n">
        <v>0</v>
      </c>
      <c r="R998" s="2" t="inlineStr"/>
    </row>
    <row r="999" ht="15" customHeight="1">
      <c r="A999" t="inlineStr">
        <is>
          <t>A 27575-2025</t>
        </is>
      </c>
      <c r="B999" s="1" t="n">
        <v>45813.49083333334</v>
      </c>
      <c r="C999" s="1" t="n">
        <v>46074</v>
      </c>
      <c r="D999" t="inlineStr">
        <is>
          <t>JÄMTLANDS LÄN</t>
        </is>
      </c>
      <c r="E999" t="inlineStr">
        <is>
          <t>BERG</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27603-2025</t>
        </is>
      </c>
      <c r="B1000" s="1" t="n">
        <v>45813.53174768519</v>
      </c>
      <c r="C1000" s="1" t="n">
        <v>46074</v>
      </c>
      <c r="D1000" t="inlineStr">
        <is>
          <t>JÄMTLANDS LÄN</t>
        </is>
      </c>
      <c r="E1000" t="inlineStr">
        <is>
          <t>BERG</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27569-2025</t>
        </is>
      </c>
      <c r="B1001" s="1" t="n">
        <v>45813.49018518518</v>
      </c>
      <c r="C1001" s="1" t="n">
        <v>46074</v>
      </c>
      <c r="D1001" t="inlineStr">
        <is>
          <t>JÄMTLANDS LÄN</t>
        </is>
      </c>
      <c r="E1001" t="inlineStr">
        <is>
          <t>BERG</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27312-2025</t>
        </is>
      </c>
      <c r="B1002" s="1" t="n">
        <v>45812.58002314815</v>
      </c>
      <c r="C1002" s="1" t="n">
        <v>46074</v>
      </c>
      <c r="D1002" t="inlineStr">
        <is>
          <t>JÄMTLANDS LÄN</t>
        </is>
      </c>
      <c r="E1002" t="inlineStr">
        <is>
          <t>BERG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27737-2025</t>
        </is>
      </c>
      <c r="B1003" s="1" t="n">
        <v>45815.34414351852</v>
      </c>
      <c r="C1003" s="1" t="n">
        <v>46074</v>
      </c>
      <c r="D1003" t="inlineStr">
        <is>
          <t>JÄMTLANDS LÄN</t>
        </is>
      </c>
      <c r="E1003" t="inlineStr">
        <is>
          <t>BERG</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28079-2025</t>
        </is>
      </c>
      <c r="B1004" s="1" t="n">
        <v>45817.69681712963</v>
      </c>
      <c r="C1004" s="1" t="n">
        <v>46074</v>
      </c>
      <c r="D1004" t="inlineStr">
        <is>
          <t>JÄMTLANDS LÄN</t>
        </is>
      </c>
      <c r="E1004" t="inlineStr">
        <is>
          <t>BERG</t>
        </is>
      </c>
      <c r="G1004" t="n">
        <v>3.7</v>
      </c>
      <c r="H1004" t="n">
        <v>0</v>
      </c>
      <c r="I1004" t="n">
        <v>0</v>
      </c>
      <c r="J1004" t="n">
        <v>0</v>
      </c>
      <c r="K1004" t="n">
        <v>0</v>
      </c>
      <c r="L1004" t="n">
        <v>0</v>
      </c>
      <c r="M1004" t="n">
        <v>0</v>
      </c>
      <c r="N1004" t="n">
        <v>0</v>
      </c>
      <c r="O1004" t="n">
        <v>0</v>
      </c>
      <c r="P1004" t="n">
        <v>0</v>
      </c>
      <c r="Q1004" t="n">
        <v>0</v>
      </c>
      <c r="R1004" s="2" t="inlineStr"/>
    </row>
    <row r="1005">
      <c r="A1005" t="inlineStr">
        <is>
          <t>A 28077-2025</t>
        </is>
      </c>
      <c r="B1005" s="1" t="n">
        <v>45817.68596064814</v>
      </c>
      <c r="C1005" s="1" t="n">
        <v>46074</v>
      </c>
      <c r="D1005" t="inlineStr">
        <is>
          <t>JÄMTLANDS LÄN</t>
        </is>
      </c>
      <c r="E1005" t="inlineStr">
        <is>
          <t>BERG</t>
        </is>
      </c>
      <c r="G1005" t="n">
        <v>6</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2026-02-21T11:04:50Z</dcterms:created>
  <dcterms:modified xmlns:dcterms="http://purl.org/dc/terms/" xmlns:xsi="http://www.w3.org/2001/XMLSchema-instance" xsi:type="dcterms:W3CDTF">2026-02-21T11:04:51Z</dcterms:modified>
</cp:coreProperties>
</file>