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45789</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45789</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45789</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45789</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45789</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45789</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45789</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45789</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45789</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45789</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45789</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45789</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45789</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45789</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45789</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45789</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45789</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45789</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45789</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45789</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45789</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45789</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45789</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45789</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45789</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45789</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45789</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45789</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45789</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45789</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45789</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45789</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45789</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45789</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45789</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45789</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45789</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45789</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45789</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45789</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45789</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45789</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45789</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45789</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45789</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45789</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45789</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45789</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45789</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45789</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45789</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45789</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45789</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45789</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45789</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45789</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45789</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45789</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45789</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45789</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45789</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45789</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45789</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45789</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45789</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45789</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45789</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45789</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45789</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45789</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45789</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45789</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45789</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45789</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45789</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45789</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45789</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45789</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45789</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45789</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45789</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45789</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45789</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45789</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45789</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45789</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45789</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45789</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45789</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45789</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45789</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45789</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45789</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45789</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45789</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45789</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45789</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45789</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45789</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45789</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45789</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45789</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45789</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45789</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45789</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45789</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45789</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45789</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45789</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45789</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45789</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45789</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45789</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45789</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45789</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45789</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45789</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45789</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45789</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45789</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45789</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45789</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45789</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45789</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45789</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45789</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45789</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45789</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45789</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45789</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45789</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45789</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45789</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45789</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45789</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45789</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45789</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45789</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45789</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45789</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45789</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45789</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45789</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45789</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45789</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45789</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45789</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45789</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45789</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45789</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45789</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45789</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45789</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45789</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45789</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45789</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45789</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45789</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45789</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45789</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45789</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45789</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45789</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45789</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45789</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45789</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45789</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45789</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45789</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45789</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45789</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45789</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45789</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45789</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45789</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45789</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45789</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45789</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45789</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45789</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45789</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45789</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45789</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45789</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45789</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45789</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45789</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45789</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45789</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45789</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45789</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45789</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45789</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45789</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45789</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45789</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45789</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45789</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45789</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45789</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45789</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45789</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45789</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45789</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45789</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45789</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45789</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45789</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45789</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45789</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45789</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45789</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45789</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45789</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45789</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45789</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45789</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45789</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45789</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45789</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21025-2025</t>
        </is>
      </c>
      <c r="B226" s="1" t="n">
        <v>45777</v>
      </c>
      <c r="C226" s="1" t="n">
        <v>45789</v>
      </c>
      <c r="D226" t="inlineStr">
        <is>
          <t>JÄMTLANDS LÄN</t>
        </is>
      </c>
      <c r="E226" t="inlineStr">
        <is>
          <t>BERG</t>
        </is>
      </c>
      <c r="G226" t="n">
        <v>8.300000000000001</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21025-2025 artfynd.xlsx", "A 21025-2025")</f>
        <v/>
      </c>
      <c r="T226">
        <f>HYPERLINK("https://klasma.github.io/Logging_232326/kartor/A 21025-2025 karta.png", "A 21025-2025")</f>
        <v/>
      </c>
      <c r="V226">
        <f>HYPERLINK("https://klasma.github.io/Logging_232326/klagomål/A 21025-2025 FSC-klagomål.docx", "A 21025-2025")</f>
        <v/>
      </c>
      <c r="W226">
        <f>HYPERLINK("https://klasma.github.io/Logging_232326/klagomålsmail/A 21025-2025 FSC-klagomål mail.docx", "A 21025-2025")</f>
        <v/>
      </c>
      <c r="X226">
        <f>HYPERLINK("https://klasma.github.io/Logging_232326/tillsyn/A 21025-2025 tillsynsbegäran.docx", "A 21025-2025")</f>
        <v/>
      </c>
      <c r="Y226">
        <f>HYPERLINK("https://klasma.github.io/Logging_232326/tillsynsmail/A 21025-2025 tillsynsbegäran mail.docx", "A 21025-2025")</f>
        <v/>
      </c>
    </row>
    <row r="227" ht="15" customHeight="1">
      <c r="A227" t="inlineStr">
        <is>
          <t>A 21020-2025</t>
        </is>
      </c>
      <c r="B227" s="1" t="n">
        <v>45777</v>
      </c>
      <c r="C227" s="1" t="n">
        <v>45789</v>
      </c>
      <c r="D227" t="inlineStr">
        <is>
          <t>JÄMTLANDS LÄN</t>
        </is>
      </c>
      <c r="E227" t="inlineStr">
        <is>
          <t>BERG</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21020-2025 artfynd.xlsx", "A 21020-2025")</f>
        <v/>
      </c>
      <c r="T227">
        <f>HYPERLINK("https://klasma.github.io/Logging_232326/kartor/A 21020-2025 karta.png", "A 21020-2025")</f>
        <v/>
      </c>
      <c r="V227">
        <f>HYPERLINK("https://klasma.github.io/Logging_232326/klagomål/A 21020-2025 FSC-klagomål.docx", "A 21020-2025")</f>
        <v/>
      </c>
      <c r="W227">
        <f>HYPERLINK("https://klasma.github.io/Logging_232326/klagomålsmail/A 21020-2025 FSC-klagomål mail.docx", "A 21020-2025")</f>
        <v/>
      </c>
      <c r="X227">
        <f>HYPERLINK("https://klasma.github.io/Logging_232326/tillsyn/A 21020-2025 tillsynsbegäran.docx", "A 21020-2025")</f>
        <v/>
      </c>
      <c r="Y227">
        <f>HYPERLINK("https://klasma.github.io/Logging_232326/tillsynsmail/A 21020-2025 tillsynsbegäran mail.docx", "A 21020-2025")</f>
        <v/>
      </c>
    </row>
    <row r="228" ht="15" customHeight="1">
      <c r="A228" t="inlineStr">
        <is>
          <t>A 21681-2025</t>
        </is>
      </c>
      <c r="B228" s="1" t="n">
        <v>45783</v>
      </c>
      <c r="C228" s="1" t="n">
        <v>45789</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45789</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45789</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45789</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45789</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45789</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45789</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45789</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45789</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45789</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45789</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45789</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45789</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45789</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45789</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45789</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45789</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45789</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45789</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45789</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45789</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45789</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45789</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45789</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45789</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45789</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45789</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45789</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45789</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45789</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45789</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45789</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45789</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45789</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45789</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45789</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45789</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45789</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45789</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45789</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45789</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45789</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45789</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45789</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45789</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45789</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45789</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45789</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45789</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45789</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45789</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45789</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45789</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45789</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45789</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45789</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45789</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45789</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45789</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45789</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45789</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45789</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45789</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45789</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45789</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45789</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45789</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45789</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45789</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45789</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45789</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45789</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45789</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45789</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45789</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45789</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45789</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45789</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45789</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45789</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45789</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45789</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45789</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45789</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45789</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45789</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45789</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45789</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45789</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45789</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45789</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45789</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45789</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45789</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45789</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45789</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45789</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45789</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45789</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45789</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45789</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45789</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45789</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45789</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45789</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45789</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45789</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45789</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45789</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45789</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45789</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45789</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45789</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45789</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45789</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45789</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45789</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45789</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45789</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45789</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45789</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45789</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45789</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45789</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45789</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45789</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45789</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45789</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45789</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45789</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45789</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45789</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45789</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45789</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45789</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45789</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45789</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45789</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45789</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45789</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45789</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45789</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45789</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45789</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45789</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45789</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45789</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45789</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45789</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45789</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45789</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45789</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45789</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45789</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45789</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45789</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45789</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45789</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45789</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45789</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45789</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45789</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45789</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45789</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45789</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45789</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45789</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45789</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45789</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45789</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45789</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45789</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45789</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45789</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45789</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45789</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45789</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45789</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45789</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45789</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45789</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45789</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45789</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45789</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45789</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45789</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45789</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45789</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45789</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45789</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45789</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45789</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45789</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45789</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45789</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45789</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45789</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45789</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45789</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45789</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45789</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45789</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45789</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45789</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45789</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45789</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45789</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45789</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45789</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45789</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45789</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45789</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45789</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45789</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45789</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45789</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45789</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45789</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45789</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45789</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45789</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45789</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45789</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45789</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45789</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45789</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45789</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45789</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45789</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45789</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45789</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45789</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45789</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45789</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45789</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45789</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45789</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45789</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45789</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45789</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45789</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45789</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45789</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45789</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45789</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45789</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45789</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45789</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45789</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45789</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45789</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45789</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45789</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45789</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45789</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45789</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45789</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45789</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45789</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45789</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45789</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45789</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45789</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45789</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45789</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45789</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45789</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45789</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45789</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45789</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45789</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45789</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45789</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45789</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45789</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45789</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45789</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45789</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45789</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45789</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45789</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45789</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45789</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45789</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45789</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45789</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45789</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45789</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45789</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45789</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45789</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45789</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45789</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45789</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45789</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45789</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45789</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45789</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45789</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45789</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45789</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45789</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45789</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45789</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45789</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45789</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45789</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45789</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45789</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45789</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45789</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45789</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45789</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45789</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45789</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45789</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45789</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45789</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45789</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45789</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45789</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45789</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45789</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45789</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45789</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45789</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45789</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45789</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45789</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45789</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45789</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45789</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45789</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45789</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45789</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45789</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45789</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45789</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45789</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45789</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45789</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45789</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45789</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45789</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45789</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45789</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45789</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45789</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45789</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45789</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45789</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45789</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45789</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45789</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45789</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45789</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45789</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45789</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45789</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45789</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45789</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45789</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45789</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45789</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45789</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45789</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45789</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45789</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45789</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45789</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45789</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45789</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45789</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45789</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45789</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45789</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45789</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45789</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45789</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45789</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45789</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45789</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45789</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45789</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45789</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45789</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45789</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45789</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45789</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45789</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45789</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45789</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45789</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45789</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45789</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45789</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45789</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45789</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45789</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45789</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45789</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45789</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45789</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45789</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45789</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45789</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45789</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45789</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45789</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45789</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45789</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45789</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45789</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45789</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45789</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45789</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45789</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45789</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45789</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45789</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45789</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45789</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45789</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45789</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45789</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45789</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45789</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45789</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45789</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45789</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45789</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45789</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45789</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45789</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45789</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45789</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45789</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45789</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45789</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45789</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45789</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45789</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45789</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45789</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45789</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45789</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45789</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45789</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45789</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45789</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45789</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45789</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45789</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45789</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45789</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45789</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45789</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45789</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45789</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45789</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45789</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45789</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45789</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45789</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45789</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45789</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45789</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45789</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45789</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45789</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45789</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45789</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45789</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45789</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45789</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45789</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45789</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45789</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45789</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45789</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45789</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45789</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45789</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45789</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45789</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45789</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45789</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45789</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45789</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45789</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45789</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45789</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45789</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45789</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45789</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45789</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45789</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45789</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45789</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45789</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45789</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45789</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45789</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45789</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45789</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45789</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45789</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45789</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45789</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45789</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45789</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45789</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45789</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45789</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45789</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45789</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45789</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45789</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45789</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45789</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45789</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45789</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45789</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45789</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45789</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45789</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45789</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45789</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45789</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45789</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45789</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45789</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45789</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45789</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45789</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45789</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45789</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45789</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45789</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45789</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45789</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45789</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45789</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45789</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45789</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45789</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45789</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45789</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45789</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45789</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45789</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45789</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45789</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45789</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45789</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45789</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45789</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45789</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45789</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45789</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45789</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45789</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45789</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45789</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45789</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45789</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45789</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45789</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45789</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45789</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45789</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45789</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45789</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45789</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45789</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45789</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45789</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45789</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45789</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45789</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45789</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45789</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45789</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45789</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45789</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45789</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45789</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45789</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45789</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45789</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45789</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45789</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45789</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45789</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45789</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45789</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45789</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45789</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45789</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45789</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45789</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45789</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45789</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45789</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45789</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45789</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45789</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45789</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45789</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45789</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45789</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45789</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45789</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45789</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45789</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45789</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45789</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45789</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45789</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45789</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45789</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45789</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45789</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45789</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45789</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45789</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45789</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45789</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45789</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45789</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45789</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45789</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45789</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45789</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45789</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45789</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45789</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45789</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45789</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45789</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45789</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45789</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45789</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45789</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45789</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45789</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45789</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45789</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45789</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45789</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45789</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45789</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45789</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45789</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45789</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45789</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45789</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45789</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45789</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45789</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45789</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45789</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45789</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45789</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45789</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45789</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45789</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45789</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45789</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45789</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45789</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45789</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45789</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45789</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45789</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45789</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45789</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45789</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45789</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45789</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45789</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45789</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45789</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45789</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45789</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45789</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45789</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45789</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45789</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45789</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45789</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45789</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45789</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45789</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45789</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45789</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45789</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45789</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45789</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45789</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45789</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45789</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45789</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45789</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45789</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45789</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45789</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45789</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45789</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45789</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45789</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45789</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45789</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45789</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45789</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45789</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45789</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45789</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45789</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45789</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45789</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45789</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45789</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45789</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45789</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45789</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45789</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45789</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45789</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45789</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45789</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45789</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45789</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45789</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45789</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45789</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45789</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45789</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45789</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45789</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45789</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45789</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45789</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45789</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45789</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45789</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45789</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45789</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45789</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45789</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45789</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45789</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45789</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45789</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45789</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45789</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45789</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45789</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45789</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45789</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45789</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45789</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45789</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45789</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45789</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45789</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45789</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45789</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45789</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45789</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45789</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45789</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45789</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45789</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45789</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45789</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45789</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45789</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45789</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45789</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45789</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45789</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45789</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45789</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45789</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45789</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45789</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45789</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45789</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45789</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45789</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45789</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45789</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45789</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45789</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45789</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45789</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45789</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45789</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45789</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45789</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45789</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45789</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45789</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45789</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45789</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45789</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45789</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45789</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45789</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45789</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45789</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45789</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45789</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45789</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45789</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45789</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45789</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45789</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45789</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45789</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45789</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45789</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45789</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45789</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45789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45789</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45789</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45789</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45789</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45789</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45789</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45789</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45789</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45789</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45789</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45789</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45789</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45789</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45789</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45789</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45789</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45789</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45789</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45789</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45789</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45789</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45789</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45789</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45789</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45789</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45789</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45789</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45789</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45789</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45789</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45789</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45789</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45789</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45789</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45789</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45789</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45789</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45789</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45789</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45789</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45789</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45789</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45789</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45789</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45789</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45789</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45789</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45789</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45789</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45789</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45789</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45789</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45789</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45789</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45789</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45789</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45789</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45789</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45789</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45789</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45789</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45789</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45789</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45789</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45789</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45789</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45789</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45789</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45789</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45789</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45789</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45789</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45789</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45789</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45789</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45789</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45789</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45789</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45789</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45789</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45789</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45789</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45789</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45789</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45789</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45789</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45789</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45789</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45789</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45789</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45789</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45789</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45789</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45789</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45789</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45789</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45789</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45789</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45789</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45789</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45789</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45789</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45789</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45789</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45789</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45789</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45789</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45789</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45789</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45789</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45789</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45789</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45789</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45789</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45789</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45789</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45789</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45789</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45789</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45789</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45789</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45789</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45789</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45789</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45789</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45789</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45789</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45789</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45789</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45789</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45789</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45789</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45789</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45789</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45789</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45789</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45789</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45789</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45789</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45789</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45789</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45789</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45789</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45789</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45789</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45789</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45789</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45789</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45789</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45789</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45789</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45789</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45789</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45789</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45789</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45789</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45789</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45789</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45789</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45789</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45789</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45789</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45789</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45789</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45789</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45789</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45789</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45789</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45789</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45789</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45789</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45789</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45789</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45789</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45789</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45789</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45789</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45789</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45789</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45789</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45789</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45789</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45789</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45789</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45789</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45789</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45789</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45789</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45789</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45789</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45789</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45789</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45789</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45789</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45789</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45789</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45789</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45789</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45789</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45789</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45789</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45789</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45789</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45789</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45789</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45789</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45789</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45789</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45789</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45789</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45789</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45789</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45789</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45789</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45789</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45789</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45789</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45789</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45789</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45789</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45789</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45789</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45789</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45789</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45789</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45789</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45789</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45789</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45789</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45789</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45789</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45789</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45789</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45789</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45789</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45789</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45789</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45789</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45789</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45789</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45789</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45789</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45789</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45789</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45789</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45789</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45789</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45789</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45789</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45789</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45789</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45789</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45789</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45789</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45789</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45789</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45789</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45789</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45789</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45789</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45789</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45789</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45789</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45789</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45789</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45789</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45789</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45789</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45789</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45789</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45789</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45789</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45789</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45789</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45789</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45789</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45789</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45789</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45789</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45789</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45789</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45789</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45789</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45789</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45789</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45789</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45789</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45789</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45789</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45789</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45789</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45789</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45789</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45789</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45789</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45789</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45789</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45789</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45789</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45789</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45789</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45789</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45789</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45789</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45789</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45789</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45789</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45789</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45789</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45789</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45789</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45789</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45789</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45789</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45789</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45789</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45789</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45789</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45789</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45789</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45789</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45789</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45789</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45789</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45789</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45789</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45789</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45789</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45789</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45789</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45789</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45789</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c r="A1386" t="inlineStr">
        <is>
          <t>A 22478-2025</t>
        </is>
      </c>
      <c r="B1386" s="1" t="n">
        <v>45786</v>
      </c>
      <c r="C1386" s="1" t="n">
        <v>45789</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2025-05-12T17:38:53Z</dcterms:created>
  <dcterms:modified xmlns:dcterms="http://purl.org/dc/terms/" xmlns:xsi="http://www.w3.org/2001/XMLSchema-instance" xsi:type="dcterms:W3CDTF">2025-05-12T17:38:54Z</dcterms:modified>
</cp:coreProperties>
</file>