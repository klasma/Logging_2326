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45638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45638</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45638</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45638</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45638</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45638</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45638</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45638</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45638</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45638</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45638</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45638</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45638</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47127-2024</t>
        </is>
      </c>
      <c r="B15" s="1" t="n">
        <v>45586</v>
      </c>
      <c r="C15" s="1" t="n">
        <v>45638</v>
      </c>
      <c r="D15" t="inlineStr">
        <is>
          <t>JÄMTLANDS LÄN</t>
        </is>
      </c>
      <c r="E15" t="inlineStr">
        <is>
          <t>BERG</t>
        </is>
      </c>
      <c r="G15" t="n">
        <v>24.2</v>
      </c>
      <c r="H15" t="n">
        <v>6</v>
      </c>
      <c r="I15" t="n">
        <v>4</v>
      </c>
      <c r="J15" t="n">
        <v>10</v>
      </c>
      <c r="K15" t="n">
        <v>1</v>
      </c>
      <c r="L15" t="n">
        <v>0</v>
      </c>
      <c r="M15" t="n">
        <v>0</v>
      </c>
      <c r="N15" t="n">
        <v>0</v>
      </c>
      <c r="O15" t="n">
        <v>11</v>
      </c>
      <c r="P15" t="n">
        <v>1</v>
      </c>
      <c r="Q15" t="n">
        <v>17</v>
      </c>
      <c r="R15" s="2" t="inlineStr">
        <is>
          <t>Knärot
Brunpudrad nållav
Gammelgransskål
Garnlav
Granticka
Lunglav
Mörk kolflarnlav
Skrovellav
Talltita
Tretåig hackspett
Vedflamlav
Bollvitmossa
Dropptaggsvamp
Plattlummer
Tibast
Tjäder
Revlummer</t>
        </is>
      </c>
      <c r="S15">
        <f>HYPERLINK("https://klasma.github.io/Logging_2326/artfynd/A 47127-2024 artfynd.xlsx", "A 47127-2024")</f>
        <v/>
      </c>
      <c r="T15">
        <f>HYPERLINK("https://klasma.github.io/Logging_2326/kartor/A 47127-2024 karta.png", "A 47127-2024")</f>
        <v/>
      </c>
      <c r="U15">
        <f>HYPERLINK("https://klasma.github.io/Logging_2326/knärot/A 47127-2024 karta knärot.png", "A 47127-2024")</f>
        <v/>
      </c>
      <c r="V15">
        <f>HYPERLINK("https://klasma.github.io/Logging_2326/klagomål/A 47127-2024 FSC-klagomål.docx", "A 47127-2024")</f>
        <v/>
      </c>
      <c r="W15">
        <f>HYPERLINK("https://klasma.github.io/Logging_2326/klagomålsmail/A 47127-2024 FSC-klagomål mail.docx", "A 47127-2024")</f>
        <v/>
      </c>
      <c r="X15">
        <f>HYPERLINK("https://klasma.github.io/Logging_2326/tillsyn/A 47127-2024 tillsynsbegäran.docx", "A 47127-2024")</f>
        <v/>
      </c>
      <c r="Y15">
        <f>HYPERLINK("https://klasma.github.io/Logging_2326/tillsynsmail/A 47127-2024 tillsynsbegäran mail.docx", "A 47127-2024")</f>
        <v/>
      </c>
      <c r="Z15">
        <f>HYPERLINK("https://klasma.github.io/Logging_2326/fåglar/A 47127-2024 prioriterade fågelarter.docx", "A 47127-2024")</f>
        <v/>
      </c>
    </row>
    <row r="16" ht="15" customHeight="1">
      <c r="A16" t="inlineStr">
        <is>
          <t>A 35741-2022</t>
        </is>
      </c>
      <c r="B16" s="1" t="n">
        <v>44799</v>
      </c>
      <c r="C16" s="1" t="n">
        <v>45638</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45638</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45638</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45638</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45638</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45638</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45638</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45638</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45638</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45638</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45638</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45638</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45638</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45638</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45638</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45638</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45638</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45638</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45638</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45638</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45638</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45638</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53455-2024</t>
        </is>
      </c>
      <c r="B38" s="1" t="n">
        <v>45614</v>
      </c>
      <c r="C38" s="1" t="n">
        <v>45638</v>
      </c>
      <c r="D38" t="inlineStr">
        <is>
          <t>JÄMTLANDS LÄN</t>
        </is>
      </c>
      <c r="E38" t="inlineStr">
        <is>
          <t>BERG</t>
        </is>
      </c>
      <c r="G38" t="n">
        <v>4</v>
      </c>
      <c r="H38" t="n">
        <v>3</v>
      </c>
      <c r="I38" t="n">
        <v>1</v>
      </c>
      <c r="J38" t="n">
        <v>7</v>
      </c>
      <c r="K38" t="n">
        <v>1</v>
      </c>
      <c r="L38" t="n">
        <v>0</v>
      </c>
      <c r="M38" t="n">
        <v>0</v>
      </c>
      <c r="N38" t="n">
        <v>0</v>
      </c>
      <c r="O38" t="n">
        <v>8</v>
      </c>
      <c r="P38" t="n">
        <v>1</v>
      </c>
      <c r="Q38" t="n">
        <v>9</v>
      </c>
      <c r="R38" s="2" t="inlineStr">
        <is>
          <t>Knärot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7672-2023</t>
        </is>
      </c>
      <c r="B39" s="1" t="n">
        <v>44967</v>
      </c>
      <c r="C39" s="1" t="n">
        <v>45638</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45638</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45638</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45638</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45638</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45638</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45638</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45638</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45638</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45638</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45638</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45638</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45638</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45638</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45638</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45638</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45638</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45638</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45638</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45638</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45638</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45638</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45638</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45638</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45638</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45638</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45638</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45638</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45638</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45638</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45638</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45638</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45638</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45638</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45638</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45638</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45638</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45638</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45638</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45638</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45638</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45638</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45638</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45638</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45638</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45638</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45638</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45638</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45638</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45638</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45638</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45638</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45638</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45638</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45638</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45638</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45638</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45638</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45638</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45638</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45638</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45638</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45638</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45638</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45638</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45638</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45638</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45638</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45638</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45638</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45638</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45638</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45638</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45638</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45638</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45638</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45638</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45638</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45638</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45638</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45638</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45638</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45638</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45638</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45638</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45638</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45638</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45638</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45638</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45638</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45638</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45638</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45638</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45638</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45638</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45638</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45638</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45638</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45638</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45638</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45638</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45638</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45638</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45638</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45638</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45638</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45638</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45638</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45638</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45638</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45638</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45638</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45638</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45638</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45638</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45638</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45638</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45638</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45638</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45638</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45638</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45638</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45638</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45638</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45638</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45638</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45638</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45638</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45638</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45638</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45638</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45638</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45638</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45638</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45638</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45638</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45638</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45638</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45638</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45638</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45638</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45638</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45638</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45638</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45638</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45638</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45638</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45638</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45638</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45638</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45638</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45638</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45638</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45638</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45638</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45638</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45638</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45638</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45638</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45638</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45638</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45638</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45638</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45638</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45638</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45638</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45638</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45638</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45638</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45638</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45638</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45638</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45638</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45638</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45638</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45638</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45638</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45638</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45638</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45638</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45638</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45638</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45638</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45638</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45638</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45638</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45638</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45638</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45638</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45638</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45638</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45638</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45638</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45638</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45638</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45638</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45638</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45638</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45638</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45638</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45638</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45638</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45638</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45638</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45638</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45638</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45638</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45638</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45638</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45638</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45638</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45638</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45638</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45638</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45638</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45638</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45638</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45638</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45638</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45638</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45638</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45638</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45638</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45638</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45638</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45638</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45638</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45638</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45638</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45638</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45638</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45638</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45638</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45638</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45638</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45638</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45638</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45638</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45638</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45638</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45638</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45638</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45638</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45638</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45638</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45638</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45638</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45638</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45638</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45638</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45638</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45638</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45638</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45638</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45638</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45638</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45638</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45638</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45638</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45638</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45638</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45638</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45638</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45638</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45638</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45638</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45638</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45638</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45638</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45638</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45638</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45638</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45638</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45638</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45638</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45638</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45638</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45638</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45638</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45638</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45638</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45638</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45638</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45638</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45638</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45638</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45638</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45638</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45638</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45638</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45638</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45638</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45638</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45638</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45638</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45638</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45638</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45638</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45638</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45638</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45638</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45638</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45638</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45638</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45638</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45638</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45638</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45638</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45638</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45638</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45638</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45638</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45638</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45638</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45638</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45638</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45638</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45638</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45638</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45638</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45638</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45638</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45638</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45638</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45638</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45638</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45638</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45638</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45638</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45638</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45638</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45638</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45638</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45638</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45638</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45638</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45638</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45638</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45638</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45638</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45638</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45638</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45638</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45638</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45638</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45638</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45638</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45638</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45638</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45638</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45638</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45638</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45638</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45638</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45638</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45638</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45638</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45638</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45638</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45638</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45638</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45638</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45638</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45638</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45638</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45638</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45638</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45638</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45638</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45638</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45638</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45638</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45638</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45638</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45638</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45638</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45638</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45638</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45638</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45638</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45638</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45638</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45638</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45638</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45638</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45638</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45638</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45638</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45638</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45638</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45638</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45638</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45638</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45638</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45638</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45638</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45638</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45638</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45638</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45638</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45638</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45638</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45638</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45638</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45638</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45638</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45638</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45638</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45638</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45638</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45638</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45638</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45638</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45638</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45638</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45638</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45638</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45638</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45638</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45638</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45638</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45638</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45638</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45638</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45638</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45638</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45638</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45638</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45638</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45638</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45638</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45638</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45638</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45638</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45638</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45638</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45638</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45638</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45638</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45638</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45638</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45638</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45638</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45638</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45638</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45638</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45638</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45638</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45638</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45638</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45638</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45638</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45638</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45638</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45638</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45638</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45638</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45638</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45638</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45638</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45638</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45638</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45638</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45638</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45638</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45638</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45638</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45638</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45638</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45638</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45638</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45638</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45638</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45638</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45638</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45638</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45638</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45638</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45638</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45638</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45638</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45638</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45638</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45638</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45638</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45638</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45638</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45638</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45638</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45638</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45638</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45638</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45638</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45638</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45638</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45638</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45638</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45638</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45638</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45638</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45638</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45638</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45638</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45638</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45638</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45638</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45638</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45638</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45638</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45638</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45638</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45638</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45638</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45638</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45638</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45638</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45638</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45638</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45638</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45638</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45638</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45638</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45638</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45638</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45638</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45638</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45638</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45638</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45638</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45638</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45638</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45638</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45638</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45638</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45638</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45638</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45638</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45638</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45638</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45638</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45638</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45638</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45638</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45638</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45638</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45638</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45638</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45638</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45638</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45638</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45638</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45638</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45638</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45638</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45638</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45638</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45638</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45638</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45638</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45638</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45638</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45638</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45638</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45638</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45638</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45638</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45638</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45638</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45638</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45638</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45638</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45638</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45638</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45638</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45638</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45638</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45638</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45638</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45638</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45638</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45638</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45638</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45638</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45638</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45638</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45638</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45638</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45638</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45638</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45638</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45638</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45638</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45638</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45638</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45638</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45638</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45638</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45638</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45638</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45638</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45638</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45638</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45638</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45638</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45638</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45638</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45638</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45638</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45638</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45638</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45638</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45638</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45638</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45638</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45638</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45638</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45638</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45638</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45638</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45638</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45638</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45638</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45638</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45638</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45638</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45638</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45638</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45638</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45638</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45638</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45638</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45638</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45638</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45638</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45638</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45638</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45638</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45638</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45638</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45638</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45638</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45638</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45638</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45638</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45638</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45638</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45638</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45638</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45638</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45638</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45638</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45638</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45638</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45638</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45638</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45638</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45638</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45638</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45638</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45638</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45638</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45638</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45638</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45638</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45638</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45638</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45638</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45638</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45638</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45638</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45638</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45638</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45638</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45638</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45638</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45638</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45638</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45638</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45638</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45638</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45638</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45638</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45638</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45638</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45638</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45638</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45638</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45638</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45638</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45638</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45638</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45638</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45638</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45638</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45638</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45638</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45638</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45638</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45638</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45638</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45638</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45638</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45638</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45638</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45638</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45638</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45638</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45638</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45638</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45638</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45638</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45638</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45638</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45638</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45638</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45638</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45638</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45638</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45638</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45638</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45638</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45638</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45638</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45638</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45638</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45638</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45638</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45638</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45638</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45638</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45638</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45638</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45638</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45638</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45638</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45638</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45638</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45638</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45638</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45638</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45638</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45638</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45638</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45638</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45638</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45638</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45638</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45638</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45638</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45638</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45638</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45638</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45638</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45638</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45638</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45638</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45638</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45638</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45638</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45638</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45638</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45638</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45638</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45638</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45638</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45638</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45638</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45638</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45638</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45638</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45638</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45638</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45638</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45638</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45638</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45638</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45638</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45638</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45638</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45638</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45638</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45638</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45638</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45638</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45638</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45638</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45638</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45638</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45638</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45638</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45638</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45638</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45638</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45638</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45638</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45638</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45638</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45638</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45638</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45638</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45638</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45638</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45638</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45638</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45638</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45638</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45638</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45638</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45638</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45638</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45638</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45638</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45638</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45638</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45638</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45638</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45638</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45638</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45638</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45638</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45638</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45638</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45638</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45638</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45638</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45638</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45638</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45638</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45638</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45638</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45638</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45638</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45638</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45638</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45638</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45638</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45638</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45638</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45638</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45638</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45638</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45638</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45638</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45638</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45638</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45638</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45638</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45638</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45638</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45638</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45638</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45638</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45638</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45638</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45638</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45638</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45638</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45638</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45638</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45638</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45638</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45638</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45638</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45638</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45638</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45638</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45638</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45638</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45638</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45638</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45638</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45638</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45638</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45638</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45638</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45638</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45638</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45638</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45638</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45638</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45638</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45638</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45638</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45638</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45638</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45638</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45638</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45638</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45638</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45638</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45638</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45638</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45638</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45638</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45638</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45638</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45638</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45638</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45638</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45638</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45638</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45638</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45638</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45638</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45638</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45638</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45638</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45638</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45638</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45638</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45638</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45638</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45638</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45638</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45638</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45638</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45638</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45638</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45638</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45638</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45638</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45638</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45638</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45638</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45638</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45638</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45638</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45638</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45638</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45638</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45638</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45638</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45638</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45638</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45638</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45638</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45638</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45638</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45638</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45638</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45638</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45638</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45638</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45638</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45638</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45638</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45638</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45638</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45638</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45638</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45638</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45638</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45638</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45638</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45638</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45638</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45638</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45638</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45638</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45638</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45638</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45638</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45638</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45638</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45638</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45638</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45638</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45638</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45638</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45638</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45638</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45638</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45638</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45638</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45638</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45638</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45638</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45638</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45638</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45638</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45638</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45638</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45638</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45638</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45638</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45638</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45638</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45638</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45638</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45638</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45638</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45638</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45638</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45638</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45638</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45638</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45638</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45638</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45638</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45638</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45638</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45638</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45638</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45638</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45638</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45638</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45638</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45638</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45638</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45638</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45638</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45638</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45638</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45638</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45638</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45638</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45638</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45638</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45638</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45638</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45638</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45638</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45638</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45638</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45638</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45638</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45638</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45638</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45638</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45638</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45638</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45638</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45638</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45638</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45638</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45638</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45638</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45638</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45638</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45638</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45638</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45638</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45638</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45638</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45638</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45638</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45638</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45638</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45638</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45638</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45638</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45638</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45638</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45638</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45638</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45638</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45638</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45638</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45638</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45638</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45638</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45638</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45638</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45638</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45638</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45638</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45638</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45638</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45638</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45638</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45638</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45638</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45638</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45638</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45638</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45638</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45638</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45638</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45638</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45638</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45638</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45638</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45638</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45638</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45638</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45638</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45638</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45638</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45638</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45638</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45638</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45638</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45638</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45638</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45638</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45638</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45638</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45638</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45638</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45638</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45638</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45638</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45638</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45638</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45638</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45638</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45638</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45638</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45638</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45638</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45638</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45638</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45638</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45638</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45638</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45638</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45638</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45638</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45638</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45638</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45638</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45638</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45638</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45638</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45638</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45638</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45638</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45638</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45638</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45638</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45638</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45638</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45638</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45638</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45638</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45638</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45638</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45638</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45638</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45638</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45638</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45638</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45638</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45638</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45638</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45638</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45638</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45638</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45638</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45638</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45638</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45638</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45638</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45638</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45638</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45638</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45638</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45638</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45638</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45638</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45638</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45638</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45638</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45638</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45638</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45638</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45638</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45638</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45638</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45638</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45638</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45638</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53708-2024</t>
        </is>
      </c>
      <c r="B1211" s="1" t="n">
        <v>45615</v>
      </c>
      <c r="C1211" s="1" t="n">
        <v>45638</v>
      </c>
      <c r="D1211" t="inlineStr">
        <is>
          <t>JÄMTLANDS LÄN</t>
        </is>
      </c>
      <c r="E1211" t="inlineStr">
        <is>
          <t>BERG</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53707-2024</t>
        </is>
      </c>
      <c r="B1212" s="1" t="n">
        <v>45615</v>
      </c>
      <c r="C1212" s="1" t="n">
        <v>45638</v>
      </c>
      <c r="D1212" t="inlineStr">
        <is>
          <t>JÄMTLANDS LÄN</t>
        </is>
      </c>
      <c r="E1212" t="inlineStr">
        <is>
          <t>BERG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54112-2024</t>
        </is>
      </c>
      <c r="B1213" s="1" t="n">
        <v>45616</v>
      </c>
      <c r="C1213" s="1" t="n">
        <v>45638</v>
      </c>
      <c r="D1213" t="inlineStr">
        <is>
          <t>JÄMTLANDS LÄN</t>
        </is>
      </c>
      <c r="E1213" t="inlineStr">
        <is>
          <t>BERG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54198-2024</t>
        </is>
      </c>
      <c r="B1214" s="1" t="n">
        <v>45616</v>
      </c>
      <c r="C1214" s="1" t="n">
        <v>45638</v>
      </c>
      <c r="D1214" t="inlineStr">
        <is>
          <t>JÄMTLANDS LÄN</t>
        </is>
      </c>
      <c r="E1214" t="inlineStr">
        <is>
          <t>BERG</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54595-2024</t>
        </is>
      </c>
      <c r="B1215" s="1" t="n">
        <v>45617</v>
      </c>
      <c r="C1215" s="1" t="n">
        <v>45638</v>
      </c>
      <c r="D1215" t="inlineStr">
        <is>
          <t>JÄMTLANDS LÄN</t>
        </is>
      </c>
      <c r="E1215" t="inlineStr">
        <is>
          <t>BERG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54605-2024</t>
        </is>
      </c>
      <c r="B1216" s="1" t="n">
        <v>45617</v>
      </c>
      <c r="C1216" s="1" t="n">
        <v>45638</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45638</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56043-2024</t>
        </is>
      </c>
      <c r="B1218" s="1" t="n">
        <v>45624</v>
      </c>
      <c r="C1218" s="1" t="n">
        <v>45638</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56226-2024</t>
        </is>
      </c>
      <c r="B1219" s="1" t="n">
        <v>45624</v>
      </c>
      <c r="C1219" s="1" t="n">
        <v>45638</v>
      </c>
      <c r="D1219" t="inlineStr">
        <is>
          <t>JÄMTLANDS LÄN</t>
        </is>
      </c>
      <c r="E1219" t="inlineStr">
        <is>
          <t>BERG</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45638</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56420-2024</t>
        </is>
      </c>
      <c r="B1221" s="1" t="n">
        <v>45625</v>
      </c>
      <c r="C1221" s="1" t="n">
        <v>45638</v>
      </c>
      <c r="D1221" t="inlineStr">
        <is>
          <t>JÄMTLANDS LÄN</t>
        </is>
      </c>
      <c r="E1221" t="inlineStr">
        <is>
          <t>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56490-2024</t>
        </is>
      </c>
      <c r="B1222" s="1" t="n">
        <v>45625</v>
      </c>
      <c r="C1222" s="1" t="n">
        <v>45638</v>
      </c>
      <c r="D1222" t="inlineStr">
        <is>
          <t>JÄMTLANDS LÄN</t>
        </is>
      </c>
      <c r="E1222" t="inlineStr">
        <is>
          <t>BERG</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56368-2024</t>
        </is>
      </c>
      <c r="B1223" s="1" t="n">
        <v>45625</v>
      </c>
      <c r="C1223" s="1" t="n">
        <v>45638</v>
      </c>
      <c r="D1223" t="inlineStr">
        <is>
          <t>JÄMTLANDS LÄN</t>
        </is>
      </c>
      <c r="E1223" t="inlineStr">
        <is>
          <t>BERG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45638</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57127-2024</t>
        </is>
      </c>
      <c r="B1225" s="1" t="n">
        <v>45629</v>
      </c>
      <c r="C1225" s="1" t="n">
        <v>45638</v>
      </c>
      <c r="D1225" t="inlineStr">
        <is>
          <t>JÄMTLANDS LÄN</t>
        </is>
      </c>
      <c r="E1225" t="inlineStr">
        <is>
          <t>BERG</t>
        </is>
      </c>
      <c r="F1225" t="inlineStr">
        <is>
          <t>Kyrkan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57124-2024</t>
        </is>
      </c>
      <c r="B1226" s="1" t="n">
        <v>45629</v>
      </c>
      <c r="C1226" s="1" t="n">
        <v>45638</v>
      </c>
      <c r="D1226" t="inlineStr">
        <is>
          <t>JÄMTLANDS LÄN</t>
        </is>
      </c>
      <c r="E1226" t="inlineStr">
        <is>
          <t>BERG</t>
        </is>
      </c>
      <c r="F1226" t="inlineStr">
        <is>
          <t>Kyrkan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57661-2024</t>
        </is>
      </c>
      <c r="B1227" s="1" t="n">
        <v>45630</v>
      </c>
      <c r="C1227" s="1" t="n">
        <v>45638</v>
      </c>
      <c r="D1227" t="inlineStr">
        <is>
          <t>JÄMTLANDS LÄN</t>
        </is>
      </c>
      <c r="E1227" t="inlineStr">
        <is>
          <t>BERG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57669-2024</t>
        </is>
      </c>
      <c r="B1228" s="1" t="n">
        <v>45630</v>
      </c>
      <c r="C1228" s="1" t="n">
        <v>45638</v>
      </c>
      <c r="D1228" t="inlineStr">
        <is>
          <t>JÄMTLANDS LÄN</t>
        </is>
      </c>
      <c r="E1228" t="inlineStr">
        <is>
          <t>BERG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57734-2024</t>
        </is>
      </c>
      <c r="B1229" s="1" t="n">
        <v>45630</v>
      </c>
      <c r="C1229" s="1" t="n">
        <v>45638</v>
      </c>
      <c r="D1229" t="inlineStr">
        <is>
          <t>JÄMTLANDS LÄN</t>
        </is>
      </c>
      <c r="E1229" t="inlineStr">
        <is>
          <t>BERG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57660-2024</t>
        </is>
      </c>
      <c r="B1230" s="1" t="n">
        <v>45630</v>
      </c>
      <c r="C1230" s="1" t="n">
        <v>45638</v>
      </c>
      <c r="D1230" t="inlineStr">
        <is>
          <t>JÄMTLANDS LÄN</t>
        </is>
      </c>
      <c r="E1230" t="inlineStr">
        <is>
          <t>BERG</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58073-2024</t>
        </is>
      </c>
      <c r="B1231" s="1" t="n">
        <v>45630</v>
      </c>
      <c r="C1231" s="1" t="n">
        <v>45638</v>
      </c>
      <c r="D1231" t="inlineStr">
        <is>
          <t>JÄMTLANDS LÄN</t>
        </is>
      </c>
      <c r="E1231" t="inlineStr">
        <is>
          <t>BERG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57905-2024</t>
        </is>
      </c>
      <c r="B1232" s="1" t="n">
        <v>45631</v>
      </c>
      <c r="C1232" s="1" t="n">
        <v>45638</v>
      </c>
      <c r="D1232" t="inlineStr">
        <is>
          <t>JÄMTLANDS LÄN</t>
        </is>
      </c>
      <c r="E1232" t="inlineStr">
        <is>
          <t>BERG</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58176-2024</t>
        </is>
      </c>
      <c r="B1233" s="1" t="n">
        <v>45632</v>
      </c>
      <c r="C1233" s="1" t="n">
        <v>45638</v>
      </c>
      <c r="D1233" t="inlineStr">
        <is>
          <t>JÄMTLANDS LÄN</t>
        </is>
      </c>
      <c r="E1233" t="inlineStr">
        <is>
          <t>BERG</t>
        </is>
      </c>
      <c r="G1233" t="n">
        <v>14.4</v>
      </c>
      <c r="H1233" t="n">
        <v>0</v>
      </c>
      <c r="I1233" t="n">
        <v>0</v>
      </c>
      <c r="J1233" t="n">
        <v>0</v>
      </c>
      <c r="K1233" t="n">
        <v>0</v>
      </c>
      <c r="L1233" t="n">
        <v>0</v>
      </c>
      <c r="M1233" t="n">
        <v>0</v>
      </c>
      <c r="N1233" t="n">
        <v>0</v>
      </c>
      <c r="O1233" t="n">
        <v>0</v>
      </c>
      <c r="P1233" t="n">
        <v>0</v>
      </c>
      <c r="Q1233" t="n">
        <v>0</v>
      </c>
      <c r="R1233" s="2" t="inlineStr"/>
    </row>
    <row r="1234" ht="15" customHeight="1">
      <c r="A1234" t="inlineStr">
        <is>
          <t>A 58803-2024</t>
        </is>
      </c>
      <c r="B1234" s="1" t="n">
        <v>45636</v>
      </c>
      <c r="C1234" s="1" t="n">
        <v>45638</v>
      </c>
      <c r="D1234" t="inlineStr">
        <is>
          <t>JÄMTLANDS LÄN</t>
        </is>
      </c>
      <c r="E1234" t="inlineStr">
        <is>
          <t>BERG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58817-2024</t>
        </is>
      </c>
      <c r="B1235" s="1" t="n">
        <v>45636</v>
      </c>
      <c r="C1235" s="1" t="n">
        <v>45638</v>
      </c>
      <c r="D1235" t="inlineStr">
        <is>
          <t>JÄMTLANDS LÄN</t>
        </is>
      </c>
      <c r="E1235" t="inlineStr">
        <is>
          <t>BERG</t>
        </is>
      </c>
      <c r="G1235" t="n">
        <v>1.5</v>
      </c>
      <c r="H1235" t="n">
        <v>0</v>
      </c>
      <c r="I1235" t="n">
        <v>0</v>
      </c>
      <c r="J1235" t="n">
        <v>0</v>
      </c>
      <c r="K1235" t="n">
        <v>0</v>
      </c>
      <c r="L1235" t="n">
        <v>0</v>
      </c>
      <c r="M1235" t="n">
        <v>0</v>
      </c>
      <c r="N1235" t="n">
        <v>0</v>
      </c>
      <c r="O1235" t="n">
        <v>0</v>
      </c>
      <c r="P1235" t="n">
        <v>0</v>
      </c>
      <c r="Q1235" t="n">
        <v>0</v>
      </c>
      <c r="R1235" s="2" t="inlineStr"/>
    </row>
    <row r="1236">
      <c r="A1236" t="inlineStr">
        <is>
          <t>A 58878-2024</t>
        </is>
      </c>
      <c r="B1236" s="1" t="n">
        <v>45636</v>
      </c>
      <c r="C1236" s="1" t="n">
        <v>45638</v>
      </c>
      <c r="D1236" t="inlineStr">
        <is>
          <t>JÄMTLANDS LÄN</t>
        </is>
      </c>
      <c r="E1236" t="inlineStr">
        <is>
          <t>BERG</t>
        </is>
      </c>
      <c r="G1236" t="n">
        <v>11.2</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2024-12-12T15:45:12Z</dcterms:created>
  <dcterms:modified xmlns:dcterms="http://purl.org/dc/terms/" xmlns:xsi="http://www.w3.org/2001/XMLSchema-instance" xsi:type="dcterms:W3CDTF">2024-12-12T15:45:13Z</dcterms:modified>
</cp:coreProperties>
</file>