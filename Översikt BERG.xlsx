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45657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45657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45657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45657</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45657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45657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45657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45657</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45657</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45657</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45657</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45657</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45657</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45657</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45657</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45657</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45657</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45657</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45657</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45657</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45657</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45657</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33076-2024</t>
        </is>
      </c>
      <c r="B24" s="1" t="n">
        <v>45517</v>
      </c>
      <c r="C24" s="1" t="n">
        <v>45657</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17919-2024</t>
        </is>
      </c>
      <c r="B25" s="1" t="n">
        <v>45419</v>
      </c>
      <c r="C25" s="1" t="n">
        <v>45657</v>
      </c>
      <c r="D25" t="inlineStr">
        <is>
          <t>JÄMTLANDS LÄN</t>
        </is>
      </c>
      <c r="E25" t="inlineStr">
        <is>
          <t>BERG</t>
        </is>
      </c>
      <c r="G25" t="n">
        <v>10.3</v>
      </c>
      <c r="H25" t="n">
        <v>3</v>
      </c>
      <c r="I25" t="n">
        <v>7</v>
      </c>
      <c r="J25" t="n">
        <v>5</v>
      </c>
      <c r="K25" t="n">
        <v>0</v>
      </c>
      <c r="L25" t="n">
        <v>0</v>
      </c>
      <c r="M25" t="n">
        <v>0</v>
      </c>
      <c r="N25" t="n">
        <v>0</v>
      </c>
      <c r="O25" t="n">
        <v>5</v>
      </c>
      <c r="P25" t="n">
        <v>0</v>
      </c>
      <c r="Q25" t="n">
        <v>13</v>
      </c>
      <c r="R25" s="2" t="inlineStr">
        <is>
          <t>Granticka
Lunglav
Skorpgelélav
Tretåig hackspett
Vitgrynig nållav
Barkkornlav
Kransrams
Luddlav
Mörk husmossa
Skogshakmossa
Spindelblomster
Stuplav
Fläcknycklar</t>
        </is>
      </c>
      <c r="S25">
        <f>HYPERLINK("https://klasma.github.io/Logging_2326/artfynd/A 17919-2024 artfynd.xlsx", "A 17919-2024")</f>
        <v/>
      </c>
      <c r="T25">
        <f>HYPERLINK("https://klasma.github.io/Logging_2326/kartor/A 17919-2024 karta.png", "A 17919-2024")</f>
        <v/>
      </c>
      <c r="V25">
        <f>HYPERLINK("https://klasma.github.io/Logging_2326/klagomål/A 17919-2024 FSC-klagomål.docx", "A 17919-2024")</f>
        <v/>
      </c>
      <c r="W25">
        <f>HYPERLINK("https://klasma.github.io/Logging_2326/klagomålsmail/A 17919-2024 FSC-klagomål mail.docx", "A 17919-2024")</f>
        <v/>
      </c>
      <c r="X25">
        <f>HYPERLINK("https://klasma.github.io/Logging_2326/tillsyn/A 17919-2024 tillsynsbegäran.docx", "A 17919-2024")</f>
        <v/>
      </c>
      <c r="Y25">
        <f>HYPERLINK("https://klasma.github.io/Logging_2326/tillsynsmail/A 17919-2024 tillsynsbegäran mail.docx", "A 17919-2024")</f>
        <v/>
      </c>
      <c r="Z25">
        <f>HYPERLINK("https://klasma.github.io/Logging_2326/fåglar/A 17919-2024 prioriterade fågelarter.docx", "A 17919-2024")</f>
        <v/>
      </c>
    </row>
    <row r="26" ht="15" customHeight="1">
      <c r="A26" t="inlineStr">
        <is>
          <t>A 4716-2023</t>
        </is>
      </c>
      <c r="B26" s="1" t="n">
        <v>44953</v>
      </c>
      <c r="C26" s="1" t="n">
        <v>45657</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45657</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45657</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45657</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45657</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45657</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45657</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45657</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45657</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45657</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45657</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45657</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45657</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45657</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45657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45657</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45657</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45657</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45657</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45657</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45657</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45657</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45657</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45657</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45657</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45657</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45657</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45657</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45657</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45657</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45657</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45657</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45657</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45657</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45657</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45657</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45657</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45657</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45657</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45657</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45657</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45657</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45657</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45657</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45657</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45657</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45657</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45657</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45657</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45657</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45657</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45657</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45657</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45657</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45657</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45657</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45657</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45657</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45657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45657</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45657</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45657</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45657</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45657</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45657</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45657</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45657</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45657</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45657</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45657</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45657</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45657</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45657</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45657</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45657</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45657</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45657</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45657</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45657</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45657</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45657</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45657</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45657</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45657</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45657</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45657</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45657</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45657</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45657</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45657</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45657</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45657</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45657</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45657</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45657</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45657</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45657</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45657</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45657</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45657</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45657</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45657</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45657</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45657</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45657</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45657</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45657</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45657</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45657</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45657</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45657</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45657</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45657</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45657</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45657</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45657</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45657</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45657</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45657</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45657</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45657</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45657</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45657</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45657</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45657</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45657</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45657</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45657</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45657</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45657</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45657</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45657</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45657</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45657</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45657</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45657</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45657</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45657</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45657</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45657</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45657</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45657</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45657</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45657</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45657</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45657</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45657</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45657</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45657</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45657</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45657</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45657</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45657</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45657</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45657</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45657</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45657</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45657</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45657</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45657</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45657</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45657</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45657</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45657</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45657</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45657</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45657</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45657</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45657</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45657</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45657</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45657</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45657</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45657</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45657</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45657</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45657</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45657</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45657</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45657</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45657</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45657</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45657</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45657</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45657</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45657</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45657</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45657</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45657</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45657</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45657</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45657</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45657</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45657</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45657</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45657</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45657</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45657</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45657</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45657</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45657</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45657</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45657</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45657</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45657</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45657</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45657</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45657</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45657</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45657</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45657</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45657</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45657</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45657</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45657</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45657</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45657</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45657</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45657</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45657</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45657</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45657</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45657</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45657</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45657</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45657</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45657</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45657</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45657</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45657</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45657</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45657</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45657</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45657</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45657</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45657</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45657</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45657</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45657</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45657</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45657</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45657</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45657</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45657</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45657</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45657</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45657</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45657</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45657</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45657</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45657</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45657</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45657</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45657</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45657</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45657</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45657</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45657</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45657</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45657</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45657</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45657</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45657</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45657</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45657</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45657</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45657</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45657</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45657</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45657</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45657</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45657</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45657</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45657</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45657</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45657</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45657</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45657</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45657</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45657</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45657</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45657</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45657</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45657</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45657</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45657</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45657</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45657</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45657</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45657</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45657</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45657</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45657</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45657</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45657</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45657</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45657</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45657</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45657</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45657</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45657</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45657</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45657</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45657</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45657</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45657</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45657</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45657</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45657</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45657</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45657</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45657</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45657</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45657</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45657</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45657</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45657</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45657</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45657</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45657</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45657</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45657</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45657</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45657</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45657</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45657</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45657</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45657</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45657</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45657</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45657</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45657</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45657</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45657</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45657</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45657</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45657</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45657</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45657</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45657</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45657</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45657</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45657</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45657</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45657</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45657</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45657</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45657</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45657</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45657</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45657</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45657</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45657</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45657</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45657</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45657</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45657</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45657</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45657</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45657</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45657</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45657</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45657</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45657</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45657</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45657</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45657</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45657</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45657</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45657</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45657</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45657</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45657</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45657</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45657</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45657</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45657</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45657</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45657</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45657</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45657</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45657</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45657</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45657</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45657</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45657</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45657</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45657</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45657</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45657</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45657</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45657</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45657</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45657</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45657</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45657</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45657</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45657</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45657</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45657</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45657</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45657</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45657</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45657</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45657</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45657</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45657</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45657</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45657</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45657</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45657</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45657</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45657</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45657</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45657</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45657</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45657</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45657</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45657</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45657</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45657</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45657</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45657</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45657</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45657</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45657</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45657</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45657</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45657</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45657</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45657</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45657</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45657</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45657</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45657</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45657</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45657</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45657</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45657</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45657</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45657</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45657</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45657</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45657</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45657</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45657</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45657</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45657</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45657</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45657</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45657</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45657</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45657</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45657</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45657</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45657</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45657</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45657</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45657</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45657</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45657</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45657</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45657</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45657</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45657</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45657</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45657</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45657</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45657</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45657</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45657</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45657</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45657</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45657</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45657</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45657</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45657</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45657</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45657</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45657</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45657</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45657</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45657</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45657</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45657</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45657</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45657</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45657</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45657</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45657</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45657</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45657</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45657</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45657</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45657</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45657</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45657</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45657</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45657</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45657</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45657</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45657</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45657</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45657</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45657</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45657</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45657</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45657</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45657</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45657</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45657</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45657</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45657</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45657</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45657</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45657</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45657</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45657</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45657</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45657</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45657</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45657</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45657</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45657</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45657</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45657</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45657</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45657</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45657</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45657</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45657</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45657</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45657</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45657</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45657</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45657</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45657</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45657</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45657</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45657</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45657</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45657</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45657</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45657</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45657</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45657</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45657</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45657</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45657</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45657</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45657</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45657</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45657</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45657</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45657</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45657</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45657</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45657</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45657</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45657</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45657</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45657</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45657</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45657</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45657</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45657</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45657</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45657</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45657</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45657</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45657</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45657</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45657</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45657</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45657</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45657</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45657</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45657</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45657</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45657</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45657</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45657</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45657</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45657</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45657</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45657</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45657</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45657</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45657</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45657</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45657</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45657</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45657</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45657</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45657</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45657</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45657</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45657</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45657</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45657</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45657</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45657</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45657</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45657</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45657</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45657</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45657</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45657</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45657</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45657</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45657</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45657</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45657</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45657</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45657</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45657</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45657</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45657</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45657</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45657</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45657</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45657</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45657</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45657</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45657</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45657</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45657</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45657</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45657</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45657</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45657</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45657</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45657</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45657</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45657</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45657</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45657</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45657</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45657</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45657</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45657</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45657</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45657</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45657</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45657</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45657</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45657</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45657</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45657</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45657</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45657</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45657</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45657</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45657</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45657</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45657</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45657</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45657</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45657</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45657</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45657</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45657</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45657</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45657</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45657</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45657</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45657</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45657</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45657</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45657</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45657</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45657</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45657</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45657</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45657</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45657</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45657</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45657</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45657</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45657</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45657</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45657</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45657</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45657</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45657</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45657</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45657</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45657</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45657</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45657</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45657</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45657</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45657</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45657</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45657</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45657</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45657</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45657</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45657</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45657</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45657</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45657</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45657</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45657</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45657</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45657</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45657</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45657</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45657</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45657</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45657</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45657</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45657</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45657</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45657</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45657</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45657</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45657</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45657</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45657</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45657</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45657</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45657</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45657</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45657</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45657</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45657</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45657</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45657</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45657</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45657</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45657</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45657</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45657</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45657</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45657</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45657</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45657</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45657</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45657</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45657</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45657</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45657</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45657</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45657</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45657</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45657</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45657</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45657</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45657</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45657</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45657</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45657</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45657</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45657</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45657</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45657</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45657</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45657</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45657</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45657</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45657</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45657</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45657</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45657</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45657</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45657</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45657</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45657</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45657</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45657</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45657</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45657</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45657</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45657</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45657</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45657</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45657</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45657</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45657</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45657</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45657</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45657</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45657</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45657</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45657</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45657</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45657</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45657</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45657</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45657</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45657</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45657</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45657</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45657</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45657</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45657</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45657</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45657</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45657</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45657</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45657</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45657</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45657</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45657</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45657</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45657</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45657</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45657</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45657</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45657</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45657</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45657</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45657</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45657</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45657</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45657</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45657</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45657</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45657</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45657</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45657</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45657</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45657</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45657</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45657</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45657</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45657</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45657</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45657</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45657</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45657</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45657</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45657</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45657</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45657</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45657</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45657</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45657</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45657</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45657</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45657</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45657</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45657</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45657</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45657</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45657</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45657</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45657</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45657</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45657</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45657</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45657</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45657</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45657</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45657</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45657</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45657</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45657</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45657</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45657</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45657</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45657</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45657</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45657</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45657</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45657</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45657</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45657</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45657</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45657</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45657</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45657</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45657</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45657</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45657</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45657</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45657</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45657</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45657</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45657</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45657</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45657</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45657</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45657</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45657</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45657</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45657</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45657</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45657</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45657</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45657</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45657</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45657</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45657</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45657</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45657</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45657</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45657</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45657</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45657</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45657</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45657</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45657</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45657</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45657</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45657</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45657</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45657</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45657</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45657</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45657</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45657</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45657</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45657</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45657</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45657</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45657</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45657</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45657</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45657</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45657</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45657</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45657</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45657</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45657</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45657</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45657</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45657</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45657</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45657</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45657</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45657</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45657</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45657</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45657</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45657</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45657</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45657</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45657</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45657</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45657</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45657</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45657</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45657</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45657</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45657</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45657</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45657</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45657</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45657</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45657</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45657</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45657</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45657</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45657</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45657</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45657</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45657</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45657</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45657</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45657</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45657</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45657</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45657</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45657</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45657</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45657</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45657</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45657</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45657</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45657</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45657</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45657</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45657</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45657</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45657</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45657</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45657</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45657</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45657</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45657</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45657</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45657</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45657</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45657</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45657</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45657</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45657</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45657</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45657</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45657</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45657</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45657</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45657</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45657</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45657</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45657</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45657</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45657</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45657</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45657</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45657</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45657</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45657</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45657</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45657</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45657</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45657</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45657</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45657</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45657</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45657</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45657</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45657</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45657</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45657</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45657</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45657</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45657</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45657</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45657</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45657</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45657</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45657</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45657</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45657</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45657</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45657</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45657</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45657</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45657</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45657</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45657</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45657</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45657</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45657</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45657</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45657</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45657</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45657</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45657</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45657</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45657</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45657</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45657</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45657</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45657</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45657</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45657</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45657</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45657</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45657</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45657</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45657</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45657</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45657</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45657</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45657</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45657</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45657</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45657</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45657</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45657</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45657</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45657</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45657</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45657</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45657</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45657</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45657</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45657</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45657</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45657</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45657</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45657</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45657</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45657</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45657</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45657</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45657</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45657</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45657</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45657</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45657</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45657</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45657</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45657</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45657</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45657</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45657</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45657</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45657</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45657</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45657</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45657</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45657</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45657</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45657</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45657</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45657</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45657</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45657</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45657</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45657</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45657</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45657</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45657</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45657</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45657</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45657</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45657</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45657</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45657</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45657</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45657</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45657</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45657</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45657</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45657</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45657</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45657</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45657</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45657</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45657</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45657</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45657</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45657</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45657</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45657</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45657</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45657</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45657</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45657</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45657</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45657</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45657</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45657</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45657</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45657</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45657</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45657</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45657</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45657</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45657</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45657</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45657</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45657</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45657</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45657</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45657</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45657</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45657</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45657</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45657</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45657</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45657</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45657</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45657</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45657</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45657</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45657</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45657</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45657</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45657</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45657</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45657</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45657</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45657</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45657</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45657</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45657</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45657</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45657</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45657</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45657</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45657</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45657</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45657</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45657</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45657</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45657</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45657</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45657</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45657</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45657</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45657</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45657</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45657</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45657</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45657</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45657</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45657</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45657</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45657</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45657</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45657</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56420-2024</t>
        </is>
      </c>
      <c r="B1223" s="1" t="n">
        <v>45625</v>
      </c>
      <c r="C1223" s="1" t="n">
        <v>45657</v>
      </c>
      <c r="D1223" t="inlineStr">
        <is>
          <t>JÄMTLANDS LÄN</t>
        </is>
      </c>
      <c r="E1223" t="inlineStr">
        <is>
          <t>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56490-2024</t>
        </is>
      </c>
      <c r="B1224" s="1" t="n">
        <v>45625</v>
      </c>
      <c r="C1224" s="1" t="n">
        <v>45657</v>
      </c>
      <c r="D1224" t="inlineStr">
        <is>
          <t>JÄMTLANDS LÄN</t>
        </is>
      </c>
      <c r="E1224" t="inlineStr">
        <is>
          <t>BERG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56364-2024</t>
        </is>
      </c>
      <c r="B1225" s="1" t="n">
        <v>45625</v>
      </c>
      <c r="C1225" s="1" t="n">
        <v>45657</v>
      </c>
      <c r="D1225" t="inlineStr">
        <is>
          <t>JÄMTLANDS LÄN</t>
        </is>
      </c>
      <c r="E1225" t="inlineStr">
        <is>
          <t>BERG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45657</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45657</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45657</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57661-2024</t>
        </is>
      </c>
      <c r="B1229" s="1" t="n">
        <v>45630</v>
      </c>
      <c r="C1229" s="1" t="n">
        <v>45657</v>
      </c>
      <c r="D1229" t="inlineStr">
        <is>
          <t>JÄMTLANDS LÄN</t>
        </is>
      </c>
      <c r="E1229" t="inlineStr">
        <is>
          <t>BERG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57669-2024</t>
        </is>
      </c>
      <c r="B1230" s="1" t="n">
        <v>45630</v>
      </c>
      <c r="C1230" s="1" t="n">
        <v>45657</v>
      </c>
      <c r="D1230" t="inlineStr">
        <is>
          <t>JÄMTLANDS LÄN</t>
        </is>
      </c>
      <c r="E1230" t="inlineStr">
        <is>
          <t>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45657</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45657</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45657</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45657</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45657</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58803-2024</t>
        </is>
      </c>
      <c r="B1236" s="1" t="n">
        <v>45636</v>
      </c>
      <c r="C1236" s="1" t="n">
        <v>45657</v>
      </c>
      <c r="D1236" t="inlineStr">
        <is>
          <t>JÄMTLANDS LÄN</t>
        </is>
      </c>
      <c r="E1236" t="inlineStr">
        <is>
          <t>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58817-2024</t>
        </is>
      </c>
      <c r="B1237" s="1" t="n">
        <v>45636</v>
      </c>
      <c r="C1237" s="1" t="n">
        <v>45657</v>
      </c>
      <c r="D1237" t="inlineStr">
        <is>
          <t>JÄMTLANDS LÄN</t>
        </is>
      </c>
      <c r="E1237" t="inlineStr">
        <is>
          <t>BERG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45657</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59524-2024</t>
        </is>
      </c>
      <c r="B1239" s="1" t="n">
        <v>45638</v>
      </c>
      <c r="C1239" s="1" t="n">
        <v>45657</v>
      </c>
      <c r="D1239" t="inlineStr">
        <is>
          <t>JÄMTLANDS LÄN</t>
        </is>
      </c>
      <c r="E1239" t="inlineStr">
        <is>
          <t>BERG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45657</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45657</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59459-2024</t>
        </is>
      </c>
      <c r="B1242" s="1" t="n">
        <v>45638</v>
      </c>
      <c r="C1242" s="1" t="n">
        <v>45657</v>
      </c>
      <c r="D1242" t="inlineStr">
        <is>
          <t>JÄMTLANDS LÄN</t>
        </is>
      </c>
      <c r="E1242" t="inlineStr">
        <is>
          <t>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45657</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59968-2024</t>
        </is>
      </c>
      <c r="B1244" s="1" t="n">
        <v>45642</v>
      </c>
      <c r="C1244" s="1" t="n">
        <v>45657</v>
      </c>
      <c r="D1244" t="inlineStr">
        <is>
          <t>JÄMTLANDS LÄN</t>
        </is>
      </c>
      <c r="E1244" t="inlineStr">
        <is>
          <t>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60075-2024</t>
        </is>
      </c>
      <c r="B1245" s="1" t="n">
        <v>45642</v>
      </c>
      <c r="C1245" s="1" t="n">
        <v>45657</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45657</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45657</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45657</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61652-2024</t>
        </is>
      </c>
      <c r="B1249" s="1" t="n">
        <v>45646</v>
      </c>
      <c r="C1249" s="1" t="n">
        <v>45657</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row r="1250">
      <c r="A1250" t="inlineStr">
        <is>
          <t>A 61980-2024</t>
        </is>
      </c>
      <c r="B1250" s="1" t="n">
        <v>45653</v>
      </c>
      <c r="C1250" s="1" t="n">
        <v>45657</v>
      </c>
      <c r="D1250" t="inlineStr">
        <is>
          <t>JÄMTLANDS LÄN</t>
        </is>
      </c>
      <c r="E1250" t="inlineStr">
        <is>
          <t>BERG</t>
        </is>
      </c>
      <c r="G1250" t="n">
        <v>1.3</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2024-12-31T15:52:36Z</dcterms:created>
  <dcterms:modified xmlns:dcterms="http://purl.org/dc/terms/" xmlns:xsi="http://www.w3.org/2001/XMLSchema-instance" xsi:type="dcterms:W3CDTF">2024-12-31T15:52:37Z</dcterms:modified>
</cp:coreProperties>
</file>