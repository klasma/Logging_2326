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46129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46129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46129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46129</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46129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46129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46129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46129</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46129</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48260-2022</t>
        </is>
      </c>
      <c r="B12" s="1" t="n">
        <v>44853</v>
      </c>
      <c r="C12" s="1" t="n">
        <v>46129</v>
      </c>
      <c r="D12" t="inlineStr">
        <is>
          <t>JÄMTLANDS LÄN</t>
        </is>
      </c>
      <c r="E12" t="inlineStr">
        <is>
          <t>BERG</t>
        </is>
      </c>
      <c r="G12" t="n">
        <v>10.8</v>
      </c>
      <c r="H12" t="n">
        <v>3</v>
      </c>
      <c r="I12" t="n">
        <v>3</v>
      </c>
      <c r="J12" t="n">
        <v>11</v>
      </c>
      <c r="K12" t="n">
        <v>3</v>
      </c>
      <c r="L12" t="n">
        <v>0</v>
      </c>
      <c r="M12" t="n">
        <v>0</v>
      </c>
      <c r="N12" t="n">
        <v>0</v>
      </c>
      <c r="O12" t="n">
        <v>14</v>
      </c>
      <c r="P12" t="n">
        <v>3</v>
      </c>
      <c r="Q12" t="n">
        <v>18</v>
      </c>
      <c r="R1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40429-2025</t>
        </is>
      </c>
      <c r="B13" s="1" t="n">
        <v>45895</v>
      </c>
      <c r="C13" s="1" t="n">
        <v>46129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56201-2021</t>
        </is>
      </c>
      <c r="B14" s="1" t="n">
        <v>44477</v>
      </c>
      <c r="C14" s="1" t="n">
        <v>46129</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46129</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46129</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57244-2025</t>
        </is>
      </c>
      <c r="B17" s="1" t="n">
        <v>45979.63030092593</v>
      </c>
      <c r="C17" s="1" t="n">
        <v>46129</v>
      </c>
      <c r="D17" t="inlineStr">
        <is>
          <t>JÄMTLANDS LÄN</t>
        </is>
      </c>
      <c r="E17" t="inlineStr">
        <is>
          <t>BERG</t>
        </is>
      </c>
      <c r="G17" t="n">
        <v>17.7</v>
      </c>
      <c r="H17" t="n">
        <v>4</v>
      </c>
      <c r="I17" t="n">
        <v>1</v>
      </c>
      <c r="J17" t="n">
        <v>12</v>
      </c>
      <c r="K17" t="n">
        <v>1</v>
      </c>
      <c r="L17" t="n">
        <v>0</v>
      </c>
      <c r="M17" t="n">
        <v>0</v>
      </c>
      <c r="N17" t="n">
        <v>0</v>
      </c>
      <c r="O17" t="n">
        <v>13</v>
      </c>
      <c r="P17" t="n">
        <v>1</v>
      </c>
      <c r="Q17" t="n">
        <v>15</v>
      </c>
      <c r="R17" s="2" t="inlineStr">
        <is>
          <t>Doftticka
Blågrå svartspik
Brunpudrad nållav
Gammelgransskål
Garnlav
Kolflarnlav
Lunglav
Mörk kolflarnlav
Skrovellav
Spillkråka
Talltita
Vedflamlav
Violettgrå tagellav
Vedticka
Tjäder</t>
        </is>
      </c>
      <c r="S17">
        <f>HYPERLINK("https://klasma.github.io/Logging_2326/artfynd/A 57244-2025 artfynd.xlsx", "A 57244-2025")</f>
        <v/>
      </c>
      <c r="T17">
        <f>HYPERLINK("https://klasma.github.io/Logging_2326/kartor/A 57244-2025 karta.png", "A 57244-2025")</f>
        <v/>
      </c>
      <c r="V17">
        <f>HYPERLINK("https://klasma.github.io/Logging_2326/klagomål/A 57244-2025 FSC-klagomål.docx", "A 57244-2025")</f>
        <v/>
      </c>
      <c r="W17">
        <f>HYPERLINK("https://klasma.github.io/Logging_2326/klagomålsmail/A 57244-2025 FSC-klagomål mail.docx", "A 57244-2025")</f>
        <v/>
      </c>
      <c r="X17">
        <f>HYPERLINK("https://klasma.github.io/Logging_2326/tillsyn/A 57244-2025 tillsynsbegäran.docx", "A 57244-2025")</f>
        <v/>
      </c>
      <c r="Y17">
        <f>HYPERLINK("https://klasma.github.io/Logging_2326/tillsynsmail/A 57244-2025 tillsynsbegäran mail.docx", "A 57244-2025")</f>
        <v/>
      </c>
      <c r="Z17">
        <f>HYPERLINK("https://klasma.github.io/Logging_2326/fåglar/A 57244-2025 prioriterade fågelarter.docx", "A 57244-2025")</f>
        <v/>
      </c>
    </row>
    <row r="18" ht="15" customHeight="1">
      <c r="A18" t="inlineStr">
        <is>
          <t>A 21351-2023</t>
        </is>
      </c>
      <c r="B18" s="1" t="n">
        <v>45062</v>
      </c>
      <c r="C18" s="1" t="n">
        <v>46129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46129</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59023-2021</t>
        </is>
      </c>
      <c r="B20" s="1" t="n">
        <v>44490</v>
      </c>
      <c r="C20" s="1" t="n">
        <v>46129</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46129</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46129</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46129</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46129</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46129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46129</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46129</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46129</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46129</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46129</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46129</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46129</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39007-2025</t>
        </is>
      </c>
      <c r="B33" s="1" t="n">
        <v>45888.34524305556</v>
      </c>
      <c r="C33" s="1" t="n">
        <v>46129</v>
      </c>
      <c r="D33" t="inlineStr">
        <is>
          <t>JÄMTLANDS LÄN</t>
        </is>
      </c>
      <c r="E33" t="inlineStr">
        <is>
          <t>BERG</t>
        </is>
      </c>
      <c r="F33" t="inlineStr">
        <is>
          <t>SCA</t>
        </is>
      </c>
      <c r="G33" t="n">
        <v>21.3</v>
      </c>
      <c r="H33" t="n">
        <v>0</v>
      </c>
      <c r="I33" t="n">
        <v>0</v>
      </c>
      <c r="J33" t="n">
        <v>9</v>
      </c>
      <c r="K33" t="n">
        <v>0</v>
      </c>
      <c r="L33" t="n">
        <v>0</v>
      </c>
      <c r="M33" t="n">
        <v>0</v>
      </c>
      <c r="N33" t="n">
        <v>0</v>
      </c>
      <c r="O33" t="n">
        <v>9</v>
      </c>
      <c r="P33" t="n">
        <v>0</v>
      </c>
      <c r="Q33" t="n">
        <v>9</v>
      </c>
      <c r="R33" s="2" t="inlineStr">
        <is>
          <t>Dvärgbägarlav
Granticka
Kolflarnlav
Kortskaftad ärgspik
Nordtagging
Reliktbock
Vedflamlav
Vedskivlav
Vitgrynig nållav</t>
        </is>
      </c>
      <c r="S33">
        <f>HYPERLINK("https://klasma.github.io/Logging_2326/artfynd/A 39007-2025 artfynd.xlsx", "A 39007-2025")</f>
        <v/>
      </c>
      <c r="T33">
        <f>HYPERLINK("https://klasma.github.io/Logging_2326/kartor/A 39007-2025 karta.png", "A 39007-2025")</f>
        <v/>
      </c>
      <c r="V33">
        <f>HYPERLINK("https://klasma.github.io/Logging_2326/klagomål/A 39007-2025 FSC-klagomål.docx", "A 39007-2025")</f>
        <v/>
      </c>
      <c r="W33">
        <f>HYPERLINK("https://klasma.github.io/Logging_2326/klagomålsmail/A 39007-2025 FSC-klagomål mail.docx", "A 39007-2025")</f>
        <v/>
      </c>
      <c r="X33">
        <f>HYPERLINK("https://klasma.github.io/Logging_2326/tillsyn/A 39007-2025 tillsynsbegäran.docx", "A 39007-2025")</f>
        <v/>
      </c>
      <c r="Y33">
        <f>HYPERLINK("https://klasma.github.io/Logging_2326/tillsynsmail/A 39007-2025 tillsynsbegäran mail.docx", "A 39007-2025")</f>
        <v/>
      </c>
    </row>
    <row r="34" ht="15" customHeight="1">
      <c r="A34" t="inlineStr">
        <is>
          <t>A 51911-2025</t>
        </is>
      </c>
      <c r="B34" s="1" t="n">
        <v>45952.46920138889</v>
      </c>
      <c r="C34" s="1" t="n">
        <v>46129</v>
      </c>
      <c r="D34" t="inlineStr">
        <is>
          <t>JÄMTLANDS LÄN</t>
        </is>
      </c>
      <c r="E34" t="inlineStr">
        <is>
          <t>BERG</t>
        </is>
      </c>
      <c r="F34" t="inlineStr">
        <is>
          <t>SCA</t>
        </is>
      </c>
      <c r="G34" t="n">
        <v>31.4</v>
      </c>
      <c r="H34" t="n">
        <v>0</v>
      </c>
      <c r="I34" t="n">
        <v>1</v>
      </c>
      <c r="J34" t="n">
        <v>6</v>
      </c>
      <c r="K34" t="n">
        <v>2</v>
      </c>
      <c r="L34" t="n">
        <v>0</v>
      </c>
      <c r="M34" t="n">
        <v>0</v>
      </c>
      <c r="N34" t="n">
        <v>0</v>
      </c>
      <c r="O34" t="n">
        <v>8</v>
      </c>
      <c r="P34" t="n">
        <v>2</v>
      </c>
      <c r="Q34" t="n">
        <v>9</v>
      </c>
      <c r="R34" s="2" t="inlineStr">
        <is>
          <t>Fläckporing
Gräddporing
Dvärgbägarlav
Kortskaftad ärgspik
Mörk kolflarnlav
Reliktbock
Vedflamlav
Vedskivlav
Dropptaggsvamp</t>
        </is>
      </c>
      <c r="S34">
        <f>HYPERLINK("https://klasma.github.io/Logging_2326/artfynd/A 51911-2025 artfynd.xlsx", "A 51911-2025")</f>
        <v/>
      </c>
      <c r="T34">
        <f>HYPERLINK("https://klasma.github.io/Logging_2326/kartor/A 51911-2025 karta.png", "A 51911-2025")</f>
        <v/>
      </c>
      <c r="V34">
        <f>HYPERLINK("https://klasma.github.io/Logging_2326/klagomål/A 51911-2025 FSC-klagomål.docx", "A 51911-2025")</f>
        <v/>
      </c>
      <c r="W34">
        <f>HYPERLINK("https://klasma.github.io/Logging_2326/klagomålsmail/A 51911-2025 FSC-klagomål mail.docx", "A 51911-2025")</f>
        <v/>
      </c>
      <c r="X34">
        <f>HYPERLINK("https://klasma.github.io/Logging_2326/tillsyn/A 51911-2025 tillsynsbegäran.docx", "A 51911-2025")</f>
        <v/>
      </c>
      <c r="Y34">
        <f>HYPERLINK("https://klasma.github.io/Logging_2326/tillsynsmail/A 51911-2025 tillsynsbegäran mail.docx", "A 51911-2025")</f>
        <v/>
      </c>
    </row>
    <row r="35" ht="15" customHeight="1">
      <c r="A35" t="inlineStr">
        <is>
          <t>A 20809-2025</t>
        </is>
      </c>
      <c r="B35" s="1" t="n">
        <v>45776</v>
      </c>
      <c r="C35" s="1" t="n">
        <v>46129</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7483-2023</t>
        </is>
      </c>
      <c r="B36" s="1" t="n">
        <v>44966</v>
      </c>
      <c r="C36" s="1" t="n">
        <v>46129</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7473-2023</t>
        </is>
      </c>
      <c r="B37" s="1" t="n">
        <v>44966</v>
      </c>
      <c r="C37" s="1" t="n">
        <v>46129</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49797-2025</t>
        </is>
      </c>
      <c r="B38" s="1" t="n">
        <v>45940.40804398148</v>
      </c>
      <c r="C38" s="1" t="n">
        <v>46129</v>
      </c>
      <c r="D38" t="inlineStr">
        <is>
          <t>JÄMTLANDS LÄN</t>
        </is>
      </c>
      <c r="E38" t="inlineStr">
        <is>
          <t>BERG</t>
        </is>
      </c>
      <c r="F38" t="inlineStr">
        <is>
          <t>SCA</t>
        </is>
      </c>
      <c r="G38" t="n">
        <v>16.1</v>
      </c>
      <c r="H38" t="n">
        <v>4</v>
      </c>
      <c r="I38" t="n">
        <v>2</v>
      </c>
      <c r="J38" t="n">
        <v>5</v>
      </c>
      <c r="K38" t="n">
        <v>0</v>
      </c>
      <c r="L38" t="n">
        <v>0</v>
      </c>
      <c r="M38" t="n">
        <v>0</v>
      </c>
      <c r="N38" t="n">
        <v>0</v>
      </c>
      <c r="O38" t="n">
        <v>5</v>
      </c>
      <c r="P38" t="n">
        <v>0</v>
      </c>
      <c r="Q38" t="n">
        <v>8</v>
      </c>
      <c r="R38" s="2" t="inlineStr">
        <is>
          <t>Granticka
Spillkråka
Tallticka
Talltita
Tretåig hackspett
Luddlav
Skinnlav
Lavskrika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39288-2025</t>
        </is>
      </c>
      <c r="B39" s="1" t="n">
        <v>45889</v>
      </c>
      <c r="C39" s="1" t="n">
        <v>46129</v>
      </c>
      <c r="D39" t="inlineStr">
        <is>
          <t>JÄMTLANDS LÄN</t>
        </is>
      </c>
      <c r="E39" t="inlineStr">
        <is>
          <t>BERG</t>
        </is>
      </c>
      <c r="G39" t="n">
        <v>10.3</v>
      </c>
      <c r="H39" t="n">
        <v>3</v>
      </c>
      <c r="I39" t="n">
        <v>0</v>
      </c>
      <c r="J39" t="n">
        <v>6</v>
      </c>
      <c r="K39" t="n">
        <v>1</v>
      </c>
      <c r="L39" t="n">
        <v>0</v>
      </c>
      <c r="M39" t="n">
        <v>0</v>
      </c>
      <c r="N39" t="n">
        <v>0</v>
      </c>
      <c r="O39" t="n">
        <v>7</v>
      </c>
      <c r="P39" t="n">
        <v>1</v>
      </c>
      <c r="Q39" t="n">
        <v>8</v>
      </c>
      <c r="R39" s="2" t="inlineStr">
        <is>
          <t>Smalskaftslav
Brunpudrad nållav
Granticka
Harticka
Spillkråka
Tretåig hackspett
Ullticka
Lavskrika</t>
        </is>
      </c>
      <c r="S39">
        <f>HYPERLINK("https://klasma.github.io/Logging_2326/artfynd/A 39288-2025 artfynd.xlsx", "A 39288-2025")</f>
        <v/>
      </c>
      <c r="T39">
        <f>HYPERLINK("https://klasma.github.io/Logging_2326/kartor/A 39288-2025 karta.png", "A 39288-2025")</f>
        <v/>
      </c>
      <c r="U39">
        <f>HYPERLINK("https://klasma.github.io/Logging_2326/knärot/A 39288-2025 karta knärot.png", "A 39288-2025")</f>
        <v/>
      </c>
      <c r="V39">
        <f>HYPERLINK("https://klasma.github.io/Logging_2326/klagomål/A 39288-2025 FSC-klagomål.docx", "A 39288-2025")</f>
        <v/>
      </c>
      <c r="W39">
        <f>HYPERLINK("https://klasma.github.io/Logging_2326/klagomålsmail/A 39288-2025 FSC-klagomål mail.docx", "A 39288-2025")</f>
        <v/>
      </c>
      <c r="X39">
        <f>HYPERLINK("https://klasma.github.io/Logging_2326/tillsyn/A 39288-2025 tillsynsbegäran.docx", "A 39288-2025")</f>
        <v/>
      </c>
      <c r="Y39">
        <f>HYPERLINK("https://klasma.github.io/Logging_2326/tillsynsmail/A 39288-2025 tillsynsbegäran mail.docx", "A 39288-2025")</f>
        <v/>
      </c>
      <c r="Z39">
        <f>HYPERLINK("https://klasma.github.io/Logging_2326/fåglar/A 39288-2025 prioriterade fågelarter.docx", "A 39288-2025")</f>
        <v/>
      </c>
    </row>
    <row r="40" ht="15" customHeight="1">
      <c r="A40" t="inlineStr">
        <is>
          <t>A 43991-2023</t>
        </is>
      </c>
      <c r="B40" s="1" t="n">
        <v>45187</v>
      </c>
      <c r="C40" s="1" t="n">
        <v>46129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46129</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37406-2022</t>
        </is>
      </c>
      <c r="B42" s="1" t="n">
        <v>44806</v>
      </c>
      <c r="C42" s="1" t="n">
        <v>46129</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56364-2024</t>
        </is>
      </c>
      <c r="B43" s="1" t="n">
        <v>45625.32383101852</v>
      </c>
      <c r="C43" s="1" t="n">
        <v>46129</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35538-2025</t>
        </is>
      </c>
      <c r="B44" s="1" t="n">
        <v>45856.4552662037</v>
      </c>
      <c r="C44" s="1" t="n">
        <v>46129</v>
      </c>
      <c r="D44" t="inlineStr">
        <is>
          <t>JÄMTLANDS LÄN</t>
        </is>
      </c>
      <c r="E44" t="inlineStr">
        <is>
          <t>BERG</t>
        </is>
      </c>
      <c r="F44" t="inlineStr">
        <is>
          <t>Sveaskog</t>
        </is>
      </c>
      <c r="G44" t="n">
        <v>9.6</v>
      </c>
      <c r="H44" t="n">
        <v>4</v>
      </c>
      <c r="I44" t="n">
        <v>1</v>
      </c>
      <c r="J44" t="n">
        <v>4</v>
      </c>
      <c r="K44" t="n">
        <v>1</v>
      </c>
      <c r="L44" t="n">
        <v>0</v>
      </c>
      <c r="M44" t="n">
        <v>0</v>
      </c>
      <c r="N44" t="n">
        <v>0</v>
      </c>
      <c r="O44" t="n">
        <v>5</v>
      </c>
      <c r="P44" t="n">
        <v>1</v>
      </c>
      <c r="Q44" t="n">
        <v>7</v>
      </c>
      <c r="R44" s="2" t="inlineStr">
        <is>
          <t>Knärot
Harticka
Lunglav
Talltita
Tretåig hackspett
Trådticka
Lavskrika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39281-2025</t>
        </is>
      </c>
      <c r="B45" s="1" t="n">
        <v>45889</v>
      </c>
      <c r="C45" s="1" t="n">
        <v>46129</v>
      </c>
      <c r="D45" t="inlineStr">
        <is>
          <t>JÄMTLANDS LÄN</t>
        </is>
      </c>
      <c r="E45" t="inlineStr">
        <is>
          <t>BERG</t>
        </is>
      </c>
      <c r="G45" t="n">
        <v>4.1</v>
      </c>
      <c r="H45" t="n">
        <v>2</v>
      </c>
      <c r="I45" t="n">
        <v>1</v>
      </c>
      <c r="J45" t="n">
        <v>5</v>
      </c>
      <c r="K45" t="n">
        <v>0</v>
      </c>
      <c r="L45" t="n">
        <v>0</v>
      </c>
      <c r="M45" t="n">
        <v>0</v>
      </c>
      <c r="N45" t="n">
        <v>0</v>
      </c>
      <c r="O45" t="n">
        <v>5</v>
      </c>
      <c r="P45" t="n">
        <v>0</v>
      </c>
      <c r="Q45" t="n">
        <v>7</v>
      </c>
      <c r="R45" s="2" t="inlineStr">
        <is>
          <t>Garnlav
Gränsticka
Lunglav
Tretåig hackspett
Ullticka
Stuplav
Lavskrika</t>
        </is>
      </c>
      <c r="S45">
        <f>HYPERLINK("https://klasma.github.io/Logging_2326/artfynd/A 39281-2025 artfynd.xlsx", "A 39281-2025")</f>
        <v/>
      </c>
      <c r="T45">
        <f>HYPERLINK("https://klasma.github.io/Logging_2326/kartor/A 39281-2025 karta.png", "A 39281-2025")</f>
        <v/>
      </c>
      <c r="U45">
        <f>HYPERLINK("https://klasma.github.io/Logging_2326/knärot/A 39281-2025 karta knärot.png", "A 39281-2025")</f>
        <v/>
      </c>
      <c r="V45">
        <f>HYPERLINK("https://klasma.github.io/Logging_2326/klagomål/A 39281-2025 FSC-klagomål.docx", "A 39281-2025")</f>
        <v/>
      </c>
      <c r="W45">
        <f>HYPERLINK("https://klasma.github.io/Logging_2326/klagomålsmail/A 39281-2025 FSC-klagomål mail.docx", "A 39281-2025")</f>
        <v/>
      </c>
      <c r="X45">
        <f>HYPERLINK("https://klasma.github.io/Logging_2326/tillsyn/A 39281-2025 tillsynsbegäran.docx", "A 39281-2025")</f>
        <v/>
      </c>
      <c r="Y45">
        <f>HYPERLINK("https://klasma.github.io/Logging_2326/tillsynsmail/A 39281-2025 tillsynsbegäran mail.docx", "A 39281-2025")</f>
        <v/>
      </c>
      <c r="Z45">
        <f>HYPERLINK("https://klasma.github.io/Logging_2326/fåglar/A 39281-2025 prioriterade fågelarter.docx", "A 39281-2025")</f>
        <v/>
      </c>
    </row>
    <row r="46" ht="15" customHeight="1">
      <c r="A46" t="inlineStr">
        <is>
          <t>A 40860-2025</t>
        </is>
      </c>
      <c r="B46" s="1" t="n">
        <v>45897.56300925926</v>
      </c>
      <c r="C46" s="1" t="n">
        <v>46129</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46129</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21519-2025</t>
        </is>
      </c>
      <c r="B48" s="1" t="n">
        <v>45782</v>
      </c>
      <c r="C48" s="1" t="n">
        <v>46129</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31719-2022</t>
        </is>
      </c>
      <c r="B49" s="1" t="n">
        <v>44776</v>
      </c>
      <c r="C49" s="1" t="n">
        <v>46129</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46129</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46129</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46129</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46129</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27571-2025</t>
        </is>
      </c>
      <c r="B54" s="1" t="n">
        <v>45813</v>
      </c>
      <c r="C54" s="1" t="n">
        <v>46129</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49626-2024</t>
        </is>
      </c>
      <c r="B55" s="1" t="n">
        <v>45596.59109953704</v>
      </c>
      <c r="C55" s="1" t="n">
        <v>46129</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18810-2026</t>
        </is>
      </c>
      <c r="B56" s="1" t="n">
        <v>46128.6365625</v>
      </c>
      <c r="C56" s="1" t="n">
        <v>46129</v>
      </c>
      <c r="D56" t="inlineStr">
        <is>
          <t>JÄMTLANDS LÄN</t>
        </is>
      </c>
      <c r="E56" t="inlineStr">
        <is>
          <t>BERG</t>
        </is>
      </c>
      <c r="F56" t="inlineStr">
        <is>
          <t>SCA</t>
        </is>
      </c>
      <c r="G56" t="n">
        <v>11.4</v>
      </c>
      <c r="H56" t="n">
        <v>0</v>
      </c>
      <c r="I56" t="n">
        <v>0</v>
      </c>
      <c r="J56" t="n">
        <v>5</v>
      </c>
      <c r="K56" t="n">
        <v>1</v>
      </c>
      <c r="L56" t="n">
        <v>0</v>
      </c>
      <c r="M56" t="n">
        <v>0</v>
      </c>
      <c r="N56" t="n">
        <v>0</v>
      </c>
      <c r="O56" t="n">
        <v>6</v>
      </c>
      <c r="P56" t="n">
        <v>1</v>
      </c>
      <c r="Q56" t="n">
        <v>6</v>
      </c>
      <c r="R56" s="2" t="inlineStr">
        <is>
          <t>Gräddporing
Blanksvart spiklav
Dvärgbägarlav
Nordtagging
Vedflamlav
Vitplätt</t>
        </is>
      </c>
      <c r="S56">
        <f>HYPERLINK("https://klasma.github.io/Logging_2326/artfynd/A 18810-2026 artfynd.xlsx", "A 18810-2026")</f>
        <v/>
      </c>
      <c r="T56">
        <f>HYPERLINK("https://klasma.github.io/Logging_2326/kartor/A 18810-2026 karta.png", "A 18810-2026")</f>
        <v/>
      </c>
      <c r="V56">
        <f>HYPERLINK("https://klasma.github.io/Logging_2326/klagomål/A 18810-2026 FSC-klagomål.docx", "A 18810-2026")</f>
        <v/>
      </c>
      <c r="W56">
        <f>HYPERLINK("https://klasma.github.io/Logging_2326/klagomålsmail/A 18810-2026 FSC-klagomål mail.docx", "A 18810-2026")</f>
        <v/>
      </c>
      <c r="X56">
        <f>HYPERLINK("https://klasma.github.io/Logging_2326/tillsyn/A 18810-2026 tillsynsbegäran.docx", "A 18810-2026")</f>
        <v/>
      </c>
      <c r="Y56">
        <f>HYPERLINK("https://klasma.github.io/Logging_2326/tillsynsmail/A 18810-2026 tillsynsbegäran mail.docx", "A 18810-2026")</f>
        <v/>
      </c>
    </row>
    <row r="57" ht="15" customHeight="1">
      <c r="A57" t="inlineStr">
        <is>
          <t>A 37398-2022</t>
        </is>
      </c>
      <c r="B57" s="1" t="n">
        <v>44806</v>
      </c>
      <c r="C57" s="1" t="n">
        <v>46129</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24204-2024</t>
        </is>
      </c>
      <c r="B58" s="1" t="n">
        <v>45456</v>
      </c>
      <c r="C58" s="1" t="n">
        <v>46129</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28659-2025</t>
        </is>
      </c>
      <c r="B59" s="1" t="n">
        <v>45819.65783564815</v>
      </c>
      <c r="C59" s="1" t="n">
        <v>46129</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56203-2021</t>
        </is>
      </c>
      <c r="B60" s="1" t="n">
        <v>44477</v>
      </c>
      <c r="C60" s="1" t="n">
        <v>46129</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4333-2026</t>
        </is>
      </c>
      <c r="B61" s="1" t="n">
        <v>46045.485625</v>
      </c>
      <c r="C61" s="1" t="n">
        <v>46129</v>
      </c>
      <c r="D61" t="inlineStr">
        <is>
          <t>JÄMTLANDS LÄN</t>
        </is>
      </c>
      <c r="E61" t="inlineStr">
        <is>
          <t>BERG</t>
        </is>
      </c>
      <c r="G61" t="n">
        <v>31.5</v>
      </c>
      <c r="H61" t="n">
        <v>2</v>
      </c>
      <c r="I61" t="n">
        <v>0</v>
      </c>
      <c r="J61" t="n">
        <v>5</v>
      </c>
      <c r="K61" t="n">
        <v>0</v>
      </c>
      <c r="L61" t="n">
        <v>0</v>
      </c>
      <c r="M61" t="n">
        <v>0</v>
      </c>
      <c r="N61" t="n">
        <v>0</v>
      </c>
      <c r="O61" t="n">
        <v>5</v>
      </c>
      <c r="P61" t="n">
        <v>0</v>
      </c>
      <c r="Q61" t="n">
        <v>5</v>
      </c>
      <c r="R61" s="2" t="inlineStr">
        <is>
          <t>Granticka
Tallticka
Talltita
Tretåig hackspett
Ullticka</t>
        </is>
      </c>
      <c r="S61">
        <f>HYPERLINK("https://klasma.github.io/Logging_2326/artfynd/A 4333-2026 artfynd.xlsx", "A 4333-2026")</f>
        <v/>
      </c>
      <c r="T61">
        <f>HYPERLINK("https://klasma.github.io/Logging_2326/kartor/A 4333-2026 karta.png", "A 4333-2026")</f>
        <v/>
      </c>
      <c r="V61">
        <f>HYPERLINK("https://klasma.github.io/Logging_2326/klagomål/A 4333-2026 FSC-klagomål.docx", "A 4333-2026")</f>
        <v/>
      </c>
      <c r="W61">
        <f>HYPERLINK("https://klasma.github.io/Logging_2326/klagomålsmail/A 4333-2026 FSC-klagomål mail.docx", "A 4333-2026")</f>
        <v/>
      </c>
      <c r="X61">
        <f>HYPERLINK("https://klasma.github.io/Logging_2326/tillsyn/A 4333-2026 tillsynsbegäran.docx", "A 4333-2026")</f>
        <v/>
      </c>
      <c r="Y61">
        <f>HYPERLINK("https://klasma.github.io/Logging_2326/tillsynsmail/A 4333-2026 tillsynsbegäran mail.docx", "A 4333-2026")</f>
        <v/>
      </c>
      <c r="Z61">
        <f>HYPERLINK("https://klasma.github.io/Logging_2326/fåglar/A 4333-2026 prioriterade fågelarter.docx", "A 4333-2026")</f>
        <v/>
      </c>
    </row>
    <row r="62" ht="15" customHeight="1">
      <c r="A62" t="inlineStr">
        <is>
          <t>A 20337-2025</t>
        </is>
      </c>
      <c r="B62" s="1" t="n">
        <v>45775.36545138889</v>
      </c>
      <c r="C62" s="1" t="n">
        <v>46129</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12973-2024</t>
        </is>
      </c>
      <c r="B63" s="1" t="n">
        <v>45385.51104166666</v>
      </c>
      <c r="C63" s="1" t="n">
        <v>46129</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Kötticka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19530-2025</t>
        </is>
      </c>
      <c r="B64" s="1" t="n">
        <v>45770.46903935185</v>
      </c>
      <c r="C64" s="1" t="n">
        <v>46129</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54841-2022</t>
        </is>
      </c>
      <c r="B65" s="1" t="n">
        <v>44883</v>
      </c>
      <c r="C65" s="1" t="n">
        <v>46129</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54979-2021</t>
        </is>
      </c>
      <c r="B66" s="1" t="n">
        <v>44474.53888888889</v>
      </c>
      <c r="C66" s="1" t="n">
        <v>46129</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46129</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46129</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59823-2022</t>
        </is>
      </c>
      <c r="B69" s="1" t="n">
        <v>44900</v>
      </c>
      <c r="C69" s="1" t="n">
        <v>46129</v>
      </c>
      <c r="D69" t="inlineStr">
        <is>
          <t>JÄMTLANDS LÄN</t>
        </is>
      </c>
      <c r="E69" t="inlineStr">
        <is>
          <t>BERG</t>
        </is>
      </c>
      <c r="G69" t="n">
        <v>14.8</v>
      </c>
      <c r="H69" t="n">
        <v>2</v>
      </c>
      <c r="I69" t="n">
        <v>0</v>
      </c>
      <c r="J69" t="n">
        <v>2</v>
      </c>
      <c r="K69" t="n">
        <v>0</v>
      </c>
      <c r="L69" t="n">
        <v>0</v>
      </c>
      <c r="M69" t="n">
        <v>0</v>
      </c>
      <c r="N69" t="n">
        <v>0</v>
      </c>
      <c r="O69" t="n">
        <v>2</v>
      </c>
      <c r="P69" t="n">
        <v>0</v>
      </c>
      <c r="Q69" t="n">
        <v>4</v>
      </c>
      <c r="R69" s="2" t="inlineStr">
        <is>
          <t>Garnlav
Granticka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40913-2025</t>
        </is>
      </c>
      <c r="B70" s="1" t="n">
        <v>45897.61719907408</v>
      </c>
      <c r="C70" s="1" t="n">
        <v>46129</v>
      </c>
      <c r="D70" t="inlineStr">
        <is>
          <t>JÄMTLANDS LÄN</t>
        </is>
      </c>
      <c r="E70" t="inlineStr">
        <is>
          <t>BERG</t>
        </is>
      </c>
      <c r="F70" t="inlineStr">
        <is>
          <t>SCA</t>
        </is>
      </c>
      <c r="G70" t="n">
        <v>11.3</v>
      </c>
      <c r="H70" t="n">
        <v>0</v>
      </c>
      <c r="I70" t="n">
        <v>0</v>
      </c>
      <c r="J70" t="n">
        <v>3</v>
      </c>
      <c r="K70" t="n">
        <v>1</v>
      </c>
      <c r="L70" t="n">
        <v>0</v>
      </c>
      <c r="M70" t="n">
        <v>0</v>
      </c>
      <c r="N70" t="n">
        <v>0</v>
      </c>
      <c r="O70" t="n">
        <v>4</v>
      </c>
      <c r="P70" t="n">
        <v>1</v>
      </c>
      <c r="Q70" t="n">
        <v>4</v>
      </c>
      <c r="R70" s="2" t="inlineStr">
        <is>
          <t>Gräddporing
Blanksvart spiklav
Dvärgbägarlav
Nordtagging</t>
        </is>
      </c>
      <c r="S70">
        <f>HYPERLINK("https://klasma.github.io/Logging_2326/artfynd/A 40913-2025 artfynd.xlsx", "A 40913-2025")</f>
        <v/>
      </c>
      <c r="T70">
        <f>HYPERLINK("https://klasma.github.io/Logging_2326/kartor/A 40913-2025 karta.png", "A 40913-2025")</f>
        <v/>
      </c>
      <c r="V70">
        <f>HYPERLINK("https://klasma.github.io/Logging_2326/klagomål/A 40913-2025 FSC-klagomål.docx", "A 40913-2025")</f>
        <v/>
      </c>
      <c r="W70">
        <f>HYPERLINK("https://klasma.github.io/Logging_2326/klagomålsmail/A 40913-2025 FSC-klagomål mail.docx", "A 40913-2025")</f>
        <v/>
      </c>
      <c r="X70">
        <f>HYPERLINK("https://klasma.github.io/Logging_2326/tillsyn/A 40913-2025 tillsynsbegäran.docx", "A 40913-2025")</f>
        <v/>
      </c>
      <c r="Y70">
        <f>HYPERLINK("https://klasma.github.io/Logging_2326/tillsynsmail/A 40913-2025 tillsynsbegäran mail.docx", "A 40913-2025")</f>
        <v/>
      </c>
    </row>
    <row r="71" ht="15" customHeight="1">
      <c r="A71" t="inlineStr">
        <is>
          <t>A 25871-2025</t>
        </is>
      </c>
      <c r="B71" s="1" t="n">
        <v>45804.4903125</v>
      </c>
      <c r="C71" s="1" t="n">
        <v>46129</v>
      </c>
      <c r="D71" t="inlineStr">
        <is>
          <t>JÄMTLANDS LÄN</t>
        </is>
      </c>
      <c r="E71" t="inlineStr">
        <is>
          <t>BERG</t>
        </is>
      </c>
      <c r="F71" t="inlineStr">
        <is>
          <t>SCA</t>
        </is>
      </c>
      <c r="G71" t="n">
        <v>15.9</v>
      </c>
      <c r="H71" t="n">
        <v>0</v>
      </c>
      <c r="I71" t="n">
        <v>1</v>
      </c>
      <c r="J71" t="n">
        <v>3</v>
      </c>
      <c r="K71" t="n">
        <v>0</v>
      </c>
      <c r="L71" t="n">
        <v>0</v>
      </c>
      <c r="M71" t="n">
        <v>0</v>
      </c>
      <c r="N71" t="n">
        <v>0</v>
      </c>
      <c r="O71" t="n">
        <v>3</v>
      </c>
      <c r="P71" t="n">
        <v>0</v>
      </c>
      <c r="Q71" t="n">
        <v>4</v>
      </c>
      <c r="R71" s="2" t="inlineStr">
        <is>
          <t>Kolflarnlav
Mörk kolflarnlav
Vedflamlav
Skarp dropptaggsvamp</t>
        </is>
      </c>
      <c r="S71">
        <f>HYPERLINK("https://klasma.github.io/Logging_2326/artfynd/A 25871-2025 artfynd.xlsx", "A 25871-2025")</f>
        <v/>
      </c>
      <c r="T71">
        <f>HYPERLINK("https://klasma.github.io/Logging_2326/kartor/A 25871-2025 karta.png", "A 25871-2025")</f>
        <v/>
      </c>
      <c r="V71">
        <f>HYPERLINK("https://klasma.github.io/Logging_2326/klagomål/A 25871-2025 FSC-klagomål.docx", "A 25871-2025")</f>
        <v/>
      </c>
      <c r="W71">
        <f>HYPERLINK("https://klasma.github.io/Logging_2326/klagomålsmail/A 25871-2025 FSC-klagomål mail.docx", "A 25871-2025")</f>
        <v/>
      </c>
      <c r="X71">
        <f>HYPERLINK("https://klasma.github.io/Logging_2326/tillsyn/A 25871-2025 tillsynsbegäran.docx", "A 25871-2025")</f>
        <v/>
      </c>
      <c r="Y71">
        <f>HYPERLINK("https://klasma.github.io/Logging_2326/tillsynsmail/A 25871-2025 tillsynsbegäran mail.docx", "A 25871-2025")</f>
        <v/>
      </c>
    </row>
    <row r="72" ht="15" customHeight="1">
      <c r="A72" t="inlineStr">
        <is>
          <t>A 27574-2025</t>
        </is>
      </c>
      <c r="B72" s="1" t="n">
        <v>45813.49072916667</v>
      </c>
      <c r="C72" s="1" t="n">
        <v>46129</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56224-2024</t>
        </is>
      </c>
      <c r="B73" s="1" t="n">
        <v>45624.61491898148</v>
      </c>
      <c r="C73" s="1" t="n">
        <v>46129</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46129</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57276-2025</t>
        </is>
      </c>
      <c r="B75" s="1" t="n">
        <v>45979.68783564815</v>
      </c>
      <c r="C75" s="1" t="n">
        <v>46129</v>
      </c>
      <c r="D75" t="inlineStr">
        <is>
          <t>JÄMTLANDS LÄN</t>
        </is>
      </c>
      <c r="E75" t="inlineStr">
        <is>
          <t>BERG</t>
        </is>
      </c>
      <c r="G75" t="n">
        <v>4.8</v>
      </c>
      <c r="H75" t="n">
        <v>0</v>
      </c>
      <c r="I75" t="n">
        <v>1</v>
      </c>
      <c r="J75" t="n">
        <v>3</v>
      </c>
      <c r="K75" t="n">
        <v>0</v>
      </c>
      <c r="L75" t="n">
        <v>0</v>
      </c>
      <c r="M75" t="n">
        <v>0</v>
      </c>
      <c r="N75" t="n">
        <v>0</v>
      </c>
      <c r="O75" t="n">
        <v>3</v>
      </c>
      <c r="P75" t="n">
        <v>0</v>
      </c>
      <c r="Q75" t="n">
        <v>4</v>
      </c>
      <c r="R75" s="2" t="inlineStr">
        <is>
          <t>Garnlav
Lunglav
Vitgrynig nållav
Trådticka</t>
        </is>
      </c>
      <c r="S75">
        <f>HYPERLINK("https://klasma.github.io/Logging_2326/artfynd/A 57276-2025 artfynd.xlsx", "A 57276-2025")</f>
        <v/>
      </c>
      <c r="T75">
        <f>HYPERLINK("https://klasma.github.io/Logging_2326/kartor/A 57276-2025 karta.png", "A 57276-2025")</f>
        <v/>
      </c>
      <c r="V75">
        <f>HYPERLINK("https://klasma.github.io/Logging_2326/klagomål/A 57276-2025 FSC-klagomål.docx", "A 57276-2025")</f>
        <v/>
      </c>
      <c r="W75">
        <f>HYPERLINK("https://klasma.github.io/Logging_2326/klagomålsmail/A 57276-2025 FSC-klagomål mail.docx", "A 57276-2025")</f>
        <v/>
      </c>
      <c r="X75">
        <f>HYPERLINK("https://klasma.github.io/Logging_2326/tillsyn/A 57276-2025 tillsynsbegäran.docx", "A 57276-2025")</f>
        <v/>
      </c>
      <c r="Y75">
        <f>HYPERLINK("https://klasma.github.io/Logging_2326/tillsynsmail/A 57276-2025 tillsynsbegäran mail.docx", "A 57276-2025")</f>
        <v/>
      </c>
    </row>
    <row r="76" ht="15" customHeight="1">
      <c r="A76" t="inlineStr">
        <is>
          <t>A 31715-2025</t>
        </is>
      </c>
      <c r="B76" s="1" t="n">
        <v>45834.45671296296</v>
      </c>
      <c r="C76" s="1" t="n">
        <v>46129</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46795-2025</t>
        </is>
      </c>
      <c r="B77" s="1" t="n">
        <v>45926.65668981482</v>
      </c>
      <c r="C77" s="1" t="n">
        <v>46129</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31742-2025</t>
        </is>
      </c>
      <c r="B78" s="1" t="n">
        <v>45834.47548611111</v>
      </c>
      <c r="C78" s="1" t="n">
        <v>46129</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7891-2022</t>
        </is>
      </c>
      <c r="B79" s="1" t="n">
        <v>44607</v>
      </c>
      <c r="C79" s="1" t="n">
        <v>46129</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58238-2025</t>
        </is>
      </c>
      <c r="B80" s="1" t="n">
        <v>45985.38775462963</v>
      </c>
      <c r="C80" s="1" t="n">
        <v>46129</v>
      </c>
      <c r="D80" t="inlineStr">
        <is>
          <t>JÄMTLANDS LÄN</t>
        </is>
      </c>
      <c r="E80" t="inlineStr">
        <is>
          <t>BERG</t>
        </is>
      </c>
      <c r="F80" t="inlineStr">
        <is>
          <t>SCA</t>
        </is>
      </c>
      <c r="G80" t="n">
        <v>7.6</v>
      </c>
      <c r="H80" t="n">
        <v>2</v>
      </c>
      <c r="I80" t="n">
        <v>0</v>
      </c>
      <c r="J80" t="n">
        <v>4</v>
      </c>
      <c r="K80" t="n">
        <v>0</v>
      </c>
      <c r="L80" t="n">
        <v>0</v>
      </c>
      <c r="M80" t="n">
        <v>0</v>
      </c>
      <c r="N80" t="n">
        <v>0</v>
      </c>
      <c r="O80" t="n">
        <v>4</v>
      </c>
      <c r="P80" t="n">
        <v>0</v>
      </c>
      <c r="Q80" t="n">
        <v>4</v>
      </c>
      <c r="R80" s="2" t="inlineStr">
        <is>
          <t>Granticka
Spillkråka
Tretåig hackspett
Ullticka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13487-2024</t>
        </is>
      </c>
      <c r="B81" s="1" t="n">
        <v>45387</v>
      </c>
      <c r="C81" s="1" t="n">
        <v>46129</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46129</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27100-2025</t>
        </is>
      </c>
      <c r="B83" s="1" t="n">
        <v>45811</v>
      </c>
      <c r="C83" s="1" t="n">
        <v>46129</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38156-2024</t>
        </is>
      </c>
      <c r="B84" s="1" t="n">
        <v>45545</v>
      </c>
      <c r="C84" s="1" t="n">
        <v>46129</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45424-2024</t>
        </is>
      </c>
      <c r="B85" s="1" t="n">
        <v>45576.60398148148</v>
      </c>
      <c r="C85" s="1" t="n">
        <v>46129</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62661-2021</t>
        </is>
      </c>
      <c r="B86" s="1" t="n">
        <v>44503</v>
      </c>
      <c r="C86" s="1" t="n">
        <v>46129</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19848-2025</t>
        </is>
      </c>
      <c r="B87" s="1" t="n">
        <v>45771.49020833334</v>
      </c>
      <c r="C87" s="1" t="n">
        <v>46129</v>
      </c>
      <c r="D87" t="inlineStr">
        <is>
          <t>JÄMTLANDS LÄN</t>
        </is>
      </c>
      <c r="E87" t="inlineStr">
        <is>
          <t>BERG</t>
        </is>
      </c>
      <c r="F87" t="inlineStr">
        <is>
          <t>SCA</t>
        </is>
      </c>
      <c r="G87" t="n">
        <v>23.9</v>
      </c>
      <c r="H87" t="n">
        <v>0</v>
      </c>
      <c r="I87" t="n">
        <v>0</v>
      </c>
      <c r="J87" t="n">
        <v>2</v>
      </c>
      <c r="K87" t="n">
        <v>1</v>
      </c>
      <c r="L87" t="n">
        <v>0</v>
      </c>
      <c r="M87" t="n">
        <v>0</v>
      </c>
      <c r="N87" t="n">
        <v>0</v>
      </c>
      <c r="O87" t="n">
        <v>3</v>
      </c>
      <c r="P87" t="n">
        <v>1</v>
      </c>
      <c r="Q87" t="n">
        <v>3</v>
      </c>
      <c r="R87" s="2" t="inlineStr">
        <is>
          <t>Smalfotad taggsvamp
Dvärgbägarlav
Nordtagging</t>
        </is>
      </c>
      <c r="S87">
        <f>HYPERLINK("https://klasma.github.io/Logging_2326/artfynd/A 19848-2025 artfynd.xlsx", "A 19848-2025")</f>
        <v/>
      </c>
      <c r="T87">
        <f>HYPERLINK("https://klasma.github.io/Logging_2326/kartor/A 19848-2025 karta.png", "A 19848-2025")</f>
        <v/>
      </c>
      <c r="V87">
        <f>HYPERLINK("https://klasma.github.io/Logging_2326/klagomål/A 19848-2025 FSC-klagomål.docx", "A 19848-2025")</f>
        <v/>
      </c>
      <c r="W87">
        <f>HYPERLINK("https://klasma.github.io/Logging_2326/klagomålsmail/A 19848-2025 FSC-klagomål mail.docx", "A 19848-2025")</f>
        <v/>
      </c>
      <c r="X87">
        <f>HYPERLINK("https://klasma.github.io/Logging_2326/tillsyn/A 19848-2025 tillsynsbegäran.docx", "A 19848-2025")</f>
        <v/>
      </c>
      <c r="Y87">
        <f>HYPERLINK("https://klasma.github.io/Logging_2326/tillsynsmail/A 19848-2025 tillsynsbegäran mail.docx", "A 19848-2025")</f>
        <v/>
      </c>
    </row>
    <row r="88" ht="15" customHeight="1">
      <c r="A88" t="inlineStr">
        <is>
          <t>A 47122-2024</t>
        </is>
      </c>
      <c r="B88" s="1" t="n">
        <v>45586.5674074074</v>
      </c>
      <c r="C88" s="1" t="n">
        <v>46129</v>
      </c>
      <c r="D88" t="inlineStr">
        <is>
          <t>JÄMTLANDS LÄN</t>
        </is>
      </c>
      <c r="E88" t="inlineStr">
        <is>
          <t>BERG</t>
        </is>
      </c>
      <c r="G88" t="n">
        <v>4.8</v>
      </c>
      <c r="H88" t="n">
        <v>1</v>
      </c>
      <c r="I88" t="n">
        <v>0</v>
      </c>
      <c r="J88" t="n">
        <v>3</v>
      </c>
      <c r="K88" t="n">
        <v>0</v>
      </c>
      <c r="L88" t="n">
        <v>0</v>
      </c>
      <c r="M88" t="n">
        <v>0</v>
      </c>
      <c r="N88" t="n">
        <v>0</v>
      </c>
      <c r="O88" t="n">
        <v>3</v>
      </c>
      <c r="P88" t="n">
        <v>0</v>
      </c>
      <c r="Q88" t="n">
        <v>3</v>
      </c>
      <c r="R88" s="2" t="inlineStr">
        <is>
          <t>Garnlav
Lunglav
Spillkråka</t>
        </is>
      </c>
      <c r="S88">
        <f>HYPERLINK("https://klasma.github.io/Logging_2326/artfynd/A 47122-2024 artfynd.xlsx", "A 47122-2024")</f>
        <v/>
      </c>
      <c r="T88">
        <f>HYPERLINK("https://klasma.github.io/Logging_2326/kartor/A 47122-2024 karta.png", "A 47122-2024")</f>
        <v/>
      </c>
      <c r="V88">
        <f>HYPERLINK("https://klasma.github.io/Logging_2326/klagomål/A 47122-2024 FSC-klagomål.docx", "A 47122-2024")</f>
        <v/>
      </c>
      <c r="W88">
        <f>HYPERLINK("https://klasma.github.io/Logging_2326/klagomålsmail/A 47122-2024 FSC-klagomål mail.docx", "A 47122-2024")</f>
        <v/>
      </c>
      <c r="X88">
        <f>HYPERLINK("https://klasma.github.io/Logging_2326/tillsyn/A 47122-2024 tillsynsbegäran.docx", "A 47122-2024")</f>
        <v/>
      </c>
      <c r="Y88">
        <f>HYPERLINK("https://klasma.github.io/Logging_2326/tillsynsmail/A 47122-2024 tillsynsbegäran mail.docx", "A 47122-2024")</f>
        <v/>
      </c>
      <c r="Z88">
        <f>HYPERLINK("https://klasma.github.io/Logging_2326/fåglar/A 47122-2024 prioriterade fågelarter.docx", "A 47122-2024")</f>
        <v/>
      </c>
    </row>
    <row r="89" ht="15" customHeight="1">
      <c r="A89" t="inlineStr">
        <is>
          <t>A 3062-2025</t>
        </is>
      </c>
      <c r="B89" s="1" t="n">
        <v>45678</v>
      </c>
      <c r="C89" s="1" t="n">
        <v>46129</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59401-2025</t>
        </is>
      </c>
      <c r="B90" s="1" t="n">
        <v>45989.48791666667</v>
      </c>
      <c r="C90" s="1" t="n">
        <v>46129</v>
      </c>
      <c r="D90" t="inlineStr">
        <is>
          <t>JÄMTLANDS LÄN</t>
        </is>
      </c>
      <c r="E90" t="inlineStr">
        <is>
          <t>BERG</t>
        </is>
      </c>
      <c r="G90" t="n">
        <v>4.6</v>
      </c>
      <c r="H90" t="n">
        <v>1</v>
      </c>
      <c r="I90" t="n">
        <v>0</v>
      </c>
      <c r="J90" t="n">
        <v>3</v>
      </c>
      <c r="K90" t="n">
        <v>0</v>
      </c>
      <c r="L90" t="n">
        <v>0</v>
      </c>
      <c r="M90" t="n">
        <v>0</v>
      </c>
      <c r="N90" t="n">
        <v>0</v>
      </c>
      <c r="O90" t="n">
        <v>3</v>
      </c>
      <c r="P90" t="n">
        <v>0</v>
      </c>
      <c r="Q90" t="n">
        <v>3</v>
      </c>
      <c r="R90" s="2" t="inlineStr">
        <is>
          <t>Garnlav
Kolflarnlav
Talltita</t>
        </is>
      </c>
      <c r="S90">
        <f>HYPERLINK("https://klasma.github.io/Logging_2326/artfynd/A 59401-2025 artfynd.xlsx", "A 59401-2025")</f>
        <v/>
      </c>
      <c r="T90">
        <f>HYPERLINK("https://klasma.github.io/Logging_2326/kartor/A 59401-2025 karta.png", "A 59401-2025")</f>
        <v/>
      </c>
      <c r="V90">
        <f>HYPERLINK("https://klasma.github.io/Logging_2326/klagomål/A 59401-2025 FSC-klagomål.docx", "A 59401-2025")</f>
        <v/>
      </c>
      <c r="W90">
        <f>HYPERLINK("https://klasma.github.io/Logging_2326/klagomålsmail/A 59401-2025 FSC-klagomål mail.docx", "A 59401-2025")</f>
        <v/>
      </c>
      <c r="X90">
        <f>HYPERLINK("https://klasma.github.io/Logging_2326/tillsyn/A 59401-2025 tillsynsbegäran.docx", "A 59401-2025")</f>
        <v/>
      </c>
      <c r="Y90">
        <f>HYPERLINK("https://klasma.github.io/Logging_2326/tillsynsmail/A 59401-2025 tillsynsbegäran mail.docx", "A 59401-2025")</f>
        <v/>
      </c>
      <c r="Z90">
        <f>HYPERLINK("https://klasma.github.io/Logging_2326/fåglar/A 59401-2025 prioriterade fågelarter.docx", "A 59401-2025")</f>
        <v/>
      </c>
    </row>
    <row r="91" ht="15" customHeight="1">
      <c r="A91" t="inlineStr">
        <is>
          <t>A 68433-2021</t>
        </is>
      </c>
      <c r="B91" s="1" t="n">
        <v>44529</v>
      </c>
      <c r="C91" s="1" t="n">
        <v>46129</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6784-2022</t>
        </is>
      </c>
      <c r="B92" s="1" t="n">
        <v>44602</v>
      </c>
      <c r="C92" s="1" t="n">
        <v>46129</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49611-2025</t>
        </is>
      </c>
      <c r="B93" s="1" t="n">
        <v>45939.5735300926</v>
      </c>
      <c r="C93" s="1" t="n">
        <v>46129</v>
      </c>
      <c r="D93" t="inlineStr">
        <is>
          <t>JÄMTLANDS LÄN</t>
        </is>
      </c>
      <c r="E93" t="inlineStr">
        <is>
          <t>BERG</t>
        </is>
      </c>
      <c r="F93" t="inlineStr">
        <is>
          <t>SCA</t>
        </is>
      </c>
      <c r="G93" t="n">
        <v>7.1</v>
      </c>
      <c r="H93" t="n">
        <v>1</v>
      </c>
      <c r="I93" t="n">
        <v>1</v>
      </c>
      <c r="J93" t="n">
        <v>2</v>
      </c>
      <c r="K93" t="n">
        <v>0</v>
      </c>
      <c r="L93" t="n">
        <v>0</v>
      </c>
      <c r="M93" t="n">
        <v>0</v>
      </c>
      <c r="N93" t="n">
        <v>0</v>
      </c>
      <c r="O93" t="n">
        <v>2</v>
      </c>
      <c r="P93" t="n">
        <v>0</v>
      </c>
      <c r="Q93" t="n">
        <v>3</v>
      </c>
      <c r="R93" s="2" t="inlineStr">
        <is>
          <t>Dvärgbägarlav
Nordtagging
Plattlummer</t>
        </is>
      </c>
      <c r="S93">
        <f>HYPERLINK("https://klasma.github.io/Logging_2326/artfynd/A 49611-2025 artfynd.xlsx", "A 49611-2025")</f>
        <v/>
      </c>
      <c r="T93">
        <f>HYPERLINK("https://klasma.github.io/Logging_2326/kartor/A 49611-2025 karta.png", "A 49611-2025")</f>
        <v/>
      </c>
      <c r="V93">
        <f>HYPERLINK("https://klasma.github.io/Logging_2326/klagomål/A 49611-2025 FSC-klagomål.docx", "A 49611-2025")</f>
        <v/>
      </c>
      <c r="W93">
        <f>HYPERLINK("https://klasma.github.io/Logging_2326/klagomålsmail/A 49611-2025 FSC-klagomål mail.docx", "A 49611-2025")</f>
        <v/>
      </c>
      <c r="X93">
        <f>HYPERLINK("https://klasma.github.io/Logging_2326/tillsyn/A 49611-2025 tillsynsbegäran.docx", "A 49611-2025")</f>
        <v/>
      </c>
      <c r="Y93">
        <f>HYPERLINK("https://klasma.github.io/Logging_2326/tillsynsmail/A 49611-2025 tillsynsbegäran mail.docx", "A 49611-2025")</f>
        <v/>
      </c>
    </row>
    <row r="94" ht="15" customHeight="1">
      <c r="A94" t="inlineStr">
        <is>
          <t>A 52007-2025</t>
        </is>
      </c>
      <c r="B94" s="1" t="n">
        <v>45952.59424768519</v>
      </c>
      <c r="C94" s="1" t="n">
        <v>46129</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52189-2024</t>
        </is>
      </c>
      <c r="B95" s="1" t="n">
        <v>45608</v>
      </c>
      <c r="C95" s="1" t="n">
        <v>46129</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46129</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56368-2024</t>
        </is>
      </c>
      <c r="B97" s="1" t="n">
        <v>45625.32978009259</v>
      </c>
      <c r="C97" s="1" t="n">
        <v>46129</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37063-2025</t>
        </is>
      </c>
      <c r="B98" s="1" t="n">
        <v>45875.38596064815</v>
      </c>
      <c r="C98" s="1" t="n">
        <v>46129</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35925-2024</t>
        </is>
      </c>
      <c r="B99" s="1" t="n">
        <v>45533.43868055556</v>
      </c>
      <c r="C99" s="1" t="n">
        <v>46129</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20242-2025</t>
        </is>
      </c>
      <c r="B100" s="1" t="n">
        <v>45772</v>
      </c>
      <c r="C100" s="1" t="n">
        <v>46129</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54999-2023</t>
        </is>
      </c>
      <c r="B101" s="1" t="n">
        <v>45236</v>
      </c>
      <c r="C101" s="1" t="n">
        <v>46129</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51950-2021</t>
        </is>
      </c>
      <c r="B102" s="1" t="n">
        <v>44462.9562037037</v>
      </c>
      <c r="C102" s="1" t="n">
        <v>46129</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46129</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42120-2025</t>
        </is>
      </c>
      <c r="B104" s="1" t="n">
        <v>45904.34236111111</v>
      </c>
      <c r="C104" s="1" t="n">
        <v>46129</v>
      </c>
      <c r="D104" t="inlineStr">
        <is>
          <t>JÄMTLANDS LÄN</t>
        </is>
      </c>
      <c r="E104" t="inlineStr">
        <is>
          <t>BERG</t>
        </is>
      </c>
      <c r="F104" t="inlineStr">
        <is>
          <t>Sveaskog</t>
        </is>
      </c>
      <c r="G104" t="n">
        <v>4.5</v>
      </c>
      <c r="H104" t="n">
        <v>0</v>
      </c>
      <c r="I104" t="n">
        <v>0</v>
      </c>
      <c r="J104" t="n">
        <v>2</v>
      </c>
      <c r="K104" t="n">
        <v>0</v>
      </c>
      <c r="L104" t="n">
        <v>0</v>
      </c>
      <c r="M104" t="n">
        <v>0</v>
      </c>
      <c r="N104" t="n">
        <v>0</v>
      </c>
      <c r="O104" t="n">
        <v>2</v>
      </c>
      <c r="P104" t="n">
        <v>0</v>
      </c>
      <c r="Q104" t="n">
        <v>2</v>
      </c>
      <c r="R104" s="2" t="inlineStr">
        <is>
          <t>Garnlav
Kolflarnlav</t>
        </is>
      </c>
      <c r="S104">
        <f>HYPERLINK("https://klasma.github.io/Logging_2326/artfynd/A 42120-2025 artfynd.xlsx", "A 42120-2025")</f>
        <v/>
      </c>
      <c r="T104">
        <f>HYPERLINK("https://klasma.github.io/Logging_2326/kartor/A 42120-2025 karta.png", "A 42120-2025")</f>
        <v/>
      </c>
      <c r="V104">
        <f>HYPERLINK("https://klasma.github.io/Logging_2326/klagomål/A 42120-2025 FSC-klagomål.docx", "A 42120-2025")</f>
        <v/>
      </c>
      <c r="W104">
        <f>HYPERLINK("https://klasma.github.io/Logging_2326/klagomålsmail/A 42120-2025 FSC-klagomål mail.docx", "A 42120-2025")</f>
        <v/>
      </c>
      <c r="X104">
        <f>HYPERLINK("https://klasma.github.io/Logging_2326/tillsyn/A 42120-2025 tillsynsbegäran.docx", "A 42120-2025")</f>
        <v/>
      </c>
      <c r="Y104">
        <f>HYPERLINK("https://klasma.github.io/Logging_2326/tillsynsmail/A 42120-2025 tillsynsbegäran mail.docx", "A 42120-2025")</f>
        <v/>
      </c>
    </row>
    <row r="105" ht="15" customHeight="1">
      <c r="A105" t="inlineStr">
        <is>
          <t>A 26748-2025</t>
        </is>
      </c>
      <c r="B105" s="1" t="n">
        <v>45810.53988425926</v>
      </c>
      <c r="C105" s="1" t="n">
        <v>46129</v>
      </c>
      <c r="D105" t="inlineStr">
        <is>
          <t>JÄMTLANDS LÄN</t>
        </is>
      </c>
      <c r="E105" t="inlineStr">
        <is>
          <t>BERG</t>
        </is>
      </c>
      <c r="G105" t="n">
        <v>17.4</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26748-2025 artfynd.xlsx", "A 26748-2025")</f>
        <v/>
      </c>
      <c r="T105">
        <f>HYPERLINK("https://klasma.github.io/Logging_2326/kartor/A 26748-2025 karta.png", "A 26748-2025")</f>
        <v/>
      </c>
      <c r="V105">
        <f>HYPERLINK("https://klasma.github.io/Logging_2326/klagomål/A 26748-2025 FSC-klagomål.docx", "A 26748-2025")</f>
        <v/>
      </c>
      <c r="W105">
        <f>HYPERLINK("https://klasma.github.io/Logging_2326/klagomålsmail/A 26748-2025 FSC-klagomål mail.docx", "A 26748-2025")</f>
        <v/>
      </c>
      <c r="X105">
        <f>HYPERLINK("https://klasma.github.io/Logging_2326/tillsyn/A 26748-2025 tillsynsbegäran.docx", "A 26748-2025")</f>
        <v/>
      </c>
      <c r="Y105">
        <f>HYPERLINK("https://klasma.github.io/Logging_2326/tillsynsmail/A 26748-2025 tillsynsbegäran mail.docx", "A 26748-2025")</f>
        <v/>
      </c>
      <c r="Z105">
        <f>HYPERLINK("https://klasma.github.io/Logging_2326/fåglar/A 26748-2025 prioriterade fågelarter.docx", "A 26748-2025")</f>
        <v/>
      </c>
    </row>
    <row r="106" ht="15" customHeight="1">
      <c r="A106" t="inlineStr">
        <is>
          <t>A 27647-2025</t>
        </is>
      </c>
      <c r="B106" s="1" t="n">
        <v>45813.59454861111</v>
      </c>
      <c r="C106" s="1" t="n">
        <v>46129</v>
      </c>
      <c r="D106" t="inlineStr">
        <is>
          <t>JÄMTLANDS LÄN</t>
        </is>
      </c>
      <c r="E106" t="inlineStr">
        <is>
          <t>BERG</t>
        </is>
      </c>
      <c r="F106" t="inlineStr">
        <is>
          <t>SCA</t>
        </is>
      </c>
      <c r="G106" t="n">
        <v>3.1</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27647-2025 artfynd.xlsx", "A 27647-2025")</f>
        <v/>
      </c>
      <c r="T106">
        <f>HYPERLINK("https://klasma.github.io/Logging_2326/kartor/A 27647-2025 karta.png", "A 27647-2025")</f>
        <v/>
      </c>
      <c r="V106">
        <f>HYPERLINK("https://klasma.github.io/Logging_2326/klagomål/A 27647-2025 FSC-klagomål.docx", "A 27647-2025")</f>
        <v/>
      </c>
      <c r="W106">
        <f>HYPERLINK("https://klasma.github.io/Logging_2326/klagomålsmail/A 27647-2025 FSC-klagomål mail.docx", "A 27647-2025")</f>
        <v/>
      </c>
      <c r="X106">
        <f>HYPERLINK("https://klasma.github.io/Logging_2326/tillsyn/A 27647-2025 tillsynsbegäran.docx", "A 27647-2025")</f>
        <v/>
      </c>
      <c r="Y106">
        <f>HYPERLINK("https://klasma.github.io/Logging_2326/tillsynsmail/A 27647-2025 tillsynsbegäran mail.docx", "A 27647-2025")</f>
        <v/>
      </c>
    </row>
    <row r="107" ht="15" customHeight="1">
      <c r="A107" t="inlineStr">
        <is>
          <t>A 30334-2024</t>
        </is>
      </c>
      <c r="B107" s="1" t="n">
        <v>45490.95396990741</v>
      </c>
      <c r="C107" s="1" t="n">
        <v>46129</v>
      </c>
      <c r="D107" t="inlineStr">
        <is>
          <t>JÄMTLANDS LÄN</t>
        </is>
      </c>
      <c r="E107" t="inlineStr">
        <is>
          <t>BERG</t>
        </is>
      </c>
      <c r="F107" t="inlineStr">
        <is>
          <t>SCA</t>
        </is>
      </c>
      <c r="G107" t="n">
        <v>1.8</v>
      </c>
      <c r="H107" t="n">
        <v>0</v>
      </c>
      <c r="I107" t="n">
        <v>0</v>
      </c>
      <c r="J107" t="n">
        <v>1</v>
      </c>
      <c r="K107" t="n">
        <v>1</v>
      </c>
      <c r="L107" t="n">
        <v>0</v>
      </c>
      <c r="M107" t="n">
        <v>0</v>
      </c>
      <c r="N107" t="n">
        <v>0</v>
      </c>
      <c r="O107" t="n">
        <v>2</v>
      </c>
      <c r="P107" t="n">
        <v>1</v>
      </c>
      <c r="Q107" t="n">
        <v>2</v>
      </c>
      <c r="R107" s="2" t="inlineStr">
        <is>
          <t>Gräddporing
Dvärgbägarlav</t>
        </is>
      </c>
      <c r="S107">
        <f>HYPERLINK("https://klasma.github.io/Logging_2326/artfynd/A 30334-2024 artfynd.xlsx", "A 30334-2024")</f>
        <v/>
      </c>
      <c r="T107">
        <f>HYPERLINK("https://klasma.github.io/Logging_2326/kartor/A 30334-2024 karta.png", "A 30334-2024")</f>
        <v/>
      </c>
      <c r="V107">
        <f>HYPERLINK("https://klasma.github.io/Logging_2326/klagomål/A 30334-2024 FSC-klagomål.docx", "A 30334-2024")</f>
        <v/>
      </c>
      <c r="W107">
        <f>HYPERLINK("https://klasma.github.io/Logging_2326/klagomålsmail/A 30334-2024 FSC-klagomål mail.docx", "A 30334-2024")</f>
        <v/>
      </c>
      <c r="X107">
        <f>HYPERLINK("https://klasma.github.io/Logging_2326/tillsyn/A 30334-2024 tillsynsbegäran.docx", "A 30334-2024")</f>
        <v/>
      </c>
      <c r="Y107">
        <f>HYPERLINK("https://klasma.github.io/Logging_2326/tillsynsmail/A 30334-2024 tillsynsbegäran mail.docx", "A 30334-2024")</f>
        <v/>
      </c>
    </row>
    <row r="108" ht="15" customHeight="1">
      <c r="A108" t="inlineStr">
        <is>
          <t>A 31709-2025</t>
        </is>
      </c>
      <c r="B108" s="1" t="n">
        <v>45834.42543981481</v>
      </c>
      <c r="C108" s="1" t="n">
        <v>46129</v>
      </c>
      <c r="D108" t="inlineStr">
        <is>
          <t>JÄMTLANDS LÄN</t>
        </is>
      </c>
      <c r="E108" t="inlineStr">
        <is>
          <t>BERG</t>
        </is>
      </c>
      <c r="G108" t="n">
        <v>22.2</v>
      </c>
      <c r="H108" t="n">
        <v>1</v>
      </c>
      <c r="I108" t="n">
        <v>0</v>
      </c>
      <c r="J108" t="n">
        <v>1</v>
      </c>
      <c r="K108" t="n">
        <v>0</v>
      </c>
      <c r="L108" t="n">
        <v>1</v>
      </c>
      <c r="M108" t="n">
        <v>0</v>
      </c>
      <c r="N108" t="n">
        <v>0</v>
      </c>
      <c r="O108" t="n">
        <v>2</v>
      </c>
      <c r="P108" t="n">
        <v>1</v>
      </c>
      <c r="Q108" t="n">
        <v>2</v>
      </c>
      <c r="R108" s="2" t="inlineStr">
        <is>
          <t>Mikroskapania
Platt spretmossa</t>
        </is>
      </c>
      <c r="S108">
        <f>HYPERLINK("https://klasma.github.io/Logging_2326/artfynd/A 31709-2025 artfynd.xlsx", "A 31709-2025")</f>
        <v/>
      </c>
      <c r="T108">
        <f>HYPERLINK("https://klasma.github.io/Logging_2326/kartor/A 31709-2025 karta.png", "A 31709-2025")</f>
        <v/>
      </c>
      <c r="V108">
        <f>HYPERLINK("https://klasma.github.io/Logging_2326/klagomål/A 31709-2025 FSC-klagomål.docx", "A 31709-2025")</f>
        <v/>
      </c>
      <c r="W108">
        <f>HYPERLINK("https://klasma.github.io/Logging_2326/klagomålsmail/A 31709-2025 FSC-klagomål mail.docx", "A 31709-2025")</f>
        <v/>
      </c>
      <c r="X108">
        <f>HYPERLINK("https://klasma.github.io/Logging_2326/tillsyn/A 31709-2025 tillsynsbegäran.docx", "A 31709-2025")</f>
        <v/>
      </c>
      <c r="Y108">
        <f>HYPERLINK("https://klasma.github.io/Logging_2326/tillsynsmail/A 31709-2025 tillsynsbegäran mail.docx", "A 31709-2025")</f>
        <v/>
      </c>
    </row>
    <row r="109" ht="15" customHeight="1">
      <c r="A109" t="inlineStr">
        <is>
          <t>A 47858-2025</t>
        </is>
      </c>
      <c r="B109" s="1" t="n">
        <v>45932.40699074074</v>
      </c>
      <c r="C109" s="1" t="n">
        <v>46129</v>
      </c>
      <c r="D109" t="inlineStr">
        <is>
          <t>JÄMTLANDS LÄN</t>
        </is>
      </c>
      <c r="E109" t="inlineStr">
        <is>
          <t>BERG</t>
        </is>
      </c>
      <c r="F109" t="inlineStr">
        <is>
          <t>SCA</t>
        </is>
      </c>
      <c r="G109" t="n">
        <v>1.5</v>
      </c>
      <c r="H109" t="n">
        <v>0</v>
      </c>
      <c r="I109" t="n">
        <v>1</v>
      </c>
      <c r="J109" t="n">
        <v>1</v>
      </c>
      <c r="K109" t="n">
        <v>0</v>
      </c>
      <c r="L109" t="n">
        <v>0</v>
      </c>
      <c r="M109" t="n">
        <v>0</v>
      </c>
      <c r="N109" t="n">
        <v>0</v>
      </c>
      <c r="O109" t="n">
        <v>1</v>
      </c>
      <c r="P109" t="n">
        <v>0</v>
      </c>
      <c r="Q109" t="n">
        <v>2</v>
      </c>
      <c r="R109" s="2" t="inlineStr">
        <is>
          <t>Blanksvart spiklav
Stuplav</t>
        </is>
      </c>
      <c r="S109">
        <f>HYPERLINK("https://klasma.github.io/Logging_2326/artfynd/A 47858-2025 artfynd.xlsx", "A 47858-2025")</f>
        <v/>
      </c>
      <c r="T109">
        <f>HYPERLINK("https://klasma.github.io/Logging_2326/kartor/A 47858-2025 karta.png", "A 47858-2025")</f>
        <v/>
      </c>
      <c r="V109">
        <f>HYPERLINK("https://klasma.github.io/Logging_2326/klagomål/A 47858-2025 FSC-klagomål.docx", "A 47858-2025")</f>
        <v/>
      </c>
      <c r="W109">
        <f>HYPERLINK("https://klasma.github.io/Logging_2326/klagomålsmail/A 47858-2025 FSC-klagomål mail.docx", "A 47858-2025")</f>
        <v/>
      </c>
      <c r="X109">
        <f>HYPERLINK("https://klasma.github.io/Logging_2326/tillsyn/A 47858-2025 tillsynsbegäran.docx", "A 47858-2025")</f>
        <v/>
      </c>
      <c r="Y109">
        <f>HYPERLINK("https://klasma.github.io/Logging_2326/tillsynsmail/A 47858-2025 tillsynsbegäran mail.docx", "A 47858-2025")</f>
        <v/>
      </c>
    </row>
    <row r="110" ht="15" customHeight="1">
      <c r="A110" t="inlineStr">
        <is>
          <t>A 50389-2025</t>
        </is>
      </c>
      <c r="B110" s="1" t="n">
        <v>45944.61539351852</v>
      </c>
      <c r="C110" s="1" t="n">
        <v>46129</v>
      </c>
      <c r="D110" t="inlineStr">
        <is>
          <t>JÄMTLANDS LÄN</t>
        </is>
      </c>
      <c r="E110" t="inlineStr">
        <is>
          <t>BERG</t>
        </is>
      </c>
      <c r="F110" t="inlineStr">
        <is>
          <t>SCA</t>
        </is>
      </c>
      <c r="G110" t="n">
        <v>11.4</v>
      </c>
      <c r="H110" t="n">
        <v>1</v>
      </c>
      <c r="I110" t="n">
        <v>0</v>
      </c>
      <c r="J110" t="n">
        <v>0</v>
      </c>
      <c r="K110" t="n">
        <v>0</v>
      </c>
      <c r="L110" t="n">
        <v>0</v>
      </c>
      <c r="M110" t="n">
        <v>0</v>
      </c>
      <c r="N110" t="n">
        <v>0</v>
      </c>
      <c r="O110" t="n">
        <v>1</v>
      </c>
      <c r="P110" t="n">
        <v>0</v>
      </c>
      <c r="Q110" t="n">
        <v>2</v>
      </c>
      <c r="R110" s="2" t="inlineStr">
        <is>
          <t>Halsfibbla
Fläcknycklar</t>
        </is>
      </c>
      <c r="S110">
        <f>HYPERLINK("https://klasma.github.io/Logging_2326/artfynd/A 50389-2025 artfynd.xlsx", "A 50389-2025")</f>
        <v/>
      </c>
      <c r="T110">
        <f>HYPERLINK("https://klasma.github.io/Logging_2326/kartor/A 50389-2025 karta.png", "A 50389-2025")</f>
        <v/>
      </c>
      <c r="V110">
        <f>HYPERLINK("https://klasma.github.io/Logging_2326/klagomål/A 50389-2025 FSC-klagomål.docx", "A 50389-2025")</f>
        <v/>
      </c>
      <c r="W110">
        <f>HYPERLINK("https://klasma.github.io/Logging_2326/klagomålsmail/A 50389-2025 FSC-klagomål mail.docx", "A 50389-2025")</f>
        <v/>
      </c>
      <c r="X110">
        <f>HYPERLINK("https://klasma.github.io/Logging_2326/tillsyn/A 50389-2025 tillsynsbegäran.docx", "A 50389-2025")</f>
        <v/>
      </c>
      <c r="Y110">
        <f>HYPERLINK("https://klasma.github.io/Logging_2326/tillsynsmail/A 50389-2025 tillsynsbegäran mail.docx", "A 50389-2025")</f>
        <v/>
      </c>
    </row>
    <row r="111" ht="15" customHeight="1">
      <c r="A111" t="inlineStr">
        <is>
          <t>A 52611-2025</t>
        </is>
      </c>
      <c r="B111" s="1" t="n">
        <v>45954.66971064815</v>
      </c>
      <c r="C111" s="1" t="n">
        <v>46129</v>
      </c>
      <c r="D111" t="inlineStr">
        <is>
          <t>JÄMTLANDS LÄN</t>
        </is>
      </c>
      <c r="E111" t="inlineStr">
        <is>
          <t>BERG</t>
        </is>
      </c>
      <c r="F111" t="inlineStr">
        <is>
          <t>Kyrkan</t>
        </is>
      </c>
      <c r="G111" t="n">
        <v>6.3</v>
      </c>
      <c r="H111" t="n">
        <v>1</v>
      </c>
      <c r="I111" t="n">
        <v>0</v>
      </c>
      <c r="J111" t="n">
        <v>1</v>
      </c>
      <c r="K111" t="n">
        <v>0</v>
      </c>
      <c r="L111" t="n">
        <v>0</v>
      </c>
      <c r="M111" t="n">
        <v>0</v>
      </c>
      <c r="N111" t="n">
        <v>0</v>
      </c>
      <c r="O111" t="n">
        <v>1</v>
      </c>
      <c r="P111" t="n">
        <v>0</v>
      </c>
      <c r="Q111" t="n">
        <v>2</v>
      </c>
      <c r="R111" s="2" t="inlineStr">
        <is>
          <t>Garnlav
Revlummer</t>
        </is>
      </c>
      <c r="S111">
        <f>HYPERLINK("https://klasma.github.io/Logging_2326/artfynd/A 52611-2025 artfynd.xlsx", "A 52611-2025")</f>
        <v/>
      </c>
      <c r="T111">
        <f>HYPERLINK("https://klasma.github.io/Logging_2326/kartor/A 52611-2025 karta.png", "A 52611-2025")</f>
        <v/>
      </c>
      <c r="V111">
        <f>HYPERLINK("https://klasma.github.io/Logging_2326/klagomål/A 52611-2025 FSC-klagomål.docx", "A 52611-2025")</f>
        <v/>
      </c>
      <c r="W111">
        <f>HYPERLINK("https://klasma.github.io/Logging_2326/klagomålsmail/A 52611-2025 FSC-klagomål mail.docx", "A 52611-2025")</f>
        <v/>
      </c>
      <c r="X111">
        <f>HYPERLINK("https://klasma.github.io/Logging_2326/tillsyn/A 52611-2025 tillsynsbegäran.docx", "A 52611-2025")</f>
        <v/>
      </c>
      <c r="Y111">
        <f>HYPERLINK("https://klasma.github.io/Logging_2326/tillsynsmail/A 52611-2025 tillsynsbegäran mail.docx", "A 52611-2025")</f>
        <v/>
      </c>
    </row>
    <row r="112" ht="15" customHeight="1">
      <c r="A112" t="inlineStr">
        <is>
          <t>A 8734-2025</t>
        </is>
      </c>
      <c r="B112" s="1" t="n">
        <v>45712.53209490741</v>
      </c>
      <c r="C112" s="1" t="n">
        <v>46129</v>
      </c>
      <c r="D112" t="inlineStr">
        <is>
          <t>JÄMTLANDS LÄN</t>
        </is>
      </c>
      <c r="E112" t="inlineStr">
        <is>
          <t>BERG</t>
        </is>
      </c>
      <c r="F112" t="inlineStr">
        <is>
          <t>SCA</t>
        </is>
      </c>
      <c r="G112" t="n">
        <v>4.2</v>
      </c>
      <c r="H112" t="n">
        <v>1</v>
      </c>
      <c r="I112" t="n">
        <v>0</v>
      </c>
      <c r="J112" t="n">
        <v>1</v>
      </c>
      <c r="K112" t="n">
        <v>0</v>
      </c>
      <c r="L112" t="n">
        <v>0</v>
      </c>
      <c r="M112" t="n">
        <v>0</v>
      </c>
      <c r="N112" t="n">
        <v>0</v>
      </c>
      <c r="O112" t="n">
        <v>1</v>
      </c>
      <c r="P112" t="n">
        <v>0</v>
      </c>
      <c r="Q112" t="n">
        <v>2</v>
      </c>
      <c r="R112" s="2" t="inlineStr">
        <is>
          <t>Brunklöver
Gullviva</t>
        </is>
      </c>
      <c r="S112">
        <f>HYPERLINK("https://klasma.github.io/Logging_2326/artfynd/A 8734-2025 artfynd.xlsx", "A 8734-2025")</f>
        <v/>
      </c>
      <c r="T112">
        <f>HYPERLINK("https://klasma.github.io/Logging_2326/kartor/A 8734-2025 karta.png", "A 8734-2025")</f>
        <v/>
      </c>
      <c r="V112">
        <f>HYPERLINK("https://klasma.github.io/Logging_2326/klagomål/A 8734-2025 FSC-klagomål.docx", "A 8734-2025")</f>
        <v/>
      </c>
      <c r="W112">
        <f>HYPERLINK("https://klasma.github.io/Logging_2326/klagomålsmail/A 8734-2025 FSC-klagomål mail.docx", "A 8734-2025")</f>
        <v/>
      </c>
      <c r="X112">
        <f>HYPERLINK("https://klasma.github.io/Logging_2326/tillsyn/A 8734-2025 tillsynsbegäran.docx", "A 8734-2025")</f>
        <v/>
      </c>
      <c r="Y112">
        <f>HYPERLINK("https://klasma.github.io/Logging_2326/tillsynsmail/A 8734-2025 tillsynsbegäran mail.docx", "A 8734-2025")</f>
        <v/>
      </c>
    </row>
    <row r="113" ht="15" customHeight="1">
      <c r="A113" t="inlineStr">
        <is>
          <t>A 52600-2025</t>
        </is>
      </c>
      <c r="B113" s="1" t="n">
        <v>45954.65657407408</v>
      </c>
      <c r="C113" s="1" t="n">
        <v>46129</v>
      </c>
      <c r="D113" t="inlineStr">
        <is>
          <t>JÄMTLANDS LÄN</t>
        </is>
      </c>
      <c r="E113" t="inlineStr">
        <is>
          <t>BERG</t>
        </is>
      </c>
      <c r="F113" t="inlineStr">
        <is>
          <t>Kyrkan</t>
        </is>
      </c>
      <c r="G113" t="n">
        <v>5.8</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52600-2025 artfynd.xlsx", "A 52600-2025")</f>
        <v/>
      </c>
      <c r="T113">
        <f>HYPERLINK("https://klasma.github.io/Logging_2326/kartor/A 52600-2025 karta.png", "A 52600-2025")</f>
        <v/>
      </c>
      <c r="V113">
        <f>HYPERLINK("https://klasma.github.io/Logging_2326/klagomål/A 52600-2025 FSC-klagomål.docx", "A 52600-2025")</f>
        <v/>
      </c>
      <c r="W113">
        <f>HYPERLINK("https://klasma.github.io/Logging_2326/klagomålsmail/A 52600-2025 FSC-klagomål mail.docx", "A 52600-2025")</f>
        <v/>
      </c>
      <c r="X113">
        <f>HYPERLINK("https://klasma.github.io/Logging_2326/tillsyn/A 52600-2025 tillsynsbegäran.docx", "A 52600-2025")</f>
        <v/>
      </c>
      <c r="Y113">
        <f>HYPERLINK("https://klasma.github.io/Logging_2326/tillsynsmail/A 52600-2025 tillsynsbegäran mail.docx", "A 52600-2025")</f>
        <v/>
      </c>
    </row>
    <row r="114" ht="15" customHeight="1">
      <c r="A114" t="inlineStr">
        <is>
          <t>A 62161-2025</t>
        </is>
      </c>
      <c r="B114" s="1" t="n">
        <v>46006.49113425926</v>
      </c>
      <c r="C114" s="1" t="n">
        <v>46129</v>
      </c>
      <c r="D114" t="inlineStr">
        <is>
          <t>JÄMTLANDS LÄN</t>
        </is>
      </c>
      <c r="E114" t="inlineStr">
        <is>
          <t>BERG</t>
        </is>
      </c>
      <c r="F114" t="inlineStr">
        <is>
          <t>SCA</t>
        </is>
      </c>
      <c r="G114" t="n">
        <v>2.6</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62161-2025 artfynd.xlsx", "A 62161-2025")</f>
        <v/>
      </c>
      <c r="T114">
        <f>HYPERLINK("https://klasma.github.io/Logging_2326/kartor/A 62161-2025 karta.png", "A 62161-2025")</f>
        <v/>
      </c>
      <c r="V114">
        <f>HYPERLINK("https://klasma.github.io/Logging_2326/klagomål/A 62161-2025 FSC-klagomål.docx", "A 62161-2025")</f>
        <v/>
      </c>
      <c r="W114">
        <f>HYPERLINK("https://klasma.github.io/Logging_2326/klagomålsmail/A 62161-2025 FSC-klagomål mail.docx", "A 62161-2025")</f>
        <v/>
      </c>
      <c r="X114">
        <f>HYPERLINK("https://klasma.github.io/Logging_2326/tillsyn/A 62161-2025 tillsynsbegäran.docx", "A 62161-2025")</f>
        <v/>
      </c>
      <c r="Y114">
        <f>HYPERLINK("https://klasma.github.io/Logging_2326/tillsynsmail/A 62161-2025 tillsynsbegäran mail.docx", "A 62161-2025")</f>
        <v/>
      </c>
      <c r="Z114">
        <f>HYPERLINK("https://klasma.github.io/Logging_2326/fåglar/A 62161-2025 prioriterade fågelarter.docx", "A 62161-2025")</f>
        <v/>
      </c>
    </row>
    <row r="115" ht="15" customHeight="1">
      <c r="A115" t="inlineStr">
        <is>
          <t>A 62159-2025</t>
        </is>
      </c>
      <c r="B115" s="1" t="n">
        <v>46006.49081018518</v>
      </c>
      <c r="C115" s="1" t="n">
        <v>46129</v>
      </c>
      <c r="D115" t="inlineStr">
        <is>
          <t>JÄMTLANDS LÄN</t>
        </is>
      </c>
      <c r="E115" t="inlineStr">
        <is>
          <t>BERG</t>
        </is>
      </c>
      <c r="F115" t="inlineStr">
        <is>
          <t>SCA</t>
        </is>
      </c>
      <c r="G115" t="n">
        <v>3.8</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HYPERLINK("https://klasma.github.io/Logging_2326/artfynd/A 62159-2025 artfynd.xlsx", "A 62159-2025")</f>
        <v/>
      </c>
      <c r="T115">
        <f>HYPERLINK("https://klasma.github.io/Logging_2326/kartor/A 62159-2025 karta.png", "A 62159-2025")</f>
        <v/>
      </c>
      <c r="V115">
        <f>HYPERLINK("https://klasma.github.io/Logging_2326/klagomål/A 62159-2025 FSC-klagomål.docx", "A 62159-2025")</f>
        <v/>
      </c>
      <c r="W115">
        <f>HYPERLINK("https://klasma.github.io/Logging_2326/klagomålsmail/A 62159-2025 FSC-klagomål mail.docx", "A 62159-2025")</f>
        <v/>
      </c>
      <c r="X115">
        <f>HYPERLINK("https://klasma.github.io/Logging_2326/tillsyn/A 62159-2025 tillsynsbegäran.docx", "A 62159-2025")</f>
        <v/>
      </c>
      <c r="Y115">
        <f>HYPERLINK("https://klasma.github.io/Logging_2326/tillsynsmail/A 62159-2025 tillsynsbegäran mail.docx", "A 62159-2025")</f>
        <v/>
      </c>
      <c r="Z115">
        <f>HYPERLINK("https://klasma.github.io/Logging_2326/fåglar/A 62159-2025 prioriterade fågelarter.docx", "A 62159-2025")</f>
        <v/>
      </c>
    </row>
    <row r="116" ht="15" customHeight="1">
      <c r="A116" t="inlineStr">
        <is>
          <t>A 5122-2026</t>
        </is>
      </c>
      <c r="B116" s="1" t="n">
        <v>46049.58273148148</v>
      </c>
      <c r="C116" s="1" t="n">
        <v>46129</v>
      </c>
      <c r="D116" t="inlineStr">
        <is>
          <t>JÄMTLANDS LÄN</t>
        </is>
      </c>
      <c r="E116" t="inlineStr">
        <is>
          <t>BERG</t>
        </is>
      </c>
      <c r="F116" t="inlineStr">
        <is>
          <t>Sveaskog</t>
        </is>
      </c>
      <c r="G116" t="n">
        <v>9</v>
      </c>
      <c r="H116" t="n">
        <v>1</v>
      </c>
      <c r="I116" t="n">
        <v>1</v>
      </c>
      <c r="J116" t="n">
        <v>1</v>
      </c>
      <c r="K116" t="n">
        <v>0</v>
      </c>
      <c r="L116" t="n">
        <v>0</v>
      </c>
      <c r="M116" t="n">
        <v>0</v>
      </c>
      <c r="N116" t="n">
        <v>0</v>
      </c>
      <c r="O116" t="n">
        <v>1</v>
      </c>
      <c r="P116" t="n">
        <v>0</v>
      </c>
      <c r="Q116" t="n">
        <v>2</v>
      </c>
      <c r="R116" s="2" t="inlineStr">
        <is>
          <t>Garnlav
Plattlummer</t>
        </is>
      </c>
      <c r="S116">
        <f>HYPERLINK("https://klasma.github.io/Logging_2326/artfynd/A 5122-2026 artfynd.xlsx", "A 5122-2026")</f>
        <v/>
      </c>
      <c r="T116">
        <f>HYPERLINK("https://klasma.github.io/Logging_2326/kartor/A 5122-2026 karta.png", "A 5122-2026")</f>
        <v/>
      </c>
      <c r="V116">
        <f>HYPERLINK("https://klasma.github.io/Logging_2326/klagomål/A 5122-2026 FSC-klagomål.docx", "A 5122-2026")</f>
        <v/>
      </c>
      <c r="W116">
        <f>HYPERLINK("https://klasma.github.io/Logging_2326/klagomålsmail/A 5122-2026 FSC-klagomål mail.docx", "A 5122-2026")</f>
        <v/>
      </c>
      <c r="X116">
        <f>HYPERLINK("https://klasma.github.io/Logging_2326/tillsyn/A 5122-2026 tillsynsbegäran.docx", "A 5122-2026")</f>
        <v/>
      </c>
      <c r="Y116">
        <f>HYPERLINK("https://klasma.github.io/Logging_2326/tillsynsmail/A 5122-2026 tillsynsbegäran mail.docx", "A 5122-2026")</f>
        <v/>
      </c>
    </row>
    <row r="117" ht="15" customHeight="1">
      <c r="A117" t="inlineStr">
        <is>
          <t>A 14344-2025</t>
        </is>
      </c>
      <c r="B117" s="1" t="n">
        <v>45741</v>
      </c>
      <c r="C117" s="1" t="n">
        <v>46129</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27919-2024</t>
        </is>
      </c>
      <c r="B118" s="1" t="n">
        <v>45475.94865740741</v>
      </c>
      <c r="C118" s="1" t="n">
        <v>46129</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37387-2022</t>
        </is>
      </c>
      <c r="B119" s="1" t="n">
        <v>44806</v>
      </c>
      <c r="C119" s="1" t="n">
        <v>46129</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48880-2023</t>
        </is>
      </c>
      <c r="B120" s="1" t="n">
        <v>45209</v>
      </c>
      <c r="C120" s="1" t="n">
        <v>46129</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19948-2025</t>
        </is>
      </c>
      <c r="B121" s="1" t="n">
        <v>45771</v>
      </c>
      <c r="C121" s="1" t="n">
        <v>46129</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18606-2026</t>
        </is>
      </c>
      <c r="B122" s="1" t="n">
        <v>46127.65828703704</v>
      </c>
      <c r="C122" s="1" t="n">
        <v>46129</v>
      </c>
      <c r="D122" t="inlineStr">
        <is>
          <t>JÄMTLANDS LÄN</t>
        </is>
      </c>
      <c r="E122" t="inlineStr">
        <is>
          <t>BERG</t>
        </is>
      </c>
      <c r="F122" t="inlineStr">
        <is>
          <t>SCA</t>
        </is>
      </c>
      <c r="G122" t="n">
        <v>7.5</v>
      </c>
      <c r="H122" t="n">
        <v>1</v>
      </c>
      <c r="I122" t="n">
        <v>0</v>
      </c>
      <c r="J122" t="n">
        <v>1</v>
      </c>
      <c r="K122" t="n">
        <v>0</v>
      </c>
      <c r="L122" t="n">
        <v>0</v>
      </c>
      <c r="M122" t="n">
        <v>0</v>
      </c>
      <c r="N122" t="n">
        <v>0</v>
      </c>
      <c r="O122" t="n">
        <v>1</v>
      </c>
      <c r="P122" t="n">
        <v>0</v>
      </c>
      <c r="Q122" t="n">
        <v>2</v>
      </c>
      <c r="R122" s="2" t="inlineStr">
        <is>
          <t>Skrovellav
Fläcknycklar</t>
        </is>
      </c>
      <c r="S122">
        <f>HYPERLINK("https://klasma.github.io/Logging_2326/artfynd/A 18606-2026 artfynd.xlsx", "A 18606-2026")</f>
        <v/>
      </c>
      <c r="T122">
        <f>HYPERLINK("https://klasma.github.io/Logging_2326/kartor/A 18606-2026 karta.png", "A 18606-2026")</f>
        <v/>
      </c>
      <c r="V122">
        <f>HYPERLINK("https://klasma.github.io/Logging_2326/klagomål/A 18606-2026 FSC-klagomål.docx", "A 18606-2026")</f>
        <v/>
      </c>
      <c r="W122">
        <f>HYPERLINK("https://klasma.github.io/Logging_2326/klagomålsmail/A 18606-2026 FSC-klagomål mail.docx", "A 18606-2026")</f>
        <v/>
      </c>
      <c r="X122">
        <f>HYPERLINK("https://klasma.github.io/Logging_2326/tillsyn/A 18606-2026 tillsynsbegäran.docx", "A 18606-2026")</f>
        <v/>
      </c>
      <c r="Y122">
        <f>HYPERLINK("https://klasma.github.io/Logging_2326/tillsynsmail/A 18606-2026 tillsynsbegäran mail.docx", "A 18606-2026")</f>
        <v/>
      </c>
    </row>
    <row r="123" ht="15" customHeight="1">
      <c r="A123" t="inlineStr">
        <is>
          <t>A 47-2023</t>
        </is>
      </c>
      <c r="B123" s="1" t="n">
        <v>44928</v>
      </c>
      <c r="C123" s="1" t="n">
        <v>46129</v>
      </c>
      <c r="D123" t="inlineStr">
        <is>
          <t>JÄMTLANDS LÄN</t>
        </is>
      </c>
      <c r="E123" t="inlineStr">
        <is>
          <t>BERG</t>
        </is>
      </c>
      <c r="F123" t="inlineStr">
        <is>
          <t>Naturvårdsverket</t>
        </is>
      </c>
      <c r="G123" t="n">
        <v>1.5</v>
      </c>
      <c r="H123" t="n">
        <v>1</v>
      </c>
      <c r="I123" t="n">
        <v>0</v>
      </c>
      <c r="J123" t="n">
        <v>1</v>
      </c>
      <c r="K123" t="n">
        <v>1</v>
      </c>
      <c r="L123" t="n">
        <v>0</v>
      </c>
      <c r="M123" t="n">
        <v>0</v>
      </c>
      <c r="N123" t="n">
        <v>0</v>
      </c>
      <c r="O123" t="n">
        <v>2</v>
      </c>
      <c r="P123" t="n">
        <v>1</v>
      </c>
      <c r="Q123" t="n">
        <v>2</v>
      </c>
      <c r="R123" s="2" t="inlineStr">
        <is>
          <t>Knärot
Violettgrå tagellav</t>
        </is>
      </c>
      <c r="S123">
        <f>HYPERLINK("https://klasma.github.io/Logging_2326/artfynd/A 47-2023 artfynd.xlsx", "A 47-2023")</f>
        <v/>
      </c>
      <c r="T123">
        <f>HYPERLINK("https://klasma.github.io/Logging_2326/kartor/A 47-2023 karta.png", "A 47-2023")</f>
        <v/>
      </c>
      <c r="U123">
        <f>HYPERLINK("https://klasma.github.io/Logging_2326/knärot/A 47-2023 karta knärot.png", "A 47-2023")</f>
        <v/>
      </c>
      <c r="V123">
        <f>HYPERLINK("https://klasma.github.io/Logging_2326/klagomål/A 47-2023 FSC-klagomål.docx", "A 47-2023")</f>
        <v/>
      </c>
      <c r="W123">
        <f>HYPERLINK("https://klasma.github.io/Logging_2326/klagomålsmail/A 47-2023 FSC-klagomål mail.docx", "A 47-2023")</f>
        <v/>
      </c>
      <c r="X123">
        <f>HYPERLINK("https://klasma.github.io/Logging_2326/tillsyn/A 47-2023 tillsynsbegäran.docx", "A 47-2023")</f>
        <v/>
      </c>
      <c r="Y123">
        <f>HYPERLINK("https://klasma.github.io/Logging_2326/tillsynsmail/A 47-2023 tillsynsbegäran mail.docx", "A 47-2023")</f>
        <v/>
      </c>
    </row>
    <row r="124" ht="15" customHeight="1">
      <c r="A124" t="inlineStr">
        <is>
          <t>A 26944-2024</t>
        </is>
      </c>
      <c r="B124" s="1" t="n">
        <v>45470.96880787037</v>
      </c>
      <c r="C124" s="1" t="n">
        <v>46129</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33009-2024</t>
        </is>
      </c>
      <c r="B125" s="1" t="n">
        <v>45517.50332175926</v>
      </c>
      <c r="C125" s="1" t="n">
        <v>46129</v>
      </c>
      <c r="D125" t="inlineStr">
        <is>
          <t>JÄMTLANDS LÄN</t>
        </is>
      </c>
      <c r="E125" t="inlineStr">
        <is>
          <t>BERG</t>
        </is>
      </c>
      <c r="G125" t="n">
        <v>2.7</v>
      </c>
      <c r="H125" t="n">
        <v>1</v>
      </c>
      <c r="I125" t="n">
        <v>0</v>
      </c>
      <c r="J125" t="n">
        <v>2</v>
      </c>
      <c r="K125" t="n">
        <v>0</v>
      </c>
      <c r="L125" t="n">
        <v>0</v>
      </c>
      <c r="M125" t="n">
        <v>0</v>
      </c>
      <c r="N125" t="n">
        <v>0</v>
      </c>
      <c r="O125" t="n">
        <v>2</v>
      </c>
      <c r="P125" t="n">
        <v>0</v>
      </c>
      <c r="Q125" t="n">
        <v>2</v>
      </c>
      <c r="R125" s="2" t="inlineStr">
        <is>
          <t>Garnlav
Talltita</t>
        </is>
      </c>
      <c r="S125">
        <f>HYPERLINK("https://klasma.github.io/Logging_2326/artfynd/A 33009-2024 artfynd.xlsx", "A 33009-2024")</f>
        <v/>
      </c>
      <c r="T125">
        <f>HYPERLINK("https://klasma.github.io/Logging_2326/kartor/A 33009-2024 karta.png", "A 33009-2024")</f>
        <v/>
      </c>
      <c r="V125">
        <f>HYPERLINK("https://klasma.github.io/Logging_2326/klagomål/A 33009-2024 FSC-klagomål.docx", "A 33009-2024")</f>
        <v/>
      </c>
      <c r="W125">
        <f>HYPERLINK("https://klasma.github.io/Logging_2326/klagomålsmail/A 33009-2024 FSC-klagomål mail.docx", "A 33009-2024")</f>
        <v/>
      </c>
      <c r="X125">
        <f>HYPERLINK("https://klasma.github.io/Logging_2326/tillsyn/A 33009-2024 tillsynsbegäran.docx", "A 33009-2024")</f>
        <v/>
      </c>
      <c r="Y125">
        <f>HYPERLINK("https://klasma.github.io/Logging_2326/tillsynsmail/A 33009-2024 tillsynsbegäran mail.docx", "A 33009-2024")</f>
        <v/>
      </c>
      <c r="Z125">
        <f>HYPERLINK("https://klasma.github.io/Logging_2326/fåglar/A 33009-2024 prioriterade fågelarter.docx", "A 33009-2024")</f>
        <v/>
      </c>
    </row>
    <row r="126" ht="15" customHeight="1">
      <c r="A126" t="inlineStr">
        <is>
          <t>A 12734-2024</t>
        </is>
      </c>
      <c r="B126" s="1" t="n">
        <v>45384</v>
      </c>
      <c r="C126" s="1" t="n">
        <v>46129</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55331-2023</t>
        </is>
      </c>
      <c r="B127" s="1" t="n">
        <v>45237</v>
      </c>
      <c r="C127" s="1" t="n">
        <v>46129</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10133-2023</t>
        </is>
      </c>
      <c r="B128" s="1" t="n">
        <v>44986</v>
      </c>
      <c r="C128" s="1" t="n">
        <v>46129</v>
      </c>
      <c r="D128" t="inlineStr">
        <is>
          <t>JÄMTLANDS LÄN</t>
        </is>
      </c>
      <c r="E128" t="inlineStr">
        <is>
          <t>BERG</t>
        </is>
      </c>
      <c r="F128" t="inlineStr">
        <is>
          <t>Holmen skog AB</t>
        </is>
      </c>
      <c r="G128" t="n">
        <v>3</v>
      </c>
      <c r="H128" t="n">
        <v>0</v>
      </c>
      <c r="I128" t="n">
        <v>0</v>
      </c>
      <c r="J128" t="n">
        <v>2</v>
      </c>
      <c r="K128" t="n">
        <v>0</v>
      </c>
      <c r="L128" t="n">
        <v>0</v>
      </c>
      <c r="M128" t="n">
        <v>0</v>
      </c>
      <c r="N128" t="n">
        <v>0</v>
      </c>
      <c r="O128" t="n">
        <v>2</v>
      </c>
      <c r="P128" t="n">
        <v>0</v>
      </c>
      <c r="Q128" t="n">
        <v>2</v>
      </c>
      <c r="R128" s="2" t="inlineStr">
        <is>
          <t>Garnlav
Vitgrynig nållav</t>
        </is>
      </c>
      <c r="S128">
        <f>HYPERLINK("https://klasma.github.io/Logging_2326/artfynd/A 10133-2023 artfynd.xlsx", "A 10133-2023")</f>
        <v/>
      </c>
      <c r="T128">
        <f>HYPERLINK("https://klasma.github.io/Logging_2326/kartor/A 10133-2023 karta.png", "A 10133-2023")</f>
        <v/>
      </c>
      <c r="V128">
        <f>HYPERLINK("https://klasma.github.io/Logging_2326/klagomål/A 10133-2023 FSC-klagomål.docx", "A 10133-2023")</f>
        <v/>
      </c>
      <c r="W128">
        <f>HYPERLINK("https://klasma.github.io/Logging_2326/klagomålsmail/A 10133-2023 FSC-klagomål mail.docx", "A 10133-2023")</f>
        <v/>
      </c>
      <c r="X128">
        <f>HYPERLINK("https://klasma.github.io/Logging_2326/tillsyn/A 10133-2023 tillsynsbegäran.docx", "A 10133-2023")</f>
        <v/>
      </c>
      <c r="Y128">
        <f>HYPERLINK("https://klasma.github.io/Logging_2326/tillsynsmail/A 10133-2023 tillsynsbegäran mail.docx", "A 10133-2023")</f>
        <v/>
      </c>
    </row>
    <row r="129" ht="15" customHeight="1">
      <c r="A129" t="inlineStr">
        <is>
          <t>A 28769-2024</t>
        </is>
      </c>
      <c r="B129" s="1" t="n">
        <v>45478</v>
      </c>
      <c r="C129" s="1" t="n">
        <v>46129</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60333-2024</t>
        </is>
      </c>
      <c r="B130" s="1" t="n">
        <v>45643</v>
      </c>
      <c r="C130" s="1" t="n">
        <v>46129</v>
      </c>
      <c r="D130" t="inlineStr">
        <is>
          <t>JÄMTLANDS LÄN</t>
        </is>
      </c>
      <c r="E130" t="inlineStr">
        <is>
          <t>BERG</t>
        </is>
      </c>
      <c r="G130" t="n">
        <v>25.5</v>
      </c>
      <c r="H130" t="n">
        <v>0</v>
      </c>
      <c r="I130" t="n">
        <v>2</v>
      </c>
      <c r="J130" t="n">
        <v>0</v>
      </c>
      <c r="K130" t="n">
        <v>0</v>
      </c>
      <c r="L130" t="n">
        <v>0</v>
      </c>
      <c r="M130" t="n">
        <v>0</v>
      </c>
      <c r="N130" t="n">
        <v>0</v>
      </c>
      <c r="O130" t="n">
        <v>0</v>
      </c>
      <c r="P130" t="n">
        <v>0</v>
      </c>
      <c r="Q130" t="n">
        <v>2</v>
      </c>
      <c r="R130" s="2" t="inlineStr">
        <is>
          <t>Honungsvaxing
Ängsvaxing agg.</t>
        </is>
      </c>
      <c r="S130">
        <f>HYPERLINK("https://klasma.github.io/Logging_2326/artfynd/A 60333-2024 artfynd.xlsx", "A 60333-2024")</f>
        <v/>
      </c>
      <c r="T130">
        <f>HYPERLINK("https://klasma.github.io/Logging_2326/kartor/A 60333-2024 karta.png", "A 60333-2024")</f>
        <v/>
      </c>
      <c r="V130">
        <f>HYPERLINK("https://klasma.github.io/Logging_2326/klagomål/A 60333-2024 FSC-klagomål.docx", "A 60333-2024")</f>
        <v/>
      </c>
      <c r="W130">
        <f>HYPERLINK("https://klasma.github.io/Logging_2326/klagomålsmail/A 60333-2024 FSC-klagomål mail.docx", "A 60333-2024")</f>
        <v/>
      </c>
      <c r="X130">
        <f>HYPERLINK("https://klasma.github.io/Logging_2326/tillsyn/A 60333-2024 tillsynsbegäran.docx", "A 60333-2024")</f>
        <v/>
      </c>
      <c r="Y130">
        <f>HYPERLINK("https://klasma.github.io/Logging_2326/tillsynsmail/A 60333-2024 tillsynsbegäran mail.docx", "A 60333-2024")</f>
        <v/>
      </c>
    </row>
    <row r="131" ht="15" customHeight="1">
      <c r="A131" t="inlineStr">
        <is>
          <t>A 21518-2025</t>
        </is>
      </c>
      <c r="B131" s="1" t="n">
        <v>45782</v>
      </c>
      <c r="C131" s="1" t="n">
        <v>46129</v>
      </c>
      <c r="D131" t="inlineStr">
        <is>
          <t>JÄMTLANDS LÄN</t>
        </is>
      </c>
      <c r="E131" t="inlineStr">
        <is>
          <t>BERG</t>
        </is>
      </c>
      <c r="F131" t="inlineStr">
        <is>
          <t>SCA</t>
        </is>
      </c>
      <c r="G131" t="n">
        <v>3.6</v>
      </c>
      <c r="H131" t="n">
        <v>0</v>
      </c>
      <c r="I131" t="n">
        <v>1</v>
      </c>
      <c r="J131" t="n">
        <v>1</v>
      </c>
      <c r="K131" t="n">
        <v>0</v>
      </c>
      <c r="L131" t="n">
        <v>0</v>
      </c>
      <c r="M131" t="n">
        <v>0</v>
      </c>
      <c r="N131" t="n">
        <v>0</v>
      </c>
      <c r="O131" t="n">
        <v>1</v>
      </c>
      <c r="P131" t="n">
        <v>0</v>
      </c>
      <c r="Q131" t="n">
        <v>2</v>
      </c>
      <c r="R131" s="2" t="inlineStr">
        <is>
          <t>Dvärgbägarlav
Skarp dropptaggsvamp</t>
        </is>
      </c>
      <c r="S131">
        <f>HYPERLINK("https://klasma.github.io/Logging_2326/artfynd/A 21518-2025 artfynd.xlsx", "A 21518-2025")</f>
        <v/>
      </c>
      <c r="T131">
        <f>HYPERLINK("https://klasma.github.io/Logging_2326/kartor/A 21518-2025 karta.png", "A 21518-2025")</f>
        <v/>
      </c>
      <c r="V131">
        <f>HYPERLINK("https://klasma.github.io/Logging_2326/klagomål/A 21518-2025 FSC-klagomål.docx", "A 21518-2025")</f>
        <v/>
      </c>
      <c r="W131">
        <f>HYPERLINK("https://klasma.github.io/Logging_2326/klagomålsmail/A 21518-2025 FSC-klagomål mail.docx", "A 21518-2025")</f>
        <v/>
      </c>
      <c r="X131">
        <f>HYPERLINK("https://klasma.github.io/Logging_2326/tillsyn/A 21518-2025 tillsynsbegäran.docx", "A 21518-2025")</f>
        <v/>
      </c>
      <c r="Y131">
        <f>HYPERLINK("https://klasma.github.io/Logging_2326/tillsynsmail/A 21518-2025 tillsynsbegäran mail.docx", "A 21518-2025")</f>
        <v/>
      </c>
    </row>
    <row r="132" ht="15" customHeight="1">
      <c r="A132" t="inlineStr">
        <is>
          <t>A 41317-2022</t>
        </is>
      </c>
      <c r="B132" s="1" t="n">
        <v>44826</v>
      </c>
      <c r="C132" s="1" t="n">
        <v>46129</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53708-2024</t>
        </is>
      </c>
      <c r="B133" s="1" t="n">
        <v>45615.40983796296</v>
      </c>
      <c r="C133" s="1" t="n">
        <v>46129</v>
      </c>
      <c r="D133" t="inlineStr">
        <is>
          <t>JÄMTLANDS LÄN</t>
        </is>
      </c>
      <c r="E133" t="inlineStr">
        <is>
          <t>BERG</t>
        </is>
      </c>
      <c r="G133" t="n">
        <v>8.199999999999999</v>
      </c>
      <c r="H133" t="n">
        <v>0</v>
      </c>
      <c r="I133" t="n">
        <v>0</v>
      </c>
      <c r="J133" t="n">
        <v>1</v>
      </c>
      <c r="K133" t="n">
        <v>0</v>
      </c>
      <c r="L133" t="n">
        <v>0</v>
      </c>
      <c r="M133" t="n">
        <v>0</v>
      </c>
      <c r="N133" t="n">
        <v>0</v>
      </c>
      <c r="O133" t="n">
        <v>1</v>
      </c>
      <c r="P133" t="n">
        <v>0</v>
      </c>
      <c r="Q133" t="n">
        <v>1</v>
      </c>
      <c r="R133" s="2" t="inlineStr">
        <is>
          <t>Lunglav</t>
        </is>
      </c>
      <c r="S133">
        <f>HYPERLINK("https://klasma.github.io/Logging_2326/artfynd/A 53708-2024 artfynd.xlsx", "A 53708-2024")</f>
        <v/>
      </c>
      <c r="T133">
        <f>HYPERLINK("https://klasma.github.io/Logging_2326/kartor/A 53708-2024 karta.png", "A 53708-2024")</f>
        <v/>
      </c>
      <c r="V133">
        <f>HYPERLINK("https://klasma.github.io/Logging_2326/klagomål/A 53708-2024 FSC-klagomål.docx", "A 53708-2024")</f>
        <v/>
      </c>
      <c r="W133">
        <f>HYPERLINK("https://klasma.github.io/Logging_2326/klagomålsmail/A 53708-2024 FSC-klagomål mail.docx", "A 53708-2024")</f>
        <v/>
      </c>
      <c r="X133">
        <f>HYPERLINK("https://klasma.github.io/Logging_2326/tillsyn/A 53708-2024 tillsynsbegäran.docx", "A 53708-2024")</f>
        <v/>
      </c>
      <c r="Y133">
        <f>HYPERLINK("https://klasma.github.io/Logging_2326/tillsynsmail/A 53708-2024 tillsynsbegäran mail.docx", "A 53708-2024")</f>
        <v/>
      </c>
    </row>
    <row r="134" ht="15" customHeight="1">
      <c r="A134" t="inlineStr">
        <is>
          <t>A 49276-2024</t>
        </is>
      </c>
      <c r="B134" s="1" t="n">
        <v>45595.50819444445</v>
      </c>
      <c r="C134" s="1" t="n">
        <v>46129</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56198-2025</t>
        </is>
      </c>
      <c r="B135" s="1" t="n">
        <v>45974.45760416667</v>
      </c>
      <c r="C135" s="1" t="n">
        <v>46129</v>
      </c>
      <c r="D135" t="inlineStr">
        <is>
          <t>JÄMTLANDS LÄN</t>
        </is>
      </c>
      <c r="E135" t="inlineStr">
        <is>
          <t>BERG</t>
        </is>
      </c>
      <c r="G135" t="n">
        <v>8.6</v>
      </c>
      <c r="H135" t="n">
        <v>0</v>
      </c>
      <c r="I135" t="n">
        <v>0</v>
      </c>
      <c r="J135" t="n">
        <v>1</v>
      </c>
      <c r="K135" t="n">
        <v>0</v>
      </c>
      <c r="L135" t="n">
        <v>0</v>
      </c>
      <c r="M135" t="n">
        <v>0</v>
      </c>
      <c r="N135" t="n">
        <v>0</v>
      </c>
      <c r="O135" t="n">
        <v>1</v>
      </c>
      <c r="P135" t="n">
        <v>0</v>
      </c>
      <c r="Q135" t="n">
        <v>1</v>
      </c>
      <c r="R135" s="2" t="inlineStr">
        <is>
          <t>Knottrig blåslav</t>
        </is>
      </c>
      <c r="S135">
        <f>HYPERLINK("https://klasma.github.io/Logging_2326/artfynd/A 56198-2025 artfynd.xlsx", "A 56198-2025")</f>
        <v/>
      </c>
      <c r="T135">
        <f>HYPERLINK("https://klasma.github.io/Logging_2326/kartor/A 56198-2025 karta.png", "A 56198-2025")</f>
        <v/>
      </c>
      <c r="V135">
        <f>HYPERLINK("https://klasma.github.io/Logging_2326/klagomål/A 56198-2025 FSC-klagomål.docx", "A 56198-2025")</f>
        <v/>
      </c>
      <c r="W135">
        <f>HYPERLINK("https://klasma.github.io/Logging_2326/klagomålsmail/A 56198-2025 FSC-klagomål mail.docx", "A 56198-2025")</f>
        <v/>
      </c>
      <c r="X135">
        <f>HYPERLINK("https://klasma.github.io/Logging_2326/tillsyn/A 56198-2025 tillsynsbegäran.docx", "A 56198-2025")</f>
        <v/>
      </c>
      <c r="Y135">
        <f>HYPERLINK("https://klasma.github.io/Logging_2326/tillsynsmail/A 56198-2025 tillsynsbegäran mail.docx", "A 56198-2025")</f>
        <v/>
      </c>
    </row>
    <row r="136" ht="15" customHeight="1">
      <c r="A136" t="inlineStr">
        <is>
          <t>A 33126-2024</t>
        </is>
      </c>
      <c r="B136" s="1" t="n">
        <v>45517.9575462963</v>
      </c>
      <c r="C136" s="1" t="n">
        <v>46129</v>
      </c>
      <c r="D136" t="inlineStr">
        <is>
          <t>JÄMTLANDS LÄN</t>
        </is>
      </c>
      <c r="E136" t="inlineStr">
        <is>
          <t>BERG</t>
        </is>
      </c>
      <c r="F136" t="inlineStr">
        <is>
          <t>SCA</t>
        </is>
      </c>
      <c r="G136" t="n">
        <v>4.2</v>
      </c>
      <c r="H136" t="n">
        <v>0</v>
      </c>
      <c r="I136" t="n">
        <v>0</v>
      </c>
      <c r="J136" t="n">
        <v>0</v>
      </c>
      <c r="K136" t="n">
        <v>1</v>
      </c>
      <c r="L136" t="n">
        <v>0</v>
      </c>
      <c r="M136" t="n">
        <v>0</v>
      </c>
      <c r="N136" t="n">
        <v>0</v>
      </c>
      <c r="O136" t="n">
        <v>1</v>
      </c>
      <c r="P136" t="n">
        <v>1</v>
      </c>
      <c r="Q136" t="n">
        <v>1</v>
      </c>
      <c r="R136" s="2" t="inlineStr">
        <is>
          <t>Gräddporing</t>
        </is>
      </c>
      <c r="S136">
        <f>HYPERLINK("https://klasma.github.io/Logging_2326/artfynd/A 33126-2024 artfynd.xlsx", "A 33126-2024")</f>
        <v/>
      </c>
      <c r="T136">
        <f>HYPERLINK("https://klasma.github.io/Logging_2326/kartor/A 33126-2024 karta.png", "A 33126-2024")</f>
        <v/>
      </c>
      <c r="V136">
        <f>HYPERLINK("https://klasma.github.io/Logging_2326/klagomål/A 33126-2024 FSC-klagomål.docx", "A 33126-2024")</f>
        <v/>
      </c>
      <c r="W136">
        <f>HYPERLINK("https://klasma.github.io/Logging_2326/klagomålsmail/A 33126-2024 FSC-klagomål mail.docx", "A 33126-2024")</f>
        <v/>
      </c>
      <c r="X136">
        <f>HYPERLINK("https://klasma.github.io/Logging_2326/tillsyn/A 33126-2024 tillsynsbegäran.docx", "A 33126-2024")</f>
        <v/>
      </c>
      <c r="Y136">
        <f>HYPERLINK("https://klasma.github.io/Logging_2326/tillsynsmail/A 33126-2024 tillsynsbegäran mail.docx", "A 33126-2024")</f>
        <v/>
      </c>
    </row>
    <row r="137" ht="15" customHeight="1">
      <c r="A137" t="inlineStr">
        <is>
          <t>A 24331-2025</t>
        </is>
      </c>
      <c r="B137" s="1" t="n">
        <v>45797</v>
      </c>
      <c r="C137" s="1" t="n">
        <v>46129</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25556-2025</t>
        </is>
      </c>
      <c r="B138" s="1" t="n">
        <v>45803.45106481481</v>
      </c>
      <c r="C138" s="1" t="n">
        <v>46129</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56202-2021</t>
        </is>
      </c>
      <c r="B139" s="1" t="n">
        <v>44477</v>
      </c>
      <c r="C139" s="1" t="n">
        <v>46129</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60150-2025</t>
        </is>
      </c>
      <c r="B140" s="1" t="n">
        <v>45994.38944444444</v>
      </c>
      <c r="C140" s="1" t="n">
        <v>46129</v>
      </c>
      <c r="D140" t="inlineStr">
        <is>
          <t>JÄMTLANDS LÄN</t>
        </is>
      </c>
      <c r="E140" t="inlineStr">
        <is>
          <t>BERG</t>
        </is>
      </c>
      <c r="G140" t="n">
        <v>17.6</v>
      </c>
      <c r="H140" t="n">
        <v>0</v>
      </c>
      <c r="I140" t="n">
        <v>0</v>
      </c>
      <c r="J140" t="n">
        <v>1</v>
      </c>
      <c r="K140" t="n">
        <v>0</v>
      </c>
      <c r="L140" t="n">
        <v>0</v>
      </c>
      <c r="M140" t="n">
        <v>0</v>
      </c>
      <c r="N140" t="n">
        <v>0</v>
      </c>
      <c r="O140" t="n">
        <v>1</v>
      </c>
      <c r="P140" t="n">
        <v>0</v>
      </c>
      <c r="Q140" t="n">
        <v>1</v>
      </c>
      <c r="R140" s="2" t="inlineStr">
        <is>
          <t>Kolflarnlav</t>
        </is>
      </c>
      <c r="S140">
        <f>HYPERLINK("https://klasma.github.io/Logging_2326/artfynd/A 60150-2025 artfynd.xlsx", "A 60150-2025")</f>
        <v/>
      </c>
      <c r="T140">
        <f>HYPERLINK("https://klasma.github.io/Logging_2326/kartor/A 60150-2025 karta.png", "A 60150-2025")</f>
        <v/>
      </c>
      <c r="V140">
        <f>HYPERLINK("https://klasma.github.io/Logging_2326/klagomål/A 60150-2025 FSC-klagomål.docx", "A 60150-2025")</f>
        <v/>
      </c>
      <c r="W140">
        <f>HYPERLINK("https://klasma.github.io/Logging_2326/klagomålsmail/A 60150-2025 FSC-klagomål mail.docx", "A 60150-2025")</f>
        <v/>
      </c>
      <c r="X140">
        <f>HYPERLINK("https://klasma.github.io/Logging_2326/tillsyn/A 60150-2025 tillsynsbegäran.docx", "A 60150-2025")</f>
        <v/>
      </c>
      <c r="Y140">
        <f>HYPERLINK("https://klasma.github.io/Logging_2326/tillsynsmail/A 60150-2025 tillsynsbegäran mail.docx", "A 60150-2025")</f>
        <v/>
      </c>
    </row>
    <row r="141" ht="15" customHeight="1">
      <c r="A141" t="inlineStr">
        <is>
          <t>A 54595-2024</t>
        </is>
      </c>
      <c r="B141" s="1" t="n">
        <v>45617.67353009259</v>
      </c>
      <c r="C141" s="1" t="n">
        <v>46129</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31837-2025</t>
        </is>
      </c>
      <c r="B142" s="1" t="n">
        <v>45834.59467592592</v>
      </c>
      <c r="C142" s="1" t="n">
        <v>46129</v>
      </c>
      <c r="D142" t="inlineStr">
        <is>
          <t>JÄMTLANDS LÄN</t>
        </is>
      </c>
      <c r="E142" t="inlineStr">
        <is>
          <t>BERG</t>
        </is>
      </c>
      <c r="F142" t="inlineStr">
        <is>
          <t>SCA</t>
        </is>
      </c>
      <c r="G142" t="n">
        <v>12.2</v>
      </c>
      <c r="H142" t="n">
        <v>0</v>
      </c>
      <c r="I142" t="n">
        <v>0</v>
      </c>
      <c r="J142" t="n">
        <v>0</v>
      </c>
      <c r="K142" t="n">
        <v>1</v>
      </c>
      <c r="L142" t="n">
        <v>0</v>
      </c>
      <c r="M142" t="n">
        <v>0</v>
      </c>
      <c r="N142" t="n">
        <v>0</v>
      </c>
      <c r="O142" t="n">
        <v>1</v>
      </c>
      <c r="P142" t="n">
        <v>1</v>
      </c>
      <c r="Q142" t="n">
        <v>1</v>
      </c>
      <c r="R142" s="2" t="inlineStr">
        <is>
          <t>Gräddporing</t>
        </is>
      </c>
      <c r="S142">
        <f>HYPERLINK("https://klasma.github.io/Logging_2326/artfynd/A 31837-2025 artfynd.xlsx", "A 31837-2025")</f>
        <v/>
      </c>
      <c r="T142">
        <f>HYPERLINK("https://klasma.github.io/Logging_2326/kartor/A 31837-2025 karta.png", "A 31837-2025")</f>
        <v/>
      </c>
      <c r="V142">
        <f>HYPERLINK("https://klasma.github.io/Logging_2326/klagomål/A 31837-2025 FSC-klagomål.docx", "A 31837-2025")</f>
        <v/>
      </c>
      <c r="W142">
        <f>HYPERLINK("https://klasma.github.io/Logging_2326/klagomålsmail/A 31837-2025 FSC-klagomål mail.docx", "A 31837-2025")</f>
        <v/>
      </c>
      <c r="X142">
        <f>HYPERLINK("https://klasma.github.io/Logging_2326/tillsyn/A 31837-2025 tillsynsbegäran.docx", "A 31837-2025")</f>
        <v/>
      </c>
      <c r="Y142">
        <f>HYPERLINK("https://klasma.github.io/Logging_2326/tillsynsmail/A 31837-2025 tillsynsbegäran mail.docx", "A 31837-2025")</f>
        <v/>
      </c>
    </row>
    <row r="143" ht="15" customHeight="1">
      <c r="A143" t="inlineStr">
        <is>
          <t>A 47656-2025</t>
        </is>
      </c>
      <c r="B143" s="1" t="n">
        <v>45931.55247685185</v>
      </c>
      <c r="C143" s="1" t="n">
        <v>46129</v>
      </c>
      <c r="D143" t="inlineStr">
        <is>
          <t>JÄMTLANDS LÄN</t>
        </is>
      </c>
      <c r="E143" t="inlineStr">
        <is>
          <t>BERG</t>
        </is>
      </c>
      <c r="F143" t="inlineStr">
        <is>
          <t>SCA</t>
        </is>
      </c>
      <c r="G143" t="n">
        <v>1.2</v>
      </c>
      <c r="H143" t="n">
        <v>0</v>
      </c>
      <c r="I143" t="n">
        <v>0</v>
      </c>
      <c r="J143" t="n">
        <v>1</v>
      </c>
      <c r="K143" t="n">
        <v>0</v>
      </c>
      <c r="L143" t="n">
        <v>0</v>
      </c>
      <c r="M143" t="n">
        <v>0</v>
      </c>
      <c r="N143" t="n">
        <v>0</v>
      </c>
      <c r="O143" t="n">
        <v>1</v>
      </c>
      <c r="P143" t="n">
        <v>0</v>
      </c>
      <c r="Q143" t="n">
        <v>1</v>
      </c>
      <c r="R143" s="2" t="inlineStr">
        <is>
          <t>Vedflamlav</t>
        </is>
      </c>
      <c r="S143">
        <f>HYPERLINK("https://klasma.github.io/Logging_2326/artfynd/A 47656-2025 artfynd.xlsx", "A 47656-2025")</f>
        <v/>
      </c>
      <c r="T143">
        <f>HYPERLINK("https://klasma.github.io/Logging_2326/kartor/A 47656-2025 karta.png", "A 47656-2025")</f>
        <v/>
      </c>
      <c r="V143">
        <f>HYPERLINK("https://klasma.github.io/Logging_2326/klagomål/A 47656-2025 FSC-klagomål.docx", "A 47656-2025")</f>
        <v/>
      </c>
      <c r="W143">
        <f>HYPERLINK("https://klasma.github.io/Logging_2326/klagomålsmail/A 47656-2025 FSC-klagomål mail.docx", "A 47656-2025")</f>
        <v/>
      </c>
      <c r="X143">
        <f>HYPERLINK("https://klasma.github.io/Logging_2326/tillsyn/A 47656-2025 tillsynsbegäran.docx", "A 47656-2025")</f>
        <v/>
      </c>
      <c r="Y143">
        <f>HYPERLINK("https://klasma.github.io/Logging_2326/tillsynsmail/A 47656-2025 tillsynsbegäran mail.docx", "A 47656-2025")</f>
        <v/>
      </c>
    </row>
    <row r="144" ht="15" customHeight="1">
      <c r="A144" t="inlineStr">
        <is>
          <t>A 47658-2025</t>
        </is>
      </c>
      <c r="B144" s="1" t="n">
        <v>45931.55266203704</v>
      </c>
      <c r="C144" s="1" t="n">
        <v>46129</v>
      </c>
      <c r="D144" t="inlineStr">
        <is>
          <t>JÄMTLANDS LÄN</t>
        </is>
      </c>
      <c r="E144" t="inlineStr">
        <is>
          <t>BERG</t>
        </is>
      </c>
      <c r="F144" t="inlineStr">
        <is>
          <t>SCA</t>
        </is>
      </c>
      <c r="G144" t="n">
        <v>3.2</v>
      </c>
      <c r="H144" t="n">
        <v>0</v>
      </c>
      <c r="I144" t="n">
        <v>0</v>
      </c>
      <c r="J144" t="n">
        <v>1</v>
      </c>
      <c r="K144" t="n">
        <v>0</v>
      </c>
      <c r="L144" t="n">
        <v>0</v>
      </c>
      <c r="M144" t="n">
        <v>0</v>
      </c>
      <c r="N144" t="n">
        <v>0</v>
      </c>
      <c r="O144" t="n">
        <v>1</v>
      </c>
      <c r="P144" t="n">
        <v>0</v>
      </c>
      <c r="Q144" t="n">
        <v>1</v>
      </c>
      <c r="R144" s="2" t="inlineStr">
        <is>
          <t>Blågrå svartspik</t>
        </is>
      </c>
      <c r="S144">
        <f>HYPERLINK("https://klasma.github.io/Logging_2326/artfynd/A 47658-2025 artfynd.xlsx", "A 47658-2025")</f>
        <v/>
      </c>
      <c r="T144">
        <f>HYPERLINK("https://klasma.github.io/Logging_2326/kartor/A 47658-2025 karta.png", "A 47658-2025")</f>
        <v/>
      </c>
      <c r="V144">
        <f>HYPERLINK("https://klasma.github.io/Logging_2326/klagomål/A 47658-2025 FSC-klagomål.docx", "A 47658-2025")</f>
        <v/>
      </c>
      <c r="W144">
        <f>HYPERLINK("https://klasma.github.io/Logging_2326/klagomålsmail/A 47658-2025 FSC-klagomål mail.docx", "A 47658-2025")</f>
        <v/>
      </c>
      <c r="X144">
        <f>HYPERLINK("https://klasma.github.io/Logging_2326/tillsyn/A 47658-2025 tillsynsbegäran.docx", "A 47658-2025")</f>
        <v/>
      </c>
      <c r="Y144">
        <f>HYPERLINK("https://klasma.github.io/Logging_2326/tillsynsmail/A 47658-2025 tillsynsbegäran mail.docx", "A 47658-2025")</f>
        <v/>
      </c>
    </row>
    <row r="145" ht="15" customHeight="1">
      <c r="A145" t="inlineStr">
        <is>
          <t>A 47946-2025</t>
        </is>
      </c>
      <c r="B145" s="1" t="n">
        <v>45932.57346064815</v>
      </c>
      <c r="C145" s="1" t="n">
        <v>46129</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33501-2025</t>
        </is>
      </c>
      <c r="B146" s="1" t="n">
        <v>45841</v>
      </c>
      <c r="C146" s="1" t="n">
        <v>46129</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60633-2025</t>
        </is>
      </c>
      <c r="B147" s="1" t="n">
        <v>45996.42788194444</v>
      </c>
      <c r="C147" s="1" t="n">
        <v>46129</v>
      </c>
      <c r="D147" t="inlineStr">
        <is>
          <t>JÄMTLANDS LÄN</t>
        </is>
      </c>
      <c r="E147" t="inlineStr">
        <is>
          <t>BERG</t>
        </is>
      </c>
      <c r="F147" t="inlineStr">
        <is>
          <t>SCA</t>
        </is>
      </c>
      <c r="G147" t="n">
        <v>18.3</v>
      </c>
      <c r="H147" t="n">
        <v>1</v>
      </c>
      <c r="I147" t="n">
        <v>1</v>
      </c>
      <c r="J147" t="n">
        <v>0</v>
      </c>
      <c r="K147" t="n">
        <v>0</v>
      </c>
      <c r="L147" t="n">
        <v>0</v>
      </c>
      <c r="M147" t="n">
        <v>0</v>
      </c>
      <c r="N147" t="n">
        <v>0</v>
      </c>
      <c r="O147" t="n">
        <v>0</v>
      </c>
      <c r="P147" t="n">
        <v>0</v>
      </c>
      <c r="Q147" t="n">
        <v>1</v>
      </c>
      <c r="R147" s="2" t="inlineStr">
        <is>
          <t>Plattlummer</t>
        </is>
      </c>
      <c r="S147">
        <f>HYPERLINK("https://klasma.github.io/Logging_2326/artfynd/A 60633-2025 artfynd.xlsx", "A 60633-2025")</f>
        <v/>
      </c>
      <c r="T147">
        <f>HYPERLINK("https://klasma.github.io/Logging_2326/kartor/A 60633-2025 karta.png", "A 60633-2025")</f>
        <v/>
      </c>
      <c r="V147">
        <f>HYPERLINK("https://klasma.github.io/Logging_2326/klagomål/A 60633-2025 FSC-klagomål.docx", "A 60633-2025")</f>
        <v/>
      </c>
      <c r="W147">
        <f>HYPERLINK("https://klasma.github.io/Logging_2326/klagomålsmail/A 60633-2025 FSC-klagomål mail.docx", "A 60633-2025")</f>
        <v/>
      </c>
      <c r="X147">
        <f>HYPERLINK("https://klasma.github.io/Logging_2326/tillsyn/A 60633-2025 tillsynsbegäran.docx", "A 60633-2025")</f>
        <v/>
      </c>
      <c r="Y147">
        <f>HYPERLINK("https://klasma.github.io/Logging_2326/tillsynsmail/A 60633-2025 tillsynsbegäran mail.docx", "A 60633-2025")</f>
        <v/>
      </c>
    </row>
    <row r="148" ht="15" customHeight="1">
      <c r="A148" t="inlineStr">
        <is>
          <t>A 35211-2025</t>
        </is>
      </c>
      <c r="B148" s="1" t="n">
        <v>45853.45060185185</v>
      </c>
      <c r="C148" s="1" t="n">
        <v>46129</v>
      </c>
      <c r="D148" t="inlineStr">
        <is>
          <t>JÄMTLANDS LÄN</t>
        </is>
      </c>
      <c r="E148" t="inlineStr">
        <is>
          <t>BERG</t>
        </is>
      </c>
      <c r="G148" t="n">
        <v>0.8</v>
      </c>
      <c r="H148" t="n">
        <v>1</v>
      </c>
      <c r="I148" t="n">
        <v>0</v>
      </c>
      <c r="J148" t="n">
        <v>0</v>
      </c>
      <c r="K148" t="n">
        <v>1</v>
      </c>
      <c r="L148" t="n">
        <v>0</v>
      </c>
      <c r="M148" t="n">
        <v>0</v>
      </c>
      <c r="N148" t="n">
        <v>0</v>
      </c>
      <c r="O148" t="n">
        <v>1</v>
      </c>
      <c r="P148" t="n">
        <v>1</v>
      </c>
      <c r="Q148" t="n">
        <v>1</v>
      </c>
      <c r="R148" s="2" t="inlineStr">
        <is>
          <t>Knärot</t>
        </is>
      </c>
      <c r="S148">
        <f>HYPERLINK("https://klasma.github.io/Logging_2326/artfynd/A 35211-2025 artfynd.xlsx", "A 35211-2025")</f>
        <v/>
      </c>
      <c r="T148">
        <f>HYPERLINK("https://klasma.github.io/Logging_2326/kartor/A 35211-2025 karta.png", "A 35211-2025")</f>
        <v/>
      </c>
      <c r="U148">
        <f>HYPERLINK("https://klasma.github.io/Logging_2326/knärot/A 35211-2025 karta knärot.png", "A 35211-2025")</f>
        <v/>
      </c>
      <c r="V148">
        <f>HYPERLINK("https://klasma.github.io/Logging_2326/klagomål/A 35211-2025 FSC-klagomål.docx", "A 35211-2025")</f>
        <v/>
      </c>
      <c r="W148">
        <f>HYPERLINK("https://klasma.github.io/Logging_2326/klagomålsmail/A 35211-2025 FSC-klagomål mail.docx", "A 35211-2025")</f>
        <v/>
      </c>
      <c r="X148">
        <f>HYPERLINK("https://klasma.github.io/Logging_2326/tillsyn/A 35211-2025 tillsynsbegäran.docx", "A 35211-2025")</f>
        <v/>
      </c>
      <c r="Y148">
        <f>HYPERLINK("https://klasma.github.io/Logging_2326/tillsynsmail/A 35211-2025 tillsynsbegäran mail.docx", "A 35211-2025")</f>
        <v/>
      </c>
    </row>
    <row r="149" ht="15" customHeight="1">
      <c r="A149" t="inlineStr">
        <is>
          <t>A 35535-2025</t>
        </is>
      </c>
      <c r="B149" s="1" t="n">
        <v>45856.45047453704</v>
      </c>
      <c r="C149" s="1" t="n">
        <v>46129</v>
      </c>
      <c r="D149" t="inlineStr">
        <is>
          <t>JÄMTLANDS LÄN</t>
        </is>
      </c>
      <c r="E149" t="inlineStr">
        <is>
          <t>BERG</t>
        </is>
      </c>
      <c r="F149" t="inlineStr">
        <is>
          <t>Sveaskog</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HYPERLINK("https://klasma.github.io/Logging_2326/artfynd/A 35535-2025 artfynd.xlsx", "A 35535-2025")</f>
        <v/>
      </c>
      <c r="T149">
        <f>HYPERLINK("https://klasma.github.io/Logging_2326/kartor/A 35535-2025 karta.png", "A 35535-2025")</f>
        <v/>
      </c>
      <c r="V149">
        <f>HYPERLINK("https://klasma.github.io/Logging_2326/klagomål/A 35535-2025 FSC-klagomål.docx", "A 35535-2025")</f>
        <v/>
      </c>
      <c r="W149">
        <f>HYPERLINK("https://klasma.github.io/Logging_2326/klagomålsmail/A 35535-2025 FSC-klagomål mail.docx", "A 35535-2025")</f>
        <v/>
      </c>
      <c r="X149">
        <f>HYPERLINK("https://klasma.github.io/Logging_2326/tillsyn/A 35535-2025 tillsynsbegäran.docx", "A 35535-2025")</f>
        <v/>
      </c>
      <c r="Y149">
        <f>HYPERLINK("https://klasma.github.io/Logging_2326/tillsynsmail/A 35535-2025 tillsynsbegäran mail.docx", "A 35535-2025")</f>
        <v/>
      </c>
    </row>
    <row r="150" ht="15" customHeight="1">
      <c r="A150" t="inlineStr">
        <is>
          <t>A 50182-2025</t>
        </is>
      </c>
      <c r="B150" s="1" t="n">
        <v>45943.61550925926</v>
      </c>
      <c r="C150" s="1" t="n">
        <v>46129</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20808-2024</t>
        </is>
      </c>
      <c r="B151" s="1" t="n">
        <v>45439</v>
      </c>
      <c r="C151" s="1" t="n">
        <v>46129</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37513-2025</t>
        </is>
      </c>
      <c r="B152" s="1" t="n">
        <v>45877.69828703703</v>
      </c>
      <c r="C152" s="1" t="n">
        <v>46129</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53086-2024</t>
        </is>
      </c>
      <c r="B153" s="1" t="n">
        <v>45611.51084490741</v>
      </c>
      <c r="C153" s="1" t="n">
        <v>46129</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34891-2024</t>
        </is>
      </c>
      <c r="B154" s="1" t="n">
        <v>45527.36498842593</v>
      </c>
      <c r="C154" s="1" t="n">
        <v>46129</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32171-2024</t>
        </is>
      </c>
      <c r="B155" s="1" t="n">
        <v>45511</v>
      </c>
      <c r="C155" s="1" t="n">
        <v>46129</v>
      </c>
      <c r="D155" t="inlineStr">
        <is>
          <t>JÄMTLANDS LÄN</t>
        </is>
      </c>
      <c r="E155" t="inlineStr">
        <is>
          <t>BERG</t>
        </is>
      </c>
      <c r="G155" t="n">
        <v>9.800000000000001</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32171-2024 artfynd.xlsx", "A 32171-2024")</f>
        <v/>
      </c>
      <c r="T155">
        <f>HYPERLINK("https://klasma.github.io/Logging_2326/kartor/A 32171-2024 karta.png", "A 32171-2024")</f>
        <v/>
      </c>
      <c r="V155">
        <f>HYPERLINK("https://klasma.github.io/Logging_2326/klagomål/A 32171-2024 FSC-klagomål.docx", "A 32171-2024")</f>
        <v/>
      </c>
      <c r="W155">
        <f>HYPERLINK("https://klasma.github.io/Logging_2326/klagomålsmail/A 32171-2024 FSC-klagomål mail.docx", "A 32171-2024")</f>
        <v/>
      </c>
      <c r="X155">
        <f>HYPERLINK("https://klasma.github.io/Logging_2326/tillsyn/A 32171-2024 tillsynsbegäran.docx", "A 32171-2024")</f>
        <v/>
      </c>
      <c r="Y155">
        <f>HYPERLINK("https://klasma.github.io/Logging_2326/tillsynsmail/A 32171-2024 tillsynsbegäran mail.docx", "A 32171-2024")</f>
        <v/>
      </c>
      <c r="Z155">
        <f>HYPERLINK("https://klasma.github.io/Logging_2326/fåglar/A 32171-2024 prioriterade fågelarter.docx", "A 32171-2024")</f>
        <v/>
      </c>
    </row>
    <row r="156" ht="15" customHeight="1">
      <c r="A156" t="inlineStr">
        <is>
          <t>A 52193-2024</t>
        </is>
      </c>
      <c r="B156" s="1" t="n">
        <v>45608</v>
      </c>
      <c r="C156" s="1" t="n">
        <v>46129</v>
      </c>
      <c r="D156" t="inlineStr">
        <is>
          <t>JÄMTLANDS LÄN</t>
        </is>
      </c>
      <c r="E156" t="inlineStr">
        <is>
          <t>BERG</t>
        </is>
      </c>
      <c r="G156" t="n">
        <v>7.4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52193-2024 artfynd.xlsx", "A 52193-2024")</f>
        <v/>
      </c>
      <c r="T156">
        <f>HYPERLINK("https://klasma.github.io/Logging_2326/kartor/A 52193-2024 karta.png", "A 52193-2024")</f>
        <v/>
      </c>
      <c r="V156">
        <f>HYPERLINK("https://klasma.github.io/Logging_2326/klagomål/A 52193-2024 FSC-klagomål.docx", "A 52193-2024")</f>
        <v/>
      </c>
      <c r="W156">
        <f>HYPERLINK("https://klasma.github.io/Logging_2326/klagomålsmail/A 52193-2024 FSC-klagomål mail.docx", "A 52193-2024")</f>
        <v/>
      </c>
      <c r="X156">
        <f>HYPERLINK("https://klasma.github.io/Logging_2326/tillsyn/A 52193-2024 tillsynsbegäran.docx", "A 52193-2024")</f>
        <v/>
      </c>
      <c r="Y156">
        <f>HYPERLINK("https://klasma.github.io/Logging_2326/tillsynsmail/A 52193-2024 tillsynsbegäran mail.docx", "A 52193-2024")</f>
        <v/>
      </c>
      <c r="Z156">
        <f>HYPERLINK("https://klasma.github.io/Logging_2326/fåglar/A 52193-2024 prioriterade fågelarter.docx", "A 52193-2024")</f>
        <v/>
      </c>
    </row>
    <row r="157" ht="15" customHeight="1">
      <c r="A157" t="inlineStr">
        <is>
          <t>A 9657-2023</t>
        </is>
      </c>
      <c r="B157" s="1" t="n">
        <v>44978</v>
      </c>
      <c r="C157" s="1" t="n">
        <v>46129</v>
      </c>
      <c r="D157" t="inlineStr">
        <is>
          <t>JÄMTLANDS LÄN</t>
        </is>
      </c>
      <c r="E157" t="inlineStr">
        <is>
          <t>BERG</t>
        </is>
      </c>
      <c r="G157" t="n">
        <v>2.7</v>
      </c>
      <c r="H157" t="n">
        <v>0</v>
      </c>
      <c r="I157" t="n">
        <v>0</v>
      </c>
      <c r="J157" t="n">
        <v>1</v>
      </c>
      <c r="K157" t="n">
        <v>0</v>
      </c>
      <c r="L157" t="n">
        <v>0</v>
      </c>
      <c r="M157" t="n">
        <v>0</v>
      </c>
      <c r="N157" t="n">
        <v>0</v>
      </c>
      <c r="O157" t="n">
        <v>1</v>
      </c>
      <c r="P157" t="n">
        <v>0</v>
      </c>
      <c r="Q157" t="n">
        <v>1</v>
      </c>
      <c r="R157" s="2" t="inlineStr">
        <is>
          <t>Garnlav</t>
        </is>
      </c>
      <c r="S157">
        <f>HYPERLINK("https://klasma.github.io/Logging_2326/artfynd/A 9657-2023 artfynd.xlsx", "A 9657-2023")</f>
        <v/>
      </c>
      <c r="T157">
        <f>HYPERLINK("https://klasma.github.io/Logging_2326/kartor/A 9657-2023 karta.png", "A 9657-2023")</f>
        <v/>
      </c>
      <c r="V157">
        <f>HYPERLINK("https://klasma.github.io/Logging_2326/klagomål/A 9657-2023 FSC-klagomål.docx", "A 9657-2023")</f>
        <v/>
      </c>
      <c r="W157">
        <f>HYPERLINK("https://klasma.github.io/Logging_2326/klagomålsmail/A 9657-2023 FSC-klagomål mail.docx", "A 9657-2023")</f>
        <v/>
      </c>
      <c r="X157">
        <f>HYPERLINK("https://klasma.github.io/Logging_2326/tillsyn/A 9657-2023 tillsynsbegäran.docx", "A 9657-2023")</f>
        <v/>
      </c>
      <c r="Y157">
        <f>HYPERLINK("https://klasma.github.io/Logging_2326/tillsynsmail/A 9657-2023 tillsynsbegäran mail.docx", "A 9657-2023")</f>
        <v/>
      </c>
    </row>
    <row r="158" ht="15" customHeight="1">
      <c r="A158" t="inlineStr">
        <is>
          <t>A 49049-2024</t>
        </is>
      </c>
      <c r="B158" s="1" t="n">
        <v>45594.5742824074</v>
      </c>
      <c r="C158" s="1" t="n">
        <v>46129</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971-2026</t>
        </is>
      </c>
      <c r="B159" s="1" t="n">
        <v>46029</v>
      </c>
      <c r="C159" s="1" t="n">
        <v>46129</v>
      </c>
      <c r="D159" t="inlineStr">
        <is>
          <t>JÄMTLANDS LÄN</t>
        </is>
      </c>
      <c r="E159" t="inlineStr">
        <is>
          <t>BERG</t>
        </is>
      </c>
      <c r="F159" t="inlineStr">
        <is>
          <t>SCA</t>
        </is>
      </c>
      <c r="G159" t="n">
        <v>9.699999999999999</v>
      </c>
      <c r="H159" t="n">
        <v>1</v>
      </c>
      <c r="I159" t="n">
        <v>0</v>
      </c>
      <c r="J159" t="n">
        <v>1</v>
      </c>
      <c r="K159" t="n">
        <v>0</v>
      </c>
      <c r="L159" t="n">
        <v>0</v>
      </c>
      <c r="M159" t="n">
        <v>0</v>
      </c>
      <c r="N159" t="n">
        <v>0</v>
      </c>
      <c r="O159" t="n">
        <v>1</v>
      </c>
      <c r="P159" t="n">
        <v>0</v>
      </c>
      <c r="Q159" t="n">
        <v>1</v>
      </c>
      <c r="R159" s="2" t="inlineStr">
        <is>
          <t>Grönsångare</t>
        </is>
      </c>
      <c r="S159">
        <f>HYPERLINK("https://klasma.github.io/Logging_2326/artfynd/A 971-2026 artfynd.xlsx", "A 971-2026")</f>
        <v/>
      </c>
      <c r="T159">
        <f>HYPERLINK("https://klasma.github.io/Logging_2326/kartor/A 971-2026 karta.png", "A 971-2026")</f>
        <v/>
      </c>
      <c r="V159">
        <f>HYPERLINK("https://klasma.github.io/Logging_2326/klagomål/A 971-2026 FSC-klagomål.docx", "A 971-2026")</f>
        <v/>
      </c>
      <c r="W159">
        <f>HYPERLINK("https://klasma.github.io/Logging_2326/klagomålsmail/A 971-2026 FSC-klagomål mail.docx", "A 971-2026")</f>
        <v/>
      </c>
      <c r="X159">
        <f>HYPERLINK("https://klasma.github.io/Logging_2326/tillsyn/A 971-2026 tillsynsbegäran.docx", "A 971-2026")</f>
        <v/>
      </c>
      <c r="Y159">
        <f>HYPERLINK("https://klasma.github.io/Logging_2326/tillsynsmail/A 971-2026 tillsynsbegäran mail.docx", "A 971-2026")</f>
        <v/>
      </c>
      <c r="Z159">
        <f>HYPERLINK("https://klasma.github.io/Logging_2326/fåglar/A 971-2026 prioriterade fågelarter.docx", "A 971-2026")</f>
        <v/>
      </c>
    </row>
    <row r="160" ht="15" customHeight="1">
      <c r="A160" t="inlineStr">
        <is>
          <t>A 60833-2025</t>
        </is>
      </c>
      <c r="B160" s="1" t="n">
        <v>45999.46969907408</v>
      </c>
      <c r="C160" s="1" t="n">
        <v>46129</v>
      </c>
      <c r="D160" t="inlineStr">
        <is>
          <t>JÄMTLANDS LÄN</t>
        </is>
      </c>
      <c r="E160" t="inlineStr">
        <is>
          <t>BERG</t>
        </is>
      </c>
      <c r="F160" t="inlineStr">
        <is>
          <t>SCA</t>
        </is>
      </c>
      <c r="G160" t="n">
        <v>18.1</v>
      </c>
      <c r="H160" t="n">
        <v>1</v>
      </c>
      <c r="I160" t="n">
        <v>0</v>
      </c>
      <c r="J160" t="n">
        <v>1</v>
      </c>
      <c r="K160" t="n">
        <v>0</v>
      </c>
      <c r="L160" t="n">
        <v>0</v>
      </c>
      <c r="M160" t="n">
        <v>0</v>
      </c>
      <c r="N160" t="n">
        <v>0</v>
      </c>
      <c r="O160" t="n">
        <v>1</v>
      </c>
      <c r="P160" t="n">
        <v>0</v>
      </c>
      <c r="Q160" t="n">
        <v>1</v>
      </c>
      <c r="R160" s="2" t="inlineStr">
        <is>
          <t>Spillkråka</t>
        </is>
      </c>
      <c r="S160">
        <f>HYPERLINK("https://klasma.github.io/Logging_2326/artfynd/A 60833-2025 artfynd.xlsx", "A 60833-2025")</f>
        <v/>
      </c>
      <c r="T160">
        <f>HYPERLINK("https://klasma.github.io/Logging_2326/kartor/A 60833-2025 karta.png", "A 60833-2025")</f>
        <v/>
      </c>
      <c r="V160">
        <f>HYPERLINK("https://klasma.github.io/Logging_2326/klagomål/A 60833-2025 FSC-klagomål.docx", "A 60833-2025")</f>
        <v/>
      </c>
      <c r="W160">
        <f>HYPERLINK("https://klasma.github.io/Logging_2326/klagomålsmail/A 60833-2025 FSC-klagomål mail.docx", "A 60833-2025")</f>
        <v/>
      </c>
      <c r="X160">
        <f>HYPERLINK("https://klasma.github.io/Logging_2326/tillsyn/A 60833-2025 tillsynsbegäran.docx", "A 60833-2025")</f>
        <v/>
      </c>
      <c r="Y160">
        <f>HYPERLINK("https://klasma.github.io/Logging_2326/tillsynsmail/A 60833-2025 tillsynsbegäran mail.docx", "A 60833-2025")</f>
        <v/>
      </c>
      <c r="Z160">
        <f>HYPERLINK("https://klasma.github.io/Logging_2326/fåglar/A 60833-2025 prioriterade fågelarter.docx", "A 60833-2025")</f>
        <v/>
      </c>
    </row>
    <row r="161" ht="15" customHeight="1">
      <c r="A161" t="inlineStr">
        <is>
          <t>A 37651-2025</t>
        </is>
      </c>
      <c r="B161" s="1" t="n">
        <v>45880.49006944444</v>
      </c>
      <c r="C161" s="1" t="n">
        <v>46129</v>
      </c>
      <c r="D161" t="inlineStr">
        <is>
          <t>JÄMTLANDS LÄN</t>
        </is>
      </c>
      <c r="E161" t="inlineStr">
        <is>
          <t>BERG</t>
        </is>
      </c>
      <c r="F161" t="inlineStr">
        <is>
          <t>SCA</t>
        </is>
      </c>
      <c r="G161" t="n">
        <v>8.5</v>
      </c>
      <c r="H161" t="n">
        <v>0</v>
      </c>
      <c r="I161" t="n">
        <v>0</v>
      </c>
      <c r="J161" t="n">
        <v>1</v>
      </c>
      <c r="K161" t="n">
        <v>0</v>
      </c>
      <c r="L161" t="n">
        <v>0</v>
      </c>
      <c r="M161" t="n">
        <v>0</v>
      </c>
      <c r="N161" t="n">
        <v>0</v>
      </c>
      <c r="O161" t="n">
        <v>1</v>
      </c>
      <c r="P161" t="n">
        <v>0</v>
      </c>
      <c r="Q161" t="n">
        <v>1</v>
      </c>
      <c r="R161" s="2" t="inlineStr">
        <is>
          <t>Vedflamlav</t>
        </is>
      </c>
      <c r="S161">
        <f>HYPERLINK("https://klasma.github.io/Logging_2326/artfynd/A 37651-2025 artfynd.xlsx", "A 37651-2025")</f>
        <v/>
      </c>
      <c r="T161">
        <f>HYPERLINK("https://klasma.github.io/Logging_2326/kartor/A 37651-2025 karta.png", "A 37651-2025")</f>
        <v/>
      </c>
      <c r="V161">
        <f>HYPERLINK("https://klasma.github.io/Logging_2326/klagomål/A 37651-2025 FSC-klagomål.docx", "A 37651-2025")</f>
        <v/>
      </c>
      <c r="W161">
        <f>HYPERLINK("https://klasma.github.io/Logging_2326/klagomålsmail/A 37651-2025 FSC-klagomål mail.docx", "A 37651-2025")</f>
        <v/>
      </c>
      <c r="X161">
        <f>HYPERLINK("https://klasma.github.io/Logging_2326/tillsyn/A 37651-2025 tillsynsbegäran.docx", "A 37651-2025")</f>
        <v/>
      </c>
      <c r="Y161">
        <f>HYPERLINK("https://klasma.github.io/Logging_2326/tillsynsmail/A 37651-2025 tillsynsbegäran mail.docx", "A 37651-2025")</f>
        <v/>
      </c>
    </row>
    <row r="162" ht="15" customHeight="1">
      <c r="A162" t="inlineStr">
        <is>
          <t>A 23177-2024</t>
        </is>
      </c>
      <c r="B162" s="1" t="n">
        <v>45450</v>
      </c>
      <c r="C162" s="1" t="n">
        <v>46129</v>
      </c>
      <c r="D162" t="inlineStr">
        <is>
          <t>JÄMTLANDS LÄN</t>
        </is>
      </c>
      <c r="E162" t="inlineStr">
        <is>
          <t>BERG</t>
        </is>
      </c>
      <c r="F162" t="inlineStr">
        <is>
          <t>SCA</t>
        </is>
      </c>
      <c r="G162" t="n">
        <v>3.2</v>
      </c>
      <c r="H162" t="n">
        <v>0</v>
      </c>
      <c r="I162" t="n">
        <v>1</v>
      </c>
      <c r="J162" t="n">
        <v>0</v>
      </c>
      <c r="K162" t="n">
        <v>0</v>
      </c>
      <c r="L162" t="n">
        <v>0</v>
      </c>
      <c r="M162" t="n">
        <v>0</v>
      </c>
      <c r="N162" t="n">
        <v>0</v>
      </c>
      <c r="O162" t="n">
        <v>0</v>
      </c>
      <c r="P162" t="n">
        <v>0</v>
      </c>
      <c r="Q162" t="n">
        <v>1</v>
      </c>
      <c r="R162" s="2" t="inlineStr">
        <is>
          <t>Stuplav</t>
        </is>
      </c>
      <c r="S162">
        <f>HYPERLINK("https://klasma.github.io/Logging_2326/artfynd/A 23177-2024 artfynd.xlsx", "A 23177-2024")</f>
        <v/>
      </c>
      <c r="T162">
        <f>HYPERLINK("https://klasma.github.io/Logging_2326/kartor/A 23177-2024 karta.png", "A 23177-2024")</f>
        <v/>
      </c>
      <c r="V162">
        <f>HYPERLINK("https://klasma.github.io/Logging_2326/klagomål/A 23177-2024 FSC-klagomål.docx", "A 23177-2024")</f>
        <v/>
      </c>
      <c r="W162">
        <f>HYPERLINK("https://klasma.github.io/Logging_2326/klagomålsmail/A 23177-2024 FSC-klagomål mail.docx", "A 23177-2024")</f>
        <v/>
      </c>
      <c r="X162">
        <f>HYPERLINK("https://klasma.github.io/Logging_2326/tillsyn/A 23177-2024 tillsynsbegäran.docx", "A 23177-2024")</f>
        <v/>
      </c>
      <c r="Y162">
        <f>HYPERLINK("https://klasma.github.io/Logging_2326/tillsynsmail/A 23177-2024 tillsynsbegäran mail.docx", "A 23177-2024")</f>
        <v/>
      </c>
    </row>
    <row r="163" ht="15" customHeight="1">
      <c r="A163" t="inlineStr">
        <is>
          <t>A 9281-2026</t>
        </is>
      </c>
      <c r="B163" s="1" t="n">
        <v>46070.57982638889</v>
      </c>
      <c r="C163" s="1" t="n">
        <v>46129</v>
      </c>
      <c r="D163" t="inlineStr">
        <is>
          <t>JÄMTLANDS LÄN</t>
        </is>
      </c>
      <c r="E163" t="inlineStr">
        <is>
          <t>BERG</t>
        </is>
      </c>
      <c r="G163" t="n">
        <v>4.4</v>
      </c>
      <c r="H163" t="n">
        <v>1</v>
      </c>
      <c r="I163" t="n">
        <v>0</v>
      </c>
      <c r="J163" t="n">
        <v>0</v>
      </c>
      <c r="K163" t="n">
        <v>1</v>
      </c>
      <c r="L163" t="n">
        <v>0</v>
      </c>
      <c r="M163" t="n">
        <v>0</v>
      </c>
      <c r="N163" t="n">
        <v>0</v>
      </c>
      <c r="O163" t="n">
        <v>1</v>
      </c>
      <c r="P163" t="n">
        <v>1</v>
      </c>
      <c r="Q163" t="n">
        <v>1</v>
      </c>
      <c r="R163" s="2" t="inlineStr">
        <is>
          <t>Knärot</t>
        </is>
      </c>
      <c r="S163">
        <f>HYPERLINK("https://klasma.github.io/Logging_2326/artfynd/A 9281-2026 artfynd.xlsx", "A 9281-2026")</f>
        <v/>
      </c>
      <c r="T163">
        <f>HYPERLINK("https://klasma.github.io/Logging_2326/kartor/A 9281-2026 karta.png", "A 9281-2026")</f>
        <v/>
      </c>
      <c r="U163">
        <f>HYPERLINK("https://klasma.github.io/Logging_2326/knärot/A 9281-2026 karta knärot.png", "A 9281-2026")</f>
        <v/>
      </c>
      <c r="V163">
        <f>HYPERLINK("https://klasma.github.io/Logging_2326/klagomål/A 9281-2026 FSC-klagomål.docx", "A 9281-2026")</f>
        <v/>
      </c>
      <c r="W163">
        <f>HYPERLINK("https://klasma.github.io/Logging_2326/klagomålsmail/A 9281-2026 FSC-klagomål mail.docx", "A 9281-2026")</f>
        <v/>
      </c>
      <c r="X163">
        <f>HYPERLINK("https://klasma.github.io/Logging_2326/tillsyn/A 9281-2026 tillsynsbegäran.docx", "A 9281-2026")</f>
        <v/>
      </c>
      <c r="Y163">
        <f>HYPERLINK("https://klasma.github.io/Logging_2326/tillsynsmail/A 9281-2026 tillsynsbegäran mail.docx", "A 9281-2026")</f>
        <v/>
      </c>
    </row>
    <row r="164" ht="15" customHeight="1">
      <c r="A164" t="inlineStr">
        <is>
          <t>A 16560-2026</t>
        </is>
      </c>
      <c r="B164" s="1" t="n">
        <v>46112.55299768518</v>
      </c>
      <c r="C164" s="1" t="n">
        <v>46129</v>
      </c>
      <c r="D164" t="inlineStr">
        <is>
          <t>JÄMTLANDS LÄN</t>
        </is>
      </c>
      <c r="E164" t="inlineStr">
        <is>
          <t>BERG</t>
        </is>
      </c>
      <c r="F164" t="inlineStr">
        <is>
          <t>SCA</t>
        </is>
      </c>
      <c r="G164" t="n">
        <v>11.2</v>
      </c>
      <c r="H164" t="n">
        <v>1</v>
      </c>
      <c r="I164" t="n">
        <v>0</v>
      </c>
      <c r="J164" t="n">
        <v>1</v>
      </c>
      <c r="K164" t="n">
        <v>0</v>
      </c>
      <c r="L164" t="n">
        <v>0</v>
      </c>
      <c r="M164" t="n">
        <v>0</v>
      </c>
      <c r="N164" t="n">
        <v>0</v>
      </c>
      <c r="O164" t="n">
        <v>1</v>
      </c>
      <c r="P164" t="n">
        <v>0</v>
      </c>
      <c r="Q164" t="n">
        <v>1</v>
      </c>
      <c r="R164" s="2" t="inlineStr">
        <is>
          <t>Järpe</t>
        </is>
      </c>
      <c r="S164">
        <f>HYPERLINK("https://klasma.github.io/Logging_2326/artfynd/A 16560-2026 artfynd.xlsx", "A 16560-2026")</f>
        <v/>
      </c>
      <c r="T164">
        <f>HYPERLINK("https://klasma.github.io/Logging_2326/kartor/A 16560-2026 karta.png", "A 16560-2026")</f>
        <v/>
      </c>
      <c r="V164">
        <f>HYPERLINK("https://klasma.github.io/Logging_2326/klagomål/A 16560-2026 FSC-klagomål.docx", "A 16560-2026")</f>
        <v/>
      </c>
      <c r="W164">
        <f>HYPERLINK("https://klasma.github.io/Logging_2326/klagomålsmail/A 16560-2026 FSC-klagomål mail.docx", "A 16560-2026")</f>
        <v/>
      </c>
      <c r="X164">
        <f>HYPERLINK("https://klasma.github.io/Logging_2326/tillsyn/A 16560-2026 tillsynsbegäran.docx", "A 16560-2026")</f>
        <v/>
      </c>
      <c r="Y164">
        <f>HYPERLINK("https://klasma.github.io/Logging_2326/tillsynsmail/A 16560-2026 tillsynsbegäran mail.docx", "A 16560-2026")</f>
        <v/>
      </c>
      <c r="Z164">
        <f>HYPERLINK("https://klasma.github.io/Logging_2326/fåglar/A 16560-2026 prioriterade fågelarter.docx", "A 16560-2026")</f>
        <v/>
      </c>
    </row>
    <row r="165" ht="15" customHeight="1">
      <c r="A165" t="inlineStr">
        <is>
          <t>A 39001-2025</t>
        </is>
      </c>
      <c r="B165" s="1" t="n">
        <v>45888.344375</v>
      </c>
      <c r="C165" s="1" t="n">
        <v>46129</v>
      </c>
      <c r="D165" t="inlineStr">
        <is>
          <t>JÄMTLANDS LÄN</t>
        </is>
      </c>
      <c r="E165" t="inlineStr">
        <is>
          <t>BERG</t>
        </is>
      </c>
      <c r="F165" t="inlineStr">
        <is>
          <t>SCA</t>
        </is>
      </c>
      <c r="G165" t="n">
        <v>4.4</v>
      </c>
      <c r="H165" t="n">
        <v>0</v>
      </c>
      <c r="I165" t="n">
        <v>0</v>
      </c>
      <c r="J165" t="n">
        <v>1</v>
      </c>
      <c r="K165" t="n">
        <v>0</v>
      </c>
      <c r="L165" t="n">
        <v>0</v>
      </c>
      <c r="M165" t="n">
        <v>0</v>
      </c>
      <c r="N165" t="n">
        <v>0</v>
      </c>
      <c r="O165" t="n">
        <v>1</v>
      </c>
      <c r="P165" t="n">
        <v>0</v>
      </c>
      <c r="Q165" t="n">
        <v>1</v>
      </c>
      <c r="R165" s="2" t="inlineStr">
        <is>
          <t>Vedflamlav</t>
        </is>
      </c>
      <c r="S165">
        <f>HYPERLINK("https://klasma.github.io/Logging_2326/artfynd/A 39001-2025 artfynd.xlsx", "A 39001-2025")</f>
        <v/>
      </c>
      <c r="T165">
        <f>HYPERLINK("https://klasma.github.io/Logging_2326/kartor/A 39001-2025 karta.png", "A 39001-2025")</f>
        <v/>
      </c>
      <c r="V165">
        <f>HYPERLINK("https://klasma.github.io/Logging_2326/klagomål/A 39001-2025 FSC-klagomål.docx", "A 39001-2025")</f>
        <v/>
      </c>
      <c r="W165">
        <f>HYPERLINK("https://klasma.github.io/Logging_2326/klagomålsmail/A 39001-2025 FSC-klagomål mail.docx", "A 39001-2025")</f>
        <v/>
      </c>
      <c r="X165">
        <f>HYPERLINK("https://klasma.github.io/Logging_2326/tillsyn/A 39001-2025 tillsynsbegäran.docx", "A 39001-2025")</f>
        <v/>
      </c>
      <c r="Y165">
        <f>HYPERLINK("https://klasma.github.io/Logging_2326/tillsynsmail/A 39001-2025 tillsynsbegäran mail.docx", "A 39001-2025")</f>
        <v/>
      </c>
    </row>
    <row r="166" ht="15" customHeight="1">
      <c r="A166" t="inlineStr">
        <is>
          <t>A 53014-2022</t>
        </is>
      </c>
      <c r="B166" s="1" t="n">
        <v>44875</v>
      </c>
      <c r="C166" s="1" t="n">
        <v>46129</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25853-2025</t>
        </is>
      </c>
      <c r="B167" s="1" t="n">
        <v>45804</v>
      </c>
      <c r="C167" s="1" t="n">
        <v>46129</v>
      </c>
      <c r="D167" t="inlineStr">
        <is>
          <t>JÄMTLANDS LÄN</t>
        </is>
      </c>
      <c r="E167" t="inlineStr">
        <is>
          <t>BERG</t>
        </is>
      </c>
      <c r="F167" t="inlineStr">
        <is>
          <t>SCA</t>
        </is>
      </c>
      <c r="G167" t="n">
        <v>24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25853-2025 artfynd.xlsx", "A 25853-2025")</f>
        <v/>
      </c>
      <c r="T167">
        <f>HYPERLINK("https://klasma.github.io/Logging_2326/kartor/A 25853-2025 karta.png", "A 25853-2025")</f>
        <v/>
      </c>
      <c r="V167">
        <f>HYPERLINK("https://klasma.github.io/Logging_2326/klagomål/A 25853-2025 FSC-klagomål.docx", "A 25853-2025")</f>
        <v/>
      </c>
      <c r="W167">
        <f>HYPERLINK("https://klasma.github.io/Logging_2326/klagomålsmail/A 25853-2025 FSC-klagomål mail.docx", "A 25853-2025")</f>
        <v/>
      </c>
      <c r="X167">
        <f>HYPERLINK("https://klasma.github.io/Logging_2326/tillsyn/A 25853-2025 tillsynsbegäran.docx", "A 25853-2025")</f>
        <v/>
      </c>
      <c r="Y167">
        <f>HYPERLINK("https://klasma.github.io/Logging_2326/tillsynsmail/A 25853-2025 tillsynsbegäran mail.docx", "A 25853-2025")</f>
        <v/>
      </c>
      <c r="Z167">
        <f>HYPERLINK("https://klasma.github.io/Logging_2326/fåglar/A 25853-2025 prioriterade fågelarter.docx", "A 25853-2025")</f>
        <v/>
      </c>
    </row>
    <row r="168" ht="15" customHeight="1">
      <c r="A168" t="inlineStr">
        <is>
          <t>A 24309-2023</t>
        </is>
      </c>
      <c r="B168" s="1" t="n">
        <v>45079</v>
      </c>
      <c r="C168" s="1" t="n">
        <v>46129</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32686-2022</t>
        </is>
      </c>
      <c r="B169" s="1" t="n">
        <v>44776</v>
      </c>
      <c r="C169" s="1" t="n">
        <v>46129</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68434-2021</t>
        </is>
      </c>
      <c r="B170" s="1" t="n">
        <v>44529</v>
      </c>
      <c r="C170" s="1" t="n">
        <v>46129</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21370-2025</t>
        </is>
      </c>
      <c r="B171" s="1" t="n">
        <v>45782</v>
      </c>
      <c r="C171" s="1" t="n">
        <v>46129</v>
      </c>
      <c r="D171" t="inlineStr">
        <is>
          <t>JÄMTLANDS LÄN</t>
        </is>
      </c>
      <c r="E171" t="inlineStr">
        <is>
          <t>BERG</t>
        </is>
      </c>
      <c r="F171" t="inlineStr">
        <is>
          <t>SCA</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21370-2025 artfynd.xlsx", "A 21370-2025")</f>
        <v/>
      </c>
      <c r="T171">
        <f>HYPERLINK("https://klasma.github.io/Logging_2326/kartor/A 21370-2025 karta.png", "A 21370-2025")</f>
        <v/>
      </c>
      <c r="V171">
        <f>HYPERLINK("https://klasma.github.io/Logging_2326/klagomål/A 21370-2025 FSC-klagomål.docx", "A 21370-2025")</f>
        <v/>
      </c>
      <c r="W171">
        <f>HYPERLINK("https://klasma.github.io/Logging_2326/klagomålsmail/A 21370-2025 FSC-klagomål mail.docx", "A 21370-2025")</f>
        <v/>
      </c>
      <c r="X171">
        <f>HYPERLINK("https://klasma.github.io/Logging_2326/tillsyn/A 21370-2025 tillsynsbegäran.docx", "A 21370-2025")</f>
        <v/>
      </c>
      <c r="Y171">
        <f>HYPERLINK("https://klasma.github.io/Logging_2326/tillsynsmail/A 21370-2025 tillsynsbegäran mail.docx", "A 21370-2025")</f>
        <v/>
      </c>
      <c r="Z171">
        <f>HYPERLINK("https://klasma.github.io/Logging_2326/fåglar/A 21370-2025 prioriterade fågelarter.docx", "A 21370-2025")</f>
        <v/>
      </c>
    </row>
    <row r="172" ht="15" customHeight="1">
      <c r="A172" t="inlineStr">
        <is>
          <t>A 21632-2025</t>
        </is>
      </c>
      <c r="B172" s="1" t="n">
        <v>45783</v>
      </c>
      <c r="C172" s="1" t="n">
        <v>46129</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33083-2024</t>
        </is>
      </c>
      <c r="B173" s="1" t="n">
        <v>45517.675</v>
      </c>
      <c r="C173" s="1" t="n">
        <v>46129</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40440-2024</t>
        </is>
      </c>
      <c r="B174" s="1" t="n">
        <v>45555.48267361111</v>
      </c>
      <c r="C174" s="1" t="n">
        <v>46129</v>
      </c>
      <c r="D174" t="inlineStr">
        <is>
          <t>JÄMTLANDS LÄN</t>
        </is>
      </c>
      <c r="E174" t="inlineStr">
        <is>
          <t>BERG</t>
        </is>
      </c>
      <c r="G174" t="n">
        <v>3.6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40440-2024 artfynd.xlsx", "A 40440-2024")</f>
        <v/>
      </c>
      <c r="T174">
        <f>HYPERLINK("https://klasma.github.io/Logging_2326/kartor/A 40440-2024 karta.png", "A 40440-2024")</f>
        <v/>
      </c>
      <c r="V174">
        <f>HYPERLINK("https://klasma.github.io/Logging_2326/klagomål/A 40440-2024 FSC-klagomål.docx", "A 40440-2024")</f>
        <v/>
      </c>
      <c r="W174">
        <f>HYPERLINK("https://klasma.github.io/Logging_2326/klagomålsmail/A 40440-2024 FSC-klagomål mail.docx", "A 40440-2024")</f>
        <v/>
      </c>
      <c r="X174">
        <f>HYPERLINK("https://klasma.github.io/Logging_2326/tillsyn/A 40440-2024 tillsynsbegäran.docx", "A 40440-2024")</f>
        <v/>
      </c>
      <c r="Y174">
        <f>HYPERLINK("https://klasma.github.io/Logging_2326/tillsynsmail/A 40440-2024 tillsynsbegäran mail.docx", "A 40440-2024")</f>
        <v/>
      </c>
    </row>
    <row r="175" ht="15" customHeight="1">
      <c r="A175" t="inlineStr">
        <is>
          <t>A 12733-2024</t>
        </is>
      </c>
      <c r="B175" s="1" t="n">
        <v>45384</v>
      </c>
      <c r="C175" s="1" t="n">
        <v>46129</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50556-2024</t>
        </is>
      </c>
      <c r="B176" s="1" t="n">
        <v>45601.59604166666</v>
      </c>
      <c r="C176" s="1" t="n">
        <v>46129</v>
      </c>
      <c r="D176" t="inlineStr">
        <is>
          <t>JÄMTLANDS LÄN</t>
        </is>
      </c>
      <c r="E176" t="inlineStr">
        <is>
          <t>BERG</t>
        </is>
      </c>
      <c r="G176" t="n">
        <v>5.7</v>
      </c>
      <c r="H176" t="n">
        <v>0</v>
      </c>
      <c r="I176" t="n">
        <v>0</v>
      </c>
      <c r="J176" t="n">
        <v>1</v>
      </c>
      <c r="K176" t="n">
        <v>0</v>
      </c>
      <c r="L176" t="n">
        <v>0</v>
      </c>
      <c r="M176" t="n">
        <v>0</v>
      </c>
      <c r="N176" t="n">
        <v>0</v>
      </c>
      <c r="O176" t="n">
        <v>1</v>
      </c>
      <c r="P176" t="n">
        <v>0</v>
      </c>
      <c r="Q176" t="n">
        <v>1</v>
      </c>
      <c r="R176" s="2" t="inlineStr">
        <is>
          <t>Kalkbräken</t>
        </is>
      </c>
      <c r="S176">
        <f>HYPERLINK("https://klasma.github.io/Logging_2326/artfynd/A 50556-2024 artfynd.xlsx", "A 50556-2024")</f>
        <v/>
      </c>
      <c r="T176">
        <f>HYPERLINK("https://klasma.github.io/Logging_2326/kartor/A 50556-2024 karta.png", "A 50556-2024")</f>
        <v/>
      </c>
      <c r="V176">
        <f>HYPERLINK("https://klasma.github.io/Logging_2326/klagomål/A 50556-2024 FSC-klagomål.docx", "A 50556-2024")</f>
        <v/>
      </c>
      <c r="W176">
        <f>HYPERLINK("https://klasma.github.io/Logging_2326/klagomålsmail/A 50556-2024 FSC-klagomål mail.docx", "A 50556-2024")</f>
        <v/>
      </c>
      <c r="X176">
        <f>HYPERLINK("https://klasma.github.io/Logging_2326/tillsyn/A 50556-2024 tillsynsbegäran.docx", "A 50556-2024")</f>
        <v/>
      </c>
      <c r="Y176">
        <f>HYPERLINK("https://klasma.github.io/Logging_2326/tillsynsmail/A 50556-2024 tillsynsbegäran mail.docx", "A 50556-2024")</f>
        <v/>
      </c>
    </row>
    <row r="177" ht="15" customHeight="1">
      <c r="A177" t="inlineStr">
        <is>
          <t>A 41635-2024</t>
        </is>
      </c>
      <c r="B177" s="1" t="n">
        <v>45560.61601851852</v>
      </c>
      <c r="C177" s="1" t="n">
        <v>46129</v>
      </c>
      <c r="D177" t="inlineStr">
        <is>
          <t>JÄMTLANDS LÄN</t>
        </is>
      </c>
      <c r="E177" t="inlineStr">
        <is>
          <t>BERG</t>
        </is>
      </c>
      <c r="F177" t="inlineStr">
        <is>
          <t>SCA</t>
        </is>
      </c>
      <c r="G177" t="n">
        <v>4.2</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41635-2024 artfynd.xlsx", "A 41635-2024")</f>
        <v/>
      </c>
      <c r="T177">
        <f>HYPERLINK("https://klasma.github.io/Logging_2326/kartor/A 41635-2024 karta.png", "A 41635-2024")</f>
        <v/>
      </c>
      <c r="V177">
        <f>HYPERLINK("https://klasma.github.io/Logging_2326/klagomål/A 41635-2024 FSC-klagomål.docx", "A 41635-2024")</f>
        <v/>
      </c>
      <c r="W177">
        <f>HYPERLINK("https://klasma.github.io/Logging_2326/klagomålsmail/A 41635-2024 FSC-klagomål mail.docx", "A 41635-2024")</f>
        <v/>
      </c>
      <c r="X177">
        <f>HYPERLINK("https://klasma.github.io/Logging_2326/tillsyn/A 41635-2024 tillsynsbegäran.docx", "A 41635-2024")</f>
        <v/>
      </c>
      <c r="Y177">
        <f>HYPERLINK("https://klasma.github.io/Logging_2326/tillsynsmail/A 41635-2024 tillsynsbegäran mail.docx", "A 41635-2024")</f>
        <v/>
      </c>
    </row>
    <row r="178" ht="15" customHeight="1">
      <c r="A178" t="inlineStr">
        <is>
          <t>A 40382-2024</t>
        </is>
      </c>
      <c r="B178" s="1" t="n">
        <v>45555.42225694445</v>
      </c>
      <c r="C178" s="1" t="n">
        <v>46129</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20444-2025</t>
        </is>
      </c>
      <c r="B179" s="1" t="n">
        <v>45775.48989583334</v>
      </c>
      <c r="C179" s="1" t="n">
        <v>46129</v>
      </c>
      <c r="D179" t="inlineStr">
        <is>
          <t>JÄMTLANDS LÄN</t>
        </is>
      </c>
      <c r="E179" t="inlineStr">
        <is>
          <t>BERG</t>
        </is>
      </c>
      <c r="F179" t="inlineStr">
        <is>
          <t>SCA</t>
        </is>
      </c>
      <c r="G179" t="n">
        <v>2.3</v>
      </c>
      <c r="H179" t="n">
        <v>0</v>
      </c>
      <c r="I179" t="n">
        <v>0</v>
      </c>
      <c r="J179" t="n">
        <v>0</v>
      </c>
      <c r="K179" t="n">
        <v>1</v>
      </c>
      <c r="L179" t="n">
        <v>0</v>
      </c>
      <c r="M179" t="n">
        <v>0</v>
      </c>
      <c r="N179" t="n">
        <v>0</v>
      </c>
      <c r="O179" t="n">
        <v>1</v>
      </c>
      <c r="P179" t="n">
        <v>1</v>
      </c>
      <c r="Q179" t="n">
        <v>1</v>
      </c>
      <c r="R179" s="2" t="inlineStr">
        <is>
          <t>Gräddporing</t>
        </is>
      </c>
      <c r="S179">
        <f>HYPERLINK("https://klasma.github.io/Logging_2326/artfynd/A 20444-2025 artfynd.xlsx", "A 20444-2025")</f>
        <v/>
      </c>
      <c r="T179">
        <f>HYPERLINK("https://klasma.github.io/Logging_2326/kartor/A 20444-2025 karta.png", "A 20444-2025")</f>
        <v/>
      </c>
      <c r="V179">
        <f>HYPERLINK("https://klasma.github.io/Logging_2326/klagomål/A 20444-2025 FSC-klagomål.docx", "A 20444-2025")</f>
        <v/>
      </c>
      <c r="W179">
        <f>HYPERLINK("https://klasma.github.io/Logging_2326/klagomålsmail/A 20444-2025 FSC-klagomål mail.docx", "A 20444-2025")</f>
        <v/>
      </c>
      <c r="X179">
        <f>HYPERLINK("https://klasma.github.io/Logging_2326/tillsyn/A 20444-2025 tillsynsbegäran.docx", "A 20444-2025")</f>
        <v/>
      </c>
      <c r="Y179">
        <f>HYPERLINK("https://klasma.github.io/Logging_2326/tillsynsmail/A 20444-2025 tillsynsbegäran mail.docx", "A 20444-2025")</f>
        <v/>
      </c>
    </row>
    <row r="180" ht="15" customHeight="1">
      <c r="A180" t="inlineStr">
        <is>
          <t>A 21681-2025</t>
        </is>
      </c>
      <c r="B180" s="1" t="n">
        <v>45783.49015046296</v>
      </c>
      <c r="C180" s="1" t="n">
        <v>46129</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49196-2022</t>
        </is>
      </c>
      <c r="B181" s="1" t="n">
        <v>44860.95508101852</v>
      </c>
      <c r="C181" s="1" t="n">
        <v>46129</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46129</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46129</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46129</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2010-2022</t>
        </is>
      </c>
      <c r="B185" s="1" t="n">
        <v>44575.5847337963</v>
      </c>
      <c r="C185" s="1" t="n">
        <v>46129</v>
      </c>
      <c r="D185" t="inlineStr">
        <is>
          <t>JÄMTLANDS LÄN</t>
        </is>
      </c>
      <c r="E185" t="inlineStr">
        <is>
          <t>BERG</t>
        </is>
      </c>
      <c r="G185" t="n">
        <v>1.6</v>
      </c>
      <c r="H185" t="n">
        <v>0</v>
      </c>
      <c r="I185" t="n">
        <v>0</v>
      </c>
      <c r="J185" t="n">
        <v>0</v>
      </c>
      <c r="K185" t="n">
        <v>0</v>
      </c>
      <c r="L185" t="n">
        <v>0</v>
      </c>
      <c r="M185" t="n">
        <v>0</v>
      </c>
      <c r="N185" t="n">
        <v>0</v>
      </c>
      <c r="O185" t="n">
        <v>0</v>
      </c>
      <c r="P185" t="n">
        <v>0</v>
      </c>
      <c r="Q185" t="n">
        <v>0</v>
      </c>
      <c r="R185" s="2" t="inlineStr"/>
    </row>
    <row r="186" ht="15" customHeight="1">
      <c r="A186" t="inlineStr">
        <is>
          <t>A 24843-2021</t>
        </is>
      </c>
      <c r="B186" s="1" t="n">
        <v>44340.82405092593</v>
      </c>
      <c r="C186" s="1" t="n">
        <v>46129</v>
      </c>
      <c r="D186" t="inlineStr">
        <is>
          <t>JÄMTLANDS LÄN</t>
        </is>
      </c>
      <c r="E186" t="inlineStr">
        <is>
          <t>BERG</t>
        </is>
      </c>
      <c r="G186" t="n">
        <v>3.8</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46129</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28883-2021</t>
        </is>
      </c>
      <c r="B188" s="1" t="n">
        <v>44357</v>
      </c>
      <c r="C188" s="1" t="n">
        <v>46129</v>
      </c>
      <c r="D188" t="inlineStr">
        <is>
          <t>JÄMTLANDS LÄN</t>
        </is>
      </c>
      <c r="E188" t="inlineStr">
        <is>
          <t>BERG</t>
        </is>
      </c>
      <c r="F188" t="inlineStr">
        <is>
          <t>Kyrkan</t>
        </is>
      </c>
      <c r="G188" t="n">
        <v>7.3</v>
      </c>
      <c r="H188" t="n">
        <v>0</v>
      </c>
      <c r="I188" t="n">
        <v>0</v>
      </c>
      <c r="J188" t="n">
        <v>0</v>
      </c>
      <c r="K188" t="n">
        <v>0</v>
      </c>
      <c r="L188" t="n">
        <v>0</v>
      </c>
      <c r="M188" t="n">
        <v>0</v>
      </c>
      <c r="N188" t="n">
        <v>0</v>
      </c>
      <c r="O188" t="n">
        <v>0</v>
      </c>
      <c r="P188" t="n">
        <v>0</v>
      </c>
      <c r="Q188" t="n">
        <v>0</v>
      </c>
      <c r="R188" s="2" t="inlineStr"/>
    </row>
    <row r="189" ht="15" customHeight="1">
      <c r="A189" t="inlineStr">
        <is>
          <t>A 37591-2021</t>
        </is>
      </c>
      <c r="B189" s="1" t="n">
        <v>44399</v>
      </c>
      <c r="C189" s="1" t="n">
        <v>46129</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2544-2022</t>
        </is>
      </c>
      <c r="B190" s="1" t="n">
        <v>44579.9719212963</v>
      </c>
      <c r="C190" s="1" t="n">
        <v>46129</v>
      </c>
      <c r="D190" t="inlineStr">
        <is>
          <t>JÄMTLANDS LÄN</t>
        </is>
      </c>
      <c r="E190" t="inlineStr">
        <is>
          <t>BERG</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43296-2022</t>
        </is>
      </c>
      <c r="B191" s="1" t="n">
        <v>44834</v>
      </c>
      <c r="C191" s="1" t="n">
        <v>46129</v>
      </c>
      <c r="D191" t="inlineStr">
        <is>
          <t>JÄMTLANDS LÄN</t>
        </is>
      </c>
      <c r="E191" t="inlineStr">
        <is>
          <t>BERG</t>
        </is>
      </c>
      <c r="G191" t="n">
        <v>3.7</v>
      </c>
      <c r="H191" t="n">
        <v>0</v>
      </c>
      <c r="I191" t="n">
        <v>0</v>
      </c>
      <c r="J191" t="n">
        <v>0</v>
      </c>
      <c r="K191" t="n">
        <v>0</v>
      </c>
      <c r="L191" t="n">
        <v>0</v>
      </c>
      <c r="M191" t="n">
        <v>0</v>
      </c>
      <c r="N191" t="n">
        <v>0</v>
      </c>
      <c r="O191" t="n">
        <v>0</v>
      </c>
      <c r="P191" t="n">
        <v>0</v>
      </c>
      <c r="Q191" t="n">
        <v>0</v>
      </c>
      <c r="R191" s="2" t="inlineStr"/>
    </row>
    <row r="192" ht="15" customHeight="1">
      <c r="A192" t="inlineStr">
        <is>
          <t>A 36373-2022</t>
        </is>
      </c>
      <c r="B192" s="1" t="n">
        <v>44803</v>
      </c>
      <c r="C192" s="1" t="n">
        <v>46129</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3870-2022</t>
        </is>
      </c>
      <c r="B193" s="1" t="n">
        <v>44587</v>
      </c>
      <c r="C193" s="1" t="n">
        <v>46129</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68450-2021</t>
        </is>
      </c>
      <c r="B194" s="1" t="n">
        <v>44529</v>
      </c>
      <c r="C194" s="1" t="n">
        <v>46129</v>
      </c>
      <c r="D194" t="inlineStr">
        <is>
          <t>JÄMTLANDS LÄN</t>
        </is>
      </c>
      <c r="E194" t="inlineStr">
        <is>
          <t>BERG</t>
        </is>
      </c>
      <c r="G194" t="n">
        <v>7.3</v>
      </c>
      <c r="H194" t="n">
        <v>0</v>
      </c>
      <c r="I194" t="n">
        <v>0</v>
      </c>
      <c r="J194" t="n">
        <v>0</v>
      </c>
      <c r="K194" t="n">
        <v>0</v>
      </c>
      <c r="L194" t="n">
        <v>0</v>
      </c>
      <c r="M194" t="n">
        <v>0</v>
      </c>
      <c r="N194" t="n">
        <v>0</v>
      </c>
      <c r="O194" t="n">
        <v>0</v>
      </c>
      <c r="P194" t="n">
        <v>0</v>
      </c>
      <c r="Q194" t="n">
        <v>0</v>
      </c>
      <c r="R194" s="2" t="inlineStr"/>
    </row>
    <row r="195" ht="15" customHeight="1">
      <c r="A195" t="inlineStr">
        <is>
          <t>A 44443-2022</t>
        </is>
      </c>
      <c r="B195" s="1" t="n">
        <v>44839.95467592592</v>
      </c>
      <c r="C195" s="1" t="n">
        <v>46129</v>
      </c>
      <c r="D195" t="inlineStr">
        <is>
          <t>JÄMTLANDS LÄN</t>
        </is>
      </c>
      <c r="E195" t="inlineStr">
        <is>
          <t>BERG</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25265-2022</t>
        </is>
      </c>
      <c r="B196" s="1" t="n">
        <v>44729.94224537037</v>
      </c>
      <c r="C196" s="1" t="n">
        <v>46129</v>
      </c>
      <c r="D196" t="inlineStr">
        <is>
          <t>JÄMTLANDS LÄN</t>
        </is>
      </c>
      <c r="E196" t="inlineStr">
        <is>
          <t>BERG</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36720-2021</t>
        </is>
      </c>
      <c r="B197" s="1" t="n">
        <v>44392</v>
      </c>
      <c r="C197" s="1" t="n">
        <v>46129</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46937-2021</t>
        </is>
      </c>
      <c r="B198" s="1" t="n">
        <v>44446</v>
      </c>
      <c r="C198" s="1" t="n">
        <v>46129</v>
      </c>
      <c r="D198" t="inlineStr">
        <is>
          <t>JÄMTLANDS LÄN</t>
        </is>
      </c>
      <c r="E198" t="inlineStr">
        <is>
          <t>BERG</t>
        </is>
      </c>
      <c r="G198" t="n">
        <v>3</v>
      </c>
      <c r="H198" t="n">
        <v>0</v>
      </c>
      <c r="I198" t="n">
        <v>0</v>
      </c>
      <c r="J198" t="n">
        <v>0</v>
      </c>
      <c r="K198" t="n">
        <v>0</v>
      </c>
      <c r="L198" t="n">
        <v>0</v>
      </c>
      <c r="M198" t="n">
        <v>0</v>
      </c>
      <c r="N198" t="n">
        <v>0</v>
      </c>
      <c r="O198" t="n">
        <v>0</v>
      </c>
      <c r="P198" t="n">
        <v>0</v>
      </c>
      <c r="Q198" t="n">
        <v>0</v>
      </c>
      <c r="R198" s="2" t="inlineStr"/>
    </row>
    <row r="199" ht="15" customHeight="1">
      <c r="A199" t="inlineStr">
        <is>
          <t>A 24136-2021</t>
        </is>
      </c>
      <c r="B199" s="1" t="n">
        <v>44336.540625</v>
      </c>
      <c r="C199" s="1" t="n">
        <v>46129</v>
      </c>
      <c r="D199" t="inlineStr">
        <is>
          <t>JÄMTLANDS LÄN</t>
        </is>
      </c>
      <c r="E199" t="inlineStr">
        <is>
          <t>BERG</t>
        </is>
      </c>
      <c r="G199" t="n">
        <v>12.6</v>
      </c>
      <c r="H199" t="n">
        <v>0</v>
      </c>
      <c r="I199" t="n">
        <v>0</v>
      </c>
      <c r="J199" t="n">
        <v>0</v>
      </c>
      <c r="K199" t="n">
        <v>0</v>
      </c>
      <c r="L199" t="n">
        <v>0</v>
      </c>
      <c r="M199" t="n">
        <v>0</v>
      </c>
      <c r="N199" t="n">
        <v>0</v>
      </c>
      <c r="O199" t="n">
        <v>0</v>
      </c>
      <c r="P199" t="n">
        <v>0</v>
      </c>
      <c r="Q199" t="n">
        <v>0</v>
      </c>
      <c r="R199" s="2" t="inlineStr"/>
    </row>
    <row r="200" ht="15" customHeight="1">
      <c r="A200" t="inlineStr">
        <is>
          <t>A 27144-2021</t>
        </is>
      </c>
      <c r="B200" s="1" t="n">
        <v>44350</v>
      </c>
      <c r="C200" s="1" t="n">
        <v>46129</v>
      </c>
      <c r="D200" t="inlineStr">
        <is>
          <t>JÄMTLANDS LÄN</t>
        </is>
      </c>
      <c r="E200" t="inlineStr">
        <is>
          <t>BERG</t>
        </is>
      </c>
      <c r="F200" t="inlineStr">
        <is>
          <t>Sveaskog</t>
        </is>
      </c>
      <c r="G200" t="n">
        <v>10.2</v>
      </c>
      <c r="H200" t="n">
        <v>0</v>
      </c>
      <c r="I200" t="n">
        <v>0</v>
      </c>
      <c r="J200" t="n">
        <v>0</v>
      </c>
      <c r="K200" t="n">
        <v>0</v>
      </c>
      <c r="L200" t="n">
        <v>0</v>
      </c>
      <c r="M200" t="n">
        <v>0</v>
      </c>
      <c r="N200" t="n">
        <v>0</v>
      </c>
      <c r="O200" t="n">
        <v>0</v>
      </c>
      <c r="P200" t="n">
        <v>0</v>
      </c>
      <c r="Q200" t="n">
        <v>0</v>
      </c>
      <c r="R200" s="2" t="inlineStr"/>
    </row>
    <row r="201" ht="15" customHeight="1">
      <c r="A201" t="inlineStr">
        <is>
          <t>A 33558-2021</t>
        </is>
      </c>
      <c r="B201" s="1" t="n">
        <v>44377</v>
      </c>
      <c r="C201" s="1" t="n">
        <v>46129</v>
      </c>
      <c r="D201" t="inlineStr">
        <is>
          <t>JÄMTLANDS LÄN</t>
        </is>
      </c>
      <c r="E201" t="inlineStr">
        <is>
          <t>BERG</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52927-2022</t>
        </is>
      </c>
      <c r="B202" s="1" t="n">
        <v>44872</v>
      </c>
      <c r="C202" s="1" t="n">
        <v>46129</v>
      </c>
      <c r="D202" t="inlineStr">
        <is>
          <t>JÄMTLANDS LÄN</t>
        </is>
      </c>
      <c r="E202" t="inlineStr">
        <is>
          <t>BERG</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41819-2021</t>
        </is>
      </c>
      <c r="B203" s="1" t="n">
        <v>44425.85641203704</v>
      </c>
      <c r="C203" s="1" t="n">
        <v>46129</v>
      </c>
      <c r="D203" t="inlineStr">
        <is>
          <t>JÄMTLANDS LÄN</t>
        </is>
      </c>
      <c r="E203" t="inlineStr">
        <is>
          <t>BERG</t>
        </is>
      </c>
      <c r="G203" t="n">
        <v>1.5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46129</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46129</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58088-2021</t>
        </is>
      </c>
      <c r="B206" s="1" t="n">
        <v>44487.50133101852</v>
      </c>
      <c r="C206" s="1" t="n">
        <v>46129</v>
      </c>
      <c r="D206" t="inlineStr">
        <is>
          <t>JÄMTLANDS LÄN</t>
        </is>
      </c>
      <c r="E206" t="inlineStr">
        <is>
          <t>BERG</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46129</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1559-2022</t>
        </is>
      </c>
      <c r="B208" s="1" t="n">
        <v>44573</v>
      </c>
      <c r="C208" s="1" t="n">
        <v>46129</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3891-2022</t>
        </is>
      </c>
      <c r="B209" s="1" t="n">
        <v>44587</v>
      </c>
      <c r="C209" s="1" t="n">
        <v>46129</v>
      </c>
      <c r="D209" t="inlineStr">
        <is>
          <t>JÄMTLANDS LÄN</t>
        </is>
      </c>
      <c r="E209" t="inlineStr">
        <is>
          <t>BERG</t>
        </is>
      </c>
      <c r="G209" t="n">
        <v>2.6</v>
      </c>
      <c r="H209" t="n">
        <v>0</v>
      </c>
      <c r="I209" t="n">
        <v>0</v>
      </c>
      <c r="J209" t="n">
        <v>0</v>
      </c>
      <c r="K209" t="n">
        <v>0</v>
      </c>
      <c r="L209" t="n">
        <v>0</v>
      </c>
      <c r="M209" t="n">
        <v>0</v>
      </c>
      <c r="N209" t="n">
        <v>0</v>
      </c>
      <c r="O209" t="n">
        <v>0</v>
      </c>
      <c r="P209" t="n">
        <v>0</v>
      </c>
      <c r="Q209" t="n">
        <v>0</v>
      </c>
      <c r="R209" s="2" t="inlineStr"/>
    </row>
    <row r="210" ht="15" customHeight="1">
      <c r="A210" t="inlineStr">
        <is>
          <t>A 46853-2021</t>
        </is>
      </c>
      <c r="B210" s="1" t="n">
        <v>44446</v>
      </c>
      <c r="C210" s="1" t="n">
        <v>46129</v>
      </c>
      <c r="D210" t="inlineStr">
        <is>
          <t>JÄMTLANDS LÄN</t>
        </is>
      </c>
      <c r="E210" t="inlineStr">
        <is>
          <t>BERG</t>
        </is>
      </c>
      <c r="G210" t="n">
        <v>0.9</v>
      </c>
      <c r="H210" t="n">
        <v>0</v>
      </c>
      <c r="I210" t="n">
        <v>0</v>
      </c>
      <c r="J210" t="n">
        <v>0</v>
      </c>
      <c r="K210" t="n">
        <v>0</v>
      </c>
      <c r="L210" t="n">
        <v>0</v>
      </c>
      <c r="M210" t="n">
        <v>0</v>
      </c>
      <c r="N210" t="n">
        <v>0</v>
      </c>
      <c r="O210" t="n">
        <v>0</v>
      </c>
      <c r="P210" t="n">
        <v>0</v>
      </c>
      <c r="Q210" t="n">
        <v>0</v>
      </c>
      <c r="R210" s="2" t="inlineStr"/>
    </row>
    <row r="211" ht="15" customHeight="1">
      <c r="A211" t="inlineStr">
        <is>
          <t>A 37711-2022</t>
        </is>
      </c>
      <c r="B211" s="1" t="n">
        <v>44810.54903935185</v>
      </c>
      <c r="C211" s="1" t="n">
        <v>46129</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20304-2022</t>
        </is>
      </c>
      <c r="B212" s="1" t="n">
        <v>44698.94268518518</v>
      </c>
      <c r="C212" s="1" t="n">
        <v>46129</v>
      </c>
      <c r="D212" t="inlineStr">
        <is>
          <t>JÄMTLANDS LÄN</t>
        </is>
      </c>
      <c r="E212" t="inlineStr">
        <is>
          <t>BERG</t>
        </is>
      </c>
      <c r="F212" t="inlineStr">
        <is>
          <t>SCA</t>
        </is>
      </c>
      <c r="G212" t="n">
        <v>6.7</v>
      </c>
      <c r="H212" t="n">
        <v>0</v>
      </c>
      <c r="I212" t="n">
        <v>0</v>
      </c>
      <c r="J212" t="n">
        <v>0</v>
      </c>
      <c r="K212" t="n">
        <v>0</v>
      </c>
      <c r="L212" t="n">
        <v>0</v>
      </c>
      <c r="M212" t="n">
        <v>0</v>
      </c>
      <c r="N212" t="n">
        <v>0</v>
      </c>
      <c r="O212" t="n">
        <v>0</v>
      </c>
      <c r="P212" t="n">
        <v>0</v>
      </c>
      <c r="Q212" t="n">
        <v>0</v>
      </c>
      <c r="R212" s="2" t="inlineStr"/>
    </row>
    <row r="213" ht="15" customHeight="1">
      <c r="A213" t="inlineStr">
        <is>
          <t>A 21629-2021</t>
        </is>
      </c>
      <c r="B213" s="1" t="n">
        <v>44321</v>
      </c>
      <c r="C213" s="1" t="n">
        <v>46129</v>
      </c>
      <c r="D213" t="inlineStr">
        <is>
          <t>JÄMTLANDS LÄN</t>
        </is>
      </c>
      <c r="E213" t="inlineStr">
        <is>
          <t>BERG</t>
        </is>
      </c>
      <c r="G213" t="n">
        <v>15.9</v>
      </c>
      <c r="H213" t="n">
        <v>0</v>
      </c>
      <c r="I213" t="n">
        <v>0</v>
      </c>
      <c r="J213" t="n">
        <v>0</v>
      </c>
      <c r="K213" t="n">
        <v>0</v>
      </c>
      <c r="L213" t="n">
        <v>0</v>
      </c>
      <c r="M213" t="n">
        <v>0</v>
      </c>
      <c r="N213" t="n">
        <v>0</v>
      </c>
      <c r="O213" t="n">
        <v>0</v>
      </c>
      <c r="P213" t="n">
        <v>0</v>
      </c>
      <c r="Q213" t="n">
        <v>0</v>
      </c>
      <c r="R213" s="2" t="inlineStr"/>
    </row>
    <row r="214" ht="15" customHeight="1">
      <c r="A214" t="inlineStr">
        <is>
          <t>A 68854-2021</t>
        </is>
      </c>
      <c r="B214" s="1" t="n">
        <v>44530</v>
      </c>
      <c r="C214" s="1" t="n">
        <v>46129</v>
      </c>
      <c r="D214" t="inlineStr">
        <is>
          <t>JÄMTLANDS LÄN</t>
        </is>
      </c>
      <c r="E214" t="inlineStr">
        <is>
          <t>BERG</t>
        </is>
      </c>
      <c r="G214" t="n">
        <v>3.3</v>
      </c>
      <c r="H214" t="n">
        <v>0</v>
      </c>
      <c r="I214" t="n">
        <v>0</v>
      </c>
      <c r="J214" t="n">
        <v>0</v>
      </c>
      <c r="K214" t="n">
        <v>0</v>
      </c>
      <c r="L214" t="n">
        <v>0</v>
      </c>
      <c r="M214" t="n">
        <v>0</v>
      </c>
      <c r="N214" t="n">
        <v>0</v>
      </c>
      <c r="O214" t="n">
        <v>0</v>
      </c>
      <c r="P214" t="n">
        <v>0</v>
      </c>
      <c r="Q214" t="n">
        <v>0</v>
      </c>
      <c r="R214" s="2" t="inlineStr"/>
    </row>
    <row r="215" ht="15" customHeight="1">
      <c r="A215" t="inlineStr">
        <is>
          <t>A 9114-2022</t>
        </is>
      </c>
      <c r="B215" s="1" t="n">
        <v>44615</v>
      </c>
      <c r="C215" s="1" t="n">
        <v>46129</v>
      </c>
      <c r="D215" t="inlineStr">
        <is>
          <t>JÄMTLANDS LÄN</t>
        </is>
      </c>
      <c r="E215" t="inlineStr">
        <is>
          <t>BERG</t>
        </is>
      </c>
      <c r="G215" t="n">
        <v>2.9</v>
      </c>
      <c r="H215" t="n">
        <v>0</v>
      </c>
      <c r="I215" t="n">
        <v>0</v>
      </c>
      <c r="J215" t="n">
        <v>0</v>
      </c>
      <c r="K215" t="n">
        <v>0</v>
      </c>
      <c r="L215" t="n">
        <v>0</v>
      </c>
      <c r="M215" t="n">
        <v>0</v>
      </c>
      <c r="N215" t="n">
        <v>0</v>
      </c>
      <c r="O215" t="n">
        <v>0</v>
      </c>
      <c r="P215" t="n">
        <v>0</v>
      </c>
      <c r="Q215" t="n">
        <v>0</v>
      </c>
      <c r="R215" s="2" t="inlineStr"/>
    </row>
    <row r="216" ht="15" customHeight="1">
      <c r="A216" t="inlineStr">
        <is>
          <t>A 46115-2021</t>
        </is>
      </c>
      <c r="B216" s="1" t="n">
        <v>44441</v>
      </c>
      <c r="C216" s="1" t="n">
        <v>46129</v>
      </c>
      <c r="D216" t="inlineStr">
        <is>
          <t>JÄMTLANDS LÄN</t>
        </is>
      </c>
      <c r="E216" t="inlineStr">
        <is>
          <t>BERG</t>
        </is>
      </c>
      <c r="G216" t="n">
        <v>15.1</v>
      </c>
      <c r="H216" t="n">
        <v>0</v>
      </c>
      <c r="I216" t="n">
        <v>0</v>
      </c>
      <c r="J216" t="n">
        <v>0</v>
      </c>
      <c r="K216" t="n">
        <v>0</v>
      </c>
      <c r="L216" t="n">
        <v>0</v>
      </c>
      <c r="M216" t="n">
        <v>0</v>
      </c>
      <c r="N216" t="n">
        <v>0</v>
      </c>
      <c r="O216" t="n">
        <v>0</v>
      </c>
      <c r="P216" t="n">
        <v>0</v>
      </c>
      <c r="Q216" t="n">
        <v>0</v>
      </c>
      <c r="R216" s="2" t="inlineStr"/>
    </row>
    <row r="217" ht="15" customHeight="1">
      <c r="A217" t="inlineStr">
        <is>
          <t>A 19809-2022</t>
        </is>
      </c>
      <c r="B217" s="1" t="n">
        <v>44694</v>
      </c>
      <c r="C217" s="1" t="n">
        <v>46129</v>
      </c>
      <c r="D217" t="inlineStr">
        <is>
          <t>JÄMTLANDS LÄN</t>
        </is>
      </c>
      <c r="E217" t="inlineStr">
        <is>
          <t>BERG</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2009-2022</t>
        </is>
      </c>
      <c r="B218" s="1" t="n">
        <v>44575</v>
      </c>
      <c r="C218" s="1" t="n">
        <v>46129</v>
      </c>
      <c r="D218" t="inlineStr">
        <is>
          <t>JÄMTLANDS LÄN</t>
        </is>
      </c>
      <c r="E218" t="inlineStr">
        <is>
          <t>BERG</t>
        </is>
      </c>
      <c r="G218" t="n">
        <v>11.9</v>
      </c>
      <c r="H218" t="n">
        <v>0</v>
      </c>
      <c r="I218" t="n">
        <v>0</v>
      </c>
      <c r="J218" t="n">
        <v>0</v>
      </c>
      <c r="K218" t="n">
        <v>0</v>
      </c>
      <c r="L218" t="n">
        <v>0</v>
      </c>
      <c r="M218" t="n">
        <v>0</v>
      </c>
      <c r="N218" t="n">
        <v>0</v>
      </c>
      <c r="O218" t="n">
        <v>0</v>
      </c>
      <c r="P218" t="n">
        <v>0</v>
      </c>
      <c r="Q218" t="n">
        <v>0</v>
      </c>
      <c r="R218" s="2" t="inlineStr"/>
    </row>
    <row r="219" ht="15" customHeight="1">
      <c r="A219" t="inlineStr">
        <is>
          <t>A 33878-2021</t>
        </is>
      </c>
      <c r="B219" s="1" t="n">
        <v>44378.64378472222</v>
      </c>
      <c r="C219" s="1" t="n">
        <v>46129</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21403-2022</t>
        </is>
      </c>
      <c r="B220" s="1" t="n">
        <v>44705.9403125</v>
      </c>
      <c r="C220" s="1" t="n">
        <v>46129</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29019-2021</t>
        </is>
      </c>
      <c r="B221" s="1" t="n">
        <v>44358</v>
      </c>
      <c r="C221" s="1" t="n">
        <v>46129</v>
      </c>
      <c r="D221" t="inlineStr">
        <is>
          <t>JÄMTLANDS LÄN</t>
        </is>
      </c>
      <c r="E221" t="inlineStr">
        <is>
          <t>BERG</t>
        </is>
      </c>
      <c r="F221" t="inlineStr">
        <is>
          <t>Sveaskog</t>
        </is>
      </c>
      <c r="G221" t="n">
        <v>27.1</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46129</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46199-2022</t>
        </is>
      </c>
      <c r="B223" s="1" t="n">
        <v>44847.53822916667</v>
      </c>
      <c r="C223" s="1" t="n">
        <v>46129</v>
      </c>
      <c r="D223" t="inlineStr">
        <is>
          <t>JÄMTLANDS LÄN</t>
        </is>
      </c>
      <c r="E223" t="inlineStr">
        <is>
          <t>BERG</t>
        </is>
      </c>
      <c r="G223" t="n">
        <v>5.6</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46129</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44442-2022</t>
        </is>
      </c>
      <c r="B225" s="1" t="n">
        <v>44839</v>
      </c>
      <c r="C225" s="1" t="n">
        <v>46129</v>
      </c>
      <c r="D225" t="inlineStr">
        <is>
          <t>JÄMTLANDS LÄN</t>
        </is>
      </c>
      <c r="E225" t="inlineStr">
        <is>
          <t>BERG</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20179-2021</t>
        </is>
      </c>
      <c r="B226" s="1" t="n">
        <v>44314.56744212963</v>
      </c>
      <c r="C226" s="1" t="n">
        <v>46129</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46129</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46129</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46129</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35308-2021</t>
        </is>
      </c>
      <c r="B230" s="1" t="n">
        <v>44384</v>
      </c>
      <c r="C230" s="1" t="n">
        <v>46129</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c r="U230">
        <f>HYPERLINK("https://klasma.github.io/Logging_2326/knärot/A 35308-2021 karta knärot.png", "A 35308-2021")</f>
        <v/>
      </c>
      <c r="V230">
        <f>HYPERLINK("https://klasma.github.io/Logging_2326/klagomål/A 35308-2021 FSC-klagomål.docx", "A 35308-2021")</f>
        <v/>
      </c>
      <c r="W230">
        <f>HYPERLINK("https://klasma.github.io/Logging_2326/klagomålsmail/A 35308-2021 FSC-klagomål mail.docx", "A 35308-2021")</f>
        <v/>
      </c>
      <c r="X230">
        <f>HYPERLINK("https://klasma.github.io/Logging_2326/tillsyn/A 35308-2021 tillsynsbegäran.docx", "A 35308-2021")</f>
        <v/>
      </c>
      <c r="Y230">
        <f>HYPERLINK("https://klasma.github.io/Logging_2326/tillsynsmail/A 35308-2021 tillsynsbegäran mail.docx", "A 35308-2021")</f>
        <v/>
      </c>
    </row>
    <row r="231" ht="15" customHeight="1">
      <c r="A231" t="inlineStr">
        <is>
          <t>A 37726-2022</t>
        </is>
      </c>
      <c r="B231" s="1" t="n">
        <v>44810.56636574074</v>
      </c>
      <c r="C231" s="1" t="n">
        <v>46129</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44594.48864583333</v>
      </c>
      <c r="C232" s="1" t="n">
        <v>46129</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44594.4892824074</v>
      </c>
      <c r="C233" s="1" t="n">
        <v>46129</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46129</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46129</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46129</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46129</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51951-2021</t>
        </is>
      </c>
      <c r="B238" s="1" t="n">
        <v>44462</v>
      </c>
      <c r="C238" s="1" t="n">
        <v>46129</v>
      </c>
      <c r="D238" t="inlineStr">
        <is>
          <t>JÄMTLANDS LÄN</t>
        </is>
      </c>
      <c r="E238" t="inlineStr">
        <is>
          <t>BERG</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10230-2024</t>
        </is>
      </c>
      <c r="B239" s="1" t="n">
        <v>45365.31883101852</v>
      </c>
      <c r="C239" s="1" t="n">
        <v>46129</v>
      </c>
      <c r="D239" t="inlineStr">
        <is>
          <t>JÄMTLANDS LÄN</t>
        </is>
      </c>
      <c r="E239" t="inlineStr">
        <is>
          <t>BERG</t>
        </is>
      </c>
      <c r="G239" t="n">
        <v>6.3</v>
      </c>
      <c r="H239" t="n">
        <v>0</v>
      </c>
      <c r="I239" t="n">
        <v>0</v>
      </c>
      <c r="J239" t="n">
        <v>0</v>
      </c>
      <c r="K239" t="n">
        <v>0</v>
      </c>
      <c r="L239" t="n">
        <v>0</v>
      </c>
      <c r="M239" t="n">
        <v>0</v>
      </c>
      <c r="N239" t="n">
        <v>0</v>
      </c>
      <c r="O239" t="n">
        <v>0</v>
      </c>
      <c r="P239" t="n">
        <v>0</v>
      </c>
      <c r="Q239" t="n">
        <v>0</v>
      </c>
      <c r="R239" s="2" t="inlineStr"/>
    </row>
    <row r="240" ht="15" customHeight="1">
      <c r="A240" t="inlineStr">
        <is>
          <t>A 36079-2024</t>
        </is>
      </c>
      <c r="B240" s="1" t="n">
        <v>45533.66685185185</v>
      </c>
      <c r="C240" s="1" t="n">
        <v>46129</v>
      </c>
      <c r="D240" t="inlineStr">
        <is>
          <t>JÄMTLANDS LÄN</t>
        </is>
      </c>
      <c r="E240" t="inlineStr">
        <is>
          <t>BERG</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65209-2023</t>
        </is>
      </c>
      <c r="B241" s="1" t="n">
        <v>45289</v>
      </c>
      <c r="C241" s="1" t="n">
        <v>46129</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36287-2024</t>
        </is>
      </c>
      <c r="B242" s="1" t="n">
        <v>45534</v>
      </c>
      <c r="C242" s="1" t="n">
        <v>46129</v>
      </c>
      <c r="D242" t="inlineStr">
        <is>
          <t>JÄMTLANDS LÄN</t>
        </is>
      </c>
      <c r="E242" t="inlineStr">
        <is>
          <t>BERG</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18685-2024</t>
        </is>
      </c>
      <c r="B243" s="1" t="n">
        <v>45426.38322916667</v>
      </c>
      <c r="C243" s="1" t="n">
        <v>46129</v>
      </c>
      <c r="D243" t="inlineStr">
        <is>
          <t>JÄMTLANDS LÄN</t>
        </is>
      </c>
      <c r="E243" t="inlineStr">
        <is>
          <t>BERG</t>
        </is>
      </c>
      <c r="G243" t="n">
        <v>5.1</v>
      </c>
      <c r="H243" t="n">
        <v>0</v>
      </c>
      <c r="I243" t="n">
        <v>0</v>
      </c>
      <c r="J243" t="n">
        <v>0</v>
      </c>
      <c r="K243" t="n">
        <v>0</v>
      </c>
      <c r="L243" t="n">
        <v>0</v>
      </c>
      <c r="M243" t="n">
        <v>0</v>
      </c>
      <c r="N243" t="n">
        <v>0</v>
      </c>
      <c r="O243" t="n">
        <v>0</v>
      </c>
      <c r="P243" t="n">
        <v>0</v>
      </c>
      <c r="Q243" t="n">
        <v>0</v>
      </c>
      <c r="R243" s="2" t="inlineStr"/>
    </row>
    <row r="244" ht="15" customHeight="1">
      <c r="A244" t="inlineStr">
        <is>
          <t>A 44110-2022</t>
        </is>
      </c>
      <c r="B244" s="1" t="n">
        <v>44837</v>
      </c>
      <c r="C244" s="1" t="n">
        <v>46129</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10974-2025</t>
        </is>
      </c>
      <c r="B245" s="1" t="n">
        <v>45723.38790509259</v>
      </c>
      <c r="C245" s="1" t="n">
        <v>46129</v>
      </c>
      <c r="D245" t="inlineStr">
        <is>
          <t>JÄMTLANDS LÄN</t>
        </is>
      </c>
      <c r="E245" t="inlineStr">
        <is>
          <t>BERG</t>
        </is>
      </c>
      <c r="G245" t="n">
        <v>6.9</v>
      </c>
      <c r="H245" t="n">
        <v>0</v>
      </c>
      <c r="I245" t="n">
        <v>0</v>
      </c>
      <c r="J245" t="n">
        <v>0</v>
      </c>
      <c r="K245" t="n">
        <v>0</v>
      </c>
      <c r="L245" t="n">
        <v>0</v>
      </c>
      <c r="M245" t="n">
        <v>0</v>
      </c>
      <c r="N245" t="n">
        <v>0</v>
      </c>
      <c r="O245" t="n">
        <v>0</v>
      </c>
      <c r="P245" t="n">
        <v>0</v>
      </c>
      <c r="Q245" t="n">
        <v>0</v>
      </c>
      <c r="R245" s="2" t="inlineStr"/>
    </row>
    <row r="246" ht="15" customHeight="1">
      <c r="A246" t="inlineStr">
        <is>
          <t>A 47674-2024</t>
        </is>
      </c>
      <c r="B246" s="1" t="n">
        <v>45588.40413194444</v>
      </c>
      <c r="C246" s="1" t="n">
        <v>46129</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56490-2024</t>
        </is>
      </c>
      <c r="B247" s="1" t="n">
        <v>45625.48765046296</v>
      </c>
      <c r="C247" s="1" t="n">
        <v>46129</v>
      </c>
      <c r="D247" t="inlineStr">
        <is>
          <t>JÄMTLANDS LÄN</t>
        </is>
      </c>
      <c r="E247" t="inlineStr">
        <is>
          <t>BERG</t>
        </is>
      </c>
      <c r="G247" t="n">
        <v>5.9</v>
      </c>
      <c r="H247" t="n">
        <v>0</v>
      </c>
      <c r="I247" t="n">
        <v>0</v>
      </c>
      <c r="J247" t="n">
        <v>0</v>
      </c>
      <c r="K247" t="n">
        <v>0</v>
      </c>
      <c r="L247" t="n">
        <v>0</v>
      </c>
      <c r="M247" t="n">
        <v>0</v>
      </c>
      <c r="N247" t="n">
        <v>0</v>
      </c>
      <c r="O247" t="n">
        <v>0</v>
      </c>
      <c r="P247" t="n">
        <v>0</v>
      </c>
      <c r="Q247" t="n">
        <v>0</v>
      </c>
      <c r="R247" s="2" t="inlineStr"/>
    </row>
    <row r="248" ht="15" customHeight="1">
      <c r="A248" t="inlineStr">
        <is>
          <t>A 21717-2023</t>
        </is>
      </c>
      <c r="B248" s="1" t="n">
        <v>45063</v>
      </c>
      <c r="C248" s="1" t="n">
        <v>46129</v>
      </c>
      <c r="D248" t="inlineStr">
        <is>
          <t>JÄMTLANDS LÄN</t>
        </is>
      </c>
      <c r="E248" t="inlineStr">
        <is>
          <t>BERG</t>
        </is>
      </c>
      <c r="G248" t="n">
        <v>6</v>
      </c>
      <c r="H248" t="n">
        <v>0</v>
      </c>
      <c r="I248" t="n">
        <v>0</v>
      </c>
      <c r="J248" t="n">
        <v>0</v>
      </c>
      <c r="K248" t="n">
        <v>0</v>
      </c>
      <c r="L248" t="n">
        <v>0</v>
      </c>
      <c r="M248" t="n">
        <v>0</v>
      </c>
      <c r="N248" t="n">
        <v>0</v>
      </c>
      <c r="O248" t="n">
        <v>0</v>
      </c>
      <c r="P248" t="n">
        <v>0</v>
      </c>
      <c r="Q248" t="n">
        <v>0</v>
      </c>
      <c r="R248" s="2" t="inlineStr"/>
    </row>
    <row r="249" ht="15" customHeight="1">
      <c r="A249" t="inlineStr">
        <is>
          <t>A 35792-2024</t>
        </is>
      </c>
      <c r="B249" s="1" t="n">
        <v>45532.62950231481</v>
      </c>
      <c r="C249" s="1" t="n">
        <v>46129</v>
      </c>
      <c r="D249" t="inlineStr">
        <is>
          <t>JÄMTLANDS LÄN</t>
        </is>
      </c>
      <c r="E249" t="inlineStr">
        <is>
          <t>BERG</t>
        </is>
      </c>
      <c r="F249" t="inlineStr">
        <is>
          <t>SCA</t>
        </is>
      </c>
      <c r="G249" t="n">
        <v>6.7</v>
      </c>
      <c r="H249" t="n">
        <v>0</v>
      </c>
      <c r="I249" t="n">
        <v>0</v>
      </c>
      <c r="J249" t="n">
        <v>0</v>
      </c>
      <c r="K249" t="n">
        <v>0</v>
      </c>
      <c r="L249" t="n">
        <v>0</v>
      </c>
      <c r="M249" t="n">
        <v>0</v>
      </c>
      <c r="N249" t="n">
        <v>0</v>
      </c>
      <c r="O249" t="n">
        <v>0</v>
      </c>
      <c r="P249" t="n">
        <v>0</v>
      </c>
      <c r="Q249" t="n">
        <v>0</v>
      </c>
      <c r="R249" s="2" t="inlineStr"/>
    </row>
    <row r="250" ht="15" customHeight="1">
      <c r="A250" t="inlineStr">
        <is>
          <t>A 62360-2023</t>
        </is>
      </c>
      <c r="B250" s="1" t="n">
        <v>45267</v>
      </c>
      <c r="C250" s="1" t="n">
        <v>46129</v>
      </c>
      <c r="D250" t="inlineStr">
        <is>
          <t>JÄMTLANDS LÄN</t>
        </is>
      </c>
      <c r="E250" t="inlineStr">
        <is>
          <t>BERG</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1499-2025</t>
        </is>
      </c>
      <c r="B251" s="1" t="n">
        <v>45670.41112268518</v>
      </c>
      <c r="C251" s="1" t="n">
        <v>46129</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48069-2023</t>
        </is>
      </c>
      <c r="B252" s="1" t="n">
        <v>45204</v>
      </c>
      <c r="C252" s="1" t="n">
        <v>46129</v>
      </c>
      <c r="D252" t="inlineStr">
        <is>
          <t>JÄMTLANDS LÄN</t>
        </is>
      </c>
      <c r="E252" t="inlineStr">
        <is>
          <t>BERG</t>
        </is>
      </c>
      <c r="F252" t="inlineStr">
        <is>
          <t>SCA</t>
        </is>
      </c>
      <c r="G252" t="n">
        <v>11.2</v>
      </c>
      <c r="H252" t="n">
        <v>0</v>
      </c>
      <c r="I252" t="n">
        <v>0</v>
      </c>
      <c r="J252" t="n">
        <v>0</v>
      </c>
      <c r="K252" t="n">
        <v>0</v>
      </c>
      <c r="L252" t="n">
        <v>0</v>
      </c>
      <c r="M252" t="n">
        <v>0</v>
      </c>
      <c r="N252" t="n">
        <v>0</v>
      </c>
      <c r="O252" t="n">
        <v>0</v>
      </c>
      <c r="P252" t="n">
        <v>0</v>
      </c>
      <c r="Q252" t="n">
        <v>0</v>
      </c>
      <c r="R252" s="2" t="inlineStr"/>
    </row>
    <row r="253" ht="15" customHeight="1">
      <c r="A253" t="inlineStr">
        <is>
          <t>A 38682-2023</t>
        </is>
      </c>
      <c r="B253" s="1" t="n">
        <v>45162</v>
      </c>
      <c r="C253" s="1" t="n">
        <v>46129</v>
      </c>
      <c r="D253" t="inlineStr">
        <is>
          <t>JÄMTLANDS LÄN</t>
        </is>
      </c>
      <c r="E253" t="inlineStr">
        <is>
          <t>BERG</t>
        </is>
      </c>
      <c r="F253" t="inlineStr">
        <is>
          <t>SCA</t>
        </is>
      </c>
      <c r="G253" t="n">
        <v>21.3</v>
      </c>
      <c r="H253" t="n">
        <v>0</v>
      </c>
      <c r="I253" t="n">
        <v>0</v>
      </c>
      <c r="J253" t="n">
        <v>0</v>
      </c>
      <c r="K253" t="n">
        <v>0</v>
      </c>
      <c r="L253" t="n">
        <v>0</v>
      </c>
      <c r="M253" t="n">
        <v>0</v>
      </c>
      <c r="N253" t="n">
        <v>0</v>
      </c>
      <c r="O253" t="n">
        <v>0</v>
      </c>
      <c r="P253" t="n">
        <v>0</v>
      </c>
      <c r="Q253" t="n">
        <v>0</v>
      </c>
      <c r="R253" s="2" t="inlineStr"/>
    </row>
    <row r="254" ht="15" customHeight="1">
      <c r="A254" t="inlineStr">
        <is>
          <t>A 53894-2023</t>
        </is>
      </c>
      <c r="B254" s="1" t="n">
        <v>45231.53321759259</v>
      </c>
      <c r="C254" s="1" t="n">
        <v>46129</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8238-2024</t>
        </is>
      </c>
      <c r="B255" s="1" t="n">
        <v>45351.98450231482</v>
      </c>
      <c r="C255" s="1" t="n">
        <v>46129</v>
      </c>
      <c r="D255" t="inlineStr">
        <is>
          <t>JÄMTLANDS LÄN</t>
        </is>
      </c>
      <c r="E255" t="inlineStr">
        <is>
          <t>BERG</t>
        </is>
      </c>
      <c r="F255" t="inlineStr">
        <is>
          <t>SCA</t>
        </is>
      </c>
      <c r="G255" t="n">
        <v>5.6</v>
      </c>
      <c r="H255" t="n">
        <v>0</v>
      </c>
      <c r="I255" t="n">
        <v>0</v>
      </c>
      <c r="J255" t="n">
        <v>0</v>
      </c>
      <c r="K255" t="n">
        <v>0</v>
      </c>
      <c r="L255" t="n">
        <v>0</v>
      </c>
      <c r="M255" t="n">
        <v>0</v>
      </c>
      <c r="N255" t="n">
        <v>0</v>
      </c>
      <c r="O255" t="n">
        <v>0</v>
      </c>
      <c r="P255" t="n">
        <v>0</v>
      </c>
      <c r="Q255" t="n">
        <v>0</v>
      </c>
      <c r="R255" s="2" t="inlineStr"/>
    </row>
    <row r="256" ht="15" customHeight="1">
      <c r="A256" t="inlineStr">
        <is>
          <t>A 45346-2023</t>
        </is>
      </c>
      <c r="B256" s="1" t="n">
        <v>45191</v>
      </c>
      <c r="C256" s="1" t="n">
        <v>46129</v>
      </c>
      <c r="D256" t="inlineStr">
        <is>
          <t>JÄMTLANDS LÄN</t>
        </is>
      </c>
      <c r="E256" t="inlineStr">
        <is>
          <t>BERG</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29581-2024</t>
        </is>
      </c>
      <c r="B257" s="1" t="n">
        <v>45484.5740162037</v>
      </c>
      <c r="C257" s="1" t="n">
        <v>46129</v>
      </c>
      <c r="D257" t="inlineStr">
        <is>
          <t>JÄMTLANDS LÄN</t>
        </is>
      </c>
      <c r="E257" t="inlineStr">
        <is>
          <t>BERG</t>
        </is>
      </c>
      <c r="G257" t="n">
        <v>16.7</v>
      </c>
      <c r="H257" t="n">
        <v>0</v>
      </c>
      <c r="I257" t="n">
        <v>0</v>
      </c>
      <c r="J257" t="n">
        <v>0</v>
      </c>
      <c r="K257" t="n">
        <v>0</v>
      </c>
      <c r="L257" t="n">
        <v>0</v>
      </c>
      <c r="M257" t="n">
        <v>0</v>
      </c>
      <c r="N257" t="n">
        <v>0</v>
      </c>
      <c r="O257" t="n">
        <v>0</v>
      </c>
      <c r="P257" t="n">
        <v>0</v>
      </c>
      <c r="Q257" t="n">
        <v>0</v>
      </c>
      <c r="R257" s="2" t="inlineStr"/>
    </row>
    <row r="258" ht="15" customHeight="1">
      <c r="A258" t="inlineStr">
        <is>
          <t>A 43403-2023</t>
        </is>
      </c>
      <c r="B258" s="1" t="n">
        <v>45183</v>
      </c>
      <c r="C258" s="1" t="n">
        <v>46129</v>
      </c>
      <c r="D258" t="inlineStr">
        <is>
          <t>JÄMTLANDS LÄN</t>
        </is>
      </c>
      <c r="E258" t="inlineStr">
        <is>
          <t>BERG</t>
        </is>
      </c>
      <c r="F258" t="inlineStr">
        <is>
          <t>SCA</t>
        </is>
      </c>
      <c r="G258" t="n">
        <v>0.1</v>
      </c>
      <c r="H258" t="n">
        <v>0</v>
      </c>
      <c r="I258" t="n">
        <v>0</v>
      </c>
      <c r="J258" t="n">
        <v>0</v>
      </c>
      <c r="K258" t="n">
        <v>0</v>
      </c>
      <c r="L258" t="n">
        <v>0</v>
      </c>
      <c r="M258" t="n">
        <v>0</v>
      </c>
      <c r="N258" t="n">
        <v>0</v>
      </c>
      <c r="O258" t="n">
        <v>0</v>
      </c>
      <c r="P258" t="n">
        <v>0</v>
      </c>
      <c r="Q258" t="n">
        <v>0</v>
      </c>
      <c r="R258" s="2" t="inlineStr"/>
    </row>
    <row r="259" ht="15" customHeight="1">
      <c r="A259" t="inlineStr">
        <is>
          <t>A 9482-2024</t>
        </is>
      </c>
      <c r="B259" s="1" t="n">
        <v>45359.57847222222</v>
      </c>
      <c r="C259" s="1" t="n">
        <v>46129</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46366-2024</t>
        </is>
      </c>
      <c r="B260" s="1" t="n">
        <v>45582.36490740741</v>
      </c>
      <c r="C260" s="1" t="n">
        <v>46129</v>
      </c>
      <c r="D260" t="inlineStr">
        <is>
          <t>JÄMTLANDS LÄN</t>
        </is>
      </c>
      <c r="E260" t="inlineStr">
        <is>
          <t>BERG</t>
        </is>
      </c>
      <c r="G260" t="n">
        <v>5</v>
      </c>
      <c r="H260" t="n">
        <v>0</v>
      </c>
      <c r="I260" t="n">
        <v>0</v>
      </c>
      <c r="J260" t="n">
        <v>0</v>
      </c>
      <c r="K260" t="n">
        <v>0</v>
      </c>
      <c r="L260" t="n">
        <v>0</v>
      </c>
      <c r="M260" t="n">
        <v>0</v>
      </c>
      <c r="N260" t="n">
        <v>0</v>
      </c>
      <c r="O260" t="n">
        <v>0</v>
      </c>
      <c r="P260" t="n">
        <v>0</v>
      </c>
      <c r="Q260" t="n">
        <v>0</v>
      </c>
      <c r="R260" s="2" t="inlineStr"/>
    </row>
    <row r="261" ht="15" customHeight="1">
      <c r="A261" t="inlineStr">
        <is>
          <t>A 17899-2024</t>
        </is>
      </c>
      <c r="B261" s="1" t="n">
        <v>45419.49334490741</v>
      </c>
      <c r="C261" s="1" t="n">
        <v>46129</v>
      </c>
      <c r="D261" t="inlineStr">
        <is>
          <t>JÄMTLANDS LÄN</t>
        </is>
      </c>
      <c r="E261" t="inlineStr">
        <is>
          <t>BERG</t>
        </is>
      </c>
      <c r="F261" t="inlineStr">
        <is>
          <t>Holmen skog AB</t>
        </is>
      </c>
      <c r="G261" t="n">
        <v>5.2</v>
      </c>
      <c r="H261" t="n">
        <v>0</v>
      </c>
      <c r="I261" t="n">
        <v>0</v>
      </c>
      <c r="J261" t="n">
        <v>0</v>
      </c>
      <c r="K261" t="n">
        <v>0</v>
      </c>
      <c r="L261" t="n">
        <v>0</v>
      </c>
      <c r="M261" t="n">
        <v>0</v>
      </c>
      <c r="N261" t="n">
        <v>0</v>
      </c>
      <c r="O261" t="n">
        <v>0</v>
      </c>
      <c r="P261" t="n">
        <v>0</v>
      </c>
      <c r="Q261" t="n">
        <v>0</v>
      </c>
      <c r="R261" s="2" t="inlineStr"/>
    </row>
    <row r="262" ht="15" customHeight="1">
      <c r="A262" t="inlineStr">
        <is>
          <t>A 17922-2024</t>
        </is>
      </c>
      <c r="B262" s="1" t="n">
        <v>45419.5853587963</v>
      </c>
      <c r="C262" s="1" t="n">
        <v>46129</v>
      </c>
      <c r="D262" t="inlineStr">
        <is>
          <t>JÄMTLANDS LÄN</t>
        </is>
      </c>
      <c r="E262" t="inlineStr">
        <is>
          <t>BERG</t>
        </is>
      </c>
      <c r="F262" t="inlineStr">
        <is>
          <t>Holmen skog AB</t>
        </is>
      </c>
      <c r="G262" t="n">
        <v>6.8</v>
      </c>
      <c r="H262" t="n">
        <v>0</v>
      </c>
      <c r="I262" t="n">
        <v>0</v>
      </c>
      <c r="J262" t="n">
        <v>0</v>
      </c>
      <c r="K262" t="n">
        <v>0</v>
      </c>
      <c r="L262" t="n">
        <v>0</v>
      </c>
      <c r="M262" t="n">
        <v>0</v>
      </c>
      <c r="N262" t="n">
        <v>0</v>
      </c>
      <c r="O262" t="n">
        <v>0</v>
      </c>
      <c r="P262" t="n">
        <v>0</v>
      </c>
      <c r="Q262" t="n">
        <v>0</v>
      </c>
      <c r="R262" s="2" t="inlineStr"/>
    </row>
    <row r="263" ht="15" customHeight="1">
      <c r="A263" t="inlineStr">
        <is>
          <t>A 46902-2024</t>
        </is>
      </c>
      <c r="B263" s="1" t="n">
        <v>45583.69847222222</v>
      </c>
      <c r="C263" s="1" t="n">
        <v>46129</v>
      </c>
      <c r="D263" t="inlineStr">
        <is>
          <t>JÄMTLANDS LÄN</t>
        </is>
      </c>
      <c r="E263" t="inlineStr">
        <is>
          <t>BERG</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14834-2025</t>
        </is>
      </c>
      <c r="B264" s="1" t="n">
        <v>45743.38224537037</v>
      </c>
      <c r="C264" s="1" t="n">
        <v>46129</v>
      </c>
      <c r="D264" t="inlineStr">
        <is>
          <t>JÄMTLANDS LÄN</t>
        </is>
      </c>
      <c r="E264" t="inlineStr">
        <is>
          <t>BERG</t>
        </is>
      </c>
      <c r="G264" t="n">
        <v>3.8</v>
      </c>
      <c r="H264" t="n">
        <v>0</v>
      </c>
      <c r="I264" t="n">
        <v>0</v>
      </c>
      <c r="J264" t="n">
        <v>0</v>
      </c>
      <c r="K264" t="n">
        <v>0</v>
      </c>
      <c r="L264" t="n">
        <v>0</v>
      </c>
      <c r="M264" t="n">
        <v>0</v>
      </c>
      <c r="N264" t="n">
        <v>0</v>
      </c>
      <c r="O264" t="n">
        <v>0</v>
      </c>
      <c r="P264" t="n">
        <v>0</v>
      </c>
      <c r="Q264" t="n">
        <v>0</v>
      </c>
      <c r="R264" s="2" t="inlineStr"/>
    </row>
    <row r="265" ht="15" customHeight="1">
      <c r="A265" t="inlineStr">
        <is>
          <t>A 44911-2021</t>
        </is>
      </c>
      <c r="B265" s="1" t="n">
        <v>44435</v>
      </c>
      <c r="C265" s="1" t="n">
        <v>46129</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55575-2025</t>
        </is>
      </c>
      <c r="B266" s="1" t="n">
        <v>45971.66145833334</v>
      </c>
      <c r="C266" s="1" t="n">
        <v>46129</v>
      </c>
      <c r="D266" t="inlineStr">
        <is>
          <t>JÄMTLANDS LÄN</t>
        </is>
      </c>
      <c r="E266" t="inlineStr">
        <is>
          <t>BERG</t>
        </is>
      </c>
      <c r="G266" t="n">
        <v>3.5</v>
      </c>
      <c r="H266" t="n">
        <v>0</v>
      </c>
      <c r="I266" t="n">
        <v>0</v>
      </c>
      <c r="J266" t="n">
        <v>0</v>
      </c>
      <c r="K266" t="n">
        <v>0</v>
      </c>
      <c r="L266" t="n">
        <v>0</v>
      </c>
      <c r="M266" t="n">
        <v>0</v>
      </c>
      <c r="N266" t="n">
        <v>0</v>
      </c>
      <c r="O266" t="n">
        <v>0</v>
      </c>
      <c r="P266" t="n">
        <v>0</v>
      </c>
      <c r="Q266" t="n">
        <v>0</v>
      </c>
      <c r="R266" s="2" t="inlineStr"/>
    </row>
    <row r="267" ht="15" customHeight="1">
      <c r="A267" t="inlineStr">
        <is>
          <t>A 22724-2025</t>
        </is>
      </c>
      <c r="B267" s="1" t="n">
        <v>45789.57361111111</v>
      </c>
      <c r="C267" s="1" t="n">
        <v>46129</v>
      </c>
      <c r="D267" t="inlineStr">
        <is>
          <t>JÄMTLANDS LÄN</t>
        </is>
      </c>
      <c r="E267" t="inlineStr">
        <is>
          <t>BERG</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4476-2025</t>
        </is>
      </c>
      <c r="B268" s="1" t="n">
        <v>45686.62828703703</v>
      </c>
      <c r="C268" s="1" t="n">
        <v>46129</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18217-2023</t>
        </is>
      </c>
      <c r="B269" s="1" t="n">
        <v>45040</v>
      </c>
      <c r="C269" s="1" t="n">
        <v>46129</v>
      </c>
      <c r="D269" t="inlineStr">
        <is>
          <t>JÄMTLANDS LÄN</t>
        </is>
      </c>
      <c r="E269" t="inlineStr">
        <is>
          <t>BERG</t>
        </is>
      </c>
      <c r="G269" t="n">
        <v>4.5</v>
      </c>
      <c r="H269" t="n">
        <v>0</v>
      </c>
      <c r="I269" t="n">
        <v>0</v>
      </c>
      <c r="J269" t="n">
        <v>0</v>
      </c>
      <c r="K269" t="n">
        <v>0</v>
      </c>
      <c r="L269" t="n">
        <v>0</v>
      </c>
      <c r="M269" t="n">
        <v>0</v>
      </c>
      <c r="N269" t="n">
        <v>0</v>
      </c>
      <c r="O269" t="n">
        <v>0</v>
      </c>
      <c r="P269" t="n">
        <v>0</v>
      </c>
      <c r="Q269" t="n">
        <v>0</v>
      </c>
      <c r="R269" s="2" t="inlineStr"/>
    </row>
    <row r="270" ht="15" customHeight="1">
      <c r="A270" t="inlineStr">
        <is>
          <t>A 22672-2025</t>
        </is>
      </c>
      <c r="B270" s="1" t="n">
        <v>45789.4903587963</v>
      </c>
      <c r="C270" s="1" t="n">
        <v>46129</v>
      </c>
      <c r="D270" t="inlineStr">
        <is>
          <t>JÄMTLANDS LÄN</t>
        </is>
      </c>
      <c r="E270" t="inlineStr">
        <is>
          <t>BERG</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63819-2023</t>
        </is>
      </c>
      <c r="B271" s="1" t="n">
        <v>45278.44128472222</v>
      </c>
      <c r="C271" s="1" t="n">
        <v>46129</v>
      </c>
      <c r="D271" t="inlineStr">
        <is>
          <t>JÄMTLANDS LÄN</t>
        </is>
      </c>
      <c r="E271" t="inlineStr">
        <is>
          <t>BERG</t>
        </is>
      </c>
      <c r="G271" t="n">
        <v>1.8</v>
      </c>
      <c r="H271" t="n">
        <v>0</v>
      </c>
      <c r="I271" t="n">
        <v>0</v>
      </c>
      <c r="J271" t="n">
        <v>0</v>
      </c>
      <c r="K271" t="n">
        <v>0</v>
      </c>
      <c r="L271" t="n">
        <v>0</v>
      </c>
      <c r="M271" t="n">
        <v>0</v>
      </c>
      <c r="N271" t="n">
        <v>0</v>
      </c>
      <c r="O271" t="n">
        <v>0</v>
      </c>
      <c r="P271" t="n">
        <v>0</v>
      </c>
      <c r="Q271" t="n">
        <v>0</v>
      </c>
      <c r="R271" s="2" t="inlineStr"/>
    </row>
    <row r="272" ht="15" customHeight="1">
      <c r="A272" t="inlineStr">
        <is>
          <t>A 64490-2023</t>
        </is>
      </c>
      <c r="B272" s="1" t="n">
        <v>45280</v>
      </c>
      <c r="C272" s="1" t="n">
        <v>46129</v>
      </c>
      <c r="D272" t="inlineStr">
        <is>
          <t>JÄMTLANDS LÄN</t>
        </is>
      </c>
      <c r="E272" t="inlineStr">
        <is>
          <t>BERG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22653-2025</t>
        </is>
      </c>
      <c r="B273" s="1" t="n">
        <v>45789.46931712963</v>
      </c>
      <c r="C273" s="1" t="n">
        <v>46129</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22478-2025</t>
        </is>
      </c>
      <c r="B274" s="1" t="n">
        <v>45786.6349537037</v>
      </c>
      <c r="C274" s="1" t="n">
        <v>46129</v>
      </c>
      <c r="D274" t="inlineStr">
        <is>
          <t>JÄMTLANDS LÄN</t>
        </is>
      </c>
      <c r="E274" t="inlineStr">
        <is>
          <t>BERG</t>
        </is>
      </c>
      <c r="G274" t="n">
        <v>2.5</v>
      </c>
      <c r="H274" t="n">
        <v>0</v>
      </c>
      <c r="I274" t="n">
        <v>0</v>
      </c>
      <c r="J274" t="n">
        <v>0</v>
      </c>
      <c r="K274" t="n">
        <v>0</v>
      </c>
      <c r="L274" t="n">
        <v>0</v>
      </c>
      <c r="M274" t="n">
        <v>0</v>
      </c>
      <c r="N274" t="n">
        <v>0</v>
      </c>
      <c r="O274" t="n">
        <v>0</v>
      </c>
      <c r="P274" t="n">
        <v>0</v>
      </c>
      <c r="Q274" t="n">
        <v>0</v>
      </c>
      <c r="R274" s="2" t="inlineStr"/>
    </row>
    <row r="275" ht="15" customHeight="1">
      <c r="A275" t="inlineStr">
        <is>
          <t>A 34650-2024</t>
        </is>
      </c>
      <c r="B275" s="1" t="n">
        <v>45526.48329861111</v>
      </c>
      <c r="C275" s="1" t="n">
        <v>46129</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56199-2025</t>
        </is>
      </c>
      <c r="B276" s="1" t="n">
        <v>45974.45790509259</v>
      </c>
      <c r="C276" s="1" t="n">
        <v>46129</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3419-2025</t>
        </is>
      </c>
      <c r="B277" s="1" t="n">
        <v>45680.4165625</v>
      </c>
      <c r="C277" s="1" t="n">
        <v>46129</v>
      </c>
      <c r="D277" t="inlineStr">
        <is>
          <t>JÄMTLANDS LÄN</t>
        </is>
      </c>
      <c r="E277" t="inlineStr">
        <is>
          <t>BERG</t>
        </is>
      </c>
      <c r="G277" t="n">
        <v>0.8</v>
      </c>
      <c r="H277" t="n">
        <v>0</v>
      </c>
      <c r="I277" t="n">
        <v>0</v>
      </c>
      <c r="J277" t="n">
        <v>0</v>
      </c>
      <c r="K277" t="n">
        <v>0</v>
      </c>
      <c r="L277" t="n">
        <v>0</v>
      </c>
      <c r="M277" t="n">
        <v>0</v>
      </c>
      <c r="N277" t="n">
        <v>0</v>
      </c>
      <c r="O277" t="n">
        <v>0</v>
      </c>
      <c r="P277" t="n">
        <v>0</v>
      </c>
      <c r="Q277" t="n">
        <v>0</v>
      </c>
      <c r="R277" s="2" t="inlineStr"/>
    </row>
    <row r="278" ht="15" customHeight="1">
      <c r="A278" t="inlineStr">
        <is>
          <t>A 56457-2025</t>
        </is>
      </c>
      <c r="B278" s="1" t="n">
        <v>45975.36277777778</v>
      </c>
      <c r="C278" s="1" t="n">
        <v>46129</v>
      </c>
      <c r="D278" t="inlineStr">
        <is>
          <t>JÄMTLANDS LÄN</t>
        </is>
      </c>
      <c r="E278" t="inlineStr">
        <is>
          <t>BERG</t>
        </is>
      </c>
      <c r="G278" t="n">
        <v>0.8</v>
      </c>
      <c r="H278" t="n">
        <v>0</v>
      </c>
      <c r="I278" t="n">
        <v>0</v>
      </c>
      <c r="J278" t="n">
        <v>0</v>
      </c>
      <c r="K278" t="n">
        <v>0</v>
      </c>
      <c r="L278" t="n">
        <v>0</v>
      </c>
      <c r="M278" t="n">
        <v>0</v>
      </c>
      <c r="N278" t="n">
        <v>0</v>
      </c>
      <c r="O278" t="n">
        <v>0</v>
      </c>
      <c r="P278" t="n">
        <v>0</v>
      </c>
      <c r="Q278" t="n">
        <v>0</v>
      </c>
      <c r="R278" s="2" t="inlineStr"/>
    </row>
    <row r="279" ht="15" customHeight="1">
      <c r="A279" t="inlineStr">
        <is>
          <t>A 46991-2024</t>
        </is>
      </c>
      <c r="B279" s="1" t="n">
        <v>45586.365625</v>
      </c>
      <c r="C279" s="1" t="n">
        <v>46129</v>
      </c>
      <c r="D279" t="inlineStr">
        <is>
          <t>JÄMTLANDS LÄN</t>
        </is>
      </c>
      <c r="E279" t="inlineStr">
        <is>
          <t>BERG</t>
        </is>
      </c>
      <c r="G279" t="n">
        <v>2.9</v>
      </c>
      <c r="H279" t="n">
        <v>0</v>
      </c>
      <c r="I279" t="n">
        <v>0</v>
      </c>
      <c r="J279" t="n">
        <v>0</v>
      </c>
      <c r="K279" t="n">
        <v>0</v>
      </c>
      <c r="L279" t="n">
        <v>0</v>
      </c>
      <c r="M279" t="n">
        <v>0</v>
      </c>
      <c r="N279" t="n">
        <v>0</v>
      </c>
      <c r="O279" t="n">
        <v>0</v>
      </c>
      <c r="P279" t="n">
        <v>0</v>
      </c>
      <c r="Q279" t="n">
        <v>0</v>
      </c>
      <c r="R279" s="2" t="inlineStr"/>
    </row>
    <row r="280" ht="15" customHeight="1">
      <c r="A280" t="inlineStr">
        <is>
          <t>A 22991-2025</t>
        </is>
      </c>
      <c r="B280" s="1" t="n">
        <v>45790.57836805555</v>
      </c>
      <c r="C280" s="1" t="n">
        <v>46129</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29540-2024</t>
        </is>
      </c>
      <c r="B281" s="1" t="n">
        <v>45484</v>
      </c>
      <c r="C281" s="1" t="n">
        <v>46129</v>
      </c>
      <c r="D281" t="inlineStr">
        <is>
          <t>JÄMTLANDS LÄN</t>
        </is>
      </c>
      <c r="E281" t="inlineStr">
        <is>
          <t>BERG</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54799-2021</t>
        </is>
      </c>
      <c r="B282" s="1" t="n">
        <v>44473</v>
      </c>
      <c r="C282" s="1" t="n">
        <v>46129</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23026-2025</t>
        </is>
      </c>
      <c r="B283" s="1" t="n">
        <v>45790.65690972222</v>
      </c>
      <c r="C283" s="1" t="n">
        <v>46129</v>
      </c>
      <c r="D283" t="inlineStr">
        <is>
          <t>JÄMTLANDS LÄN</t>
        </is>
      </c>
      <c r="E283" t="inlineStr">
        <is>
          <t>BERG</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22995-2025</t>
        </is>
      </c>
      <c r="B284" s="1" t="n">
        <v>45790.58265046297</v>
      </c>
      <c r="C284" s="1" t="n">
        <v>46129</v>
      </c>
      <c r="D284" t="inlineStr">
        <is>
          <t>JÄMTLANDS LÄN</t>
        </is>
      </c>
      <c r="E284" t="inlineStr">
        <is>
          <t>BERG</t>
        </is>
      </c>
      <c r="G284" t="n">
        <v>0.6</v>
      </c>
      <c r="H284" t="n">
        <v>0</v>
      </c>
      <c r="I284" t="n">
        <v>0</v>
      </c>
      <c r="J284" t="n">
        <v>0</v>
      </c>
      <c r="K284" t="n">
        <v>0</v>
      </c>
      <c r="L284" t="n">
        <v>0</v>
      </c>
      <c r="M284" t="n">
        <v>0</v>
      </c>
      <c r="N284" t="n">
        <v>0</v>
      </c>
      <c r="O284" t="n">
        <v>0</v>
      </c>
      <c r="P284" t="n">
        <v>0</v>
      </c>
      <c r="Q284" t="n">
        <v>0</v>
      </c>
      <c r="R284" s="2" t="inlineStr"/>
    </row>
    <row r="285" ht="15" customHeight="1">
      <c r="A285" t="inlineStr">
        <is>
          <t>A 56234-2025</t>
        </is>
      </c>
      <c r="B285" s="1" t="n">
        <v>45974.53696759259</v>
      </c>
      <c r="C285" s="1" t="n">
        <v>46129</v>
      </c>
      <c r="D285" t="inlineStr">
        <is>
          <t>JÄMTLANDS LÄN</t>
        </is>
      </c>
      <c r="E285" t="inlineStr">
        <is>
          <t>BERG</t>
        </is>
      </c>
      <c r="G285" t="n">
        <v>11.7</v>
      </c>
      <c r="H285" t="n">
        <v>0</v>
      </c>
      <c r="I285" t="n">
        <v>0</v>
      </c>
      <c r="J285" t="n">
        <v>0</v>
      </c>
      <c r="K285" t="n">
        <v>0</v>
      </c>
      <c r="L285" t="n">
        <v>0</v>
      </c>
      <c r="M285" t="n">
        <v>0</v>
      </c>
      <c r="N285" t="n">
        <v>0</v>
      </c>
      <c r="O285" t="n">
        <v>0</v>
      </c>
      <c r="P285" t="n">
        <v>0</v>
      </c>
      <c r="Q285" t="n">
        <v>0</v>
      </c>
      <c r="R285" s="2" t="inlineStr"/>
    </row>
    <row r="286" ht="15" customHeight="1">
      <c r="A286" t="inlineStr">
        <is>
          <t>A 5014-2024</t>
        </is>
      </c>
      <c r="B286" s="1" t="n">
        <v>45329</v>
      </c>
      <c r="C286" s="1" t="n">
        <v>46129</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19428-2025</t>
        </is>
      </c>
      <c r="B287" s="1" t="n">
        <v>45769.79763888889</v>
      </c>
      <c r="C287" s="1" t="n">
        <v>46129</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23766-2025</t>
        </is>
      </c>
      <c r="B288" s="1" t="n">
        <v>45793.46954861111</v>
      </c>
      <c r="C288" s="1" t="n">
        <v>46129</v>
      </c>
      <c r="D288" t="inlineStr">
        <is>
          <t>JÄMTLANDS LÄN</t>
        </is>
      </c>
      <c r="E288" t="inlineStr">
        <is>
          <t>BERG</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39418-2025</t>
        </is>
      </c>
      <c r="B289" s="1" t="n">
        <v>45889</v>
      </c>
      <c r="C289" s="1" t="n">
        <v>46129</v>
      </c>
      <c r="D289" t="inlineStr">
        <is>
          <t>JÄMTLANDS LÄN</t>
        </is>
      </c>
      <c r="E289" t="inlineStr">
        <is>
          <t>BERG</t>
        </is>
      </c>
      <c r="G289" t="n">
        <v>19.8</v>
      </c>
      <c r="H289" t="n">
        <v>0</v>
      </c>
      <c r="I289" t="n">
        <v>0</v>
      </c>
      <c r="J289" t="n">
        <v>0</v>
      </c>
      <c r="K289" t="n">
        <v>0</v>
      </c>
      <c r="L289" t="n">
        <v>0</v>
      </c>
      <c r="M289" t="n">
        <v>0</v>
      </c>
      <c r="N289" t="n">
        <v>0</v>
      </c>
      <c r="O289" t="n">
        <v>0</v>
      </c>
      <c r="P289" t="n">
        <v>0</v>
      </c>
      <c r="Q289" t="n">
        <v>0</v>
      </c>
      <c r="R289" s="2" t="inlineStr"/>
    </row>
    <row r="290" ht="15" customHeight="1">
      <c r="A290" t="inlineStr">
        <is>
          <t>A 39004-2025</t>
        </is>
      </c>
      <c r="B290" s="1" t="n">
        <v>45888.34472222222</v>
      </c>
      <c r="C290" s="1" t="n">
        <v>46129</v>
      </c>
      <c r="D290" t="inlineStr">
        <is>
          <t>JÄMTLANDS LÄN</t>
        </is>
      </c>
      <c r="E290" t="inlineStr">
        <is>
          <t>BERG</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23913-2025</t>
        </is>
      </c>
      <c r="B291" s="1" t="n">
        <v>45795.34442129629</v>
      </c>
      <c r="C291" s="1" t="n">
        <v>46129</v>
      </c>
      <c r="D291" t="inlineStr">
        <is>
          <t>JÄMTLANDS LÄN</t>
        </is>
      </c>
      <c r="E291" t="inlineStr">
        <is>
          <t>BERG</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23919-2025</t>
        </is>
      </c>
      <c r="B292" s="1" t="n">
        <v>45795.34497685185</v>
      </c>
      <c r="C292" s="1" t="n">
        <v>46129</v>
      </c>
      <c r="D292" t="inlineStr">
        <is>
          <t>JÄMTLANDS LÄN</t>
        </is>
      </c>
      <c r="E292" t="inlineStr">
        <is>
          <t>BERG</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24324-2025</t>
        </is>
      </c>
      <c r="B293" s="1" t="n">
        <v>45797.56049768518</v>
      </c>
      <c r="C293" s="1" t="n">
        <v>46129</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61085-2024</t>
        </is>
      </c>
      <c r="B294" s="1" t="n">
        <v>45645.53202546296</v>
      </c>
      <c r="C294" s="1" t="n">
        <v>46129</v>
      </c>
      <c r="D294" t="inlineStr">
        <is>
          <t>JÄMTLANDS LÄN</t>
        </is>
      </c>
      <c r="E294" t="inlineStr">
        <is>
          <t>BERG</t>
        </is>
      </c>
      <c r="F294" t="inlineStr">
        <is>
          <t>SCA</t>
        </is>
      </c>
      <c r="G294" t="n">
        <v>12.2</v>
      </c>
      <c r="H294" t="n">
        <v>0</v>
      </c>
      <c r="I294" t="n">
        <v>0</v>
      </c>
      <c r="J294" t="n">
        <v>0</v>
      </c>
      <c r="K294" t="n">
        <v>0</v>
      </c>
      <c r="L294" t="n">
        <v>0</v>
      </c>
      <c r="M294" t="n">
        <v>0</v>
      </c>
      <c r="N294" t="n">
        <v>0</v>
      </c>
      <c r="O294" t="n">
        <v>0</v>
      </c>
      <c r="P294" t="n">
        <v>0</v>
      </c>
      <c r="Q294" t="n">
        <v>0</v>
      </c>
      <c r="R294" s="2" t="inlineStr"/>
    </row>
    <row r="295" ht="15" customHeight="1">
      <c r="A295" t="inlineStr">
        <is>
          <t>A 39601-2025</t>
        </is>
      </c>
      <c r="B295" s="1" t="n">
        <v>45890.55284722222</v>
      </c>
      <c r="C295" s="1" t="n">
        <v>46129</v>
      </c>
      <c r="D295" t="inlineStr">
        <is>
          <t>JÄMTLANDS LÄN</t>
        </is>
      </c>
      <c r="E295" t="inlineStr">
        <is>
          <t>BERG</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39698-2025</t>
        </is>
      </c>
      <c r="B296" s="1" t="n">
        <v>45890.69837962963</v>
      </c>
      <c r="C296" s="1" t="n">
        <v>46129</v>
      </c>
      <c r="D296" t="inlineStr">
        <is>
          <t>JÄMTLANDS LÄN</t>
        </is>
      </c>
      <c r="E296" t="inlineStr">
        <is>
          <t>BERG</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41927-2023</t>
        </is>
      </c>
      <c r="B297" s="1" t="n">
        <v>45176</v>
      </c>
      <c r="C297" s="1" t="n">
        <v>46129</v>
      </c>
      <c r="D297" t="inlineStr">
        <is>
          <t>JÄMTLANDS LÄN</t>
        </is>
      </c>
      <c r="E297" t="inlineStr">
        <is>
          <t>BERG</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23900-2025</t>
        </is>
      </c>
      <c r="B298" s="1" t="n">
        <v>45794.34425925926</v>
      </c>
      <c r="C298" s="1" t="n">
        <v>46129</v>
      </c>
      <c r="D298" t="inlineStr">
        <is>
          <t>JÄMTLANDS LÄN</t>
        </is>
      </c>
      <c r="E298" t="inlineStr">
        <is>
          <t>BERG</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23915-2025</t>
        </is>
      </c>
      <c r="B299" s="1" t="n">
        <v>45795.3446412037</v>
      </c>
      <c r="C299" s="1" t="n">
        <v>46129</v>
      </c>
      <c r="D299" t="inlineStr">
        <is>
          <t>JÄMTLANDS LÄN</t>
        </is>
      </c>
      <c r="E299" t="inlineStr">
        <is>
          <t>BERG</t>
        </is>
      </c>
      <c r="F299" t="inlineStr">
        <is>
          <t>SCA</t>
        </is>
      </c>
      <c r="G299" t="n">
        <v>16.7</v>
      </c>
      <c r="H299" t="n">
        <v>0</v>
      </c>
      <c r="I299" t="n">
        <v>0</v>
      </c>
      <c r="J299" t="n">
        <v>0</v>
      </c>
      <c r="K299" t="n">
        <v>0</v>
      </c>
      <c r="L299" t="n">
        <v>0</v>
      </c>
      <c r="M299" t="n">
        <v>0</v>
      </c>
      <c r="N299" t="n">
        <v>0</v>
      </c>
      <c r="O299" t="n">
        <v>0</v>
      </c>
      <c r="P299" t="n">
        <v>0</v>
      </c>
      <c r="Q299" t="n">
        <v>0</v>
      </c>
      <c r="R299" s="2" t="inlineStr"/>
    </row>
    <row r="300" ht="15" customHeight="1">
      <c r="A300" t="inlineStr">
        <is>
          <t>A 23916-2025</t>
        </is>
      </c>
      <c r="B300" s="1" t="n">
        <v>45795.34472222222</v>
      </c>
      <c r="C300" s="1" t="n">
        <v>46129</v>
      </c>
      <c r="D300" t="inlineStr">
        <is>
          <t>JÄMTLANDS LÄN</t>
        </is>
      </c>
      <c r="E300" t="inlineStr">
        <is>
          <t>BERG</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5187-2025</t>
        </is>
      </c>
      <c r="B301" s="1" t="n">
        <v>45691.64266203704</v>
      </c>
      <c r="C301" s="1" t="n">
        <v>46129</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24360-2025</t>
        </is>
      </c>
      <c r="B302" s="1" t="n">
        <v>45797.59502314815</v>
      </c>
      <c r="C302" s="1" t="n">
        <v>46129</v>
      </c>
      <c r="D302" t="inlineStr">
        <is>
          <t>JÄMTLANDS LÄN</t>
        </is>
      </c>
      <c r="E302" t="inlineStr">
        <is>
          <t>BERG</t>
        </is>
      </c>
      <c r="F302" t="inlineStr">
        <is>
          <t>SCA</t>
        </is>
      </c>
      <c r="G302" t="n">
        <v>10.5</v>
      </c>
      <c r="H302" t="n">
        <v>0</v>
      </c>
      <c r="I302" t="n">
        <v>0</v>
      </c>
      <c r="J302" t="n">
        <v>0</v>
      </c>
      <c r="K302" t="n">
        <v>0</v>
      </c>
      <c r="L302" t="n">
        <v>0</v>
      </c>
      <c r="M302" t="n">
        <v>0</v>
      </c>
      <c r="N302" t="n">
        <v>0</v>
      </c>
      <c r="O302" t="n">
        <v>0</v>
      </c>
      <c r="P302" t="n">
        <v>0</v>
      </c>
      <c r="Q302" t="n">
        <v>0</v>
      </c>
      <c r="R302" s="2" t="inlineStr"/>
    </row>
    <row r="303" ht="15" customHeight="1">
      <c r="A303" t="inlineStr">
        <is>
          <t>A 24060-2025</t>
        </is>
      </c>
      <c r="B303" s="1" t="n">
        <v>45796.5216087963</v>
      </c>
      <c r="C303" s="1" t="n">
        <v>46129</v>
      </c>
      <c r="D303" t="inlineStr">
        <is>
          <t>JÄMTLANDS LÄN</t>
        </is>
      </c>
      <c r="E303" t="inlineStr">
        <is>
          <t>BERG</t>
        </is>
      </c>
      <c r="G303" t="n">
        <v>4.7</v>
      </c>
      <c r="H303" t="n">
        <v>0</v>
      </c>
      <c r="I303" t="n">
        <v>0</v>
      </c>
      <c r="J303" t="n">
        <v>0</v>
      </c>
      <c r="K303" t="n">
        <v>0</v>
      </c>
      <c r="L303" t="n">
        <v>0</v>
      </c>
      <c r="M303" t="n">
        <v>0</v>
      </c>
      <c r="N303" t="n">
        <v>0</v>
      </c>
      <c r="O303" t="n">
        <v>0</v>
      </c>
      <c r="P303" t="n">
        <v>0</v>
      </c>
      <c r="Q303" t="n">
        <v>0</v>
      </c>
      <c r="R303" s="2" t="inlineStr"/>
    </row>
    <row r="304" ht="15" customHeight="1">
      <c r="A304" t="inlineStr">
        <is>
          <t>A 39544-2025</t>
        </is>
      </c>
      <c r="B304" s="1" t="n">
        <v>45890.45547453704</v>
      </c>
      <c r="C304" s="1" t="n">
        <v>46129</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39539-2025</t>
        </is>
      </c>
      <c r="B305" s="1" t="n">
        <v>45890.4525</v>
      </c>
      <c r="C305" s="1" t="n">
        <v>46129</v>
      </c>
      <c r="D305" t="inlineStr">
        <is>
          <t>JÄMTLANDS LÄN</t>
        </is>
      </c>
      <c r="E305" t="inlineStr">
        <is>
          <t>BERG</t>
        </is>
      </c>
      <c r="G305" t="n">
        <v>7.7</v>
      </c>
      <c r="H305" t="n">
        <v>0</v>
      </c>
      <c r="I305" t="n">
        <v>0</v>
      </c>
      <c r="J305" t="n">
        <v>0</v>
      </c>
      <c r="K305" t="n">
        <v>0</v>
      </c>
      <c r="L305" t="n">
        <v>0</v>
      </c>
      <c r="M305" t="n">
        <v>0</v>
      </c>
      <c r="N305" t="n">
        <v>0</v>
      </c>
      <c r="O305" t="n">
        <v>0</v>
      </c>
      <c r="P305" t="n">
        <v>0</v>
      </c>
      <c r="Q305" t="n">
        <v>0</v>
      </c>
      <c r="R305" s="2" t="inlineStr"/>
    </row>
    <row r="306" ht="15" customHeight="1">
      <c r="A306" t="inlineStr">
        <is>
          <t>A 18007-2024</t>
        </is>
      </c>
      <c r="B306" s="1" t="n">
        <v>45419.94912037037</v>
      </c>
      <c r="C306" s="1" t="n">
        <v>46129</v>
      </c>
      <c r="D306" t="inlineStr">
        <is>
          <t>JÄMTLANDS LÄN</t>
        </is>
      </c>
      <c r="E306" t="inlineStr">
        <is>
          <t>BERG</t>
        </is>
      </c>
      <c r="G306" t="n">
        <v>0.7</v>
      </c>
      <c r="H306" t="n">
        <v>0</v>
      </c>
      <c r="I306" t="n">
        <v>0</v>
      </c>
      <c r="J306" t="n">
        <v>0</v>
      </c>
      <c r="K306" t="n">
        <v>0</v>
      </c>
      <c r="L306" t="n">
        <v>0</v>
      </c>
      <c r="M306" t="n">
        <v>0</v>
      </c>
      <c r="N306" t="n">
        <v>0</v>
      </c>
      <c r="O306" t="n">
        <v>0</v>
      </c>
      <c r="P306" t="n">
        <v>0</v>
      </c>
      <c r="Q306" t="n">
        <v>0</v>
      </c>
      <c r="R306" s="2" t="inlineStr"/>
    </row>
    <row r="307" ht="15" customHeight="1">
      <c r="A307" t="inlineStr">
        <is>
          <t>A 24390-2025</t>
        </is>
      </c>
      <c r="B307" s="1" t="n">
        <v>45797.63576388889</v>
      </c>
      <c r="C307" s="1" t="n">
        <v>46129</v>
      </c>
      <c r="D307" t="inlineStr">
        <is>
          <t>JÄMTLANDS LÄN</t>
        </is>
      </c>
      <c r="E307" t="inlineStr">
        <is>
          <t>BERG</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23901-2025</t>
        </is>
      </c>
      <c r="B308" s="1" t="n">
        <v>45794.34436342592</v>
      </c>
      <c r="C308" s="1" t="n">
        <v>46129</v>
      </c>
      <c r="D308" t="inlineStr">
        <is>
          <t>JÄMTLANDS LÄN</t>
        </is>
      </c>
      <c r="E308" t="inlineStr">
        <is>
          <t>BERG</t>
        </is>
      </c>
      <c r="F308" t="inlineStr">
        <is>
          <t>SCA</t>
        </is>
      </c>
      <c r="G308" t="n">
        <v>4.3</v>
      </c>
      <c r="H308" t="n">
        <v>0</v>
      </c>
      <c r="I308" t="n">
        <v>0</v>
      </c>
      <c r="J308" t="n">
        <v>0</v>
      </c>
      <c r="K308" t="n">
        <v>0</v>
      </c>
      <c r="L308" t="n">
        <v>0</v>
      </c>
      <c r="M308" t="n">
        <v>0</v>
      </c>
      <c r="N308" t="n">
        <v>0</v>
      </c>
      <c r="O308" t="n">
        <v>0</v>
      </c>
      <c r="P308" t="n">
        <v>0</v>
      </c>
      <c r="Q308" t="n">
        <v>0</v>
      </c>
      <c r="R308" s="2" t="inlineStr"/>
    </row>
    <row r="309" ht="15" customHeight="1">
      <c r="A309" t="inlineStr">
        <is>
          <t>A 40266-2025</t>
        </is>
      </c>
      <c r="B309" s="1" t="n">
        <v>45895.34478009259</v>
      </c>
      <c r="C309" s="1" t="n">
        <v>46129</v>
      </c>
      <c r="D309" t="inlineStr">
        <is>
          <t>JÄMTLANDS LÄN</t>
        </is>
      </c>
      <c r="E309" t="inlineStr">
        <is>
          <t>BERG</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40060-2025</t>
        </is>
      </c>
      <c r="B310" s="1" t="n">
        <v>45894.42746527777</v>
      </c>
      <c r="C310" s="1" t="n">
        <v>46129</v>
      </c>
      <c r="D310" t="inlineStr">
        <is>
          <t>JÄMTLANDS LÄN</t>
        </is>
      </c>
      <c r="E310" t="inlineStr">
        <is>
          <t>BERG</t>
        </is>
      </c>
      <c r="F310" t="inlineStr">
        <is>
          <t>SCA</t>
        </is>
      </c>
      <c r="G310" t="n">
        <v>8</v>
      </c>
      <c r="H310" t="n">
        <v>0</v>
      </c>
      <c r="I310" t="n">
        <v>0</v>
      </c>
      <c r="J310" t="n">
        <v>0</v>
      </c>
      <c r="K310" t="n">
        <v>0</v>
      </c>
      <c r="L310" t="n">
        <v>0</v>
      </c>
      <c r="M310" t="n">
        <v>0</v>
      </c>
      <c r="N310" t="n">
        <v>0</v>
      </c>
      <c r="O310" t="n">
        <v>0</v>
      </c>
      <c r="P310" t="n">
        <v>0</v>
      </c>
      <c r="Q310" t="n">
        <v>0</v>
      </c>
      <c r="R310" s="2" t="inlineStr"/>
    </row>
    <row r="311" ht="15" customHeight="1">
      <c r="A311" t="inlineStr">
        <is>
          <t>A 23920-2025</t>
        </is>
      </c>
      <c r="B311" s="1" t="n">
        <v>45795.34505787037</v>
      </c>
      <c r="C311" s="1" t="n">
        <v>46129</v>
      </c>
      <c r="D311" t="inlineStr">
        <is>
          <t>JÄMTLANDS LÄN</t>
        </is>
      </c>
      <c r="E311" t="inlineStr">
        <is>
          <t>BERG</t>
        </is>
      </c>
      <c r="F311" t="inlineStr">
        <is>
          <t>SCA</t>
        </is>
      </c>
      <c r="G311" t="n">
        <v>8.5</v>
      </c>
      <c r="H311" t="n">
        <v>0</v>
      </c>
      <c r="I311" t="n">
        <v>0</v>
      </c>
      <c r="J311" t="n">
        <v>0</v>
      </c>
      <c r="K311" t="n">
        <v>0</v>
      </c>
      <c r="L311" t="n">
        <v>0</v>
      </c>
      <c r="M311" t="n">
        <v>0</v>
      </c>
      <c r="N311" t="n">
        <v>0</v>
      </c>
      <c r="O311" t="n">
        <v>0</v>
      </c>
      <c r="P311" t="n">
        <v>0</v>
      </c>
      <c r="Q311" t="n">
        <v>0</v>
      </c>
      <c r="R311" s="2" t="inlineStr"/>
    </row>
    <row r="312" ht="15" customHeight="1">
      <c r="A312" t="inlineStr">
        <is>
          <t>A 40410-2025</t>
        </is>
      </c>
      <c r="B312" s="1" t="n">
        <v>45895.57349537037</v>
      </c>
      <c r="C312" s="1" t="n">
        <v>46129</v>
      </c>
      <c r="D312" t="inlineStr">
        <is>
          <t>JÄMTLANDS LÄN</t>
        </is>
      </c>
      <c r="E312" t="inlineStr">
        <is>
          <t>BERG</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40341-2025</t>
        </is>
      </c>
      <c r="B313" s="1" t="n">
        <v>45895</v>
      </c>
      <c r="C313" s="1" t="n">
        <v>46129</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23902-2025</t>
        </is>
      </c>
      <c r="B314" s="1" t="n">
        <v>45794.34447916667</v>
      </c>
      <c r="C314" s="1" t="n">
        <v>46129</v>
      </c>
      <c r="D314" t="inlineStr">
        <is>
          <t>JÄMTLANDS LÄN</t>
        </is>
      </c>
      <c r="E314" t="inlineStr">
        <is>
          <t>BERG</t>
        </is>
      </c>
      <c r="F314" t="inlineStr">
        <is>
          <t>SCA</t>
        </is>
      </c>
      <c r="G314" t="n">
        <v>14.3</v>
      </c>
      <c r="H314" t="n">
        <v>0</v>
      </c>
      <c r="I314" t="n">
        <v>0</v>
      </c>
      <c r="J314" t="n">
        <v>0</v>
      </c>
      <c r="K314" t="n">
        <v>0</v>
      </c>
      <c r="L314" t="n">
        <v>0</v>
      </c>
      <c r="M314" t="n">
        <v>0</v>
      </c>
      <c r="N314" t="n">
        <v>0</v>
      </c>
      <c r="O314" t="n">
        <v>0</v>
      </c>
      <c r="P314" t="n">
        <v>0</v>
      </c>
      <c r="Q314" t="n">
        <v>0</v>
      </c>
      <c r="R314" s="2" t="inlineStr"/>
    </row>
    <row r="315" ht="15" customHeight="1">
      <c r="A315" t="inlineStr">
        <is>
          <t>A 3842-2023</t>
        </is>
      </c>
      <c r="B315" s="1" t="n">
        <v>44951</v>
      </c>
      <c r="C315" s="1" t="n">
        <v>46129</v>
      </c>
      <c r="D315" t="inlineStr">
        <is>
          <t>JÄMTLANDS LÄN</t>
        </is>
      </c>
      <c r="E315" t="inlineStr">
        <is>
          <t>BERG</t>
        </is>
      </c>
      <c r="G315" t="n">
        <v>0.3</v>
      </c>
      <c r="H315" t="n">
        <v>0</v>
      </c>
      <c r="I315" t="n">
        <v>0</v>
      </c>
      <c r="J315" t="n">
        <v>0</v>
      </c>
      <c r="K315" t="n">
        <v>0</v>
      </c>
      <c r="L315" t="n">
        <v>0</v>
      </c>
      <c r="M315" t="n">
        <v>0</v>
      </c>
      <c r="N315" t="n">
        <v>0</v>
      </c>
      <c r="O315" t="n">
        <v>0</v>
      </c>
      <c r="P315" t="n">
        <v>0</v>
      </c>
      <c r="Q315" t="n">
        <v>0</v>
      </c>
      <c r="R315" s="2" t="inlineStr"/>
    </row>
    <row r="316" ht="15" customHeight="1">
      <c r="A316" t="inlineStr">
        <is>
          <t>A 40918-2025</t>
        </is>
      </c>
      <c r="B316" s="1" t="n">
        <v>45897.6292824074</v>
      </c>
      <c r="C316" s="1" t="n">
        <v>46129</v>
      </c>
      <c r="D316" t="inlineStr">
        <is>
          <t>JÄMTLANDS LÄN</t>
        </is>
      </c>
      <c r="E316" t="inlineStr">
        <is>
          <t>BERG</t>
        </is>
      </c>
      <c r="G316" t="n">
        <v>1.7</v>
      </c>
      <c r="H316" t="n">
        <v>0</v>
      </c>
      <c r="I316" t="n">
        <v>0</v>
      </c>
      <c r="J316" t="n">
        <v>0</v>
      </c>
      <c r="K316" t="n">
        <v>0</v>
      </c>
      <c r="L316" t="n">
        <v>0</v>
      </c>
      <c r="M316" t="n">
        <v>0</v>
      </c>
      <c r="N316" t="n">
        <v>0</v>
      </c>
      <c r="O316" t="n">
        <v>0</v>
      </c>
      <c r="P316" t="n">
        <v>0</v>
      </c>
      <c r="Q316" t="n">
        <v>0</v>
      </c>
      <c r="R316" s="2" t="inlineStr"/>
    </row>
    <row r="317" ht="15" customHeight="1">
      <c r="A317" t="inlineStr">
        <is>
          <t>A 57046-2025</t>
        </is>
      </c>
      <c r="B317" s="1" t="n">
        <v>45979.34672453703</v>
      </c>
      <c r="C317" s="1" t="n">
        <v>46129</v>
      </c>
      <c r="D317" t="inlineStr">
        <is>
          <t>JÄMTLANDS LÄN</t>
        </is>
      </c>
      <c r="E317" t="inlineStr">
        <is>
          <t>BERG</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24954-2025</t>
        </is>
      </c>
      <c r="B318" s="1" t="n">
        <v>45799.57385416667</v>
      </c>
      <c r="C318" s="1" t="n">
        <v>46129</v>
      </c>
      <c r="D318" t="inlineStr">
        <is>
          <t>JÄMTLANDS LÄN</t>
        </is>
      </c>
      <c r="E318" t="inlineStr">
        <is>
          <t>BERG</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40737-2025</t>
        </is>
      </c>
      <c r="B319" s="1" t="n">
        <v>45897.36572916667</v>
      </c>
      <c r="C319" s="1" t="n">
        <v>46129</v>
      </c>
      <c r="D319" t="inlineStr">
        <is>
          <t>JÄMTLANDS LÄN</t>
        </is>
      </c>
      <c r="E319" t="inlineStr">
        <is>
          <t>BERG</t>
        </is>
      </c>
      <c r="G319" t="n">
        <v>2.8</v>
      </c>
      <c r="H319" t="n">
        <v>0</v>
      </c>
      <c r="I319" t="n">
        <v>0</v>
      </c>
      <c r="J319" t="n">
        <v>0</v>
      </c>
      <c r="K319" t="n">
        <v>0</v>
      </c>
      <c r="L319" t="n">
        <v>0</v>
      </c>
      <c r="M319" t="n">
        <v>0</v>
      </c>
      <c r="N319" t="n">
        <v>0</v>
      </c>
      <c r="O319" t="n">
        <v>0</v>
      </c>
      <c r="P319" t="n">
        <v>0</v>
      </c>
      <c r="Q319" t="n">
        <v>0</v>
      </c>
      <c r="R319" s="2" t="inlineStr"/>
    </row>
    <row r="320" ht="15" customHeight="1">
      <c r="A320" t="inlineStr">
        <is>
          <t>A 59526-2024</t>
        </is>
      </c>
      <c r="B320" s="1" t="n">
        <v>45638.58019675926</v>
      </c>
      <c r="C320" s="1" t="n">
        <v>46129</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29511-2021</t>
        </is>
      </c>
      <c r="B321" s="1" t="n">
        <v>44361</v>
      </c>
      <c r="C321" s="1" t="n">
        <v>46129</v>
      </c>
      <c r="D321" t="inlineStr">
        <is>
          <t>JÄMTLANDS LÄN</t>
        </is>
      </c>
      <c r="E321" t="inlineStr">
        <is>
          <t>BERG</t>
        </is>
      </c>
      <c r="G321" t="n">
        <v>5.6</v>
      </c>
      <c r="H321" t="n">
        <v>0</v>
      </c>
      <c r="I321" t="n">
        <v>0</v>
      </c>
      <c r="J321" t="n">
        <v>0</v>
      </c>
      <c r="K321" t="n">
        <v>0</v>
      </c>
      <c r="L321" t="n">
        <v>0</v>
      </c>
      <c r="M321" t="n">
        <v>0</v>
      </c>
      <c r="N321" t="n">
        <v>0</v>
      </c>
      <c r="O321" t="n">
        <v>0</v>
      </c>
      <c r="P321" t="n">
        <v>0</v>
      </c>
      <c r="Q321" t="n">
        <v>0</v>
      </c>
      <c r="R321" s="2" t="inlineStr"/>
    </row>
    <row r="322" ht="15" customHeight="1">
      <c r="A322" t="inlineStr">
        <is>
          <t>A 24786-2025</t>
        </is>
      </c>
      <c r="B322" s="1" t="n">
        <v>45799.42777777778</v>
      </c>
      <c r="C322" s="1" t="n">
        <v>46129</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40630-2025</t>
        </is>
      </c>
      <c r="B323" s="1" t="n">
        <v>45896</v>
      </c>
      <c r="C323" s="1" t="n">
        <v>46129</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24869-2025</t>
        </is>
      </c>
      <c r="B324" s="1" t="n">
        <v>45799.48994212963</v>
      </c>
      <c r="C324" s="1" t="n">
        <v>46129</v>
      </c>
      <c r="D324" t="inlineStr">
        <is>
          <t>JÄMTLANDS LÄN</t>
        </is>
      </c>
      <c r="E324" t="inlineStr">
        <is>
          <t>BERG</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40708-2025</t>
        </is>
      </c>
      <c r="B325" s="1" t="n">
        <v>45897</v>
      </c>
      <c r="C325" s="1" t="n">
        <v>46129</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40873-2025</t>
        </is>
      </c>
      <c r="B326" s="1" t="n">
        <v>45897.5744675926</v>
      </c>
      <c r="C326" s="1" t="n">
        <v>46129</v>
      </c>
      <c r="D326" t="inlineStr">
        <is>
          <t>JÄMTLANDS LÄN</t>
        </is>
      </c>
      <c r="E326" t="inlineStr">
        <is>
          <t>BERG</t>
        </is>
      </c>
      <c r="G326" t="n">
        <v>0.6</v>
      </c>
      <c r="H326" t="n">
        <v>0</v>
      </c>
      <c r="I326" t="n">
        <v>0</v>
      </c>
      <c r="J326" t="n">
        <v>0</v>
      </c>
      <c r="K326" t="n">
        <v>0</v>
      </c>
      <c r="L326" t="n">
        <v>0</v>
      </c>
      <c r="M326" t="n">
        <v>0</v>
      </c>
      <c r="N326" t="n">
        <v>0</v>
      </c>
      <c r="O326" t="n">
        <v>0</v>
      </c>
      <c r="P326" t="n">
        <v>0</v>
      </c>
      <c r="Q326" t="n">
        <v>0</v>
      </c>
      <c r="R326" s="2" t="inlineStr"/>
    </row>
    <row r="327" ht="15" customHeight="1">
      <c r="A327" t="inlineStr">
        <is>
          <t>A 57039-2025</t>
        </is>
      </c>
      <c r="B327" s="1" t="n">
        <v>45979.34543981482</v>
      </c>
      <c r="C327" s="1" t="n">
        <v>46129</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24442-2025</t>
        </is>
      </c>
      <c r="B328" s="1" t="n">
        <v>45797.96236111111</v>
      </c>
      <c r="C328" s="1" t="n">
        <v>46129</v>
      </c>
      <c r="D328" t="inlineStr">
        <is>
          <t>JÄMTLANDS LÄN</t>
        </is>
      </c>
      <c r="E328" t="inlineStr">
        <is>
          <t>BERG</t>
        </is>
      </c>
      <c r="G328" t="n">
        <v>9</v>
      </c>
      <c r="H328" t="n">
        <v>0</v>
      </c>
      <c r="I328" t="n">
        <v>0</v>
      </c>
      <c r="J328" t="n">
        <v>0</v>
      </c>
      <c r="K328" t="n">
        <v>0</v>
      </c>
      <c r="L328" t="n">
        <v>0</v>
      </c>
      <c r="M328" t="n">
        <v>0</v>
      </c>
      <c r="N328" t="n">
        <v>0</v>
      </c>
      <c r="O328" t="n">
        <v>0</v>
      </c>
      <c r="P328" t="n">
        <v>0</v>
      </c>
      <c r="Q328" t="n">
        <v>0</v>
      </c>
      <c r="R328" s="2" t="inlineStr"/>
    </row>
    <row r="329" ht="15" customHeight="1">
      <c r="A329" t="inlineStr">
        <is>
          <t>A 24849-2025</t>
        </is>
      </c>
      <c r="B329" s="1" t="n">
        <v>45799.46949074074</v>
      </c>
      <c r="C329" s="1" t="n">
        <v>46129</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40617-2025</t>
        </is>
      </c>
      <c r="B330" s="1" t="n">
        <v>45896.58326388889</v>
      </c>
      <c r="C330" s="1" t="n">
        <v>46129</v>
      </c>
      <c r="D330" t="inlineStr">
        <is>
          <t>JÄMTLANDS LÄN</t>
        </is>
      </c>
      <c r="E330" t="inlineStr">
        <is>
          <t>BERG</t>
        </is>
      </c>
      <c r="G330" t="n">
        <v>3.5</v>
      </c>
      <c r="H330" t="n">
        <v>0</v>
      </c>
      <c r="I330" t="n">
        <v>0</v>
      </c>
      <c r="J330" t="n">
        <v>0</v>
      </c>
      <c r="K330" t="n">
        <v>0</v>
      </c>
      <c r="L330" t="n">
        <v>0</v>
      </c>
      <c r="M330" t="n">
        <v>0</v>
      </c>
      <c r="N330" t="n">
        <v>0</v>
      </c>
      <c r="O330" t="n">
        <v>0</v>
      </c>
      <c r="P330" t="n">
        <v>0</v>
      </c>
      <c r="Q330" t="n">
        <v>0</v>
      </c>
      <c r="R330" s="2" t="inlineStr"/>
    </row>
    <row r="331" ht="15" customHeight="1">
      <c r="A331" t="inlineStr">
        <is>
          <t>A 25452-2025</t>
        </is>
      </c>
      <c r="B331" s="1" t="n">
        <v>45802.34440972222</v>
      </c>
      <c r="C331" s="1" t="n">
        <v>46129</v>
      </c>
      <c r="D331" t="inlineStr">
        <is>
          <t>JÄMTLANDS LÄN</t>
        </is>
      </c>
      <c r="E331" t="inlineStr">
        <is>
          <t>BERG</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41247-2025</t>
        </is>
      </c>
      <c r="B332" s="1" t="n">
        <v>45898.60109953704</v>
      </c>
      <c r="C332" s="1" t="n">
        <v>46129</v>
      </c>
      <c r="D332" t="inlineStr">
        <is>
          <t>JÄMTLANDS LÄN</t>
        </is>
      </c>
      <c r="E332" t="inlineStr">
        <is>
          <t>BERG</t>
        </is>
      </c>
      <c r="G332" t="n">
        <v>17.5</v>
      </c>
      <c r="H332" t="n">
        <v>0</v>
      </c>
      <c r="I332" t="n">
        <v>0</v>
      </c>
      <c r="J332" t="n">
        <v>0</v>
      </c>
      <c r="K332" t="n">
        <v>0</v>
      </c>
      <c r="L332" t="n">
        <v>0</v>
      </c>
      <c r="M332" t="n">
        <v>0</v>
      </c>
      <c r="N332" t="n">
        <v>0</v>
      </c>
      <c r="O332" t="n">
        <v>0</v>
      </c>
      <c r="P332" t="n">
        <v>0</v>
      </c>
      <c r="Q332" t="n">
        <v>0</v>
      </c>
      <c r="R332" s="2" t="inlineStr"/>
    </row>
    <row r="333" ht="15" customHeight="1">
      <c r="A333" t="inlineStr">
        <is>
          <t>A 41263-2025</t>
        </is>
      </c>
      <c r="B333" s="1" t="n">
        <v>45898.61517361111</v>
      </c>
      <c r="C333" s="1" t="n">
        <v>46129</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57192-2025</t>
        </is>
      </c>
      <c r="B334" s="1" t="n">
        <v>45979.57696759259</v>
      </c>
      <c r="C334" s="1" t="n">
        <v>46129</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60409-2023</t>
        </is>
      </c>
      <c r="B335" s="1" t="n">
        <v>45259.47972222222</v>
      </c>
      <c r="C335" s="1" t="n">
        <v>46129</v>
      </c>
      <c r="D335" t="inlineStr">
        <is>
          <t>JÄMTLANDS LÄN</t>
        </is>
      </c>
      <c r="E335" t="inlineStr">
        <is>
          <t>BERG</t>
        </is>
      </c>
      <c r="G335" t="n">
        <v>5.8</v>
      </c>
      <c r="H335" t="n">
        <v>0</v>
      </c>
      <c r="I335" t="n">
        <v>0</v>
      </c>
      <c r="J335" t="n">
        <v>0</v>
      </c>
      <c r="K335" t="n">
        <v>0</v>
      </c>
      <c r="L335" t="n">
        <v>0</v>
      </c>
      <c r="M335" t="n">
        <v>0</v>
      </c>
      <c r="N335" t="n">
        <v>0</v>
      </c>
      <c r="O335" t="n">
        <v>0</v>
      </c>
      <c r="P335" t="n">
        <v>0</v>
      </c>
      <c r="Q335" t="n">
        <v>0</v>
      </c>
      <c r="R335" s="2" t="inlineStr"/>
    </row>
    <row r="336" ht="15" customHeight="1">
      <c r="A336" t="inlineStr">
        <is>
          <t>A 29378-2024</t>
        </is>
      </c>
      <c r="B336" s="1" t="n">
        <v>45483.59328703704</v>
      </c>
      <c r="C336" s="1" t="n">
        <v>46129</v>
      </c>
      <c r="D336" t="inlineStr">
        <is>
          <t>JÄMTLANDS LÄN</t>
        </is>
      </c>
      <c r="E336" t="inlineStr">
        <is>
          <t>BERG</t>
        </is>
      </c>
      <c r="G336" t="n">
        <v>5.6</v>
      </c>
      <c r="H336" t="n">
        <v>0</v>
      </c>
      <c r="I336" t="n">
        <v>0</v>
      </c>
      <c r="J336" t="n">
        <v>0</v>
      </c>
      <c r="K336" t="n">
        <v>0</v>
      </c>
      <c r="L336" t="n">
        <v>0</v>
      </c>
      <c r="M336" t="n">
        <v>0</v>
      </c>
      <c r="N336" t="n">
        <v>0</v>
      </c>
      <c r="O336" t="n">
        <v>0</v>
      </c>
      <c r="P336" t="n">
        <v>0</v>
      </c>
      <c r="Q336" t="n">
        <v>0</v>
      </c>
      <c r="R336" s="2" t="inlineStr"/>
    </row>
    <row r="337" ht="15" customHeight="1">
      <c r="A337" t="inlineStr">
        <is>
          <t>A 21508-2024</t>
        </is>
      </c>
      <c r="B337" s="1" t="n">
        <v>45441.56905092593</v>
      </c>
      <c r="C337" s="1" t="n">
        <v>46129</v>
      </c>
      <c r="D337" t="inlineStr">
        <is>
          <t>JÄMTLANDS LÄN</t>
        </is>
      </c>
      <c r="E337" t="inlineStr">
        <is>
          <t>BERG</t>
        </is>
      </c>
      <c r="G337" t="n">
        <v>3.2</v>
      </c>
      <c r="H337" t="n">
        <v>0</v>
      </c>
      <c r="I337" t="n">
        <v>0</v>
      </c>
      <c r="J337" t="n">
        <v>0</v>
      </c>
      <c r="K337" t="n">
        <v>0</v>
      </c>
      <c r="L337" t="n">
        <v>0</v>
      </c>
      <c r="M337" t="n">
        <v>0</v>
      </c>
      <c r="N337" t="n">
        <v>0</v>
      </c>
      <c r="O337" t="n">
        <v>0</v>
      </c>
      <c r="P337" t="n">
        <v>0</v>
      </c>
      <c r="Q337" t="n">
        <v>0</v>
      </c>
      <c r="R337" s="2" t="inlineStr"/>
    </row>
    <row r="338" ht="15" customHeight="1">
      <c r="A338" t="inlineStr">
        <is>
          <t>A 41295-2025</t>
        </is>
      </c>
      <c r="B338" s="1" t="n">
        <v>45898.65660879629</v>
      </c>
      <c r="C338" s="1" t="n">
        <v>46129</v>
      </c>
      <c r="D338" t="inlineStr">
        <is>
          <t>JÄMTLANDS LÄN</t>
        </is>
      </c>
      <c r="E338" t="inlineStr">
        <is>
          <t>BERG</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25454-2025</t>
        </is>
      </c>
      <c r="B339" s="1" t="n">
        <v>45802.34460648148</v>
      </c>
      <c r="C339" s="1" t="n">
        <v>46129</v>
      </c>
      <c r="D339" t="inlineStr">
        <is>
          <t>JÄMTLANDS LÄN</t>
        </is>
      </c>
      <c r="E339" t="inlineStr">
        <is>
          <t>BERG</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57602-2025</t>
        </is>
      </c>
      <c r="B340" s="1" t="n">
        <v>45981.31667824074</v>
      </c>
      <c r="C340" s="1" t="n">
        <v>46129</v>
      </c>
      <c r="D340" t="inlineStr">
        <is>
          <t>JÄMTLANDS LÄN</t>
        </is>
      </c>
      <c r="E340" t="inlineStr">
        <is>
          <t>BERG</t>
        </is>
      </c>
      <c r="G340" t="n">
        <v>2.7</v>
      </c>
      <c r="H340" t="n">
        <v>0</v>
      </c>
      <c r="I340" t="n">
        <v>0</v>
      </c>
      <c r="J340" t="n">
        <v>0</v>
      </c>
      <c r="K340" t="n">
        <v>0</v>
      </c>
      <c r="L340" t="n">
        <v>0</v>
      </c>
      <c r="M340" t="n">
        <v>0</v>
      </c>
      <c r="N340" t="n">
        <v>0</v>
      </c>
      <c r="O340" t="n">
        <v>0</v>
      </c>
      <c r="P340" t="n">
        <v>0</v>
      </c>
      <c r="Q340" t="n">
        <v>0</v>
      </c>
      <c r="R340" s="2" t="inlineStr"/>
    </row>
    <row r="341" ht="15" customHeight="1">
      <c r="A341" t="inlineStr">
        <is>
          <t>A 41265-2025</t>
        </is>
      </c>
      <c r="B341" s="1" t="n">
        <v>45898.6153587963</v>
      </c>
      <c r="C341" s="1" t="n">
        <v>46129</v>
      </c>
      <c r="D341" t="inlineStr">
        <is>
          <t>JÄMTLANDS LÄN</t>
        </is>
      </c>
      <c r="E341" t="inlineStr">
        <is>
          <t>BERG</t>
        </is>
      </c>
      <c r="G341" t="n">
        <v>1.6</v>
      </c>
      <c r="H341" t="n">
        <v>0</v>
      </c>
      <c r="I341" t="n">
        <v>0</v>
      </c>
      <c r="J341" t="n">
        <v>0</v>
      </c>
      <c r="K341" t="n">
        <v>0</v>
      </c>
      <c r="L341" t="n">
        <v>0</v>
      </c>
      <c r="M341" t="n">
        <v>0</v>
      </c>
      <c r="N341" t="n">
        <v>0</v>
      </c>
      <c r="O341" t="n">
        <v>0</v>
      </c>
      <c r="P341" t="n">
        <v>0</v>
      </c>
      <c r="Q341" t="n">
        <v>0</v>
      </c>
      <c r="R341" s="2" t="inlineStr"/>
    </row>
    <row r="342" ht="15" customHeight="1">
      <c r="A342" t="inlineStr">
        <is>
          <t>A 57763-2025</t>
        </is>
      </c>
      <c r="B342" s="1" t="n">
        <v>45981.55693287037</v>
      </c>
      <c r="C342" s="1" t="n">
        <v>46129</v>
      </c>
      <c r="D342" t="inlineStr">
        <is>
          <t>JÄMTLANDS LÄN</t>
        </is>
      </c>
      <c r="E342" t="inlineStr">
        <is>
          <t>BERG</t>
        </is>
      </c>
      <c r="F342" t="inlineStr">
        <is>
          <t>Övriga Aktiebolag</t>
        </is>
      </c>
      <c r="G342" t="n">
        <v>13.1</v>
      </c>
      <c r="H342" t="n">
        <v>0</v>
      </c>
      <c r="I342" t="n">
        <v>0</v>
      </c>
      <c r="J342" t="n">
        <v>0</v>
      </c>
      <c r="K342" t="n">
        <v>0</v>
      </c>
      <c r="L342" t="n">
        <v>0</v>
      </c>
      <c r="M342" t="n">
        <v>0</v>
      </c>
      <c r="N342" t="n">
        <v>0</v>
      </c>
      <c r="O342" t="n">
        <v>0</v>
      </c>
      <c r="P342" t="n">
        <v>0</v>
      </c>
      <c r="Q342" t="n">
        <v>0</v>
      </c>
      <c r="R342" s="2" t="inlineStr"/>
    </row>
    <row r="343" ht="15" customHeight="1">
      <c r="A343" t="inlineStr">
        <is>
          <t>A 25453-2025</t>
        </is>
      </c>
      <c r="B343" s="1" t="n">
        <v>45802.34451388889</v>
      </c>
      <c r="C343" s="1" t="n">
        <v>46129</v>
      </c>
      <c r="D343" t="inlineStr">
        <is>
          <t>JÄMTLANDS LÄN</t>
        </is>
      </c>
      <c r="E343" t="inlineStr">
        <is>
          <t>BERG</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25441-2025</t>
        </is>
      </c>
      <c r="B344" s="1" t="n">
        <v>45801.34476851852</v>
      </c>
      <c r="C344" s="1" t="n">
        <v>46129</v>
      </c>
      <c r="D344" t="inlineStr">
        <is>
          <t>JÄMTLANDS LÄN</t>
        </is>
      </c>
      <c r="E344" t="inlineStr">
        <is>
          <t>BERG</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42003-2025</t>
        </is>
      </c>
      <c r="B345" s="1" t="n">
        <v>45903.55403935185</v>
      </c>
      <c r="C345" s="1" t="n">
        <v>46129</v>
      </c>
      <c r="D345" t="inlineStr">
        <is>
          <t>JÄMTLANDS LÄN</t>
        </is>
      </c>
      <c r="E345" t="inlineStr">
        <is>
          <t>BERG</t>
        </is>
      </c>
      <c r="F345" t="inlineStr">
        <is>
          <t>Övriga statliga verk och myndigheter</t>
        </is>
      </c>
      <c r="G345" t="n">
        <v>10.5</v>
      </c>
      <c r="H345" t="n">
        <v>0</v>
      </c>
      <c r="I345" t="n">
        <v>0</v>
      </c>
      <c r="J345" t="n">
        <v>0</v>
      </c>
      <c r="K345" t="n">
        <v>0</v>
      </c>
      <c r="L345" t="n">
        <v>0</v>
      </c>
      <c r="M345" t="n">
        <v>0</v>
      </c>
      <c r="N345" t="n">
        <v>0</v>
      </c>
      <c r="O345" t="n">
        <v>0</v>
      </c>
      <c r="P345" t="n">
        <v>0</v>
      </c>
      <c r="Q345" t="n">
        <v>0</v>
      </c>
      <c r="R345" s="2" t="inlineStr"/>
    </row>
    <row r="346" ht="15" customHeight="1">
      <c r="A346" t="inlineStr">
        <is>
          <t>A 41930-2025</t>
        </is>
      </c>
      <c r="B346" s="1" t="n">
        <v>45903.43454861111</v>
      </c>
      <c r="C346" s="1" t="n">
        <v>46129</v>
      </c>
      <c r="D346" t="inlineStr">
        <is>
          <t>JÄMTLANDS LÄN</t>
        </is>
      </c>
      <c r="E346" t="inlineStr">
        <is>
          <t>BERG</t>
        </is>
      </c>
      <c r="F346" t="inlineStr">
        <is>
          <t>Övriga statliga verk och myndigheter</t>
        </is>
      </c>
      <c r="G346" t="n">
        <v>2.4</v>
      </c>
      <c r="H346" t="n">
        <v>0</v>
      </c>
      <c r="I346" t="n">
        <v>0</v>
      </c>
      <c r="J346" t="n">
        <v>0</v>
      </c>
      <c r="K346" t="n">
        <v>0</v>
      </c>
      <c r="L346" t="n">
        <v>0</v>
      </c>
      <c r="M346" t="n">
        <v>0</v>
      </c>
      <c r="N346" t="n">
        <v>0</v>
      </c>
      <c r="O346" t="n">
        <v>0</v>
      </c>
      <c r="P346" t="n">
        <v>0</v>
      </c>
      <c r="Q346" t="n">
        <v>0</v>
      </c>
      <c r="R346" s="2" t="inlineStr"/>
    </row>
    <row r="347" ht="15" customHeight="1">
      <c r="A347" t="inlineStr">
        <is>
          <t>A 41098-2023</t>
        </is>
      </c>
      <c r="B347" s="1" t="n">
        <v>45170</v>
      </c>
      <c r="C347" s="1" t="n">
        <v>46129</v>
      </c>
      <c r="D347" t="inlineStr">
        <is>
          <t>JÄMTLANDS LÄN</t>
        </is>
      </c>
      <c r="E347" t="inlineStr">
        <is>
          <t>BERG</t>
        </is>
      </c>
      <c r="G347" t="n">
        <v>3.1</v>
      </c>
      <c r="H347" t="n">
        <v>0</v>
      </c>
      <c r="I347" t="n">
        <v>0</v>
      </c>
      <c r="J347" t="n">
        <v>0</v>
      </c>
      <c r="K347" t="n">
        <v>0</v>
      </c>
      <c r="L347" t="n">
        <v>0</v>
      </c>
      <c r="M347" t="n">
        <v>0</v>
      </c>
      <c r="N347" t="n">
        <v>0</v>
      </c>
      <c r="O347" t="n">
        <v>0</v>
      </c>
      <c r="P347" t="n">
        <v>0</v>
      </c>
      <c r="Q347" t="n">
        <v>0</v>
      </c>
      <c r="R347" s="2" t="inlineStr"/>
    </row>
    <row r="348" ht="15" customHeight="1">
      <c r="A348" t="inlineStr">
        <is>
          <t>A 26013-2025</t>
        </is>
      </c>
      <c r="B348" s="1" t="n">
        <v>45804.67760416667</v>
      </c>
      <c r="C348" s="1" t="n">
        <v>46129</v>
      </c>
      <c r="D348" t="inlineStr">
        <is>
          <t>JÄMTLANDS LÄN</t>
        </is>
      </c>
      <c r="E348" t="inlineStr">
        <is>
          <t>BERG</t>
        </is>
      </c>
      <c r="F348" t="inlineStr">
        <is>
          <t>SCA</t>
        </is>
      </c>
      <c r="G348" t="n">
        <v>11.7</v>
      </c>
      <c r="H348" t="n">
        <v>0</v>
      </c>
      <c r="I348" t="n">
        <v>0</v>
      </c>
      <c r="J348" t="n">
        <v>0</v>
      </c>
      <c r="K348" t="n">
        <v>0</v>
      </c>
      <c r="L348" t="n">
        <v>0</v>
      </c>
      <c r="M348" t="n">
        <v>0</v>
      </c>
      <c r="N348" t="n">
        <v>0</v>
      </c>
      <c r="O348" t="n">
        <v>0</v>
      </c>
      <c r="P348" t="n">
        <v>0</v>
      </c>
      <c r="Q348" t="n">
        <v>0</v>
      </c>
      <c r="R348" s="2" t="inlineStr"/>
    </row>
    <row r="349" ht="15" customHeight="1">
      <c r="A349" t="inlineStr">
        <is>
          <t>A 25976-2025</t>
        </is>
      </c>
      <c r="B349" s="1" t="n">
        <v>45804.63596064815</v>
      </c>
      <c r="C349" s="1" t="n">
        <v>46129</v>
      </c>
      <c r="D349" t="inlineStr">
        <is>
          <t>JÄMTLANDS LÄN</t>
        </is>
      </c>
      <c r="E349" t="inlineStr">
        <is>
          <t>BERG</t>
        </is>
      </c>
      <c r="F349" t="inlineStr">
        <is>
          <t>SCA</t>
        </is>
      </c>
      <c r="G349" t="n">
        <v>5.5</v>
      </c>
      <c r="H349" t="n">
        <v>0</v>
      </c>
      <c r="I349" t="n">
        <v>0</v>
      </c>
      <c r="J349" t="n">
        <v>0</v>
      </c>
      <c r="K349" t="n">
        <v>0</v>
      </c>
      <c r="L349" t="n">
        <v>0</v>
      </c>
      <c r="M349" t="n">
        <v>0</v>
      </c>
      <c r="N349" t="n">
        <v>0</v>
      </c>
      <c r="O349" t="n">
        <v>0</v>
      </c>
      <c r="P349" t="n">
        <v>0</v>
      </c>
      <c r="Q349" t="n">
        <v>0</v>
      </c>
      <c r="R349" s="2" t="inlineStr"/>
    </row>
    <row r="350" ht="15" customHeight="1">
      <c r="A350" t="inlineStr">
        <is>
          <t>A 25979-2025</t>
        </is>
      </c>
      <c r="B350" s="1" t="n">
        <v>45804.63642361111</v>
      </c>
      <c r="C350" s="1" t="n">
        <v>46129</v>
      </c>
      <c r="D350" t="inlineStr">
        <is>
          <t>JÄMTLANDS LÄN</t>
        </is>
      </c>
      <c r="E350" t="inlineStr">
        <is>
          <t>BERG</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433-2023</t>
        </is>
      </c>
      <c r="B351" s="1" t="n">
        <v>44923</v>
      </c>
      <c r="C351" s="1" t="n">
        <v>46129</v>
      </c>
      <c r="D351" t="inlineStr">
        <is>
          <t>JÄMTLANDS LÄN</t>
        </is>
      </c>
      <c r="E351" t="inlineStr">
        <is>
          <t>BERG</t>
        </is>
      </c>
      <c r="G351" t="n">
        <v>1.5</v>
      </c>
      <c r="H351" t="n">
        <v>0</v>
      </c>
      <c r="I351" t="n">
        <v>0</v>
      </c>
      <c r="J351" t="n">
        <v>0</v>
      </c>
      <c r="K351" t="n">
        <v>0</v>
      </c>
      <c r="L351" t="n">
        <v>0</v>
      </c>
      <c r="M351" t="n">
        <v>0</v>
      </c>
      <c r="N351" t="n">
        <v>0</v>
      </c>
      <c r="O351" t="n">
        <v>0</v>
      </c>
      <c r="P351" t="n">
        <v>0</v>
      </c>
      <c r="Q351" t="n">
        <v>0</v>
      </c>
      <c r="R351" s="2" t="inlineStr"/>
    </row>
    <row r="352" ht="15" customHeight="1">
      <c r="A352" t="inlineStr">
        <is>
          <t>A 32147-2024</t>
        </is>
      </c>
      <c r="B352" s="1" t="n">
        <v>45511.55600694445</v>
      </c>
      <c r="C352" s="1" t="n">
        <v>46129</v>
      </c>
      <c r="D352" t="inlineStr">
        <is>
          <t>JÄMTLANDS LÄN</t>
        </is>
      </c>
      <c r="E352" t="inlineStr">
        <is>
          <t>BERG</t>
        </is>
      </c>
      <c r="G352" t="n">
        <v>2.3</v>
      </c>
      <c r="H352" t="n">
        <v>0</v>
      </c>
      <c r="I352" t="n">
        <v>0</v>
      </c>
      <c r="J352" t="n">
        <v>0</v>
      </c>
      <c r="K352" t="n">
        <v>0</v>
      </c>
      <c r="L352" t="n">
        <v>0</v>
      </c>
      <c r="M352" t="n">
        <v>0</v>
      </c>
      <c r="N352" t="n">
        <v>0</v>
      </c>
      <c r="O352" t="n">
        <v>0</v>
      </c>
      <c r="P352" t="n">
        <v>0</v>
      </c>
      <c r="Q352" t="n">
        <v>0</v>
      </c>
      <c r="R352" s="2" t="inlineStr"/>
    </row>
    <row r="353" ht="15" customHeight="1">
      <c r="A353" t="inlineStr">
        <is>
          <t>A 46872-2023</t>
        </is>
      </c>
      <c r="B353" s="1" t="n">
        <v>45200</v>
      </c>
      <c r="C353" s="1" t="n">
        <v>46129</v>
      </c>
      <c r="D353" t="inlineStr">
        <is>
          <t>JÄMTLANDS LÄN</t>
        </is>
      </c>
      <c r="E353" t="inlineStr">
        <is>
          <t>BERG</t>
        </is>
      </c>
      <c r="F353" t="inlineStr">
        <is>
          <t>Naturvårdsverket</t>
        </is>
      </c>
      <c r="G353" t="n">
        <v>1.2</v>
      </c>
      <c r="H353" t="n">
        <v>0</v>
      </c>
      <c r="I353" t="n">
        <v>0</v>
      </c>
      <c r="J353" t="n">
        <v>0</v>
      </c>
      <c r="K353" t="n">
        <v>0</v>
      </c>
      <c r="L353" t="n">
        <v>0</v>
      </c>
      <c r="M353" t="n">
        <v>0</v>
      </c>
      <c r="N353" t="n">
        <v>0</v>
      </c>
      <c r="O353" t="n">
        <v>0</v>
      </c>
      <c r="P353" t="n">
        <v>0</v>
      </c>
      <c r="Q353" t="n">
        <v>0</v>
      </c>
      <c r="R353" s="2" t="inlineStr"/>
      <c r="U353">
        <f>HYPERLINK("https://klasma.github.io/Logging_2326/knärot/A 46872-2023 karta knärot.png", "A 46872-2023")</f>
        <v/>
      </c>
      <c r="V353">
        <f>HYPERLINK("https://klasma.github.io/Logging_2326/klagomål/A 46872-2023 FSC-klagomål.docx", "A 46872-2023")</f>
        <v/>
      </c>
      <c r="W353">
        <f>HYPERLINK("https://klasma.github.io/Logging_2326/klagomålsmail/A 46872-2023 FSC-klagomål mail.docx", "A 46872-2023")</f>
        <v/>
      </c>
      <c r="X353">
        <f>HYPERLINK("https://klasma.github.io/Logging_2326/tillsyn/A 46872-2023 tillsynsbegäran.docx", "A 46872-2023")</f>
        <v/>
      </c>
      <c r="Y353">
        <f>HYPERLINK("https://klasma.github.io/Logging_2326/tillsynsmail/A 46872-2023 tillsynsbegäran mail.docx", "A 46872-2023")</f>
        <v/>
      </c>
    </row>
    <row r="354" ht="15" customHeight="1">
      <c r="A354" t="inlineStr">
        <is>
          <t>A 26053-2025</t>
        </is>
      </c>
      <c r="B354" s="1" t="n">
        <v>45804.75445601852</v>
      </c>
      <c r="C354" s="1" t="n">
        <v>46129</v>
      </c>
      <c r="D354" t="inlineStr">
        <is>
          <t>JÄMTLANDS LÄN</t>
        </is>
      </c>
      <c r="E354" t="inlineStr">
        <is>
          <t>BERG</t>
        </is>
      </c>
      <c r="G354" t="n">
        <v>6</v>
      </c>
      <c r="H354" t="n">
        <v>0</v>
      </c>
      <c r="I354" t="n">
        <v>0</v>
      </c>
      <c r="J354" t="n">
        <v>0</v>
      </c>
      <c r="K354" t="n">
        <v>0</v>
      </c>
      <c r="L354" t="n">
        <v>0</v>
      </c>
      <c r="M354" t="n">
        <v>0</v>
      </c>
      <c r="N354" t="n">
        <v>0</v>
      </c>
      <c r="O354" t="n">
        <v>0</v>
      </c>
      <c r="P354" t="n">
        <v>0</v>
      </c>
      <c r="Q354" t="n">
        <v>0</v>
      </c>
      <c r="R354" s="2" t="inlineStr"/>
    </row>
    <row r="355" ht="15" customHeight="1">
      <c r="A355" t="inlineStr">
        <is>
          <t>A 41997-2025</t>
        </is>
      </c>
      <c r="B355" s="1" t="n">
        <v>45903.55162037037</v>
      </c>
      <c r="C355" s="1" t="n">
        <v>46129</v>
      </c>
      <c r="D355" t="inlineStr">
        <is>
          <t>JÄMTLANDS LÄN</t>
        </is>
      </c>
      <c r="E355" t="inlineStr">
        <is>
          <t>BERG</t>
        </is>
      </c>
      <c r="F355" t="inlineStr">
        <is>
          <t>Övriga statliga verk och myndigheter</t>
        </is>
      </c>
      <c r="G355" t="n">
        <v>2.2</v>
      </c>
      <c r="H355" t="n">
        <v>0</v>
      </c>
      <c r="I355" t="n">
        <v>0</v>
      </c>
      <c r="J355" t="n">
        <v>0</v>
      </c>
      <c r="K355" t="n">
        <v>0</v>
      </c>
      <c r="L355" t="n">
        <v>0</v>
      </c>
      <c r="M355" t="n">
        <v>0</v>
      </c>
      <c r="N355" t="n">
        <v>0</v>
      </c>
      <c r="O355" t="n">
        <v>0</v>
      </c>
      <c r="P355" t="n">
        <v>0</v>
      </c>
      <c r="Q355" t="n">
        <v>0</v>
      </c>
      <c r="R355" s="2" t="inlineStr"/>
    </row>
    <row r="356" ht="15" customHeight="1">
      <c r="A356" t="inlineStr">
        <is>
          <t>A 25951-2025</t>
        </is>
      </c>
      <c r="B356" s="1" t="n">
        <v>45804.5984375</v>
      </c>
      <c r="C356" s="1" t="n">
        <v>46129</v>
      </c>
      <c r="D356" t="inlineStr">
        <is>
          <t>JÄMTLANDS LÄN</t>
        </is>
      </c>
      <c r="E356" t="inlineStr">
        <is>
          <t>BERG</t>
        </is>
      </c>
      <c r="G356" t="n">
        <v>0.9</v>
      </c>
      <c r="H356" t="n">
        <v>0</v>
      </c>
      <c r="I356" t="n">
        <v>0</v>
      </c>
      <c r="J356" t="n">
        <v>0</v>
      </c>
      <c r="K356" t="n">
        <v>0</v>
      </c>
      <c r="L356" t="n">
        <v>0</v>
      </c>
      <c r="M356" t="n">
        <v>0</v>
      </c>
      <c r="N356" t="n">
        <v>0</v>
      </c>
      <c r="O356" t="n">
        <v>0</v>
      </c>
      <c r="P356" t="n">
        <v>0</v>
      </c>
      <c r="Q356" t="n">
        <v>0</v>
      </c>
      <c r="R356" s="2" t="inlineStr"/>
    </row>
    <row r="357" ht="15" customHeight="1">
      <c r="A357" t="inlineStr">
        <is>
          <t>A 25885-2025</t>
        </is>
      </c>
      <c r="B357" s="1" t="n">
        <v>45804.51075231482</v>
      </c>
      <c r="C357" s="1" t="n">
        <v>46129</v>
      </c>
      <c r="D357" t="inlineStr">
        <is>
          <t>JÄMTLANDS LÄN</t>
        </is>
      </c>
      <c r="E357" t="inlineStr">
        <is>
          <t>BERG</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25887-2025</t>
        </is>
      </c>
      <c r="B358" s="1" t="n">
        <v>45804.51104166666</v>
      </c>
      <c r="C358" s="1" t="n">
        <v>46129</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25960-2025</t>
        </is>
      </c>
      <c r="B359" s="1" t="n">
        <v>45804.60972222222</v>
      </c>
      <c r="C359" s="1" t="n">
        <v>46129</v>
      </c>
      <c r="D359" t="inlineStr">
        <is>
          <t>JÄMTLANDS LÄN</t>
        </is>
      </c>
      <c r="E359" t="inlineStr">
        <is>
          <t>BERG</t>
        </is>
      </c>
      <c r="G359" t="n">
        <v>7.3</v>
      </c>
      <c r="H359" t="n">
        <v>0</v>
      </c>
      <c r="I359" t="n">
        <v>0</v>
      </c>
      <c r="J359" t="n">
        <v>0</v>
      </c>
      <c r="K359" t="n">
        <v>0</v>
      </c>
      <c r="L359" t="n">
        <v>0</v>
      </c>
      <c r="M359" t="n">
        <v>0</v>
      </c>
      <c r="N359" t="n">
        <v>0</v>
      </c>
      <c r="O359" t="n">
        <v>0</v>
      </c>
      <c r="P359" t="n">
        <v>0</v>
      </c>
      <c r="Q359" t="n">
        <v>0</v>
      </c>
      <c r="R359" s="2" t="inlineStr"/>
    </row>
    <row r="360" ht="15" customHeight="1">
      <c r="A360" t="inlineStr">
        <is>
          <t>A 64709-2021</t>
        </is>
      </c>
      <c r="B360" s="1" t="n">
        <v>44512</v>
      </c>
      <c r="C360" s="1" t="n">
        <v>46129</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25938-2025</t>
        </is>
      </c>
      <c r="B361" s="1" t="n">
        <v>45804.59414351852</v>
      </c>
      <c r="C361" s="1" t="n">
        <v>46129</v>
      </c>
      <c r="D361" t="inlineStr">
        <is>
          <t>JÄMTLANDS LÄN</t>
        </is>
      </c>
      <c r="E361" t="inlineStr">
        <is>
          <t>BERG</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25886-2025</t>
        </is>
      </c>
      <c r="B362" s="1" t="n">
        <v>45804.51092592593</v>
      </c>
      <c r="C362" s="1" t="n">
        <v>46129</v>
      </c>
      <c r="D362" t="inlineStr">
        <is>
          <t>JÄMTLANDS LÄN</t>
        </is>
      </c>
      <c r="E362" t="inlineStr">
        <is>
          <t>BERG</t>
        </is>
      </c>
      <c r="F362" t="inlineStr">
        <is>
          <t>SCA</t>
        </is>
      </c>
      <c r="G362" t="n">
        <v>18.3</v>
      </c>
      <c r="H362" t="n">
        <v>0</v>
      </c>
      <c r="I362" t="n">
        <v>0</v>
      </c>
      <c r="J362" t="n">
        <v>0</v>
      </c>
      <c r="K362" t="n">
        <v>0</v>
      </c>
      <c r="L362" t="n">
        <v>0</v>
      </c>
      <c r="M362" t="n">
        <v>0</v>
      </c>
      <c r="N362" t="n">
        <v>0</v>
      </c>
      <c r="O362" t="n">
        <v>0</v>
      </c>
      <c r="P362" t="n">
        <v>0</v>
      </c>
      <c r="Q362" t="n">
        <v>0</v>
      </c>
      <c r="R362" s="2" t="inlineStr"/>
    </row>
    <row r="363" ht="15" customHeight="1">
      <c r="A363" t="inlineStr">
        <is>
          <t>A 26186-2025</t>
        </is>
      </c>
      <c r="B363" s="1" t="n">
        <v>45805.47840277778</v>
      </c>
      <c r="C363" s="1" t="n">
        <v>46129</v>
      </c>
      <c r="D363" t="inlineStr">
        <is>
          <t>JÄMTLANDS LÄN</t>
        </is>
      </c>
      <c r="E363" t="inlineStr">
        <is>
          <t>BERG</t>
        </is>
      </c>
      <c r="G363" t="n">
        <v>5.3</v>
      </c>
      <c r="H363" t="n">
        <v>0</v>
      </c>
      <c r="I363" t="n">
        <v>0</v>
      </c>
      <c r="J363" t="n">
        <v>0</v>
      </c>
      <c r="K363" t="n">
        <v>0</v>
      </c>
      <c r="L363" t="n">
        <v>0</v>
      </c>
      <c r="M363" t="n">
        <v>0</v>
      </c>
      <c r="N363" t="n">
        <v>0</v>
      </c>
      <c r="O363" t="n">
        <v>0</v>
      </c>
      <c r="P363" t="n">
        <v>0</v>
      </c>
      <c r="Q363" t="n">
        <v>0</v>
      </c>
      <c r="R363" s="2" t="inlineStr"/>
    </row>
    <row r="364" ht="15" customHeight="1">
      <c r="A364" t="inlineStr">
        <is>
          <t>A 26275-2025</t>
        </is>
      </c>
      <c r="B364" s="1" t="n">
        <v>45805.60230324074</v>
      </c>
      <c r="C364" s="1" t="n">
        <v>46129</v>
      </c>
      <c r="D364" t="inlineStr">
        <is>
          <t>JÄMTLANDS LÄN</t>
        </is>
      </c>
      <c r="E364" t="inlineStr">
        <is>
          <t>BERG</t>
        </is>
      </c>
      <c r="G364" t="n">
        <v>10.2</v>
      </c>
      <c r="H364" t="n">
        <v>0</v>
      </c>
      <c r="I364" t="n">
        <v>0</v>
      </c>
      <c r="J364" t="n">
        <v>0</v>
      </c>
      <c r="K364" t="n">
        <v>0</v>
      </c>
      <c r="L364" t="n">
        <v>0</v>
      </c>
      <c r="M364" t="n">
        <v>0</v>
      </c>
      <c r="N364" t="n">
        <v>0</v>
      </c>
      <c r="O364" t="n">
        <v>0</v>
      </c>
      <c r="P364" t="n">
        <v>0</v>
      </c>
      <c r="Q364" t="n">
        <v>0</v>
      </c>
      <c r="R364" s="2" t="inlineStr"/>
    </row>
    <row r="365" ht="15" customHeight="1">
      <c r="A365" t="inlineStr">
        <is>
          <t>A 25980-2025</t>
        </is>
      </c>
      <c r="B365" s="1" t="n">
        <v>45804.63658564815</v>
      </c>
      <c r="C365" s="1" t="n">
        <v>46129</v>
      </c>
      <c r="D365" t="inlineStr">
        <is>
          <t>JÄMTLANDS LÄN</t>
        </is>
      </c>
      <c r="E365" t="inlineStr">
        <is>
          <t>BERG</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31024-2025</t>
        </is>
      </c>
      <c r="B366" s="1" t="n">
        <v>45832.52571759259</v>
      </c>
      <c r="C366" s="1" t="n">
        <v>46129</v>
      </c>
      <c r="D366" t="inlineStr">
        <is>
          <t>JÄMTLANDS LÄN</t>
        </is>
      </c>
      <c r="E366" t="inlineStr">
        <is>
          <t>BERG</t>
        </is>
      </c>
      <c r="G366" t="n">
        <v>3.6</v>
      </c>
      <c r="H366" t="n">
        <v>0</v>
      </c>
      <c r="I366" t="n">
        <v>0</v>
      </c>
      <c r="J366" t="n">
        <v>0</v>
      </c>
      <c r="K366" t="n">
        <v>0</v>
      </c>
      <c r="L366" t="n">
        <v>0</v>
      </c>
      <c r="M366" t="n">
        <v>0</v>
      </c>
      <c r="N366" t="n">
        <v>0</v>
      </c>
      <c r="O366" t="n">
        <v>0</v>
      </c>
      <c r="P366" t="n">
        <v>0</v>
      </c>
      <c r="Q366" t="n">
        <v>0</v>
      </c>
      <c r="R366" s="2" t="inlineStr"/>
    </row>
    <row r="367" ht="15" customHeight="1">
      <c r="A367" t="inlineStr">
        <is>
          <t>A 26378-2025</t>
        </is>
      </c>
      <c r="B367" s="1" t="n">
        <v>45806.48989583334</v>
      </c>
      <c r="C367" s="1" t="n">
        <v>46129</v>
      </c>
      <c r="D367" t="inlineStr">
        <is>
          <t>JÄMTLANDS LÄN</t>
        </is>
      </c>
      <c r="E367" t="inlineStr">
        <is>
          <t>BERG</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26374-2025</t>
        </is>
      </c>
      <c r="B368" s="1" t="n">
        <v>45806.42745370371</v>
      </c>
      <c r="C368" s="1" t="n">
        <v>46129</v>
      </c>
      <c r="D368" t="inlineStr">
        <is>
          <t>JÄMTLANDS LÄN</t>
        </is>
      </c>
      <c r="E368" t="inlineStr">
        <is>
          <t>BERG</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57861-2025</t>
        </is>
      </c>
      <c r="B369" s="1" t="n">
        <v>45981.64236111111</v>
      </c>
      <c r="C369" s="1" t="n">
        <v>46129</v>
      </c>
      <c r="D369" t="inlineStr">
        <is>
          <t>JÄMTLANDS LÄN</t>
        </is>
      </c>
      <c r="E369" t="inlineStr">
        <is>
          <t>BERG</t>
        </is>
      </c>
      <c r="G369" t="n">
        <v>1.3</v>
      </c>
      <c r="H369" t="n">
        <v>0</v>
      </c>
      <c r="I369" t="n">
        <v>0</v>
      </c>
      <c r="J369" t="n">
        <v>0</v>
      </c>
      <c r="K369" t="n">
        <v>0</v>
      </c>
      <c r="L369" t="n">
        <v>0</v>
      </c>
      <c r="M369" t="n">
        <v>0</v>
      </c>
      <c r="N369" t="n">
        <v>0</v>
      </c>
      <c r="O369" t="n">
        <v>0</v>
      </c>
      <c r="P369" t="n">
        <v>0</v>
      </c>
      <c r="Q369" t="n">
        <v>0</v>
      </c>
      <c r="R369" s="2" t="inlineStr"/>
    </row>
    <row r="370" ht="15" customHeight="1">
      <c r="A370" t="inlineStr">
        <is>
          <t>A 33962-2024</t>
        </is>
      </c>
      <c r="B370" s="1" t="n">
        <v>45523.48854166667</v>
      </c>
      <c r="C370" s="1" t="n">
        <v>46129</v>
      </c>
      <c r="D370" t="inlineStr">
        <is>
          <t>JÄMTLANDS LÄN</t>
        </is>
      </c>
      <c r="E370" t="inlineStr">
        <is>
          <t>BERG</t>
        </is>
      </c>
      <c r="G370" t="n">
        <v>2.2</v>
      </c>
      <c r="H370" t="n">
        <v>0</v>
      </c>
      <c r="I370" t="n">
        <v>0</v>
      </c>
      <c r="J370" t="n">
        <v>0</v>
      </c>
      <c r="K370" t="n">
        <v>0</v>
      </c>
      <c r="L370" t="n">
        <v>0</v>
      </c>
      <c r="M370" t="n">
        <v>0</v>
      </c>
      <c r="N370" t="n">
        <v>0</v>
      </c>
      <c r="O370" t="n">
        <v>0</v>
      </c>
      <c r="P370" t="n">
        <v>0</v>
      </c>
      <c r="Q370" t="n">
        <v>0</v>
      </c>
      <c r="R370" s="2" t="inlineStr"/>
    </row>
    <row r="371" ht="15" customHeight="1">
      <c r="A371" t="inlineStr">
        <is>
          <t>A 42415-2025</t>
        </is>
      </c>
      <c r="B371" s="1" t="n">
        <v>45905.39195601852</v>
      </c>
      <c r="C371" s="1" t="n">
        <v>46129</v>
      </c>
      <c r="D371" t="inlineStr">
        <is>
          <t>JÄMTLANDS LÄN</t>
        </is>
      </c>
      <c r="E371" t="inlineStr">
        <is>
          <t>BERG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42378-2025</t>
        </is>
      </c>
      <c r="B372" s="1" t="n">
        <v>45905.34423611111</v>
      </c>
      <c r="C372" s="1" t="n">
        <v>46129</v>
      </c>
      <c r="D372" t="inlineStr">
        <is>
          <t>JÄMTLANDS LÄN</t>
        </is>
      </c>
      <c r="E372" t="inlineStr">
        <is>
          <t>BERG</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42439-2025</t>
        </is>
      </c>
      <c r="B373" s="1" t="n">
        <v>45905.42969907408</v>
      </c>
      <c r="C373" s="1" t="n">
        <v>46129</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26743-2025</t>
        </is>
      </c>
      <c r="B374" s="1" t="n">
        <v>45810.53163194445</v>
      </c>
      <c r="C374" s="1" t="n">
        <v>46129</v>
      </c>
      <c r="D374" t="inlineStr">
        <is>
          <t>JÄMTLANDS LÄN</t>
        </is>
      </c>
      <c r="E374" t="inlineStr">
        <is>
          <t>BERG</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22297-2022</t>
        </is>
      </c>
      <c r="B375" s="1" t="n">
        <v>44712</v>
      </c>
      <c r="C375" s="1" t="n">
        <v>46129</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57503-2025</t>
        </is>
      </c>
      <c r="B376" s="1" t="n">
        <v>45980.59431712963</v>
      </c>
      <c r="C376" s="1" t="n">
        <v>46129</v>
      </c>
      <c r="D376" t="inlineStr">
        <is>
          <t>JÄMTLANDS LÄN</t>
        </is>
      </c>
      <c r="E376" t="inlineStr">
        <is>
          <t>BERG</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27044-2025</t>
        </is>
      </c>
      <c r="B377" s="1" t="n">
        <v>45811.61496527777</v>
      </c>
      <c r="C377" s="1" t="n">
        <v>46129</v>
      </c>
      <c r="D377" t="inlineStr">
        <is>
          <t>JÄMTLANDS LÄN</t>
        </is>
      </c>
      <c r="E377" t="inlineStr">
        <is>
          <t>BERG</t>
        </is>
      </c>
      <c r="F377" t="inlineStr">
        <is>
          <t>SCA</t>
        </is>
      </c>
      <c r="G377" t="n">
        <v>26.1</v>
      </c>
      <c r="H377" t="n">
        <v>0</v>
      </c>
      <c r="I377" t="n">
        <v>0</v>
      </c>
      <c r="J377" t="n">
        <v>0</v>
      </c>
      <c r="K377" t="n">
        <v>0</v>
      </c>
      <c r="L377" t="n">
        <v>0</v>
      </c>
      <c r="M377" t="n">
        <v>0</v>
      </c>
      <c r="N377" t="n">
        <v>0</v>
      </c>
      <c r="O377" t="n">
        <v>0</v>
      </c>
      <c r="P377" t="n">
        <v>0</v>
      </c>
      <c r="Q377" t="n">
        <v>0</v>
      </c>
      <c r="R377" s="2" t="inlineStr"/>
    </row>
    <row r="378" ht="15" customHeight="1">
      <c r="A378" t="inlineStr">
        <is>
          <t>A 57849-2025</t>
        </is>
      </c>
      <c r="B378" s="1" t="n">
        <v>45981.63472222222</v>
      </c>
      <c r="C378" s="1" t="n">
        <v>46129</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27063-2025</t>
        </is>
      </c>
      <c r="B379" s="1" t="n">
        <v>45811.63626157407</v>
      </c>
      <c r="C379" s="1" t="n">
        <v>46129</v>
      </c>
      <c r="D379" t="inlineStr">
        <is>
          <t>JÄMTLANDS LÄN</t>
        </is>
      </c>
      <c r="E379" t="inlineStr">
        <is>
          <t>BERG</t>
        </is>
      </c>
      <c r="F379" t="inlineStr">
        <is>
          <t>SCA</t>
        </is>
      </c>
      <c r="G379" t="n">
        <v>18.9</v>
      </c>
      <c r="H379" t="n">
        <v>0</v>
      </c>
      <c r="I379" t="n">
        <v>0</v>
      </c>
      <c r="J379" t="n">
        <v>0</v>
      </c>
      <c r="K379" t="n">
        <v>0</v>
      </c>
      <c r="L379" t="n">
        <v>0</v>
      </c>
      <c r="M379" t="n">
        <v>0</v>
      </c>
      <c r="N379" t="n">
        <v>0</v>
      </c>
      <c r="O379" t="n">
        <v>0</v>
      </c>
      <c r="P379" t="n">
        <v>0</v>
      </c>
      <c r="Q379" t="n">
        <v>0</v>
      </c>
      <c r="R379" s="2" t="inlineStr"/>
    </row>
    <row r="380" ht="15" customHeight="1">
      <c r="A380" t="inlineStr">
        <is>
          <t>A 61251-2022</t>
        </is>
      </c>
      <c r="B380" s="1" t="n">
        <v>44909</v>
      </c>
      <c r="C380" s="1" t="n">
        <v>46129</v>
      </c>
      <c r="D380" t="inlineStr">
        <is>
          <t>JÄMTLANDS LÄN</t>
        </is>
      </c>
      <c r="E380" t="inlineStr">
        <is>
          <t>BERG</t>
        </is>
      </c>
      <c r="G380" t="n">
        <v>3</v>
      </c>
      <c r="H380" t="n">
        <v>0</v>
      </c>
      <c r="I380" t="n">
        <v>0</v>
      </c>
      <c r="J380" t="n">
        <v>0</v>
      </c>
      <c r="K380" t="n">
        <v>0</v>
      </c>
      <c r="L380" t="n">
        <v>0</v>
      </c>
      <c r="M380" t="n">
        <v>0</v>
      </c>
      <c r="N380" t="n">
        <v>0</v>
      </c>
      <c r="O380" t="n">
        <v>0</v>
      </c>
      <c r="P380" t="n">
        <v>0</v>
      </c>
      <c r="Q380" t="n">
        <v>0</v>
      </c>
      <c r="R380" s="2" t="inlineStr"/>
    </row>
    <row r="381" ht="15" customHeight="1">
      <c r="A381" t="inlineStr">
        <is>
          <t>A 61255-2022</t>
        </is>
      </c>
      <c r="B381" s="1" t="n">
        <v>44909</v>
      </c>
      <c r="C381" s="1" t="n">
        <v>46129</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42862-2025</t>
        </is>
      </c>
      <c r="B382" s="1" t="n">
        <v>45908.61515046296</v>
      </c>
      <c r="C382" s="1" t="n">
        <v>46129</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47626-2023</t>
        </is>
      </c>
      <c r="B383" s="1" t="n">
        <v>45203</v>
      </c>
      <c r="C383" s="1" t="n">
        <v>46129</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43015-2025</t>
        </is>
      </c>
      <c r="B384" s="1" t="n">
        <v>45909.49278935185</v>
      </c>
      <c r="C384" s="1" t="n">
        <v>46129</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60331-2023</t>
        </is>
      </c>
      <c r="B385" s="1" t="n">
        <v>45258</v>
      </c>
      <c r="C385" s="1" t="n">
        <v>46129</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58413-2025</t>
        </is>
      </c>
      <c r="B386" s="1" t="n">
        <v>45985.57662037037</v>
      </c>
      <c r="C386" s="1" t="n">
        <v>46129</v>
      </c>
      <c r="D386" t="inlineStr">
        <is>
          <t>JÄMTLANDS LÄN</t>
        </is>
      </c>
      <c r="E386" t="inlineStr">
        <is>
          <t>BERG</t>
        </is>
      </c>
      <c r="G386" t="n">
        <v>4.2</v>
      </c>
      <c r="H386" t="n">
        <v>0</v>
      </c>
      <c r="I386" t="n">
        <v>0</v>
      </c>
      <c r="J386" t="n">
        <v>0</v>
      </c>
      <c r="K386" t="n">
        <v>0</v>
      </c>
      <c r="L386" t="n">
        <v>0</v>
      </c>
      <c r="M386" t="n">
        <v>0</v>
      </c>
      <c r="N386" t="n">
        <v>0</v>
      </c>
      <c r="O386" t="n">
        <v>0</v>
      </c>
      <c r="P386" t="n">
        <v>0</v>
      </c>
      <c r="Q386" t="n">
        <v>0</v>
      </c>
      <c r="R386" s="2" t="inlineStr"/>
    </row>
    <row r="387" ht="15" customHeight="1">
      <c r="A387" t="inlineStr">
        <is>
          <t>A 58438-2025</t>
        </is>
      </c>
      <c r="B387" s="1" t="n">
        <v>45985.61513888889</v>
      </c>
      <c r="C387" s="1" t="n">
        <v>46129</v>
      </c>
      <c r="D387" t="inlineStr">
        <is>
          <t>JÄMTLANDS LÄN</t>
        </is>
      </c>
      <c r="E387" t="inlineStr">
        <is>
          <t>BERG</t>
        </is>
      </c>
      <c r="G387" t="n">
        <v>5.1</v>
      </c>
      <c r="H387" t="n">
        <v>0</v>
      </c>
      <c r="I387" t="n">
        <v>0</v>
      </c>
      <c r="J387" t="n">
        <v>0</v>
      </c>
      <c r="K387" t="n">
        <v>0</v>
      </c>
      <c r="L387" t="n">
        <v>0</v>
      </c>
      <c r="M387" t="n">
        <v>0</v>
      </c>
      <c r="N387" t="n">
        <v>0</v>
      </c>
      <c r="O387" t="n">
        <v>0</v>
      </c>
      <c r="P387" t="n">
        <v>0</v>
      </c>
      <c r="Q387" t="n">
        <v>0</v>
      </c>
      <c r="R387" s="2" t="inlineStr"/>
    </row>
    <row r="388" ht="15" customHeight="1">
      <c r="A388" t="inlineStr">
        <is>
          <t>A 27317-2025</t>
        </is>
      </c>
      <c r="B388" s="1" t="n">
        <v>45812.59011574074</v>
      </c>
      <c r="C388" s="1" t="n">
        <v>46129</v>
      </c>
      <c r="D388" t="inlineStr">
        <is>
          <t>JÄMTLANDS LÄN</t>
        </is>
      </c>
      <c r="E388" t="inlineStr">
        <is>
          <t>BERG</t>
        </is>
      </c>
      <c r="G388" t="n">
        <v>6.2</v>
      </c>
      <c r="H388" t="n">
        <v>0</v>
      </c>
      <c r="I388" t="n">
        <v>0</v>
      </c>
      <c r="J388" t="n">
        <v>0</v>
      </c>
      <c r="K388" t="n">
        <v>0</v>
      </c>
      <c r="L388" t="n">
        <v>0</v>
      </c>
      <c r="M388" t="n">
        <v>0</v>
      </c>
      <c r="N388" t="n">
        <v>0</v>
      </c>
      <c r="O388" t="n">
        <v>0</v>
      </c>
      <c r="P388" t="n">
        <v>0</v>
      </c>
      <c r="Q388" t="n">
        <v>0</v>
      </c>
      <c r="R388" s="2" t="inlineStr"/>
    </row>
    <row r="389" ht="15" customHeight="1">
      <c r="A389" t="inlineStr">
        <is>
          <t>A 27459-2025</t>
        </is>
      </c>
      <c r="B389" s="1" t="n">
        <v>45813.34561342592</v>
      </c>
      <c r="C389" s="1" t="n">
        <v>46129</v>
      </c>
      <c r="D389" t="inlineStr">
        <is>
          <t>JÄMTLANDS LÄN</t>
        </is>
      </c>
      <c r="E389" t="inlineStr">
        <is>
          <t>BERG</t>
        </is>
      </c>
      <c r="F389" t="inlineStr">
        <is>
          <t>SCA</t>
        </is>
      </c>
      <c r="G389" t="n">
        <v>19.2</v>
      </c>
      <c r="H389" t="n">
        <v>0</v>
      </c>
      <c r="I389" t="n">
        <v>0</v>
      </c>
      <c r="J389" t="n">
        <v>0</v>
      </c>
      <c r="K389" t="n">
        <v>0</v>
      </c>
      <c r="L389" t="n">
        <v>0</v>
      </c>
      <c r="M389" t="n">
        <v>0</v>
      </c>
      <c r="N389" t="n">
        <v>0</v>
      </c>
      <c r="O389" t="n">
        <v>0</v>
      </c>
      <c r="P389" t="n">
        <v>0</v>
      </c>
      <c r="Q389" t="n">
        <v>0</v>
      </c>
      <c r="R389" s="2" t="inlineStr"/>
    </row>
    <row r="390" ht="15" customHeight="1">
      <c r="A390" t="inlineStr">
        <is>
          <t>A 47083-2024</t>
        </is>
      </c>
      <c r="B390" s="1" t="n">
        <v>45586.50625</v>
      </c>
      <c r="C390" s="1" t="n">
        <v>46129</v>
      </c>
      <c r="D390" t="inlineStr">
        <is>
          <t>JÄMTLANDS LÄN</t>
        </is>
      </c>
      <c r="E390" t="inlineStr">
        <is>
          <t>BERG</t>
        </is>
      </c>
      <c r="G390" t="n">
        <v>1.9</v>
      </c>
      <c r="H390" t="n">
        <v>0</v>
      </c>
      <c r="I390" t="n">
        <v>0</v>
      </c>
      <c r="J390" t="n">
        <v>0</v>
      </c>
      <c r="K390" t="n">
        <v>0</v>
      </c>
      <c r="L390" t="n">
        <v>0</v>
      </c>
      <c r="M390" t="n">
        <v>0</v>
      </c>
      <c r="N390" t="n">
        <v>0</v>
      </c>
      <c r="O390" t="n">
        <v>0</v>
      </c>
      <c r="P390" t="n">
        <v>0</v>
      </c>
      <c r="Q390" t="n">
        <v>0</v>
      </c>
      <c r="R390" s="2" t="inlineStr"/>
    </row>
    <row r="391" ht="15" customHeight="1">
      <c r="A391" t="inlineStr">
        <is>
          <t>A 58436-2025</t>
        </is>
      </c>
      <c r="B391" s="1" t="n">
        <v>45985.61510416667</v>
      </c>
      <c r="C391" s="1" t="n">
        <v>46129</v>
      </c>
      <c r="D391" t="inlineStr">
        <is>
          <t>JÄMTLANDS LÄN</t>
        </is>
      </c>
      <c r="E391" t="inlineStr">
        <is>
          <t>BERG</t>
        </is>
      </c>
      <c r="G391" t="n">
        <v>1.7</v>
      </c>
      <c r="H391" t="n">
        <v>0</v>
      </c>
      <c r="I391" t="n">
        <v>0</v>
      </c>
      <c r="J391" t="n">
        <v>0</v>
      </c>
      <c r="K391" t="n">
        <v>0</v>
      </c>
      <c r="L391" t="n">
        <v>0</v>
      </c>
      <c r="M391" t="n">
        <v>0</v>
      </c>
      <c r="N391" t="n">
        <v>0</v>
      </c>
      <c r="O391" t="n">
        <v>0</v>
      </c>
      <c r="P391" t="n">
        <v>0</v>
      </c>
      <c r="Q391" t="n">
        <v>0</v>
      </c>
      <c r="R391" s="2" t="inlineStr"/>
    </row>
    <row r="392" ht="15" customHeight="1">
      <c r="A392" t="inlineStr">
        <is>
          <t>A 58470-2025</t>
        </is>
      </c>
      <c r="B392" s="1" t="n">
        <v>45985.63704861111</v>
      </c>
      <c r="C392" s="1" t="n">
        <v>46129</v>
      </c>
      <c r="D392" t="inlineStr">
        <is>
          <t>JÄMTLANDS LÄN</t>
        </is>
      </c>
      <c r="E392" t="inlineStr">
        <is>
          <t>BERG</t>
        </is>
      </c>
      <c r="G392" t="n">
        <v>3.6</v>
      </c>
      <c r="H392" t="n">
        <v>0</v>
      </c>
      <c r="I392" t="n">
        <v>0</v>
      </c>
      <c r="J392" t="n">
        <v>0</v>
      </c>
      <c r="K392" t="n">
        <v>0</v>
      </c>
      <c r="L392" t="n">
        <v>0</v>
      </c>
      <c r="M392" t="n">
        <v>0</v>
      </c>
      <c r="N392" t="n">
        <v>0</v>
      </c>
      <c r="O392" t="n">
        <v>0</v>
      </c>
      <c r="P392" t="n">
        <v>0</v>
      </c>
      <c r="Q392" t="n">
        <v>0</v>
      </c>
      <c r="R392" s="2" t="inlineStr"/>
    </row>
    <row r="393" ht="15" customHeight="1">
      <c r="A393" t="inlineStr">
        <is>
          <t>A 43442-2025</t>
        </is>
      </c>
      <c r="B393" s="1" t="n">
        <v>45911.44244212963</v>
      </c>
      <c r="C393" s="1" t="n">
        <v>46129</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43443-2025</t>
        </is>
      </c>
      <c r="B394" s="1" t="n">
        <v>45911.44350694444</v>
      </c>
      <c r="C394" s="1" t="n">
        <v>46129</v>
      </c>
      <c r="D394" t="inlineStr">
        <is>
          <t>JÄMTLANDS LÄN</t>
        </is>
      </c>
      <c r="E394" t="inlineStr">
        <is>
          <t>BERG</t>
        </is>
      </c>
      <c r="G394" t="n">
        <v>2.7</v>
      </c>
      <c r="H394" t="n">
        <v>0</v>
      </c>
      <c r="I394" t="n">
        <v>0</v>
      </c>
      <c r="J394" t="n">
        <v>0</v>
      </c>
      <c r="K394" t="n">
        <v>0</v>
      </c>
      <c r="L394" t="n">
        <v>0</v>
      </c>
      <c r="M394" t="n">
        <v>0</v>
      </c>
      <c r="N394" t="n">
        <v>0</v>
      </c>
      <c r="O394" t="n">
        <v>0</v>
      </c>
      <c r="P394" t="n">
        <v>0</v>
      </c>
      <c r="Q394" t="n">
        <v>0</v>
      </c>
      <c r="R394" s="2" t="inlineStr"/>
    </row>
    <row r="395" ht="15" customHeight="1">
      <c r="A395" t="inlineStr">
        <is>
          <t>A 27569-2025</t>
        </is>
      </c>
      <c r="B395" s="1" t="n">
        <v>45813.49018518518</v>
      </c>
      <c r="C395" s="1" t="n">
        <v>46129</v>
      </c>
      <c r="D395" t="inlineStr">
        <is>
          <t>JÄMTLANDS LÄN</t>
        </is>
      </c>
      <c r="E395" t="inlineStr">
        <is>
          <t>BERG</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41264-2025</t>
        </is>
      </c>
      <c r="B396" s="1" t="n">
        <v>45898</v>
      </c>
      <c r="C396" s="1" t="n">
        <v>46129</v>
      </c>
      <c r="D396" t="inlineStr">
        <is>
          <t>JÄMTLANDS LÄN</t>
        </is>
      </c>
      <c r="E396" t="inlineStr">
        <is>
          <t>BERG</t>
        </is>
      </c>
      <c r="G396" t="n">
        <v>17.4</v>
      </c>
      <c r="H396" t="n">
        <v>0</v>
      </c>
      <c r="I396" t="n">
        <v>0</v>
      </c>
      <c r="J396" t="n">
        <v>0</v>
      </c>
      <c r="K396" t="n">
        <v>0</v>
      </c>
      <c r="L396" t="n">
        <v>0</v>
      </c>
      <c r="M396" t="n">
        <v>0</v>
      </c>
      <c r="N396" t="n">
        <v>0</v>
      </c>
      <c r="O396" t="n">
        <v>0</v>
      </c>
      <c r="P396" t="n">
        <v>0</v>
      </c>
      <c r="Q396" t="n">
        <v>0</v>
      </c>
      <c r="R396" s="2" t="inlineStr"/>
    </row>
    <row r="397" ht="15" customHeight="1">
      <c r="A397" t="inlineStr">
        <is>
          <t>A 27312-2025</t>
        </is>
      </c>
      <c r="B397" s="1" t="n">
        <v>45812.58002314815</v>
      </c>
      <c r="C397" s="1" t="n">
        <v>46129</v>
      </c>
      <c r="D397" t="inlineStr">
        <is>
          <t>JÄMTLANDS LÄN</t>
        </is>
      </c>
      <c r="E397" t="inlineStr">
        <is>
          <t>BERG</t>
        </is>
      </c>
      <c r="G397" t="n">
        <v>6</v>
      </c>
      <c r="H397" t="n">
        <v>0</v>
      </c>
      <c r="I397" t="n">
        <v>0</v>
      </c>
      <c r="J397" t="n">
        <v>0</v>
      </c>
      <c r="K397" t="n">
        <v>0</v>
      </c>
      <c r="L397" t="n">
        <v>0</v>
      </c>
      <c r="M397" t="n">
        <v>0</v>
      </c>
      <c r="N397" t="n">
        <v>0</v>
      </c>
      <c r="O397" t="n">
        <v>0</v>
      </c>
      <c r="P397" t="n">
        <v>0</v>
      </c>
      <c r="Q397" t="n">
        <v>0</v>
      </c>
      <c r="R397" s="2" t="inlineStr"/>
    </row>
    <row r="398" ht="15" customHeight="1">
      <c r="A398" t="inlineStr">
        <is>
          <t>A 43567-2025</t>
        </is>
      </c>
      <c r="B398" s="1" t="n">
        <v>45911.6327662037</v>
      </c>
      <c r="C398" s="1" t="n">
        <v>46129</v>
      </c>
      <c r="D398" t="inlineStr">
        <is>
          <t>JÄMTLANDS LÄN</t>
        </is>
      </c>
      <c r="E398" t="inlineStr">
        <is>
          <t>BERG</t>
        </is>
      </c>
      <c r="G398" t="n">
        <v>7.7</v>
      </c>
      <c r="H398" t="n">
        <v>0</v>
      </c>
      <c r="I398" t="n">
        <v>0</v>
      </c>
      <c r="J398" t="n">
        <v>0</v>
      </c>
      <c r="K398" t="n">
        <v>0</v>
      </c>
      <c r="L398" t="n">
        <v>0</v>
      </c>
      <c r="M398" t="n">
        <v>0</v>
      </c>
      <c r="N398" t="n">
        <v>0</v>
      </c>
      <c r="O398" t="n">
        <v>0</v>
      </c>
      <c r="P398" t="n">
        <v>0</v>
      </c>
      <c r="Q398" t="n">
        <v>0</v>
      </c>
      <c r="R398" s="2" t="inlineStr"/>
    </row>
    <row r="399" ht="15" customHeight="1">
      <c r="A399" t="inlineStr">
        <is>
          <t>A 43441-2025</t>
        </is>
      </c>
      <c r="B399" s="1" t="n">
        <v>45911.44184027778</v>
      </c>
      <c r="C399" s="1" t="n">
        <v>46129</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43456-2025</t>
        </is>
      </c>
      <c r="B400" s="1" t="n">
        <v>45911.46148148148</v>
      </c>
      <c r="C400" s="1" t="n">
        <v>46129</v>
      </c>
      <c r="D400" t="inlineStr">
        <is>
          <t>JÄMTLANDS LÄN</t>
        </is>
      </c>
      <c r="E400" t="inlineStr">
        <is>
          <t>BERG</t>
        </is>
      </c>
      <c r="G400" t="n">
        <v>1</v>
      </c>
      <c r="H400" t="n">
        <v>0</v>
      </c>
      <c r="I400" t="n">
        <v>0</v>
      </c>
      <c r="J400" t="n">
        <v>0</v>
      </c>
      <c r="K400" t="n">
        <v>0</v>
      </c>
      <c r="L400" t="n">
        <v>0</v>
      </c>
      <c r="M400" t="n">
        <v>0</v>
      </c>
      <c r="N400" t="n">
        <v>0</v>
      </c>
      <c r="O400" t="n">
        <v>0</v>
      </c>
      <c r="P400" t="n">
        <v>0</v>
      </c>
      <c r="Q400" t="n">
        <v>0</v>
      </c>
      <c r="R400" s="2" t="inlineStr"/>
    </row>
    <row r="401" ht="15" customHeight="1">
      <c r="A401" t="inlineStr">
        <is>
          <t>A 43560-2025</t>
        </is>
      </c>
      <c r="B401" s="1" t="n">
        <v>45911.62758101852</v>
      </c>
      <c r="C401" s="1" t="n">
        <v>46129</v>
      </c>
      <c r="D401" t="inlineStr">
        <is>
          <t>JÄMTLANDS LÄN</t>
        </is>
      </c>
      <c r="E401" t="inlineStr">
        <is>
          <t>BERG</t>
        </is>
      </c>
      <c r="G401" t="n">
        <v>10</v>
      </c>
      <c r="H401" t="n">
        <v>0</v>
      </c>
      <c r="I401" t="n">
        <v>0</v>
      </c>
      <c r="J401" t="n">
        <v>0</v>
      </c>
      <c r="K401" t="n">
        <v>0</v>
      </c>
      <c r="L401" t="n">
        <v>0</v>
      </c>
      <c r="M401" t="n">
        <v>0</v>
      </c>
      <c r="N401" t="n">
        <v>0</v>
      </c>
      <c r="O401" t="n">
        <v>0</v>
      </c>
      <c r="P401" t="n">
        <v>0</v>
      </c>
      <c r="Q401" t="n">
        <v>0</v>
      </c>
      <c r="R401" s="2" t="inlineStr"/>
    </row>
    <row r="402" ht="15" customHeight="1">
      <c r="A402" t="inlineStr">
        <is>
          <t>A 58157-2021</t>
        </is>
      </c>
      <c r="B402" s="1" t="n">
        <v>44487.60703703704</v>
      </c>
      <c r="C402" s="1" t="n">
        <v>46129</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26944-2022</t>
        </is>
      </c>
      <c r="B403" s="1" t="n">
        <v>44740</v>
      </c>
      <c r="C403" s="1" t="n">
        <v>46129</v>
      </c>
      <c r="D403" t="inlineStr">
        <is>
          <t>JÄMTLANDS LÄN</t>
        </is>
      </c>
      <c r="E403" t="inlineStr">
        <is>
          <t>BERG</t>
        </is>
      </c>
      <c r="G403" t="n">
        <v>3.3</v>
      </c>
      <c r="H403" t="n">
        <v>0</v>
      </c>
      <c r="I403" t="n">
        <v>0</v>
      </c>
      <c r="J403" t="n">
        <v>0</v>
      </c>
      <c r="K403" t="n">
        <v>0</v>
      </c>
      <c r="L403" t="n">
        <v>0</v>
      </c>
      <c r="M403" t="n">
        <v>0</v>
      </c>
      <c r="N403" t="n">
        <v>0</v>
      </c>
      <c r="O403" t="n">
        <v>0</v>
      </c>
      <c r="P403" t="n">
        <v>0</v>
      </c>
      <c r="Q403" t="n">
        <v>0</v>
      </c>
      <c r="R403" s="2" t="inlineStr"/>
    </row>
    <row r="404" ht="15" customHeight="1">
      <c r="A404" t="inlineStr">
        <is>
          <t>A 43364-2025</t>
        </is>
      </c>
      <c r="B404" s="1" t="n">
        <v>45911.34483796296</v>
      </c>
      <c r="C404" s="1" t="n">
        <v>46129</v>
      </c>
      <c r="D404" t="inlineStr">
        <is>
          <t>JÄMTLANDS LÄN</t>
        </is>
      </c>
      <c r="E404" t="inlineStr">
        <is>
          <t>BERG</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62555-2023</t>
        </is>
      </c>
      <c r="B405" s="1" t="n">
        <v>45268.9262962963</v>
      </c>
      <c r="C405" s="1" t="n">
        <v>46129</v>
      </c>
      <c r="D405" t="inlineStr">
        <is>
          <t>JÄMTLANDS LÄN</t>
        </is>
      </c>
      <c r="E405" t="inlineStr">
        <is>
          <t>BERG</t>
        </is>
      </c>
      <c r="G405" t="n">
        <v>5</v>
      </c>
      <c r="H405" t="n">
        <v>0</v>
      </c>
      <c r="I405" t="n">
        <v>0</v>
      </c>
      <c r="J405" t="n">
        <v>0</v>
      </c>
      <c r="K405" t="n">
        <v>0</v>
      </c>
      <c r="L405" t="n">
        <v>0</v>
      </c>
      <c r="M405" t="n">
        <v>0</v>
      </c>
      <c r="N405" t="n">
        <v>0</v>
      </c>
      <c r="O405" t="n">
        <v>0</v>
      </c>
      <c r="P405" t="n">
        <v>0</v>
      </c>
      <c r="Q405" t="n">
        <v>0</v>
      </c>
      <c r="R405" s="2" t="inlineStr"/>
    </row>
    <row r="406" ht="15" customHeight="1">
      <c r="A406" t="inlineStr">
        <is>
          <t>A 47407-2024</t>
        </is>
      </c>
      <c r="B406" s="1" t="n">
        <v>45587.47828703704</v>
      </c>
      <c r="C406" s="1" t="n">
        <v>46129</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27737-2025</t>
        </is>
      </c>
      <c r="B407" s="1" t="n">
        <v>45815.34414351852</v>
      </c>
      <c r="C407" s="1" t="n">
        <v>46129</v>
      </c>
      <c r="D407" t="inlineStr">
        <is>
          <t>JÄMTLANDS LÄN</t>
        </is>
      </c>
      <c r="E407" t="inlineStr">
        <is>
          <t>BERG</t>
        </is>
      </c>
      <c r="F407" t="inlineStr">
        <is>
          <t>SCA</t>
        </is>
      </c>
      <c r="G407" t="n">
        <v>10.9</v>
      </c>
      <c r="H407" t="n">
        <v>0</v>
      </c>
      <c r="I407" t="n">
        <v>0</v>
      </c>
      <c r="J407" t="n">
        <v>0</v>
      </c>
      <c r="K407" t="n">
        <v>0</v>
      </c>
      <c r="L407" t="n">
        <v>0</v>
      </c>
      <c r="M407" t="n">
        <v>0</v>
      </c>
      <c r="N407" t="n">
        <v>0</v>
      </c>
      <c r="O407" t="n">
        <v>0</v>
      </c>
      <c r="P407" t="n">
        <v>0</v>
      </c>
      <c r="Q407" t="n">
        <v>0</v>
      </c>
      <c r="R407" s="2" t="inlineStr"/>
    </row>
    <row r="408" ht="15" customHeight="1">
      <c r="A408" t="inlineStr">
        <is>
          <t>A 13524-2024</t>
        </is>
      </c>
      <c r="B408" s="1" t="n">
        <v>45387.78174768519</v>
      </c>
      <c r="C408" s="1" t="n">
        <v>46129</v>
      </c>
      <c r="D408" t="inlineStr">
        <is>
          <t>JÄMTLANDS LÄN</t>
        </is>
      </c>
      <c r="E408" t="inlineStr">
        <is>
          <t>BERG</t>
        </is>
      </c>
      <c r="G408" t="n">
        <v>0.6</v>
      </c>
      <c r="H408" t="n">
        <v>0</v>
      </c>
      <c r="I408" t="n">
        <v>0</v>
      </c>
      <c r="J408" t="n">
        <v>0</v>
      </c>
      <c r="K408" t="n">
        <v>0</v>
      </c>
      <c r="L408" t="n">
        <v>0</v>
      </c>
      <c r="M408" t="n">
        <v>0</v>
      </c>
      <c r="N408" t="n">
        <v>0</v>
      </c>
      <c r="O408" t="n">
        <v>0</v>
      </c>
      <c r="P408" t="n">
        <v>0</v>
      </c>
      <c r="Q408" t="n">
        <v>0</v>
      </c>
      <c r="R408" s="2" t="inlineStr"/>
    </row>
    <row r="409" ht="15" customHeight="1">
      <c r="A409" t="inlineStr">
        <is>
          <t>A 28079-2025</t>
        </is>
      </c>
      <c r="B409" s="1" t="n">
        <v>45817.69681712963</v>
      </c>
      <c r="C409" s="1" t="n">
        <v>46129</v>
      </c>
      <c r="D409" t="inlineStr">
        <is>
          <t>JÄMTLANDS LÄN</t>
        </is>
      </c>
      <c r="E409" t="inlineStr">
        <is>
          <t>BERG</t>
        </is>
      </c>
      <c r="G409" t="n">
        <v>3.7</v>
      </c>
      <c r="H409" t="n">
        <v>0</v>
      </c>
      <c r="I409" t="n">
        <v>0</v>
      </c>
      <c r="J409" t="n">
        <v>0</v>
      </c>
      <c r="K409" t="n">
        <v>0</v>
      </c>
      <c r="L409" t="n">
        <v>0</v>
      </c>
      <c r="M409" t="n">
        <v>0</v>
      </c>
      <c r="N409" t="n">
        <v>0</v>
      </c>
      <c r="O409" t="n">
        <v>0</v>
      </c>
      <c r="P409" t="n">
        <v>0</v>
      </c>
      <c r="Q409" t="n">
        <v>0</v>
      </c>
      <c r="R409" s="2" t="inlineStr"/>
    </row>
    <row r="410" ht="15" customHeight="1">
      <c r="A410" t="inlineStr">
        <is>
          <t>A 28077-2025</t>
        </is>
      </c>
      <c r="B410" s="1" t="n">
        <v>45817.68596064814</v>
      </c>
      <c r="C410" s="1" t="n">
        <v>46129</v>
      </c>
      <c r="D410" t="inlineStr">
        <is>
          <t>JÄMTLANDS LÄN</t>
        </is>
      </c>
      <c r="E410" t="inlineStr">
        <is>
          <t>BERG</t>
        </is>
      </c>
      <c r="G410" t="n">
        <v>6</v>
      </c>
      <c r="H410" t="n">
        <v>0</v>
      </c>
      <c r="I410" t="n">
        <v>0</v>
      </c>
      <c r="J410" t="n">
        <v>0</v>
      </c>
      <c r="K410" t="n">
        <v>0</v>
      </c>
      <c r="L410" t="n">
        <v>0</v>
      </c>
      <c r="M410" t="n">
        <v>0</v>
      </c>
      <c r="N410" t="n">
        <v>0</v>
      </c>
      <c r="O410" t="n">
        <v>0</v>
      </c>
      <c r="P410" t="n">
        <v>0</v>
      </c>
      <c r="Q410" t="n">
        <v>0</v>
      </c>
      <c r="R410" s="2" t="inlineStr"/>
    </row>
    <row r="411" ht="15" customHeight="1">
      <c r="A411" t="inlineStr">
        <is>
          <t>A 44043-2025</t>
        </is>
      </c>
      <c r="B411" s="1" t="n">
        <v>45915.49266203704</v>
      </c>
      <c r="C411" s="1" t="n">
        <v>46129</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58437-2025</t>
        </is>
      </c>
      <c r="B412" s="1" t="n">
        <v>45985.61512731481</v>
      </c>
      <c r="C412" s="1" t="n">
        <v>46129</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43982-2025</t>
        </is>
      </c>
      <c r="B413" s="1" t="n">
        <v>45915.42771990741</v>
      </c>
      <c r="C413" s="1" t="n">
        <v>46129</v>
      </c>
      <c r="D413" t="inlineStr">
        <is>
          <t>JÄMTLANDS LÄN</t>
        </is>
      </c>
      <c r="E413" t="inlineStr">
        <is>
          <t>BERG</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27716-2025</t>
        </is>
      </c>
      <c r="B414" s="1" t="n">
        <v>45813.961875</v>
      </c>
      <c r="C414" s="1" t="n">
        <v>46129</v>
      </c>
      <c r="D414" t="inlineStr">
        <is>
          <t>JÄMTLANDS LÄN</t>
        </is>
      </c>
      <c r="E414" t="inlineStr">
        <is>
          <t>BERG</t>
        </is>
      </c>
      <c r="G414" t="n">
        <v>6.7</v>
      </c>
      <c r="H414" t="n">
        <v>0</v>
      </c>
      <c r="I414" t="n">
        <v>0</v>
      </c>
      <c r="J414" t="n">
        <v>0</v>
      </c>
      <c r="K414" t="n">
        <v>0</v>
      </c>
      <c r="L414" t="n">
        <v>0</v>
      </c>
      <c r="M414" t="n">
        <v>0</v>
      </c>
      <c r="N414" t="n">
        <v>0</v>
      </c>
      <c r="O414" t="n">
        <v>0</v>
      </c>
      <c r="P414" t="n">
        <v>0</v>
      </c>
      <c r="Q414" t="n">
        <v>0</v>
      </c>
      <c r="R414" s="2" t="inlineStr"/>
    </row>
    <row r="415" ht="15" customHeight="1">
      <c r="A415" t="inlineStr">
        <is>
          <t>A 27750-2025</t>
        </is>
      </c>
      <c r="B415" s="1" t="n">
        <v>45815.68543981481</v>
      </c>
      <c r="C415" s="1" t="n">
        <v>46129</v>
      </c>
      <c r="D415" t="inlineStr">
        <is>
          <t>JÄMTLANDS LÄN</t>
        </is>
      </c>
      <c r="E415" t="inlineStr">
        <is>
          <t>BERG</t>
        </is>
      </c>
      <c r="G415" t="n">
        <v>2.4</v>
      </c>
      <c r="H415" t="n">
        <v>0</v>
      </c>
      <c r="I415" t="n">
        <v>0</v>
      </c>
      <c r="J415" t="n">
        <v>0</v>
      </c>
      <c r="K415" t="n">
        <v>0</v>
      </c>
      <c r="L415" t="n">
        <v>0</v>
      </c>
      <c r="M415" t="n">
        <v>0</v>
      </c>
      <c r="N415" t="n">
        <v>0</v>
      </c>
      <c r="O415" t="n">
        <v>0</v>
      </c>
      <c r="P415" t="n">
        <v>0</v>
      </c>
      <c r="Q415" t="n">
        <v>0</v>
      </c>
      <c r="R415" s="2" t="inlineStr"/>
    </row>
    <row r="416" ht="15" customHeight="1">
      <c r="A416" t="inlineStr">
        <is>
          <t>A 7040-2024</t>
        </is>
      </c>
      <c r="B416" s="1" t="n">
        <v>45343</v>
      </c>
      <c r="C416" s="1" t="n">
        <v>46129</v>
      </c>
      <c r="D416" t="inlineStr">
        <is>
          <t>JÄMTLANDS LÄN</t>
        </is>
      </c>
      <c r="E416" t="inlineStr">
        <is>
          <t>BERG</t>
        </is>
      </c>
      <c r="G416" t="n">
        <v>15.9</v>
      </c>
      <c r="H416" t="n">
        <v>0</v>
      </c>
      <c r="I416" t="n">
        <v>0</v>
      </c>
      <c r="J416" t="n">
        <v>0</v>
      </c>
      <c r="K416" t="n">
        <v>0</v>
      </c>
      <c r="L416" t="n">
        <v>0</v>
      </c>
      <c r="M416" t="n">
        <v>0</v>
      </c>
      <c r="N416" t="n">
        <v>0</v>
      </c>
      <c r="O416" t="n">
        <v>0</v>
      </c>
      <c r="P416" t="n">
        <v>0</v>
      </c>
      <c r="Q416" t="n">
        <v>0</v>
      </c>
      <c r="R416" s="2" t="inlineStr"/>
    </row>
    <row r="417" ht="15" customHeight="1">
      <c r="A417" t="inlineStr">
        <is>
          <t>A 28257-2025</t>
        </is>
      </c>
      <c r="B417" s="1" t="n">
        <v>45818.55263888889</v>
      </c>
      <c r="C417" s="1" t="n">
        <v>46129</v>
      </c>
      <c r="D417" t="inlineStr">
        <is>
          <t>JÄMTLANDS LÄN</t>
        </is>
      </c>
      <c r="E417" t="inlineStr">
        <is>
          <t>BERG</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44302-2025</t>
        </is>
      </c>
      <c r="B418" s="1" t="n">
        <v>45915</v>
      </c>
      <c r="C418" s="1" t="n">
        <v>46129</v>
      </c>
      <c r="D418" t="inlineStr">
        <is>
          <t>JÄMTLANDS LÄN</t>
        </is>
      </c>
      <c r="E418" t="inlineStr">
        <is>
          <t>BERG</t>
        </is>
      </c>
      <c r="G418" t="n">
        <v>1.6</v>
      </c>
      <c r="H418" t="n">
        <v>0</v>
      </c>
      <c r="I418" t="n">
        <v>0</v>
      </c>
      <c r="J418" t="n">
        <v>0</v>
      </c>
      <c r="K418" t="n">
        <v>0</v>
      </c>
      <c r="L418" t="n">
        <v>0</v>
      </c>
      <c r="M418" t="n">
        <v>0</v>
      </c>
      <c r="N418" t="n">
        <v>0</v>
      </c>
      <c r="O418" t="n">
        <v>0</v>
      </c>
      <c r="P418" t="n">
        <v>0</v>
      </c>
      <c r="Q418" t="n">
        <v>0</v>
      </c>
      <c r="R418" s="2" t="inlineStr"/>
    </row>
    <row r="419" ht="15" customHeight="1">
      <c r="A419" t="inlineStr">
        <is>
          <t>A 28657-2025</t>
        </is>
      </c>
      <c r="B419" s="1" t="n">
        <v>45819.65709490741</v>
      </c>
      <c r="C419" s="1" t="n">
        <v>46129</v>
      </c>
      <c r="D419" t="inlineStr">
        <is>
          <t>JÄMTLANDS LÄN</t>
        </is>
      </c>
      <c r="E419" t="inlineStr">
        <is>
          <t>BERG</t>
        </is>
      </c>
      <c r="G419" t="n">
        <v>2.4</v>
      </c>
      <c r="H419" t="n">
        <v>0</v>
      </c>
      <c r="I419" t="n">
        <v>0</v>
      </c>
      <c r="J419" t="n">
        <v>0</v>
      </c>
      <c r="K419" t="n">
        <v>0</v>
      </c>
      <c r="L419" t="n">
        <v>0</v>
      </c>
      <c r="M419" t="n">
        <v>0</v>
      </c>
      <c r="N419" t="n">
        <v>0</v>
      </c>
      <c r="O419" t="n">
        <v>0</v>
      </c>
      <c r="P419" t="n">
        <v>0</v>
      </c>
      <c r="Q419" t="n">
        <v>0</v>
      </c>
      <c r="R419" s="2" t="inlineStr"/>
    </row>
    <row r="420" ht="15" customHeight="1">
      <c r="A420" t="inlineStr">
        <is>
          <t>A 44031-2025</t>
        </is>
      </c>
      <c r="B420" s="1" t="n">
        <v>45915.49019675926</v>
      </c>
      <c r="C420" s="1" t="n">
        <v>46129</v>
      </c>
      <c r="D420" t="inlineStr">
        <is>
          <t>JÄMTLANDS LÄN</t>
        </is>
      </c>
      <c r="E420" t="inlineStr">
        <is>
          <t>BERG</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28196-2025</t>
        </is>
      </c>
      <c r="B421" s="1" t="n">
        <v>45818.42753472222</v>
      </c>
      <c r="C421" s="1" t="n">
        <v>46129</v>
      </c>
      <c r="D421" t="inlineStr">
        <is>
          <t>JÄMTLANDS LÄN</t>
        </is>
      </c>
      <c r="E421" t="inlineStr">
        <is>
          <t>BERG</t>
        </is>
      </c>
      <c r="F421" t="inlineStr">
        <is>
          <t>SCA</t>
        </is>
      </c>
      <c r="G421" t="n">
        <v>6.6</v>
      </c>
      <c r="H421" t="n">
        <v>0</v>
      </c>
      <c r="I421" t="n">
        <v>0</v>
      </c>
      <c r="J421" t="n">
        <v>0</v>
      </c>
      <c r="K421" t="n">
        <v>0</v>
      </c>
      <c r="L421" t="n">
        <v>0</v>
      </c>
      <c r="M421" t="n">
        <v>0</v>
      </c>
      <c r="N421" t="n">
        <v>0</v>
      </c>
      <c r="O421" t="n">
        <v>0</v>
      </c>
      <c r="P421" t="n">
        <v>0</v>
      </c>
      <c r="Q421" t="n">
        <v>0</v>
      </c>
      <c r="R421" s="2" t="inlineStr"/>
    </row>
    <row r="422" ht="15" customHeight="1">
      <c r="A422" t="inlineStr">
        <is>
          <t>A 58581-2025</t>
        </is>
      </c>
      <c r="B422" s="1" t="n">
        <v>45986.38626157407</v>
      </c>
      <c r="C422" s="1" t="n">
        <v>46129</v>
      </c>
      <c r="D422" t="inlineStr">
        <is>
          <t>JÄMTLANDS LÄN</t>
        </is>
      </c>
      <c r="E422" t="inlineStr">
        <is>
          <t>BERG</t>
        </is>
      </c>
      <c r="G422" t="n">
        <v>6.9</v>
      </c>
      <c r="H422" t="n">
        <v>0</v>
      </c>
      <c r="I422" t="n">
        <v>0</v>
      </c>
      <c r="J422" t="n">
        <v>0</v>
      </c>
      <c r="K422" t="n">
        <v>0</v>
      </c>
      <c r="L422" t="n">
        <v>0</v>
      </c>
      <c r="M422" t="n">
        <v>0</v>
      </c>
      <c r="N422" t="n">
        <v>0</v>
      </c>
      <c r="O422" t="n">
        <v>0</v>
      </c>
      <c r="P422" t="n">
        <v>0</v>
      </c>
      <c r="Q422" t="n">
        <v>0</v>
      </c>
      <c r="R422" s="2" t="inlineStr"/>
    </row>
    <row r="423" ht="15" customHeight="1">
      <c r="A423" t="inlineStr">
        <is>
          <t>A 59010-2025</t>
        </is>
      </c>
      <c r="B423" s="1" t="n">
        <v>45987</v>
      </c>
      <c r="C423" s="1" t="n">
        <v>46129</v>
      </c>
      <c r="D423" t="inlineStr">
        <is>
          <t>JÄMTLANDS LÄN</t>
        </is>
      </c>
      <c r="E423" t="inlineStr">
        <is>
          <t>BERG</t>
        </is>
      </c>
      <c r="G423" t="n">
        <v>0.7</v>
      </c>
      <c r="H423" t="n">
        <v>0</v>
      </c>
      <c r="I423" t="n">
        <v>0</v>
      </c>
      <c r="J423" t="n">
        <v>0</v>
      </c>
      <c r="K423" t="n">
        <v>0</v>
      </c>
      <c r="L423" t="n">
        <v>0</v>
      </c>
      <c r="M423" t="n">
        <v>0</v>
      </c>
      <c r="N423" t="n">
        <v>0</v>
      </c>
      <c r="O423" t="n">
        <v>0</v>
      </c>
      <c r="P423" t="n">
        <v>0</v>
      </c>
      <c r="Q423" t="n">
        <v>0</v>
      </c>
      <c r="R423" s="2" t="inlineStr"/>
    </row>
    <row r="424" ht="15" customHeight="1">
      <c r="A424" t="inlineStr">
        <is>
          <t>A 58861-2025</t>
        </is>
      </c>
      <c r="B424" s="1" t="n">
        <v>45987.42820601852</v>
      </c>
      <c r="C424" s="1" t="n">
        <v>46129</v>
      </c>
      <c r="D424" t="inlineStr">
        <is>
          <t>JÄMTLANDS LÄN</t>
        </is>
      </c>
      <c r="E424" t="inlineStr">
        <is>
          <t>BERG</t>
        </is>
      </c>
      <c r="G424" t="n">
        <v>29.3</v>
      </c>
      <c r="H424" t="n">
        <v>0</v>
      </c>
      <c r="I424" t="n">
        <v>0</v>
      </c>
      <c r="J424" t="n">
        <v>0</v>
      </c>
      <c r="K424" t="n">
        <v>0</v>
      </c>
      <c r="L424" t="n">
        <v>0</v>
      </c>
      <c r="M424" t="n">
        <v>0</v>
      </c>
      <c r="N424" t="n">
        <v>0</v>
      </c>
      <c r="O424" t="n">
        <v>0</v>
      </c>
      <c r="P424" t="n">
        <v>0</v>
      </c>
      <c r="Q424" t="n">
        <v>0</v>
      </c>
      <c r="R424" s="2" t="inlineStr"/>
    </row>
    <row r="425" ht="15" customHeight="1">
      <c r="A425" t="inlineStr">
        <is>
          <t>A 43968-2025</t>
        </is>
      </c>
      <c r="B425" s="1" t="n">
        <v>45915</v>
      </c>
      <c r="C425" s="1" t="n">
        <v>46129</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28401-2025</t>
        </is>
      </c>
      <c r="B426" s="1" t="n">
        <v>45819.34469907408</v>
      </c>
      <c r="C426" s="1" t="n">
        <v>46129</v>
      </c>
      <c r="D426" t="inlineStr">
        <is>
          <t>JÄMTLANDS LÄN</t>
        </is>
      </c>
      <c r="E426" t="inlineStr">
        <is>
          <t>BERG</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58822-2025</t>
        </is>
      </c>
      <c r="B427" s="1" t="n">
        <v>45987.34506944445</v>
      </c>
      <c r="C427" s="1" t="n">
        <v>46129</v>
      </c>
      <c r="D427" t="inlineStr">
        <is>
          <t>JÄMTLANDS LÄN</t>
        </is>
      </c>
      <c r="E427" t="inlineStr">
        <is>
          <t>BERG</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58708-2025</t>
        </is>
      </c>
      <c r="B428" s="1" t="n">
        <v>45986.60412037037</v>
      </c>
      <c r="C428" s="1" t="n">
        <v>46129</v>
      </c>
      <c r="D428" t="inlineStr">
        <is>
          <t>JÄMTLANDS LÄN</t>
        </is>
      </c>
      <c r="E428" t="inlineStr">
        <is>
          <t>BERG</t>
        </is>
      </c>
      <c r="G428" t="n">
        <v>2.5</v>
      </c>
      <c r="H428" t="n">
        <v>0</v>
      </c>
      <c r="I428" t="n">
        <v>0</v>
      </c>
      <c r="J428" t="n">
        <v>0</v>
      </c>
      <c r="K428" t="n">
        <v>0</v>
      </c>
      <c r="L428" t="n">
        <v>0</v>
      </c>
      <c r="M428" t="n">
        <v>0</v>
      </c>
      <c r="N428" t="n">
        <v>0</v>
      </c>
      <c r="O428" t="n">
        <v>0</v>
      </c>
      <c r="P428" t="n">
        <v>0</v>
      </c>
      <c r="Q428" t="n">
        <v>0</v>
      </c>
      <c r="R428" s="2" t="inlineStr"/>
    </row>
    <row r="429" ht="15" customHeight="1">
      <c r="A429" t="inlineStr">
        <is>
          <t>A 59411-2025</t>
        </is>
      </c>
      <c r="B429" s="1" t="n">
        <v>45989.49638888889</v>
      </c>
      <c r="C429" s="1" t="n">
        <v>46129</v>
      </c>
      <c r="D429" t="inlineStr">
        <is>
          <t>JÄMTLANDS LÄN</t>
        </is>
      </c>
      <c r="E429" t="inlineStr">
        <is>
          <t>BERG</t>
        </is>
      </c>
      <c r="G429" t="n">
        <v>2.4</v>
      </c>
      <c r="H429" t="n">
        <v>0</v>
      </c>
      <c r="I429" t="n">
        <v>0</v>
      </c>
      <c r="J429" t="n">
        <v>0</v>
      </c>
      <c r="K429" t="n">
        <v>0</v>
      </c>
      <c r="L429" t="n">
        <v>0</v>
      </c>
      <c r="M429" t="n">
        <v>0</v>
      </c>
      <c r="N429" t="n">
        <v>0</v>
      </c>
      <c r="O429" t="n">
        <v>0</v>
      </c>
      <c r="P429" t="n">
        <v>0</v>
      </c>
      <c r="Q429" t="n">
        <v>0</v>
      </c>
      <c r="R429" s="2" t="inlineStr"/>
    </row>
    <row r="430" ht="15" customHeight="1">
      <c r="A430" t="inlineStr">
        <is>
          <t>A 59415-2025</t>
        </is>
      </c>
      <c r="B430" s="1" t="n">
        <v>45989.50196759259</v>
      </c>
      <c r="C430" s="1" t="n">
        <v>46129</v>
      </c>
      <c r="D430" t="inlineStr">
        <is>
          <t>JÄMTLANDS LÄN</t>
        </is>
      </c>
      <c r="E430" t="inlineStr">
        <is>
          <t>BERG</t>
        </is>
      </c>
      <c r="G430" t="n">
        <v>6.8</v>
      </c>
      <c r="H430" t="n">
        <v>0</v>
      </c>
      <c r="I430" t="n">
        <v>0</v>
      </c>
      <c r="J430" t="n">
        <v>0</v>
      </c>
      <c r="K430" t="n">
        <v>0</v>
      </c>
      <c r="L430" t="n">
        <v>0</v>
      </c>
      <c r="M430" t="n">
        <v>0</v>
      </c>
      <c r="N430" t="n">
        <v>0</v>
      </c>
      <c r="O430" t="n">
        <v>0</v>
      </c>
      <c r="P430" t="n">
        <v>0</v>
      </c>
      <c r="Q430" t="n">
        <v>0</v>
      </c>
      <c r="R430" s="2" t="inlineStr"/>
    </row>
    <row r="431" ht="15" customHeight="1">
      <c r="A431" t="inlineStr">
        <is>
          <t>A 28453-2025</t>
        </is>
      </c>
      <c r="B431" s="1" t="n">
        <v>45819.40668981482</v>
      </c>
      <c r="C431" s="1" t="n">
        <v>46129</v>
      </c>
      <c r="D431" t="inlineStr">
        <is>
          <t>JÄMTLANDS LÄN</t>
        </is>
      </c>
      <c r="E431" t="inlineStr">
        <is>
          <t>BERG</t>
        </is>
      </c>
      <c r="G431" t="n">
        <v>4.1</v>
      </c>
      <c r="H431" t="n">
        <v>0</v>
      </c>
      <c r="I431" t="n">
        <v>0</v>
      </c>
      <c r="J431" t="n">
        <v>0</v>
      </c>
      <c r="K431" t="n">
        <v>0</v>
      </c>
      <c r="L431" t="n">
        <v>0</v>
      </c>
      <c r="M431" t="n">
        <v>0</v>
      </c>
      <c r="N431" t="n">
        <v>0</v>
      </c>
      <c r="O431" t="n">
        <v>0</v>
      </c>
      <c r="P431" t="n">
        <v>0</v>
      </c>
      <c r="Q431" t="n">
        <v>0</v>
      </c>
      <c r="R431" s="2" t="inlineStr"/>
    </row>
    <row r="432" ht="15" customHeight="1">
      <c r="A432" t="inlineStr">
        <is>
          <t>A 59404-2025</t>
        </is>
      </c>
      <c r="B432" s="1" t="n">
        <v>45989.48997685185</v>
      </c>
      <c r="C432" s="1" t="n">
        <v>46129</v>
      </c>
      <c r="D432" t="inlineStr">
        <is>
          <t>JÄMTLANDS LÄN</t>
        </is>
      </c>
      <c r="E432" t="inlineStr">
        <is>
          <t>BERG</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59447-2025</t>
        </is>
      </c>
      <c r="B433" s="1" t="n">
        <v>45989</v>
      </c>
      <c r="C433" s="1" t="n">
        <v>46129</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28157-2025</t>
        </is>
      </c>
      <c r="B434" s="1" t="n">
        <v>45818.36512731481</v>
      </c>
      <c r="C434" s="1" t="n">
        <v>46129</v>
      </c>
      <c r="D434" t="inlineStr">
        <is>
          <t>JÄMTLANDS LÄN</t>
        </is>
      </c>
      <c r="E434" t="inlineStr">
        <is>
          <t>BERG</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37248-2023</t>
        </is>
      </c>
      <c r="B435" s="1" t="n">
        <v>45155.954375</v>
      </c>
      <c r="C435" s="1" t="n">
        <v>46129</v>
      </c>
      <c r="D435" t="inlineStr">
        <is>
          <t>JÄMTLANDS LÄN</t>
        </is>
      </c>
      <c r="E435" t="inlineStr">
        <is>
          <t>BERG</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44303-2025</t>
        </is>
      </c>
      <c r="B436" s="1" t="n">
        <v>45915</v>
      </c>
      <c r="C436" s="1" t="n">
        <v>46129</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28454-2025</t>
        </is>
      </c>
      <c r="B437" s="1" t="n">
        <v>45819.40679398148</v>
      </c>
      <c r="C437" s="1" t="n">
        <v>46129</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44572-2025</t>
        </is>
      </c>
      <c r="B438" s="1" t="n">
        <v>45917</v>
      </c>
      <c r="C438" s="1" t="n">
        <v>46129</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59210-2025</t>
        </is>
      </c>
      <c r="B439" s="1" t="n">
        <v>45988.61516203704</v>
      </c>
      <c r="C439" s="1" t="n">
        <v>46129</v>
      </c>
      <c r="D439" t="inlineStr">
        <is>
          <t>JÄMTLANDS LÄN</t>
        </is>
      </c>
      <c r="E439" t="inlineStr">
        <is>
          <t>BERG</t>
        </is>
      </c>
      <c r="G439" t="n">
        <v>2</v>
      </c>
      <c r="H439" t="n">
        <v>0</v>
      </c>
      <c r="I439" t="n">
        <v>0</v>
      </c>
      <c r="J439" t="n">
        <v>0</v>
      </c>
      <c r="K439" t="n">
        <v>0</v>
      </c>
      <c r="L439" t="n">
        <v>0</v>
      </c>
      <c r="M439" t="n">
        <v>0</v>
      </c>
      <c r="N439" t="n">
        <v>0</v>
      </c>
      <c r="O439" t="n">
        <v>0</v>
      </c>
      <c r="P439" t="n">
        <v>0</v>
      </c>
      <c r="Q439" t="n">
        <v>0</v>
      </c>
      <c r="R439" s="2" t="inlineStr"/>
    </row>
    <row r="440" ht="15" customHeight="1">
      <c r="A440" t="inlineStr">
        <is>
          <t>A 59253-2025</t>
        </is>
      </c>
      <c r="B440" s="1" t="n">
        <v>45988.65121527778</v>
      </c>
      <c r="C440" s="1" t="n">
        <v>46129</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59267-2025</t>
        </is>
      </c>
      <c r="B441" s="1" t="n">
        <v>45988.66127314815</v>
      </c>
      <c r="C441" s="1" t="n">
        <v>46129</v>
      </c>
      <c r="D441" t="inlineStr">
        <is>
          <t>JÄMTLANDS LÄN</t>
        </is>
      </c>
      <c r="E441" t="inlineStr">
        <is>
          <t>BERG</t>
        </is>
      </c>
      <c r="G441" t="n">
        <v>0.8</v>
      </c>
      <c r="H441" t="n">
        <v>0</v>
      </c>
      <c r="I441" t="n">
        <v>0</v>
      </c>
      <c r="J441" t="n">
        <v>0</v>
      </c>
      <c r="K441" t="n">
        <v>0</v>
      </c>
      <c r="L441" t="n">
        <v>0</v>
      </c>
      <c r="M441" t="n">
        <v>0</v>
      </c>
      <c r="N441" t="n">
        <v>0</v>
      </c>
      <c r="O441" t="n">
        <v>0</v>
      </c>
      <c r="P441" t="n">
        <v>0</v>
      </c>
      <c r="Q441" t="n">
        <v>0</v>
      </c>
      <c r="R441" s="2" t="inlineStr"/>
    </row>
    <row r="442" ht="15" customHeight="1">
      <c r="A442" t="inlineStr">
        <is>
          <t>A 59281-2025</t>
        </is>
      </c>
      <c r="B442" s="1" t="n">
        <v>45988.7234375</v>
      </c>
      <c r="C442" s="1" t="n">
        <v>46129</v>
      </c>
      <c r="D442" t="inlineStr">
        <is>
          <t>JÄMTLANDS LÄN</t>
        </is>
      </c>
      <c r="E442" t="inlineStr">
        <is>
          <t>BERG</t>
        </is>
      </c>
      <c r="G442" t="n">
        <v>16.7</v>
      </c>
      <c r="H442" t="n">
        <v>0</v>
      </c>
      <c r="I442" t="n">
        <v>0</v>
      </c>
      <c r="J442" t="n">
        <v>0</v>
      </c>
      <c r="K442" t="n">
        <v>0</v>
      </c>
      <c r="L442" t="n">
        <v>0</v>
      </c>
      <c r="M442" t="n">
        <v>0</v>
      </c>
      <c r="N442" t="n">
        <v>0</v>
      </c>
      <c r="O442" t="n">
        <v>0</v>
      </c>
      <c r="P442" t="n">
        <v>0</v>
      </c>
      <c r="Q442" t="n">
        <v>0</v>
      </c>
      <c r="R442" s="2" t="inlineStr"/>
    </row>
    <row r="443" ht="15" customHeight="1">
      <c r="A443" t="inlineStr">
        <is>
          <t>A 59424-2025</t>
        </is>
      </c>
      <c r="B443" s="1" t="n">
        <v>45989.53782407408</v>
      </c>
      <c r="C443" s="1" t="n">
        <v>46129</v>
      </c>
      <c r="D443" t="inlineStr">
        <is>
          <t>JÄMTLANDS LÄN</t>
        </is>
      </c>
      <c r="E443" t="inlineStr">
        <is>
          <t>BERG</t>
        </is>
      </c>
      <c r="G443" t="n">
        <v>3.9</v>
      </c>
      <c r="H443" t="n">
        <v>0</v>
      </c>
      <c r="I443" t="n">
        <v>0</v>
      </c>
      <c r="J443" t="n">
        <v>0</v>
      </c>
      <c r="K443" t="n">
        <v>0</v>
      </c>
      <c r="L443" t="n">
        <v>0</v>
      </c>
      <c r="M443" t="n">
        <v>0</v>
      </c>
      <c r="N443" t="n">
        <v>0</v>
      </c>
      <c r="O443" t="n">
        <v>0</v>
      </c>
      <c r="P443" t="n">
        <v>0</v>
      </c>
      <c r="Q443" t="n">
        <v>0</v>
      </c>
      <c r="R443" s="2" t="inlineStr"/>
    </row>
    <row r="444" ht="15" customHeight="1">
      <c r="A444" t="inlineStr">
        <is>
          <t>A 59652-2025</t>
        </is>
      </c>
      <c r="B444" s="1" t="n">
        <v>45992</v>
      </c>
      <c r="C444" s="1" t="n">
        <v>46129</v>
      </c>
      <c r="D444" t="inlineStr">
        <is>
          <t>JÄMTLANDS LÄN</t>
        </is>
      </c>
      <c r="E444" t="inlineStr">
        <is>
          <t>BERG</t>
        </is>
      </c>
      <c r="G444" t="n">
        <v>4</v>
      </c>
      <c r="H444" t="n">
        <v>0</v>
      </c>
      <c r="I444" t="n">
        <v>0</v>
      </c>
      <c r="J444" t="n">
        <v>0</v>
      </c>
      <c r="K444" t="n">
        <v>0</v>
      </c>
      <c r="L444" t="n">
        <v>0</v>
      </c>
      <c r="M444" t="n">
        <v>0</v>
      </c>
      <c r="N444" t="n">
        <v>0</v>
      </c>
      <c r="O444" t="n">
        <v>0</v>
      </c>
      <c r="P444" t="n">
        <v>0</v>
      </c>
      <c r="Q444" t="n">
        <v>0</v>
      </c>
      <c r="R444" s="2" t="inlineStr"/>
    </row>
    <row r="445" ht="15" customHeight="1">
      <c r="A445" t="inlineStr">
        <is>
          <t>A 59890-2025</t>
        </is>
      </c>
      <c r="B445" s="1" t="n">
        <v>45993.33128472222</v>
      </c>
      <c r="C445" s="1" t="n">
        <v>46129</v>
      </c>
      <c r="D445" t="inlineStr">
        <is>
          <t>JÄMTLANDS LÄN</t>
        </is>
      </c>
      <c r="E445" t="inlineStr">
        <is>
          <t>BERG</t>
        </is>
      </c>
      <c r="G445" t="n">
        <v>4</v>
      </c>
      <c r="H445" t="n">
        <v>0</v>
      </c>
      <c r="I445" t="n">
        <v>0</v>
      </c>
      <c r="J445" t="n">
        <v>0</v>
      </c>
      <c r="K445" t="n">
        <v>0</v>
      </c>
      <c r="L445" t="n">
        <v>0</v>
      </c>
      <c r="M445" t="n">
        <v>0</v>
      </c>
      <c r="N445" t="n">
        <v>0</v>
      </c>
      <c r="O445" t="n">
        <v>0</v>
      </c>
      <c r="P445" t="n">
        <v>0</v>
      </c>
      <c r="Q445" t="n">
        <v>0</v>
      </c>
      <c r="R445" s="2" t="inlineStr"/>
    </row>
    <row r="446" ht="15" customHeight="1">
      <c r="A446" t="inlineStr">
        <is>
          <t>A 59841-2025</t>
        </is>
      </c>
      <c r="B446" s="1" t="n">
        <v>45992</v>
      </c>
      <c r="C446" s="1" t="n">
        <v>46129</v>
      </c>
      <c r="D446" t="inlineStr">
        <is>
          <t>JÄMTLANDS LÄN</t>
        </is>
      </c>
      <c r="E446" t="inlineStr">
        <is>
          <t>BERG</t>
        </is>
      </c>
      <c r="G446" t="n">
        <v>14.9</v>
      </c>
      <c r="H446" t="n">
        <v>0</v>
      </c>
      <c r="I446" t="n">
        <v>0</v>
      </c>
      <c r="J446" t="n">
        <v>0</v>
      </c>
      <c r="K446" t="n">
        <v>0</v>
      </c>
      <c r="L446" t="n">
        <v>0</v>
      </c>
      <c r="M446" t="n">
        <v>0</v>
      </c>
      <c r="N446" t="n">
        <v>0</v>
      </c>
      <c r="O446" t="n">
        <v>0</v>
      </c>
      <c r="P446" t="n">
        <v>0</v>
      </c>
      <c r="Q446" t="n">
        <v>0</v>
      </c>
      <c r="R446" s="2" t="inlineStr"/>
    </row>
    <row r="447" ht="15" customHeight="1">
      <c r="A447" t="inlineStr">
        <is>
          <t>A 60077-2025</t>
        </is>
      </c>
      <c r="B447" s="1" t="n">
        <v>45993.67987268518</v>
      </c>
      <c r="C447" s="1" t="n">
        <v>46129</v>
      </c>
      <c r="D447" t="inlineStr">
        <is>
          <t>JÄMTLANDS LÄN</t>
        </is>
      </c>
      <c r="E447" t="inlineStr">
        <is>
          <t>BERG</t>
        </is>
      </c>
      <c r="G447" t="n">
        <v>0.7</v>
      </c>
      <c r="H447" t="n">
        <v>0</v>
      </c>
      <c r="I447" t="n">
        <v>0</v>
      </c>
      <c r="J447" t="n">
        <v>0</v>
      </c>
      <c r="K447" t="n">
        <v>0</v>
      </c>
      <c r="L447" t="n">
        <v>0</v>
      </c>
      <c r="M447" t="n">
        <v>0</v>
      </c>
      <c r="N447" t="n">
        <v>0</v>
      </c>
      <c r="O447" t="n">
        <v>0</v>
      </c>
      <c r="P447" t="n">
        <v>0</v>
      </c>
      <c r="Q447" t="n">
        <v>0</v>
      </c>
      <c r="R447" s="2" t="inlineStr"/>
    </row>
    <row r="448" ht="15" customHeight="1">
      <c r="A448" t="inlineStr">
        <is>
          <t>A 60051-2025</t>
        </is>
      </c>
      <c r="B448" s="1" t="n">
        <v>45993.6353125</v>
      </c>
      <c r="C448" s="1" t="n">
        <v>46129</v>
      </c>
      <c r="D448" t="inlineStr">
        <is>
          <t>JÄMTLANDS LÄN</t>
        </is>
      </c>
      <c r="E448" t="inlineStr">
        <is>
          <t>BERG</t>
        </is>
      </c>
      <c r="G448" t="n">
        <v>1.4</v>
      </c>
      <c r="H448" t="n">
        <v>0</v>
      </c>
      <c r="I448" t="n">
        <v>0</v>
      </c>
      <c r="J448" t="n">
        <v>0</v>
      </c>
      <c r="K448" t="n">
        <v>0</v>
      </c>
      <c r="L448" t="n">
        <v>0</v>
      </c>
      <c r="M448" t="n">
        <v>0</v>
      </c>
      <c r="N448" t="n">
        <v>0</v>
      </c>
      <c r="O448" t="n">
        <v>0</v>
      </c>
      <c r="P448" t="n">
        <v>0</v>
      </c>
      <c r="Q448" t="n">
        <v>0</v>
      </c>
      <c r="R448" s="2" t="inlineStr"/>
    </row>
    <row r="449" ht="15" customHeight="1">
      <c r="A449" t="inlineStr">
        <is>
          <t>A 29199-2025</t>
        </is>
      </c>
      <c r="B449" s="1" t="n">
        <v>45823.34459490741</v>
      </c>
      <c r="C449" s="1" t="n">
        <v>46129</v>
      </c>
      <c r="D449" t="inlineStr">
        <is>
          <t>JÄMTLANDS LÄN</t>
        </is>
      </c>
      <c r="E449" t="inlineStr">
        <is>
          <t>BERG</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60163-2025</t>
        </is>
      </c>
      <c r="B450" s="1" t="n">
        <v>45994.43094907407</v>
      </c>
      <c r="C450" s="1" t="n">
        <v>46129</v>
      </c>
      <c r="D450" t="inlineStr">
        <is>
          <t>JÄMTLANDS LÄN</t>
        </is>
      </c>
      <c r="E450" t="inlineStr">
        <is>
          <t>BERG</t>
        </is>
      </c>
      <c r="F450" t="inlineStr">
        <is>
          <t>Övriga Aktiebolag</t>
        </is>
      </c>
      <c r="G450" t="n">
        <v>7</v>
      </c>
      <c r="H450" t="n">
        <v>0</v>
      </c>
      <c r="I450" t="n">
        <v>0</v>
      </c>
      <c r="J450" t="n">
        <v>0</v>
      </c>
      <c r="K450" t="n">
        <v>0</v>
      </c>
      <c r="L450" t="n">
        <v>0</v>
      </c>
      <c r="M450" t="n">
        <v>0</v>
      </c>
      <c r="N450" t="n">
        <v>0</v>
      </c>
      <c r="O450" t="n">
        <v>0</v>
      </c>
      <c r="P450" t="n">
        <v>0</v>
      </c>
      <c r="Q450" t="n">
        <v>0</v>
      </c>
      <c r="R450" s="2" t="inlineStr"/>
    </row>
    <row r="451" ht="15" customHeight="1">
      <c r="A451" t="inlineStr">
        <is>
          <t>A 29197-2025</t>
        </is>
      </c>
      <c r="B451" s="1" t="n">
        <v>45823.34438657408</v>
      </c>
      <c r="C451" s="1" t="n">
        <v>46129</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44697-2025</t>
        </is>
      </c>
      <c r="B452" s="1" t="n">
        <v>45917.59888888889</v>
      </c>
      <c r="C452" s="1" t="n">
        <v>46129</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45249-2025</t>
        </is>
      </c>
      <c r="B453" s="1" t="n">
        <v>45919.61225694444</v>
      </c>
      <c r="C453" s="1" t="n">
        <v>46129</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29310-2025</t>
        </is>
      </c>
      <c r="B454" s="1" t="n">
        <v>45824.46353009259</v>
      </c>
      <c r="C454" s="1" t="n">
        <v>46129</v>
      </c>
      <c r="D454" t="inlineStr">
        <is>
          <t>JÄMTLANDS LÄN</t>
        </is>
      </c>
      <c r="E454" t="inlineStr">
        <is>
          <t>BERG</t>
        </is>
      </c>
      <c r="G454" t="n">
        <v>5.6</v>
      </c>
      <c r="H454" t="n">
        <v>0</v>
      </c>
      <c r="I454" t="n">
        <v>0</v>
      </c>
      <c r="J454" t="n">
        <v>0</v>
      </c>
      <c r="K454" t="n">
        <v>0</v>
      </c>
      <c r="L454" t="n">
        <v>0</v>
      </c>
      <c r="M454" t="n">
        <v>0</v>
      </c>
      <c r="N454" t="n">
        <v>0</v>
      </c>
      <c r="O454" t="n">
        <v>0</v>
      </c>
      <c r="P454" t="n">
        <v>0</v>
      </c>
      <c r="Q454" t="n">
        <v>0</v>
      </c>
      <c r="R454" s="2" t="inlineStr"/>
    </row>
    <row r="455" ht="15" customHeight="1">
      <c r="A455" t="inlineStr">
        <is>
          <t>A 29538-2025</t>
        </is>
      </c>
      <c r="B455" s="1" t="n">
        <v>45825.34517361111</v>
      </c>
      <c r="C455" s="1" t="n">
        <v>46129</v>
      </c>
      <c r="D455" t="inlineStr">
        <is>
          <t>JÄMTLANDS LÄN</t>
        </is>
      </c>
      <c r="E455" t="inlineStr">
        <is>
          <t>BERG</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45171-2025</t>
        </is>
      </c>
      <c r="B456" s="1" t="n">
        <v>45919.50256944444</v>
      </c>
      <c r="C456" s="1" t="n">
        <v>46129</v>
      </c>
      <c r="D456" t="inlineStr">
        <is>
          <t>JÄMTLANDS LÄN</t>
        </is>
      </c>
      <c r="E456" t="inlineStr">
        <is>
          <t>BERG</t>
        </is>
      </c>
      <c r="F456" t="inlineStr">
        <is>
          <t>Övriga Aktiebolag</t>
        </is>
      </c>
      <c r="G456" t="n">
        <v>10.7</v>
      </c>
      <c r="H456" t="n">
        <v>0</v>
      </c>
      <c r="I456" t="n">
        <v>0</v>
      </c>
      <c r="J456" t="n">
        <v>0</v>
      </c>
      <c r="K456" t="n">
        <v>0</v>
      </c>
      <c r="L456" t="n">
        <v>0</v>
      </c>
      <c r="M456" t="n">
        <v>0</v>
      </c>
      <c r="N456" t="n">
        <v>0</v>
      </c>
      <c r="O456" t="n">
        <v>0</v>
      </c>
      <c r="P456" t="n">
        <v>0</v>
      </c>
      <c r="Q456" t="n">
        <v>0</v>
      </c>
      <c r="R456" s="2" t="inlineStr"/>
    </row>
    <row r="457" ht="15" customHeight="1">
      <c r="A457" t="inlineStr">
        <is>
          <t>A 29533-2025</t>
        </is>
      </c>
      <c r="B457" s="1" t="n">
        <v>45825.34466435185</v>
      </c>
      <c r="C457" s="1" t="n">
        <v>46129</v>
      </c>
      <c r="D457" t="inlineStr">
        <is>
          <t>JÄMTLANDS LÄN</t>
        </is>
      </c>
      <c r="E457" t="inlineStr">
        <is>
          <t>BERG</t>
        </is>
      </c>
      <c r="F457" t="inlineStr">
        <is>
          <t>SCA</t>
        </is>
      </c>
      <c r="G457" t="n">
        <v>10</v>
      </c>
      <c r="H457" t="n">
        <v>0</v>
      </c>
      <c r="I457" t="n">
        <v>0</v>
      </c>
      <c r="J457" t="n">
        <v>0</v>
      </c>
      <c r="K457" t="n">
        <v>0</v>
      </c>
      <c r="L457" t="n">
        <v>0</v>
      </c>
      <c r="M457" t="n">
        <v>0</v>
      </c>
      <c r="N457" t="n">
        <v>0</v>
      </c>
      <c r="O457" t="n">
        <v>0</v>
      </c>
      <c r="P457" t="n">
        <v>0</v>
      </c>
      <c r="Q457" t="n">
        <v>0</v>
      </c>
      <c r="R457" s="2" t="inlineStr"/>
    </row>
    <row r="458" ht="15" customHeight="1">
      <c r="A458" t="inlineStr">
        <is>
          <t>A 29279-2025</t>
        </is>
      </c>
      <c r="B458" s="1" t="n">
        <v>45824.42381944445</v>
      </c>
      <c r="C458" s="1" t="n">
        <v>46129</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46129</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29198-2025</t>
        </is>
      </c>
      <c r="B460" s="1" t="n">
        <v>45823.34451388889</v>
      </c>
      <c r="C460" s="1" t="n">
        <v>46129</v>
      </c>
      <c r="D460" t="inlineStr">
        <is>
          <t>JÄMTLANDS LÄN</t>
        </is>
      </c>
      <c r="E460" t="inlineStr">
        <is>
          <t>BERG</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38962-2024</t>
        </is>
      </c>
      <c r="B461" s="1" t="n">
        <v>45548.36175925926</v>
      </c>
      <c r="C461" s="1" t="n">
        <v>46129</v>
      </c>
      <c r="D461" t="inlineStr">
        <is>
          <t>JÄMTLANDS LÄN</t>
        </is>
      </c>
      <c r="E461" t="inlineStr">
        <is>
          <t>BERG</t>
        </is>
      </c>
      <c r="G461" t="n">
        <v>2.2</v>
      </c>
      <c r="H461" t="n">
        <v>0</v>
      </c>
      <c r="I461" t="n">
        <v>0</v>
      </c>
      <c r="J461" t="n">
        <v>0</v>
      </c>
      <c r="K461" t="n">
        <v>0</v>
      </c>
      <c r="L461" t="n">
        <v>0</v>
      </c>
      <c r="M461" t="n">
        <v>0</v>
      </c>
      <c r="N461" t="n">
        <v>0</v>
      </c>
      <c r="O461" t="n">
        <v>0</v>
      </c>
      <c r="P461" t="n">
        <v>0</v>
      </c>
      <c r="Q461" t="n">
        <v>0</v>
      </c>
      <c r="R461" s="2" t="inlineStr"/>
    </row>
    <row r="462" ht="15" customHeight="1">
      <c r="A462" t="inlineStr">
        <is>
          <t>A 45150-2025</t>
        </is>
      </c>
      <c r="B462" s="1" t="n">
        <v>45919.47131944444</v>
      </c>
      <c r="C462" s="1" t="n">
        <v>46129</v>
      </c>
      <c r="D462" t="inlineStr">
        <is>
          <t>JÄMTLANDS LÄN</t>
        </is>
      </c>
      <c r="E462" t="inlineStr">
        <is>
          <t>BERG</t>
        </is>
      </c>
      <c r="F462" t="inlineStr">
        <is>
          <t>Övriga Aktiebolag</t>
        </is>
      </c>
      <c r="G462" t="n">
        <v>9.6</v>
      </c>
      <c r="H462" t="n">
        <v>0</v>
      </c>
      <c r="I462" t="n">
        <v>0</v>
      </c>
      <c r="J462" t="n">
        <v>0</v>
      </c>
      <c r="K462" t="n">
        <v>0</v>
      </c>
      <c r="L462" t="n">
        <v>0</v>
      </c>
      <c r="M462" t="n">
        <v>0</v>
      </c>
      <c r="N462" t="n">
        <v>0</v>
      </c>
      <c r="O462" t="n">
        <v>0</v>
      </c>
      <c r="P462" t="n">
        <v>0</v>
      </c>
      <c r="Q462" t="n">
        <v>0</v>
      </c>
      <c r="R462" s="2" t="inlineStr"/>
    </row>
    <row r="463" ht="15" customHeight="1">
      <c r="A463" t="inlineStr">
        <is>
          <t>A 29836-2025</t>
        </is>
      </c>
      <c r="B463" s="1" t="n">
        <v>45825.9468287037</v>
      </c>
      <c r="C463" s="1" t="n">
        <v>46129</v>
      </c>
      <c r="D463" t="inlineStr">
        <is>
          <t>JÄMTLANDS LÄN</t>
        </is>
      </c>
      <c r="E463" t="inlineStr">
        <is>
          <t>BERG</t>
        </is>
      </c>
      <c r="G463" t="n">
        <v>12.7</v>
      </c>
      <c r="H463" t="n">
        <v>0</v>
      </c>
      <c r="I463" t="n">
        <v>0</v>
      </c>
      <c r="J463" t="n">
        <v>0</v>
      </c>
      <c r="K463" t="n">
        <v>0</v>
      </c>
      <c r="L463" t="n">
        <v>0</v>
      </c>
      <c r="M463" t="n">
        <v>0</v>
      </c>
      <c r="N463" t="n">
        <v>0</v>
      </c>
      <c r="O463" t="n">
        <v>0</v>
      </c>
      <c r="P463" t="n">
        <v>0</v>
      </c>
      <c r="Q463" t="n">
        <v>0</v>
      </c>
      <c r="R463" s="2" t="inlineStr"/>
    </row>
    <row r="464" ht="15" customHeight="1">
      <c r="A464" t="inlineStr">
        <is>
          <t>A 32879-2024</t>
        </is>
      </c>
      <c r="B464" s="1" t="n">
        <v>45516.68450231481</v>
      </c>
      <c r="C464" s="1" t="n">
        <v>46129</v>
      </c>
      <c r="D464" t="inlineStr">
        <is>
          <t>JÄMTLANDS LÄN</t>
        </is>
      </c>
      <c r="E464" t="inlineStr">
        <is>
          <t>BERG</t>
        </is>
      </c>
      <c r="G464" t="n">
        <v>2</v>
      </c>
      <c r="H464" t="n">
        <v>0</v>
      </c>
      <c r="I464" t="n">
        <v>0</v>
      </c>
      <c r="J464" t="n">
        <v>0</v>
      </c>
      <c r="K464" t="n">
        <v>0</v>
      </c>
      <c r="L464" t="n">
        <v>0</v>
      </c>
      <c r="M464" t="n">
        <v>0</v>
      </c>
      <c r="N464" t="n">
        <v>0</v>
      </c>
      <c r="O464" t="n">
        <v>0</v>
      </c>
      <c r="P464" t="n">
        <v>0</v>
      </c>
      <c r="Q464" t="n">
        <v>0</v>
      </c>
      <c r="R464" s="2" t="inlineStr"/>
    </row>
    <row r="465" ht="15" customHeight="1">
      <c r="A465" t="inlineStr">
        <is>
          <t>A 44811-2025</t>
        </is>
      </c>
      <c r="B465" s="1" t="n">
        <v>45918.37195601852</v>
      </c>
      <c r="C465" s="1" t="n">
        <v>46129</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45109-2025</t>
        </is>
      </c>
      <c r="B466" s="1" t="n">
        <v>45919.41850694444</v>
      </c>
      <c r="C466" s="1" t="n">
        <v>46129</v>
      </c>
      <c r="D466" t="inlineStr">
        <is>
          <t>JÄMTLANDS LÄN</t>
        </is>
      </c>
      <c r="E466" t="inlineStr">
        <is>
          <t>BERG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45254-2025</t>
        </is>
      </c>
      <c r="B467" s="1" t="n">
        <v>45919.61523148148</v>
      </c>
      <c r="C467" s="1" t="n">
        <v>46129</v>
      </c>
      <c r="D467" t="inlineStr">
        <is>
          <t>JÄMTLANDS LÄN</t>
        </is>
      </c>
      <c r="E467" t="inlineStr">
        <is>
          <t>BERG</t>
        </is>
      </c>
      <c r="G467" t="n">
        <v>0.9</v>
      </c>
      <c r="H467" t="n">
        <v>0</v>
      </c>
      <c r="I467" t="n">
        <v>0</v>
      </c>
      <c r="J467" t="n">
        <v>0</v>
      </c>
      <c r="K467" t="n">
        <v>0</v>
      </c>
      <c r="L467" t="n">
        <v>0</v>
      </c>
      <c r="M467" t="n">
        <v>0</v>
      </c>
      <c r="N467" t="n">
        <v>0</v>
      </c>
      <c r="O467" t="n">
        <v>0</v>
      </c>
      <c r="P467" t="n">
        <v>0</v>
      </c>
      <c r="Q467" t="n">
        <v>0</v>
      </c>
      <c r="R467" s="2" t="inlineStr"/>
    </row>
    <row r="468" ht="15" customHeight="1">
      <c r="A468" t="inlineStr">
        <is>
          <t>A 30017-2025</t>
        </is>
      </c>
      <c r="B468" s="1" t="n">
        <v>45826.55306712963</v>
      </c>
      <c r="C468" s="1" t="n">
        <v>46129</v>
      </c>
      <c r="D468" t="inlineStr">
        <is>
          <t>JÄMTLANDS LÄN</t>
        </is>
      </c>
      <c r="E468" t="inlineStr">
        <is>
          <t>BERG</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60463-2025</t>
        </is>
      </c>
      <c r="B469" s="1" t="n">
        <v>45995.55276620371</v>
      </c>
      <c r="C469" s="1" t="n">
        <v>46129</v>
      </c>
      <c r="D469" t="inlineStr">
        <is>
          <t>JÄMTLANDS LÄN</t>
        </is>
      </c>
      <c r="E469" t="inlineStr">
        <is>
          <t>BERG</t>
        </is>
      </c>
      <c r="G469" t="n">
        <v>4.3</v>
      </c>
      <c r="H469" t="n">
        <v>0</v>
      </c>
      <c r="I469" t="n">
        <v>0</v>
      </c>
      <c r="J469" t="n">
        <v>0</v>
      </c>
      <c r="K469" t="n">
        <v>0</v>
      </c>
      <c r="L469" t="n">
        <v>0</v>
      </c>
      <c r="M469" t="n">
        <v>0</v>
      </c>
      <c r="N469" t="n">
        <v>0</v>
      </c>
      <c r="O469" t="n">
        <v>0</v>
      </c>
      <c r="P469" t="n">
        <v>0</v>
      </c>
      <c r="Q469" t="n">
        <v>0</v>
      </c>
      <c r="R469" s="2" t="inlineStr"/>
    </row>
    <row r="470" ht="15" customHeight="1">
      <c r="A470" t="inlineStr">
        <is>
          <t>A 22020-2024</t>
        </is>
      </c>
      <c r="B470" s="1" t="n">
        <v>45443.5894675926</v>
      </c>
      <c r="C470" s="1" t="n">
        <v>46129</v>
      </c>
      <c r="D470" t="inlineStr">
        <is>
          <t>JÄMTLANDS LÄN</t>
        </is>
      </c>
      <c r="E470" t="inlineStr">
        <is>
          <t>BERG</t>
        </is>
      </c>
      <c r="G470" t="n">
        <v>4.9</v>
      </c>
      <c r="H470" t="n">
        <v>0</v>
      </c>
      <c r="I470" t="n">
        <v>0</v>
      </c>
      <c r="J470" t="n">
        <v>0</v>
      </c>
      <c r="K470" t="n">
        <v>0</v>
      </c>
      <c r="L470" t="n">
        <v>0</v>
      </c>
      <c r="M470" t="n">
        <v>0</v>
      </c>
      <c r="N470" t="n">
        <v>0</v>
      </c>
      <c r="O470" t="n">
        <v>0</v>
      </c>
      <c r="P470" t="n">
        <v>0</v>
      </c>
      <c r="Q470" t="n">
        <v>0</v>
      </c>
      <c r="R470" s="2" t="inlineStr"/>
    </row>
    <row r="471" ht="15" customHeight="1">
      <c r="A471" t="inlineStr">
        <is>
          <t>A 17748-2024</t>
        </is>
      </c>
      <c r="B471" s="1" t="n">
        <v>45418</v>
      </c>
      <c r="C471" s="1" t="n">
        <v>46129</v>
      </c>
      <c r="D471" t="inlineStr">
        <is>
          <t>JÄMTLANDS LÄN</t>
        </is>
      </c>
      <c r="E471" t="inlineStr">
        <is>
          <t>BERG</t>
        </is>
      </c>
      <c r="G471" t="n">
        <v>0.9</v>
      </c>
      <c r="H471" t="n">
        <v>0</v>
      </c>
      <c r="I471" t="n">
        <v>0</v>
      </c>
      <c r="J471" t="n">
        <v>0</v>
      </c>
      <c r="K471" t="n">
        <v>0</v>
      </c>
      <c r="L471" t="n">
        <v>0</v>
      </c>
      <c r="M471" t="n">
        <v>0</v>
      </c>
      <c r="N471" t="n">
        <v>0</v>
      </c>
      <c r="O471" t="n">
        <v>0</v>
      </c>
      <c r="P471" t="n">
        <v>0</v>
      </c>
      <c r="Q471" t="n">
        <v>0</v>
      </c>
      <c r="R471" s="2" t="inlineStr"/>
    </row>
    <row r="472" ht="15" customHeight="1">
      <c r="A472" t="inlineStr">
        <is>
          <t>A 45640-2025</t>
        </is>
      </c>
      <c r="B472" s="1" t="n">
        <v>45922.961875</v>
      </c>
      <c r="C472" s="1" t="n">
        <v>46129</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45568-2025</t>
        </is>
      </c>
      <c r="B473" s="1" t="n">
        <v>45922.65672453704</v>
      </c>
      <c r="C473" s="1" t="n">
        <v>46129</v>
      </c>
      <c r="D473" t="inlineStr">
        <is>
          <t>JÄMTLANDS LÄN</t>
        </is>
      </c>
      <c r="E473" t="inlineStr">
        <is>
          <t>BERG</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18833-2024</t>
        </is>
      </c>
      <c r="B474" s="1" t="n">
        <v>45426.65157407407</v>
      </c>
      <c r="C474" s="1" t="n">
        <v>46129</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45459-2025</t>
        </is>
      </c>
      <c r="B475" s="1" t="n">
        <v>45922.49230324074</v>
      </c>
      <c r="C475" s="1" t="n">
        <v>46129</v>
      </c>
      <c r="D475" t="inlineStr">
        <is>
          <t>JÄMTLANDS LÄN</t>
        </is>
      </c>
      <c r="E475" t="inlineStr">
        <is>
          <t>BERG</t>
        </is>
      </c>
      <c r="F475" t="inlineStr">
        <is>
          <t>Kyrkan</t>
        </is>
      </c>
      <c r="G475" t="n">
        <v>8</v>
      </c>
      <c r="H475" t="n">
        <v>0</v>
      </c>
      <c r="I475" t="n">
        <v>0</v>
      </c>
      <c r="J475" t="n">
        <v>0</v>
      </c>
      <c r="K475" t="n">
        <v>0</v>
      </c>
      <c r="L475" t="n">
        <v>0</v>
      </c>
      <c r="M475" t="n">
        <v>0</v>
      </c>
      <c r="N475" t="n">
        <v>0</v>
      </c>
      <c r="O475" t="n">
        <v>0</v>
      </c>
      <c r="P475" t="n">
        <v>0</v>
      </c>
      <c r="Q475" t="n">
        <v>0</v>
      </c>
      <c r="R475" s="2" t="inlineStr"/>
    </row>
    <row r="476" ht="15" customHeight="1">
      <c r="A476" t="inlineStr">
        <is>
          <t>A 45912-2025</t>
        </is>
      </c>
      <c r="B476" s="1" t="n">
        <v>45923</v>
      </c>
      <c r="C476" s="1" t="n">
        <v>46129</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45657-2025</t>
        </is>
      </c>
      <c r="B477" s="1" t="n">
        <v>45923.34453703704</v>
      </c>
      <c r="C477" s="1" t="n">
        <v>46129</v>
      </c>
      <c r="D477" t="inlineStr">
        <is>
          <t>JÄMTLANDS LÄN</t>
        </is>
      </c>
      <c r="E477" t="inlineStr">
        <is>
          <t>BERG</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58176-2024</t>
        </is>
      </c>
      <c r="B478" s="1" t="n">
        <v>45632.46771990741</v>
      </c>
      <c r="C478" s="1" t="n">
        <v>46129</v>
      </c>
      <c r="D478" t="inlineStr">
        <is>
          <t>JÄMTLANDS LÄN</t>
        </is>
      </c>
      <c r="E478" t="inlineStr">
        <is>
          <t>BERG</t>
        </is>
      </c>
      <c r="G478" t="n">
        <v>14.4</v>
      </c>
      <c r="H478" t="n">
        <v>0</v>
      </c>
      <c r="I478" t="n">
        <v>0</v>
      </c>
      <c r="J478" t="n">
        <v>0</v>
      </c>
      <c r="K478" t="n">
        <v>0</v>
      </c>
      <c r="L478" t="n">
        <v>0</v>
      </c>
      <c r="M478" t="n">
        <v>0</v>
      </c>
      <c r="N478" t="n">
        <v>0</v>
      </c>
      <c r="O478" t="n">
        <v>0</v>
      </c>
      <c r="P478" t="n">
        <v>0</v>
      </c>
      <c r="Q478" t="n">
        <v>0</v>
      </c>
      <c r="R478" s="2" t="inlineStr"/>
    </row>
    <row r="479" ht="15" customHeight="1">
      <c r="A479" t="inlineStr">
        <is>
          <t>A 30314-2025</t>
        </is>
      </c>
      <c r="B479" s="1" t="n">
        <v>45827.49047453704</v>
      </c>
      <c r="C479" s="1" t="n">
        <v>46129</v>
      </c>
      <c r="D479" t="inlineStr">
        <is>
          <t>JÄMTLANDS LÄN</t>
        </is>
      </c>
      <c r="E479" t="inlineStr">
        <is>
          <t>BERG</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29902-2025</t>
        </is>
      </c>
      <c r="B480" s="1" t="n">
        <v>45826</v>
      </c>
      <c r="C480" s="1" t="n">
        <v>46129</v>
      </c>
      <c r="D480" t="inlineStr">
        <is>
          <t>JÄMTLANDS LÄN</t>
        </is>
      </c>
      <c r="E480" t="inlineStr">
        <is>
          <t>BERG</t>
        </is>
      </c>
      <c r="G480" t="n">
        <v>9.1</v>
      </c>
      <c r="H480" t="n">
        <v>0</v>
      </c>
      <c r="I480" t="n">
        <v>0</v>
      </c>
      <c r="J480" t="n">
        <v>0</v>
      </c>
      <c r="K480" t="n">
        <v>0</v>
      </c>
      <c r="L480" t="n">
        <v>0</v>
      </c>
      <c r="M480" t="n">
        <v>0</v>
      </c>
      <c r="N480" t="n">
        <v>0</v>
      </c>
      <c r="O480" t="n">
        <v>0</v>
      </c>
      <c r="P480" t="n">
        <v>0</v>
      </c>
      <c r="Q480" t="n">
        <v>0</v>
      </c>
      <c r="R480" s="2" t="inlineStr"/>
    </row>
    <row r="481" ht="15" customHeight="1">
      <c r="A481" t="inlineStr">
        <is>
          <t>A 29908-2025</t>
        </is>
      </c>
      <c r="B481" s="1" t="n">
        <v>45826</v>
      </c>
      <c r="C481" s="1" t="n">
        <v>46129</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45390-2025</t>
        </is>
      </c>
      <c r="B482" s="1" t="n">
        <v>45922.40762731482</v>
      </c>
      <c r="C482" s="1" t="n">
        <v>46129</v>
      </c>
      <c r="D482" t="inlineStr">
        <is>
          <t>JÄMTLANDS LÄN</t>
        </is>
      </c>
      <c r="E482" t="inlineStr">
        <is>
          <t>BERG</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53085-2024</t>
        </is>
      </c>
      <c r="B483" s="1" t="n">
        <v>45611.51072916666</v>
      </c>
      <c r="C483" s="1" t="n">
        <v>46129</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6982-2025</t>
        </is>
      </c>
      <c r="B484" s="1" t="n">
        <v>45701.55769675926</v>
      </c>
      <c r="C484" s="1" t="n">
        <v>46129</v>
      </c>
      <c r="D484" t="inlineStr">
        <is>
          <t>JÄMTLANDS LÄN</t>
        </is>
      </c>
      <c r="E484" t="inlineStr">
        <is>
          <t>BERG</t>
        </is>
      </c>
      <c r="G484" t="n">
        <v>6.8</v>
      </c>
      <c r="H484" t="n">
        <v>0</v>
      </c>
      <c r="I484" t="n">
        <v>0</v>
      </c>
      <c r="J484" t="n">
        <v>0</v>
      </c>
      <c r="K484" t="n">
        <v>0</v>
      </c>
      <c r="L484" t="n">
        <v>0</v>
      </c>
      <c r="M484" t="n">
        <v>0</v>
      </c>
      <c r="N484" t="n">
        <v>0</v>
      </c>
      <c r="O484" t="n">
        <v>0</v>
      </c>
      <c r="P484" t="n">
        <v>0</v>
      </c>
      <c r="Q484" t="n">
        <v>0</v>
      </c>
      <c r="R484" s="2" t="inlineStr"/>
    </row>
    <row r="485" ht="15" customHeight="1">
      <c r="A485" t="inlineStr">
        <is>
          <t>A 31015-2025</t>
        </is>
      </c>
      <c r="B485" s="1" t="n">
        <v>45832.51086805556</v>
      </c>
      <c r="C485" s="1" t="n">
        <v>46129</v>
      </c>
      <c r="D485" t="inlineStr">
        <is>
          <t>JÄMTLANDS LÄN</t>
        </is>
      </c>
      <c r="E485" t="inlineStr">
        <is>
          <t>BERG</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31017-2025</t>
        </is>
      </c>
      <c r="B486" s="1" t="n">
        <v>45832.51111111111</v>
      </c>
      <c r="C486" s="1" t="n">
        <v>46129</v>
      </c>
      <c r="D486" t="inlineStr">
        <is>
          <t>JÄMTLANDS LÄN</t>
        </is>
      </c>
      <c r="E486" t="inlineStr">
        <is>
          <t>BERG</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31070-2025</t>
        </is>
      </c>
      <c r="B487" s="1" t="n">
        <v>45832.57887731482</v>
      </c>
      <c r="C487" s="1" t="n">
        <v>46129</v>
      </c>
      <c r="D487" t="inlineStr">
        <is>
          <t>JÄMTLANDS LÄN</t>
        </is>
      </c>
      <c r="E487" t="inlineStr">
        <is>
          <t>BERG</t>
        </is>
      </c>
      <c r="G487" t="n">
        <v>3.7</v>
      </c>
      <c r="H487" t="n">
        <v>0</v>
      </c>
      <c r="I487" t="n">
        <v>0</v>
      </c>
      <c r="J487" t="n">
        <v>0</v>
      </c>
      <c r="K487" t="n">
        <v>0</v>
      </c>
      <c r="L487" t="n">
        <v>0</v>
      </c>
      <c r="M487" t="n">
        <v>0</v>
      </c>
      <c r="N487" t="n">
        <v>0</v>
      </c>
      <c r="O487" t="n">
        <v>0</v>
      </c>
      <c r="P487" t="n">
        <v>0</v>
      </c>
      <c r="Q487" t="n">
        <v>0</v>
      </c>
      <c r="R487" s="2" t="inlineStr"/>
    </row>
    <row r="488" ht="15" customHeight="1">
      <c r="A488" t="inlineStr">
        <is>
          <t>A 31090-2025</t>
        </is>
      </c>
      <c r="B488" s="1" t="n">
        <v>45832.59436342592</v>
      </c>
      <c r="C488" s="1" t="n">
        <v>46129</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60632-2025</t>
        </is>
      </c>
      <c r="B489" s="1" t="n">
        <v>45996.42769675926</v>
      </c>
      <c r="C489" s="1" t="n">
        <v>46129</v>
      </c>
      <c r="D489" t="inlineStr">
        <is>
          <t>JÄMTLANDS LÄN</t>
        </is>
      </c>
      <c r="E489" t="inlineStr">
        <is>
          <t>BERG</t>
        </is>
      </c>
      <c r="F489" t="inlineStr">
        <is>
          <t>SCA</t>
        </is>
      </c>
      <c r="G489" t="n">
        <v>18.2</v>
      </c>
      <c r="H489" t="n">
        <v>0</v>
      </c>
      <c r="I489" t="n">
        <v>0</v>
      </c>
      <c r="J489" t="n">
        <v>0</v>
      </c>
      <c r="K489" t="n">
        <v>0</v>
      </c>
      <c r="L489" t="n">
        <v>0</v>
      </c>
      <c r="M489" t="n">
        <v>0</v>
      </c>
      <c r="N489" t="n">
        <v>0</v>
      </c>
      <c r="O489" t="n">
        <v>0</v>
      </c>
      <c r="P489" t="n">
        <v>0</v>
      </c>
      <c r="Q489" t="n">
        <v>0</v>
      </c>
      <c r="R489" s="2" t="inlineStr"/>
    </row>
    <row r="490" ht="15" customHeight="1">
      <c r="A490" t="inlineStr">
        <is>
          <t>A 60635-2025</t>
        </is>
      </c>
      <c r="B490" s="1" t="n">
        <v>45996.42826388889</v>
      </c>
      <c r="C490" s="1" t="n">
        <v>46129</v>
      </c>
      <c r="D490" t="inlineStr">
        <is>
          <t>JÄMTLANDS LÄN</t>
        </is>
      </c>
      <c r="E490" t="inlineStr">
        <is>
          <t>BERG</t>
        </is>
      </c>
      <c r="F490" t="inlineStr">
        <is>
          <t>SCA</t>
        </is>
      </c>
      <c r="G490" t="n">
        <v>7.4</v>
      </c>
      <c r="H490" t="n">
        <v>0</v>
      </c>
      <c r="I490" t="n">
        <v>0</v>
      </c>
      <c r="J490" t="n">
        <v>0</v>
      </c>
      <c r="K490" t="n">
        <v>0</v>
      </c>
      <c r="L490" t="n">
        <v>0</v>
      </c>
      <c r="M490" t="n">
        <v>0</v>
      </c>
      <c r="N490" t="n">
        <v>0</v>
      </c>
      <c r="O490" t="n">
        <v>0</v>
      </c>
      <c r="P490" t="n">
        <v>0</v>
      </c>
      <c r="Q490" t="n">
        <v>0</v>
      </c>
      <c r="R490" s="2" t="inlineStr"/>
    </row>
    <row r="491" ht="15" customHeight="1">
      <c r="A491" t="inlineStr">
        <is>
          <t>A 32064-2023</t>
        </is>
      </c>
      <c r="B491" s="1" t="n">
        <v>45119.57108796296</v>
      </c>
      <c r="C491" s="1" t="n">
        <v>46129</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60634-2025</t>
        </is>
      </c>
      <c r="B492" s="1" t="n">
        <v>45996.42805555555</v>
      </c>
      <c r="C492" s="1" t="n">
        <v>46129</v>
      </c>
      <c r="D492" t="inlineStr">
        <is>
          <t>JÄMTLANDS LÄN</t>
        </is>
      </c>
      <c r="E492" t="inlineStr">
        <is>
          <t>BERG</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31136-2025</t>
        </is>
      </c>
      <c r="B493" s="1" t="n">
        <v>45832.63599537037</v>
      </c>
      <c r="C493" s="1" t="n">
        <v>46129</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46853-2025</t>
        </is>
      </c>
      <c r="B494" s="1" t="n">
        <v>45928.86563657408</v>
      </c>
      <c r="C494" s="1" t="n">
        <v>46129</v>
      </c>
      <c r="D494" t="inlineStr">
        <is>
          <t>JÄMTLANDS LÄN</t>
        </is>
      </c>
      <c r="E494" t="inlineStr">
        <is>
          <t>BERG</t>
        </is>
      </c>
      <c r="F494" t="inlineStr">
        <is>
          <t>Kyrkan</t>
        </is>
      </c>
      <c r="G494" t="n">
        <v>7.9</v>
      </c>
      <c r="H494" t="n">
        <v>0</v>
      </c>
      <c r="I494" t="n">
        <v>0</v>
      </c>
      <c r="J494" t="n">
        <v>0</v>
      </c>
      <c r="K494" t="n">
        <v>0</v>
      </c>
      <c r="L494" t="n">
        <v>0</v>
      </c>
      <c r="M494" t="n">
        <v>0</v>
      </c>
      <c r="N494" t="n">
        <v>0</v>
      </c>
      <c r="O494" t="n">
        <v>0</v>
      </c>
      <c r="P494" t="n">
        <v>0</v>
      </c>
      <c r="Q494" t="n">
        <v>0</v>
      </c>
      <c r="R494" s="2" t="inlineStr"/>
    </row>
    <row r="495" ht="15" customHeight="1">
      <c r="A495" t="inlineStr">
        <is>
          <t>A 34819-2023</t>
        </is>
      </c>
      <c r="B495" s="1" t="n">
        <v>45140</v>
      </c>
      <c r="C495" s="1" t="n">
        <v>46129</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46854-2025</t>
        </is>
      </c>
      <c r="B496" s="1" t="n">
        <v>45928.87376157408</v>
      </c>
      <c r="C496" s="1" t="n">
        <v>46129</v>
      </c>
      <c r="D496" t="inlineStr">
        <is>
          <t>JÄMTLANDS LÄN</t>
        </is>
      </c>
      <c r="E496" t="inlineStr">
        <is>
          <t>BERG</t>
        </is>
      </c>
      <c r="F496" t="inlineStr">
        <is>
          <t>Kyrkan</t>
        </is>
      </c>
      <c r="G496" t="n">
        <v>4.8</v>
      </c>
      <c r="H496" t="n">
        <v>0</v>
      </c>
      <c r="I496" t="n">
        <v>0</v>
      </c>
      <c r="J496" t="n">
        <v>0</v>
      </c>
      <c r="K496" t="n">
        <v>0</v>
      </c>
      <c r="L496" t="n">
        <v>0</v>
      </c>
      <c r="M496" t="n">
        <v>0</v>
      </c>
      <c r="N496" t="n">
        <v>0</v>
      </c>
      <c r="O496" t="n">
        <v>0</v>
      </c>
      <c r="P496" t="n">
        <v>0</v>
      </c>
      <c r="Q496" t="n">
        <v>0</v>
      </c>
      <c r="R496" s="2" t="inlineStr"/>
    </row>
    <row r="497" ht="15" customHeight="1">
      <c r="A497" t="inlineStr">
        <is>
          <t>A 47137-2025</t>
        </is>
      </c>
      <c r="B497" s="1" t="n">
        <v>45929.69876157407</v>
      </c>
      <c r="C497" s="1" t="n">
        <v>46129</v>
      </c>
      <c r="D497" t="inlineStr">
        <is>
          <t>JÄMTLANDS LÄN</t>
        </is>
      </c>
      <c r="E497" t="inlineStr">
        <is>
          <t>BERG</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50780-2021</t>
        </is>
      </c>
      <c r="B498" s="1" t="n">
        <v>44459</v>
      </c>
      <c r="C498" s="1" t="n">
        <v>46129</v>
      </c>
      <c r="D498" t="inlineStr">
        <is>
          <t>JÄMTLANDS LÄN</t>
        </is>
      </c>
      <c r="E498" t="inlineStr">
        <is>
          <t>BERG</t>
        </is>
      </c>
      <c r="G498" t="n">
        <v>3.5</v>
      </c>
      <c r="H498" t="n">
        <v>0</v>
      </c>
      <c r="I498" t="n">
        <v>0</v>
      </c>
      <c r="J498" t="n">
        <v>0</v>
      </c>
      <c r="K498" t="n">
        <v>0</v>
      </c>
      <c r="L498" t="n">
        <v>0</v>
      </c>
      <c r="M498" t="n">
        <v>0</v>
      </c>
      <c r="N498" t="n">
        <v>0</v>
      </c>
      <c r="O498" t="n">
        <v>0</v>
      </c>
      <c r="P498" t="n">
        <v>0</v>
      </c>
      <c r="Q498" t="n">
        <v>0</v>
      </c>
      <c r="R498" s="2" t="inlineStr"/>
    </row>
    <row r="499" ht="15" customHeight="1">
      <c r="A499" t="inlineStr">
        <is>
          <t>A 47145-2025</t>
        </is>
      </c>
      <c r="B499" s="1" t="n">
        <v>45929.71310185185</v>
      </c>
      <c r="C499" s="1" t="n">
        <v>46129</v>
      </c>
      <c r="D499" t="inlineStr">
        <is>
          <t>JÄMTLANDS LÄN</t>
        </is>
      </c>
      <c r="E499" t="inlineStr">
        <is>
          <t>BERG</t>
        </is>
      </c>
      <c r="G499" t="n">
        <v>3.5</v>
      </c>
      <c r="H499" t="n">
        <v>0</v>
      </c>
      <c r="I499" t="n">
        <v>0</v>
      </c>
      <c r="J499" t="n">
        <v>0</v>
      </c>
      <c r="K499" t="n">
        <v>0</v>
      </c>
      <c r="L499" t="n">
        <v>0</v>
      </c>
      <c r="M499" t="n">
        <v>0</v>
      </c>
      <c r="N499" t="n">
        <v>0</v>
      </c>
      <c r="O499" t="n">
        <v>0</v>
      </c>
      <c r="P499" t="n">
        <v>0</v>
      </c>
      <c r="Q499" t="n">
        <v>0</v>
      </c>
      <c r="R499" s="2" t="inlineStr"/>
    </row>
    <row r="500" ht="15" customHeight="1">
      <c r="A500" t="inlineStr">
        <is>
          <t>A 32160-2025</t>
        </is>
      </c>
      <c r="B500" s="1" t="n">
        <v>45835.54142361111</v>
      </c>
      <c r="C500" s="1" t="n">
        <v>46129</v>
      </c>
      <c r="D500" t="inlineStr">
        <is>
          <t>JÄMTLANDS LÄN</t>
        </is>
      </c>
      <c r="E500" t="inlineStr">
        <is>
          <t>BERG</t>
        </is>
      </c>
      <c r="G500" t="n">
        <v>10.3</v>
      </c>
      <c r="H500" t="n">
        <v>0</v>
      </c>
      <c r="I500" t="n">
        <v>0</v>
      </c>
      <c r="J500" t="n">
        <v>0</v>
      </c>
      <c r="K500" t="n">
        <v>0</v>
      </c>
      <c r="L500" t="n">
        <v>0</v>
      </c>
      <c r="M500" t="n">
        <v>0</v>
      </c>
      <c r="N500" t="n">
        <v>0</v>
      </c>
      <c r="O500" t="n">
        <v>0</v>
      </c>
      <c r="P500" t="n">
        <v>0</v>
      </c>
      <c r="Q500" t="n">
        <v>0</v>
      </c>
      <c r="R500" s="2" t="inlineStr"/>
    </row>
    <row r="501" ht="15" customHeight="1">
      <c r="A501" t="inlineStr">
        <is>
          <t>A 31820-2025</t>
        </is>
      </c>
      <c r="B501" s="1" t="n">
        <v>45834.57930555556</v>
      </c>
      <c r="C501" s="1" t="n">
        <v>46129</v>
      </c>
      <c r="D501" t="inlineStr">
        <is>
          <t>JÄMTLANDS LÄN</t>
        </is>
      </c>
      <c r="E501" t="inlineStr">
        <is>
          <t>BERG</t>
        </is>
      </c>
      <c r="G501" t="n">
        <v>13.9</v>
      </c>
      <c r="H501" t="n">
        <v>0</v>
      </c>
      <c r="I501" t="n">
        <v>0</v>
      </c>
      <c r="J501" t="n">
        <v>0</v>
      </c>
      <c r="K501" t="n">
        <v>0</v>
      </c>
      <c r="L501" t="n">
        <v>0</v>
      </c>
      <c r="M501" t="n">
        <v>0</v>
      </c>
      <c r="N501" t="n">
        <v>0</v>
      </c>
      <c r="O501" t="n">
        <v>0</v>
      </c>
      <c r="P501" t="n">
        <v>0</v>
      </c>
      <c r="Q501" t="n">
        <v>0</v>
      </c>
      <c r="R501" s="2" t="inlineStr"/>
    </row>
    <row r="502" ht="15" customHeight="1">
      <c r="A502" t="inlineStr">
        <is>
          <t>A 43279-2024</t>
        </is>
      </c>
      <c r="B502" s="1" t="n">
        <v>45568.3975462963</v>
      </c>
      <c r="C502" s="1" t="n">
        <v>46129</v>
      </c>
      <c r="D502" t="inlineStr">
        <is>
          <t>JÄMTLANDS LÄN</t>
        </is>
      </c>
      <c r="E502" t="inlineStr">
        <is>
          <t>BERG</t>
        </is>
      </c>
      <c r="G502" t="n">
        <v>7.6</v>
      </c>
      <c r="H502" t="n">
        <v>0</v>
      </c>
      <c r="I502" t="n">
        <v>0</v>
      </c>
      <c r="J502" t="n">
        <v>0</v>
      </c>
      <c r="K502" t="n">
        <v>0</v>
      </c>
      <c r="L502" t="n">
        <v>0</v>
      </c>
      <c r="M502" t="n">
        <v>0</v>
      </c>
      <c r="N502" t="n">
        <v>0</v>
      </c>
      <c r="O502" t="n">
        <v>0</v>
      </c>
      <c r="P502" t="n">
        <v>0</v>
      </c>
      <c r="Q502" t="n">
        <v>0</v>
      </c>
      <c r="R502" s="2" t="inlineStr"/>
    </row>
    <row r="503" ht="15" customHeight="1">
      <c r="A503" t="inlineStr">
        <is>
          <t>A 47135-2025</t>
        </is>
      </c>
      <c r="B503" s="1" t="n">
        <v>45929.69799768519</v>
      </c>
      <c r="C503" s="1" t="n">
        <v>46129</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46811-2025</t>
        </is>
      </c>
      <c r="B504" s="1" t="n">
        <v>45926.69831018519</v>
      </c>
      <c r="C504" s="1" t="n">
        <v>46129</v>
      </c>
      <c r="D504" t="inlineStr">
        <is>
          <t>JÄMTLANDS LÄN</t>
        </is>
      </c>
      <c r="E504" t="inlineStr">
        <is>
          <t>BERG</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47141-2025</t>
        </is>
      </c>
      <c r="B505" s="1" t="n">
        <v>45929.70355324074</v>
      </c>
      <c r="C505" s="1" t="n">
        <v>46129</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46584-2025</t>
        </is>
      </c>
      <c r="B506" s="1" t="n">
        <v>45926</v>
      </c>
      <c r="C506" s="1" t="n">
        <v>46129</v>
      </c>
      <c r="D506" t="inlineStr">
        <is>
          <t>JÄMTLANDS LÄN</t>
        </is>
      </c>
      <c r="E506" t="inlineStr">
        <is>
          <t>BERG</t>
        </is>
      </c>
      <c r="G506" t="n">
        <v>17.1</v>
      </c>
      <c r="H506" t="n">
        <v>0</v>
      </c>
      <c r="I506" t="n">
        <v>0</v>
      </c>
      <c r="J506" t="n">
        <v>0</v>
      </c>
      <c r="K506" t="n">
        <v>0</v>
      </c>
      <c r="L506" t="n">
        <v>0</v>
      </c>
      <c r="M506" t="n">
        <v>0</v>
      </c>
      <c r="N506" t="n">
        <v>0</v>
      </c>
      <c r="O506" t="n">
        <v>0</v>
      </c>
      <c r="P506" t="n">
        <v>0</v>
      </c>
      <c r="Q506" t="n">
        <v>0</v>
      </c>
      <c r="R506" s="2" t="inlineStr"/>
    </row>
    <row r="507" ht="15" customHeight="1">
      <c r="A507" t="inlineStr">
        <is>
          <t>A 32713-2025</t>
        </is>
      </c>
      <c r="B507" s="1" t="n">
        <v>45839.36935185185</v>
      </c>
      <c r="C507" s="1" t="n">
        <v>46129</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28403-2025</t>
        </is>
      </c>
      <c r="B508" s="1" t="n">
        <v>45819</v>
      </c>
      <c r="C508" s="1" t="n">
        <v>46129</v>
      </c>
      <c r="D508" t="inlineStr">
        <is>
          <t>JÄMTLANDS LÄN</t>
        </is>
      </c>
      <c r="E508" t="inlineStr">
        <is>
          <t>BERG</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37093-2024</t>
        </is>
      </c>
      <c r="B509" s="1" t="n">
        <v>45539.50018518518</v>
      </c>
      <c r="C509" s="1" t="n">
        <v>46129</v>
      </c>
      <c r="D509" t="inlineStr">
        <is>
          <t>JÄMTLANDS LÄN</t>
        </is>
      </c>
      <c r="E509" t="inlineStr">
        <is>
          <t>BERG</t>
        </is>
      </c>
      <c r="F509" t="inlineStr">
        <is>
          <t>Övriga Aktiebolag</t>
        </is>
      </c>
      <c r="G509" t="n">
        <v>15.4</v>
      </c>
      <c r="H509" t="n">
        <v>0</v>
      </c>
      <c r="I509" t="n">
        <v>0</v>
      </c>
      <c r="J509" t="n">
        <v>0</v>
      </c>
      <c r="K509" t="n">
        <v>0</v>
      </c>
      <c r="L509" t="n">
        <v>0</v>
      </c>
      <c r="M509" t="n">
        <v>0</v>
      </c>
      <c r="N509" t="n">
        <v>0</v>
      </c>
      <c r="O509" t="n">
        <v>0</v>
      </c>
      <c r="P509" t="n">
        <v>0</v>
      </c>
      <c r="Q509" t="n">
        <v>0</v>
      </c>
      <c r="R509" s="2" t="inlineStr"/>
    </row>
    <row r="510" ht="15" customHeight="1">
      <c r="A510" t="inlineStr">
        <is>
          <t>A 47428-2025</t>
        </is>
      </c>
      <c r="B510" s="1" t="n">
        <v>45930</v>
      </c>
      <c r="C510" s="1" t="n">
        <v>46129</v>
      </c>
      <c r="D510" t="inlineStr">
        <is>
          <t>JÄMTLANDS LÄN</t>
        </is>
      </c>
      <c r="E510" t="inlineStr">
        <is>
          <t>BERG</t>
        </is>
      </c>
      <c r="G510" t="n">
        <v>3.4</v>
      </c>
      <c r="H510" t="n">
        <v>0</v>
      </c>
      <c r="I510" t="n">
        <v>0</v>
      </c>
      <c r="J510" t="n">
        <v>0</v>
      </c>
      <c r="K510" t="n">
        <v>0</v>
      </c>
      <c r="L510" t="n">
        <v>0</v>
      </c>
      <c r="M510" t="n">
        <v>0</v>
      </c>
      <c r="N510" t="n">
        <v>0</v>
      </c>
      <c r="O510" t="n">
        <v>0</v>
      </c>
      <c r="P510" t="n">
        <v>0</v>
      </c>
      <c r="Q510" t="n">
        <v>0</v>
      </c>
      <c r="R510" s="2" t="inlineStr"/>
    </row>
    <row r="511" ht="15" customHeight="1">
      <c r="A511" t="inlineStr">
        <is>
          <t>A 47193-2025</t>
        </is>
      </c>
      <c r="B511" s="1" t="n">
        <v>45930.34469907408</v>
      </c>
      <c r="C511" s="1" t="n">
        <v>46129</v>
      </c>
      <c r="D511" t="inlineStr">
        <is>
          <t>JÄMTLANDS LÄN</t>
        </is>
      </c>
      <c r="E511" t="inlineStr">
        <is>
          <t>BERG</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46129</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47430-2025</t>
        </is>
      </c>
      <c r="B513" s="1" t="n">
        <v>45930.63619212963</v>
      </c>
      <c r="C513" s="1" t="n">
        <v>46129</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47431-2025</t>
        </is>
      </c>
      <c r="B514" s="1" t="n">
        <v>45930.63626157407</v>
      </c>
      <c r="C514" s="1" t="n">
        <v>46129</v>
      </c>
      <c r="D514" t="inlineStr">
        <is>
          <t>JÄMTLANDS LÄN</t>
        </is>
      </c>
      <c r="E514" t="inlineStr">
        <is>
          <t>BERG</t>
        </is>
      </c>
      <c r="F514" t="inlineStr">
        <is>
          <t>SCA</t>
        </is>
      </c>
      <c r="G514" t="n">
        <v>9.5</v>
      </c>
      <c r="H514" t="n">
        <v>0</v>
      </c>
      <c r="I514" t="n">
        <v>0</v>
      </c>
      <c r="J514" t="n">
        <v>0</v>
      </c>
      <c r="K514" t="n">
        <v>0</v>
      </c>
      <c r="L514" t="n">
        <v>0</v>
      </c>
      <c r="M514" t="n">
        <v>0</v>
      </c>
      <c r="N514" t="n">
        <v>0</v>
      </c>
      <c r="O514" t="n">
        <v>0</v>
      </c>
      <c r="P514" t="n">
        <v>0</v>
      </c>
      <c r="Q514" t="n">
        <v>0</v>
      </c>
      <c r="R514" s="2" t="inlineStr"/>
    </row>
    <row r="515" ht="15" customHeight="1">
      <c r="A515" t="inlineStr">
        <is>
          <t>A 47197-2025</t>
        </is>
      </c>
      <c r="B515" s="1" t="n">
        <v>45930.34533564815</v>
      </c>
      <c r="C515" s="1" t="n">
        <v>46129</v>
      </c>
      <c r="D515" t="inlineStr">
        <is>
          <t>JÄMTLANDS LÄN</t>
        </is>
      </c>
      <c r="E515" t="inlineStr">
        <is>
          <t>BERG</t>
        </is>
      </c>
      <c r="F515" t="inlineStr">
        <is>
          <t>SCA</t>
        </is>
      </c>
      <c r="G515" t="n">
        <v>5.4</v>
      </c>
      <c r="H515" t="n">
        <v>0</v>
      </c>
      <c r="I515" t="n">
        <v>0</v>
      </c>
      <c r="J515" t="n">
        <v>0</v>
      </c>
      <c r="K515" t="n">
        <v>0</v>
      </c>
      <c r="L515" t="n">
        <v>0</v>
      </c>
      <c r="M515" t="n">
        <v>0</v>
      </c>
      <c r="N515" t="n">
        <v>0</v>
      </c>
      <c r="O515" t="n">
        <v>0</v>
      </c>
      <c r="P515" t="n">
        <v>0</v>
      </c>
      <c r="Q515" t="n">
        <v>0</v>
      </c>
      <c r="R515" s="2" t="inlineStr"/>
    </row>
    <row r="516" ht="15" customHeight="1">
      <c r="A516" t="inlineStr">
        <is>
          <t>A 32919-2025</t>
        </is>
      </c>
      <c r="B516" s="1" t="n">
        <v>45839.64721064815</v>
      </c>
      <c r="C516" s="1" t="n">
        <v>46129</v>
      </c>
      <c r="D516" t="inlineStr">
        <is>
          <t>JÄMTLANDS LÄN</t>
        </is>
      </c>
      <c r="E516" t="inlineStr">
        <is>
          <t>BERG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47434-2025</t>
        </is>
      </c>
      <c r="B517" s="1" t="n">
        <v>45930.63659722222</v>
      </c>
      <c r="C517" s="1" t="n">
        <v>46129</v>
      </c>
      <c r="D517" t="inlineStr">
        <is>
          <t>JÄMTLANDS LÄN</t>
        </is>
      </c>
      <c r="E517" t="inlineStr">
        <is>
          <t>BERG</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47534-2025</t>
        </is>
      </c>
      <c r="B518" s="1" t="n">
        <v>45931.3466550926</v>
      </c>
      <c r="C518" s="1" t="n">
        <v>46129</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10861-2024</t>
        </is>
      </c>
      <c r="B519" s="1" t="n">
        <v>45370.01967592593</v>
      </c>
      <c r="C519" s="1" t="n">
        <v>46129</v>
      </c>
      <c r="D519" t="inlineStr">
        <is>
          <t>JÄMTLANDS LÄN</t>
        </is>
      </c>
      <c r="E519" t="inlineStr">
        <is>
          <t>BERG</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33054-2025</t>
        </is>
      </c>
      <c r="B520" s="1" t="n">
        <v>45840.42746527777</v>
      </c>
      <c r="C520" s="1" t="n">
        <v>46129</v>
      </c>
      <c r="D520" t="inlineStr">
        <is>
          <t>JÄMTLANDS LÄN</t>
        </is>
      </c>
      <c r="E520" t="inlineStr">
        <is>
          <t>BERG</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33750-2025</t>
        </is>
      </c>
      <c r="B521" s="1" t="n">
        <v>45842.36243055556</v>
      </c>
      <c r="C521" s="1" t="n">
        <v>46129</v>
      </c>
      <c r="D521" t="inlineStr">
        <is>
          <t>JÄMTLANDS LÄN</t>
        </is>
      </c>
      <c r="E521" t="inlineStr">
        <is>
          <t>BERG</t>
        </is>
      </c>
      <c r="G521" t="n">
        <v>0.9</v>
      </c>
      <c r="H521" t="n">
        <v>0</v>
      </c>
      <c r="I521" t="n">
        <v>0</v>
      </c>
      <c r="J521" t="n">
        <v>0</v>
      </c>
      <c r="K521" t="n">
        <v>0</v>
      </c>
      <c r="L521" t="n">
        <v>0</v>
      </c>
      <c r="M521" t="n">
        <v>0</v>
      </c>
      <c r="N521" t="n">
        <v>0</v>
      </c>
      <c r="O521" t="n">
        <v>0</v>
      </c>
      <c r="P521" t="n">
        <v>0</v>
      </c>
      <c r="Q521" t="n">
        <v>0</v>
      </c>
      <c r="R521" s="2" t="inlineStr"/>
    </row>
    <row r="522" ht="15" customHeight="1">
      <c r="A522" t="inlineStr">
        <is>
          <t>A 21679-2023</t>
        </is>
      </c>
      <c r="B522" s="1" t="n">
        <v>45063.94199074074</v>
      </c>
      <c r="C522" s="1" t="n">
        <v>46129</v>
      </c>
      <c r="D522" t="inlineStr">
        <is>
          <t>JÄMTLANDS LÄN</t>
        </is>
      </c>
      <c r="E522" t="inlineStr">
        <is>
          <t>BERG</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48168-2025</t>
        </is>
      </c>
      <c r="B523" s="1" t="n">
        <v>45933.43004629629</v>
      </c>
      <c r="C523" s="1" t="n">
        <v>46129</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33748-2025</t>
        </is>
      </c>
      <c r="B524" s="1" t="n">
        <v>45842.35685185185</v>
      </c>
      <c r="C524" s="1" t="n">
        <v>46129</v>
      </c>
      <c r="D524" t="inlineStr">
        <is>
          <t>JÄMTLANDS LÄN</t>
        </is>
      </c>
      <c r="E524" t="inlineStr">
        <is>
          <t>BERG</t>
        </is>
      </c>
      <c r="G524" t="n">
        <v>2.1</v>
      </c>
      <c r="H524" t="n">
        <v>0</v>
      </c>
      <c r="I524" t="n">
        <v>0</v>
      </c>
      <c r="J524" t="n">
        <v>0</v>
      </c>
      <c r="K524" t="n">
        <v>0</v>
      </c>
      <c r="L524" t="n">
        <v>0</v>
      </c>
      <c r="M524" t="n">
        <v>0</v>
      </c>
      <c r="N524" t="n">
        <v>0</v>
      </c>
      <c r="O524" t="n">
        <v>0</v>
      </c>
      <c r="P524" t="n">
        <v>0</v>
      </c>
      <c r="Q524" t="n">
        <v>0</v>
      </c>
      <c r="R524" s="2" t="inlineStr"/>
    </row>
    <row r="525" ht="15" customHeight="1">
      <c r="A525" t="inlineStr">
        <is>
          <t>A 34030-2025</t>
        </is>
      </c>
      <c r="B525" s="1" t="n">
        <v>45845.3633912037</v>
      </c>
      <c r="C525" s="1" t="n">
        <v>46129</v>
      </c>
      <c r="D525" t="inlineStr">
        <is>
          <t>JÄMTLANDS LÄN</t>
        </is>
      </c>
      <c r="E525" t="inlineStr">
        <is>
          <t>BERG</t>
        </is>
      </c>
      <c r="G525" t="n">
        <v>13.5</v>
      </c>
      <c r="H525" t="n">
        <v>0</v>
      </c>
      <c r="I525" t="n">
        <v>0</v>
      </c>
      <c r="J525" t="n">
        <v>0</v>
      </c>
      <c r="K525" t="n">
        <v>0</v>
      </c>
      <c r="L525" t="n">
        <v>0</v>
      </c>
      <c r="M525" t="n">
        <v>0</v>
      </c>
      <c r="N525" t="n">
        <v>0</v>
      </c>
      <c r="O525" t="n">
        <v>0</v>
      </c>
      <c r="P525" t="n">
        <v>0</v>
      </c>
      <c r="Q525" t="n">
        <v>0</v>
      </c>
      <c r="R525" s="2" t="inlineStr"/>
    </row>
    <row r="526" ht="15" customHeight="1">
      <c r="A526" t="inlineStr">
        <is>
          <t>A 33753-2025</t>
        </is>
      </c>
      <c r="B526" s="1" t="n">
        <v>45842.37199074074</v>
      </c>
      <c r="C526" s="1" t="n">
        <v>46129</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48508-2025</t>
        </is>
      </c>
      <c r="B527" s="1" t="n">
        <v>45936.3859837963</v>
      </c>
      <c r="C527" s="1" t="n">
        <v>46129</v>
      </c>
      <c r="D527" t="inlineStr">
        <is>
          <t>JÄMTLANDS LÄN</t>
        </is>
      </c>
      <c r="E527" t="inlineStr">
        <is>
          <t>BERG</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34036-2025</t>
        </is>
      </c>
      <c r="B528" s="1" t="n">
        <v>45845.36954861111</v>
      </c>
      <c r="C528" s="1" t="n">
        <v>46129</v>
      </c>
      <c r="D528" t="inlineStr">
        <is>
          <t>JÄMTLANDS LÄN</t>
        </is>
      </c>
      <c r="E528" t="inlineStr">
        <is>
          <t>BERG</t>
        </is>
      </c>
      <c r="G528" t="n">
        <v>4.8</v>
      </c>
      <c r="H528" t="n">
        <v>0</v>
      </c>
      <c r="I528" t="n">
        <v>0</v>
      </c>
      <c r="J528" t="n">
        <v>0</v>
      </c>
      <c r="K528" t="n">
        <v>0</v>
      </c>
      <c r="L528" t="n">
        <v>0</v>
      </c>
      <c r="M528" t="n">
        <v>0</v>
      </c>
      <c r="N528" t="n">
        <v>0</v>
      </c>
      <c r="O528" t="n">
        <v>0</v>
      </c>
      <c r="P528" t="n">
        <v>0</v>
      </c>
      <c r="Q528" t="n">
        <v>0</v>
      </c>
      <c r="R528" s="2" t="inlineStr"/>
    </row>
    <row r="529" ht="15" customHeight="1">
      <c r="A529" t="inlineStr">
        <is>
          <t>A 22947-2022</t>
        </is>
      </c>
      <c r="B529" s="1" t="n">
        <v>44715.92443287037</v>
      </c>
      <c r="C529" s="1" t="n">
        <v>46129</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20268-2024</t>
        </is>
      </c>
      <c r="B530" s="1" t="n">
        <v>45434.94887731481</v>
      </c>
      <c r="C530" s="1" t="n">
        <v>46129</v>
      </c>
      <c r="D530" t="inlineStr">
        <is>
          <t>JÄMTLANDS LÄN</t>
        </is>
      </c>
      <c r="E530" t="inlineStr">
        <is>
          <t>BERG</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12342-2023</t>
        </is>
      </c>
      <c r="B531" s="1" t="n">
        <v>44998</v>
      </c>
      <c r="C531" s="1" t="n">
        <v>46129</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48511-2025</t>
        </is>
      </c>
      <c r="B532" s="1" t="n">
        <v>45936.3865162037</v>
      </c>
      <c r="C532" s="1" t="n">
        <v>46129</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48704-2025</t>
        </is>
      </c>
      <c r="B533" s="1" t="n">
        <v>45936.6222337963</v>
      </c>
      <c r="C533" s="1" t="n">
        <v>46129</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31155-2024</t>
        </is>
      </c>
      <c r="B534" s="1" t="n">
        <v>45503</v>
      </c>
      <c r="C534" s="1" t="n">
        <v>46129</v>
      </c>
      <c r="D534" t="inlineStr">
        <is>
          <t>JÄMTLANDS LÄN</t>
        </is>
      </c>
      <c r="E534" t="inlineStr">
        <is>
          <t>BERG</t>
        </is>
      </c>
      <c r="G534" t="n">
        <v>1.2</v>
      </c>
      <c r="H534" t="n">
        <v>0</v>
      </c>
      <c r="I534" t="n">
        <v>0</v>
      </c>
      <c r="J534" t="n">
        <v>0</v>
      </c>
      <c r="K534" t="n">
        <v>0</v>
      </c>
      <c r="L534" t="n">
        <v>0</v>
      </c>
      <c r="M534" t="n">
        <v>0</v>
      </c>
      <c r="N534" t="n">
        <v>0</v>
      </c>
      <c r="O534" t="n">
        <v>0</v>
      </c>
      <c r="P534" t="n">
        <v>0</v>
      </c>
      <c r="Q534" t="n">
        <v>0</v>
      </c>
      <c r="R534" s="2" t="inlineStr"/>
    </row>
    <row r="535" ht="15" customHeight="1">
      <c r="A535" t="inlineStr">
        <is>
          <t>A 34892-2025</t>
        </is>
      </c>
      <c r="B535" s="1" t="n">
        <v>45849.49047453704</v>
      </c>
      <c r="C535" s="1" t="n">
        <v>46129</v>
      </c>
      <c r="D535" t="inlineStr">
        <is>
          <t>JÄMTLANDS LÄN</t>
        </is>
      </c>
      <c r="E535" t="inlineStr">
        <is>
          <t>BERG</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48865-2025</t>
        </is>
      </c>
      <c r="B536" s="1" t="n">
        <v>45937.44760416666</v>
      </c>
      <c r="C536" s="1" t="n">
        <v>46129</v>
      </c>
      <c r="D536" t="inlineStr">
        <is>
          <t>JÄMTLANDS LÄN</t>
        </is>
      </c>
      <c r="E536" t="inlineStr">
        <is>
          <t>BERG</t>
        </is>
      </c>
      <c r="G536" t="n">
        <v>5.8</v>
      </c>
      <c r="H536" t="n">
        <v>0</v>
      </c>
      <c r="I536" t="n">
        <v>0</v>
      </c>
      <c r="J536" t="n">
        <v>0</v>
      </c>
      <c r="K536" t="n">
        <v>0</v>
      </c>
      <c r="L536" t="n">
        <v>0</v>
      </c>
      <c r="M536" t="n">
        <v>0</v>
      </c>
      <c r="N536" t="n">
        <v>0</v>
      </c>
      <c r="O536" t="n">
        <v>0</v>
      </c>
      <c r="P536" t="n">
        <v>0</v>
      </c>
      <c r="Q536" t="n">
        <v>0</v>
      </c>
      <c r="R536" s="2" t="inlineStr"/>
    </row>
    <row r="537" ht="15" customHeight="1">
      <c r="A537" t="inlineStr">
        <is>
          <t>A 51172-2024</t>
        </is>
      </c>
      <c r="B537" s="1" t="n">
        <v>45603.59056712963</v>
      </c>
      <c r="C537" s="1" t="n">
        <v>46129</v>
      </c>
      <c r="D537" t="inlineStr">
        <is>
          <t>JÄMTLANDS LÄN</t>
        </is>
      </c>
      <c r="E537" t="inlineStr">
        <is>
          <t>BERG</t>
        </is>
      </c>
      <c r="G537" t="n">
        <v>12.2</v>
      </c>
      <c r="H537" t="n">
        <v>0</v>
      </c>
      <c r="I537" t="n">
        <v>0</v>
      </c>
      <c r="J537" t="n">
        <v>0</v>
      </c>
      <c r="K537" t="n">
        <v>0</v>
      </c>
      <c r="L537" t="n">
        <v>0</v>
      </c>
      <c r="M537" t="n">
        <v>0</v>
      </c>
      <c r="N537" t="n">
        <v>0</v>
      </c>
      <c r="O537" t="n">
        <v>0</v>
      </c>
      <c r="P537" t="n">
        <v>0</v>
      </c>
      <c r="Q537" t="n">
        <v>0</v>
      </c>
      <c r="R537" s="2" t="inlineStr"/>
    </row>
    <row r="538" ht="15" customHeight="1">
      <c r="A538" t="inlineStr">
        <is>
          <t>A 48968-2025</t>
        </is>
      </c>
      <c r="B538" s="1" t="n">
        <v>45937.56285879629</v>
      </c>
      <c r="C538" s="1" t="n">
        <v>46129</v>
      </c>
      <c r="D538" t="inlineStr">
        <is>
          <t>JÄMTLANDS LÄN</t>
        </is>
      </c>
      <c r="E538" t="inlineStr">
        <is>
          <t>BERG</t>
        </is>
      </c>
      <c r="G538" t="n">
        <v>20</v>
      </c>
      <c r="H538" t="n">
        <v>0</v>
      </c>
      <c r="I538" t="n">
        <v>0</v>
      </c>
      <c r="J538" t="n">
        <v>0</v>
      </c>
      <c r="K538" t="n">
        <v>0</v>
      </c>
      <c r="L538" t="n">
        <v>0</v>
      </c>
      <c r="M538" t="n">
        <v>0</v>
      </c>
      <c r="N538" t="n">
        <v>0</v>
      </c>
      <c r="O538" t="n">
        <v>0</v>
      </c>
      <c r="P538" t="n">
        <v>0</v>
      </c>
      <c r="Q538" t="n">
        <v>0</v>
      </c>
      <c r="R538" s="2" t="inlineStr"/>
    </row>
    <row r="539" ht="15" customHeight="1">
      <c r="A539" t="inlineStr">
        <is>
          <t>A 48770-2025</t>
        </is>
      </c>
      <c r="B539" s="1" t="n">
        <v>45936.91108796297</v>
      </c>
      <c r="C539" s="1" t="n">
        <v>46129</v>
      </c>
      <c r="D539" t="inlineStr">
        <is>
          <t>JÄMTLANDS LÄN</t>
        </is>
      </c>
      <c r="E539" t="inlineStr">
        <is>
          <t>BERG</t>
        </is>
      </c>
      <c r="G539" t="n">
        <v>1.7</v>
      </c>
      <c r="H539" t="n">
        <v>0</v>
      </c>
      <c r="I539" t="n">
        <v>0</v>
      </c>
      <c r="J539" t="n">
        <v>0</v>
      </c>
      <c r="K539" t="n">
        <v>0</v>
      </c>
      <c r="L539" t="n">
        <v>0</v>
      </c>
      <c r="M539" t="n">
        <v>0</v>
      </c>
      <c r="N539" t="n">
        <v>0</v>
      </c>
      <c r="O539" t="n">
        <v>0</v>
      </c>
      <c r="P539" t="n">
        <v>0</v>
      </c>
      <c r="Q539" t="n">
        <v>0</v>
      </c>
      <c r="R539" s="2" t="inlineStr"/>
    </row>
    <row r="540" ht="15" customHeight="1">
      <c r="A540" t="inlineStr">
        <is>
          <t>A 49391-2025</t>
        </is>
      </c>
      <c r="B540" s="1" t="n">
        <v>45938.65011574074</v>
      </c>
      <c r="C540" s="1" t="n">
        <v>46129</v>
      </c>
      <c r="D540" t="inlineStr">
        <is>
          <t>JÄMTLANDS LÄN</t>
        </is>
      </c>
      <c r="E540" t="inlineStr">
        <is>
          <t>BERG</t>
        </is>
      </c>
      <c r="G540" t="n">
        <v>3.7</v>
      </c>
      <c r="H540" t="n">
        <v>0</v>
      </c>
      <c r="I540" t="n">
        <v>0</v>
      </c>
      <c r="J540" t="n">
        <v>0</v>
      </c>
      <c r="K540" t="n">
        <v>0</v>
      </c>
      <c r="L540" t="n">
        <v>0</v>
      </c>
      <c r="M540" t="n">
        <v>0</v>
      </c>
      <c r="N540" t="n">
        <v>0</v>
      </c>
      <c r="O540" t="n">
        <v>0</v>
      </c>
      <c r="P540" t="n">
        <v>0</v>
      </c>
      <c r="Q540" t="n">
        <v>0</v>
      </c>
      <c r="R540" s="2" t="inlineStr"/>
    </row>
    <row r="541" ht="15" customHeight="1">
      <c r="A541" t="inlineStr">
        <is>
          <t>A 61501-2025</t>
        </is>
      </c>
      <c r="B541" s="1" t="n">
        <v>46001.65951388889</v>
      </c>
      <c r="C541" s="1" t="n">
        <v>46129</v>
      </c>
      <c r="D541" t="inlineStr">
        <is>
          <t>JÄMTLANDS LÄN</t>
        </is>
      </c>
      <c r="E541" t="inlineStr">
        <is>
          <t>BERG</t>
        </is>
      </c>
      <c r="G541" t="n">
        <v>1.8</v>
      </c>
      <c r="H541" t="n">
        <v>0</v>
      </c>
      <c r="I541" t="n">
        <v>0</v>
      </c>
      <c r="J541" t="n">
        <v>0</v>
      </c>
      <c r="K541" t="n">
        <v>0</v>
      </c>
      <c r="L541" t="n">
        <v>0</v>
      </c>
      <c r="M541" t="n">
        <v>0</v>
      </c>
      <c r="N541" t="n">
        <v>0</v>
      </c>
      <c r="O541" t="n">
        <v>0</v>
      </c>
      <c r="P541" t="n">
        <v>0</v>
      </c>
      <c r="Q541" t="n">
        <v>0</v>
      </c>
      <c r="R541" s="2" t="inlineStr"/>
    </row>
    <row r="542" ht="15" customHeight="1">
      <c r="A542" t="inlineStr">
        <is>
          <t>A 47168-2025</t>
        </is>
      </c>
      <c r="B542" s="1" t="n">
        <v>45929</v>
      </c>
      <c r="C542" s="1" t="n">
        <v>46129</v>
      </c>
      <c r="D542" t="inlineStr">
        <is>
          <t>JÄMTLANDS LÄN</t>
        </is>
      </c>
      <c r="E542" t="inlineStr">
        <is>
          <t>BERG</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65210-2023</t>
        </is>
      </c>
      <c r="B543" s="1" t="n">
        <v>45289</v>
      </c>
      <c r="C543" s="1" t="n">
        <v>46129</v>
      </c>
      <c r="D543" t="inlineStr">
        <is>
          <t>JÄMTLANDS LÄN</t>
        </is>
      </c>
      <c r="E543" t="inlineStr">
        <is>
          <t>BERG</t>
        </is>
      </c>
      <c r="G543" t="n">
        <v>0.4</v>
      </c>
      <c r="H543" t="n">
        <v>0</v>
      </c>
      <c r="I543" t="n">
        <v>0</v>
      </c>
      <c r="J543" t="n">
        <v>0</v>
      </c>
      <c r="K543" t="n">
        <v>0</v>
      </c>
      <c r="L543" t="n">
        <v>0</v>
      </c>
      <c r="M543" t="n">
        <v>0</v>
      </c>
      <c r="N543" t="n">
        <v>0</v>
      </c>
      <c r="O543" t="n">
        <v>0</v>
      </c>
      <c r="P543" t="n">
        <v>0</v>
      </c>
      <c r="Q543" t="n">
        <v>0</v>
      </c>
      <c r="R543" s="2" t="inlineStr"/>
    </row>
    <row r="544" ht="15" customHeight="1">
      <c r="A544" t="inlineStr">
        <is>
          <t>A 35183-2025</t>
        </is>
      </c>
      <c r="B544" s="1" t="n">
        <v>45853.29931712963</v>
      </c>
      <c r="C544" s="1" t="n">
        <v>46129</v>
      </c>
      <c r="D544" t="inlineStr">
        <is>
          <t>JÄMTLANDS LÄN</t>
        </is>
      </c>
      <c r="E544" t="inlineStr">
        <is>
          <t>BERG</t>
        </is>
      </c>
      <c r="G544" t="n">
        <v>2.8</v>
      </c>
      <c r="H544" t="n">
        <v>0</v>
      </c>
      <c r="I544" t="n">
        <v>0</v>
      </c>
      <c r="J544" t="n">
        <v>0</v>
      </c>
      <c r="K544" t="n">
        <v>0</v>
      </c>
      <c r="L544" t="n">
        <v>0</v>
      </c>
      <c r="M544" t="n">
        <v>0</v>
      </c>
      <c r="N544" t="n">
        <v>0</v>
      </c>
      <c r="O544" t="n">
        <v>0</v>
      </c>
      <c r="P544" t="n">
        <v>0</v>
      </c>
      <c r="Q544" t="n">
        <v>0</v>
      </c>
      <c r="R544" s="2" t="inlineStr"/>
    </row>
    <row r="545" ht="15" customHeight="1">
      <c r="A545" t="inlineStr">
        <is>
          <t>A 49041-2025</t>
        </is>
      </c>
      <c r="B545" s="1" t="n">
        <v>45937.63592592593</v>
      </c>
      <c r="C545" s="1" t="n">
        <v>46129</v>
      </c>
      <c r="D545" t="inlineStr">
        <is>
          <t>JÄMTLANDS LÄN</t>
        </is>
      </c>
      <c r="E545" t="inlineStr">
        <is>
          <t>BERG</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35213-2025</t>
        </is>
      </c>
      <c r="B546" s="1" t="n">
        <v>45853.46494212963</v>
      </c>
      <c r="C546" s="1" t="n">
        <v>46129</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35184-2025</t>
        </is>
      </c>
      <c r="B547" s="1" t="n">
        <v>45853.30270833334</v>
      </c>
      <c r="C547" s="1" t="n">
        <v>46129</v>
      </c>
      <c r="D547" t="inlineStr">
        <is>
          <t>JÄMTLANDS LÄN</t>
        </is>
      </c>
      <c r="E547" t="inlineStr">
        <is>
          <t>BERG</t>
        </is>
      </c>
      <c r="G547" t="n">
        <v>1.4</v>
      </c>
      <c r="H547" t="n">
        <v>0</v>
      </c>
      <c r="I547" t="n">
        <v>0</v>
      </c>
      <c r="J547" t="n">
        <v>0</v>
      </c>
      <c r="K547" t="n">
        <v>0</v>
      </c>
      <c r="L547" t="n">
        <v>0</v>
      </c>
      <c r="M547" t="n">
        <v>0</v>
      </c>
      <c r="N547" t="n">
        <v>0</v>
      </c>
      <c r="O547" t="n">
        <v>0</v>
      </c>
      <c r="P547" t="n">
        <v>0</v>
      </c>
      <c r="Q547" t="n">
        <v>0</v>
      </c>
      <c r="R547" s="2" t="inlineStr"/>
    </row>
    <row r="548" ht="15" customHeight="1">
      <c r="A548" t="inlineStr">
        <is>
          <t>A 49573-2025</t>
        </is>
      </c>
      <c r="B548" s="1" t="n">
        <v>45939.49037037037</v>
      </c>
      <c r="C548" s="1" t="n">
        <v>46129</v>
      </c>
      <c r="D548" t="inlineStr">
        <is>
          <t>JÄMTLANDS LÄN</t>
        </is>
      </c>
      <c r="E548" t="inlineStr">
        <is>
          <t>BERG</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12392-2025</t>
        </is>
      </c>
      <c r="B549" s="1" t="n">
        <v>45730.40104166666</v>
      </c>
      <c r="C549" s="1" t="n">
        <v>46129</v>
      </c>
      <c r="D549" t="inlineStr">
        <is>
          <t>JÄMTLANDS LÄN</t>
        </is>
      </c>
      <c r="E549" t="inlineStr">
        <is>
          <t>BERG</t>
        </is>
      </c>
      <c r="G549" t="n">
        <v>5.1</v>
      </c>
      <c r="H549" t="n">
        <v>0</v>
      </c>
      <c r="I549" t="n">
        <v>0</v>
      </c>
      <c r="J549" t="n">
        <v>0</v>
      </c>
      <c r="K549" t="n">
        <v>0</v>
      </c>
      <c r="L549" t="n">
        <v>0</v>
      </c>
      <c r="M549" t="n">
        <v>0</v>
      </c>
      <c r="N549" t="n">
        <v>0</v>
      </c>
      <c r="O549" t="n">
        <v>0</v>
      </c>
      <c r="P549" t="n">
        <v>0</v>
      </c>
      <c r="Q549" t="n">
        <v>0</v>
      </c>
      <c r="R549" s="2" t="inlineStr"/>
    </row>
    <row r="550" ht="15" customHeight="1">
      <c r="A550" t="inlineStr">
        <is>
          <t>A 35363-2025</t>
        </is>
      </c>
      <c r="B550" s="1" t="n">
        <v>45854.67538194444</v>
      </c>
      <c r="C550" s="1" t="n">
        <v>46129</v>
      </c>
      <c r="D550" t="inlineStr">
        <is>
          <t>JÄMTLANDS LÄN</t>
        </is>
      </c>
      <c r="E550" t="inlineStr">
        <is>
          <t>BERG</t>
        </is>
      </c>
      <c r="G550" t="n">
        <v>9.5</v>
      </c>
      <c r="H550" t="n">
        <v>0</v>
      </c>
      <c r="I550" t="n">
        <v>0</v>
      </c>
      <c r="J550" t="n">
        <v>0</v>
      </c>
      <c r="K550" t="n">
        <v>0</v>
      </c>
      <c r="L550" t="n">
        <v>0</v>
      </c>
      <c r="M550" t="n">
        <v>0</v>
      </c>
      <c r="N550" t="n">
        <v>0</v>
      </c>
      <c r="O550" t="n">
        <v>0</v>
      </c>
      <c r="P550" t="n">
        <v>0</v>
      </c>
      <c r="Q550" t="n">
        <v>0</v>
      </c>
      <c r="R550" s="2" t="inlineStr"/>
    </row>
    <row r="551" ht="15" customHeight="1">
      <c r="A551" t="inlineStr">
        <is>
          <t>A 49349-2025</t>
        </is>
      </c>
      <c r="B551" s="1" t="n">
        <v>45938.61060185185</v>
      </c>
      <c r="C551" s="1" t="n">
        <v>46129</v>
      </c>
      <c r="D551" t="inlineStr">
        <is>
          <t>JÄMTLANDS LÄN</t>
        </is>
      </c>
      <c r="E551" t="inlineStr">
        <is>
          <t>BERG</t>
        </is>
      </c>
      <c r="G551" t="n">
        <v>2.5</v>
      </c>
      <c r="H551" t="n">
        <v>0</v>
      </c>
      <c r="I551" t="n">
        <v>0</v>
      </c>
      <c r="J551" t="n">
        <v>0</v>
      </c>
      <c r="K551" t="n">
        <v>0</v>
      </c>
      <c r="L551" t="n">
        <v>0</v>
      </c>
      <c r="M551" t="n">
        <v>0</v>
      </c>
      <c r="N551" t="n">
        <v>0</v>
      </c>
      <c r="O551" t="n">
        <v>0</v>
      </c>
      <c r="P551" t="n">
        <v>0</v>
      </c>
      <c r="Q551" t="n">
        <v>0</v>
      </c>
      <c r="R551" s="2" t="inlineStr"/>
    </row>
    <row r="552" ht="15" customHeight="1">
      <c r="A552" t="inlineStr">
        <is>
          <t>A 49604-2025</t>
        </is>
      </c>
      <c r="B552" s="1" t="n">
        <v>45939.55241898148</v>
      </c>
      <c r="C552" s="1" t="n">
        <v>46129</v>
      </c>
      <c r="D552" t="inlineStr">
        <is>
          <t>JÄMTLANDS LÄN</t>
        </is>
      </c>
      <c r="E552" t="inlineStr">
        <is>
          <t>BERG</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64251-2023</t>
        </is>
      </c>
      <c r="B553" s="1" t="n">
        <v>45279.92756944444</v>
      </c>
      <c r="C553" s="1" t="n">
        <v>46129</v>
      </c>
      <c r="D553" t="inlineStr">
        <is>
          <t>JÄMTLANDS LÄN</t>
        </is>
      </c>
      <c r="E553" t="inlineStr">
        <is>
          <t>BERG</t>
        </is>
      </c>
      <c r="G553" t="n">
        <v>0.4</v>
      </c>
      <c r="H553" t="n">
        <v>0</v>
      </c>
      <c r="I553" t="n">
        <v>0</v>
      </c>
      <c r="J553" t="n">
        <v>0</v>
      </c>
      <c r="K553" t="n">
        <v>0</v>
      </c>
      <c r="L553" t="n">
        <v>0</v>
      </c>
      <c r="M553" t="n">
        <v>0</v>
      </c>
      <c r="N553" t="n">
        <v>0</v>
      </c>
      <c r="O553" t="n">
        <v>0</v>
      </c>
      <c r="P553" t="n">
        <v>0</v>
      </c>
      <c r="Q553" t="n">
        <v>0</v>
      </c>
      <c r="R553" s="2" t="inlineStr"/>
    </row>
    <row r="554" ht="15" customHeight="1">
      <c r="A554" t="inlineStr">
        <is>
          <t>A 49918-2025</t>
        </is>
      </c>
      <c r="B554" s="1" t="n">
        <v>45940.6290625</v>
      </c>
      <c r="C554" s="1" t="n">
        <v>46129</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33481-2023</t>
        </is>
      </c>
      <c r="B555" s="1" t="n">
        <v>45131</v>
      </c>
      <c r="C555" s="1" t="n">
        <v>46129</v>
      </c>
      <c r="D555" t="inlineStr">
        <is>
          <t>JÄMTLANDS LÄN</t>
        </is>
      </c>
      <c r="E555" t="inlineStr">
        <is>
          <t>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35360-2025</t>
        </is>
      </c>
      <c r="B556" s="1" t="n">
        <v>45854.66877314815</v>
      </c>
      <c r="C556" s="1" t="n">
        <v>46129</v>
      </c>
      <c r="D556" t="inlineStr">
        <is>
          <t>JÄMTLANDS LÄN</t>
        </is>
      </c>
      <c r="E556" t="inlineStr">
        <is>
          <t>BERG</t>
        </is>
      </c>
      <c r="G556" t="n">
        <v>3.7</v>
      </c>
      <c r="H556" t="n">
        <v>0</v>
      </c>
      <c r="I556" t="n">
        <v>0</v>
      </c>
      <c r="J556" t="n">
        <v>0</v>
      </c>
      <c r="K556" t="n">
        <v>0</v>
      </c>
      <c r="L556" t="n">
        <v>0</v>
      </c>
      <c r="M556" t="n">
        <v>0</v>
      </c>
      <c r="N556" t="n">
        <v>0</v>
      </c>
      <c r="O556" t="n">
        <v>0</v>
      </c>
      <c r="P556" t="n">
        <v>0</v>
      </c>
      <c r="Q556" t="n">
        <v>0</v>
      </c>
      <c r="R556" s="2" t="inlineStr"/>
    </row>
    <row r="557" ht="15" customHeight="1">
      <c r="A557" t="inlineStr">
        <is>
          <t>A 50024-2025</t>
        </is>
      </c>
      <c r="B557" s="1" t="n">
        <v>45943.37563657408</v>
      </c>
      <c r="C557" s="1" t="n">
        <v>46129</v>
      </c>
      <c r="D557" t="inlineStr">
        <is>
          <t>JÄMTLANDS LÄN</t>
        </is>
      </c>
      <c r="E557" t="inlineStr">
        <is>
          <t>BERG</t>
        </is>
      </c>
      <c r="G557" t="n">
        <v>2.7</v>
      </c>
      <c r="H557" t="n">
        <v>0</v>
      </c>
      <c r="I557" t="n">
        <v>0</v>
      </c>
      <c r="J557" t="n">
        <v>0</v>
      </c>
      <c r="K557" t="n">
        <v>0</v>
      </c>
      <c r="L557" t="n">
        <v>0</v>
      </c>
      <c r="M557" t="n">
        <v>0</v>
      </c>
      <c r="N557" t="n">
        <v>0</v>
      </c>
      <c r="O557" t="n">
        <v>0</v>
      </c>
      <c r="P557" t="n">
        <v>0</v>
      </c>
      <c r="Q557" t="n">
        <v>0</v>
      </c>
      <c r="R557" s="2" t="inlineStr"/>
    </row>
    <row r="558" ht="15" customHeight="1">
      <c r="A558" t="inlineStr">
        <is>
          <t>A 50094-2025</t>
        </is>
      </c>
      <c r="B558" s="1" t="n">
        <v>45943.49340277778</v>
      </c>
      <c r="C558" s="1" t="n">
        <v>46129</v>
      </c>
      <c r="D558" t="inlineStr">
        <is>
          <t>JÄMTLANDS LÄN</t>
        </is>
      </c>
      <c r="E558" t="inlineStr">
        <is>
          <t>BERG</t>
        </is>
      </c>
      <c r="G558" t="n">
        <v>3</v>
      </c>
      <c r="H558" t="n">
        <v>0</v>
      </c>
      <c r="I558" t="n">
        <v>0</v>
      </c>
      <c r="J558" t="n">
        <v>0</v>
      </c>
      <c r="K558" t="n">
        <v>0</v>
      </c>
      <c r="L558" t="n">
        <v>0</v>
      </c>
      <c r="M558" t="n">
        <v>0</v>
      </c>
      <c r="N558" t="n">
        <v>0</v>
      </c>
      <c r="O558" t="n">
        <v>0</v>
      </c>
      <c r="P558" t="n">
        <v>0</v>
      </c>
      <c r="Q558" t="n">
        <v>0</v>
      </c>
      <c r="R558" s="2" t="inlineStr"/>
    </row>
    <row r="559" ht="15" customHeight="1">
      <c r="A559" t="inlineStr">
        <is>
          <t>A 35684-2025</t>
        </is>
      </c>
      <c r="B559" s="1" t="n">
        <v>45859.88079861111</v>
      </c>
      <c r="C559" s="1" t="n">
        <v>46129</v>
      </c>
      <c r="D559" t="inlineStr">
        <is>
          <t>JÄMTLANDS LÄN</t>
        </is>
      </c>
      <c r="E559" t="inlineStr">
        <is>
          <t>BERG</t>
        </is>
      </c>
      <c r="G559" t="n">
        <v>6.1</v>
      </c>
      <c r="H559" t="n">
        <v>0</v>
      </c>
      <c r="I559" t="n">
        <v>0</v>
      </c>
      <c r="J559" t="n">
        <v>0</v>
      </c>
      <c r="K559" t="n">
        <v>0</v>
      </c>
      <c r="L559" t="n">
        <v>0</v>
      </c>
      <c r="M559" t="n">
        <v>0</v>
      </c>
      <c r="N559" t="n">
        <v>0</v>
      </c>
      <c r="O559" t="n">
        <v>0</v>
      </c>
      <c r="P559" t="n">
        <v>0</v>
      </c>
      <c r="Q559" t="n">
        <v>0</v>
      </c>
      <c r="R559" s="2" t="inlineStr"/>
    </row>
    <row r="560" ht="15" customHeight="1">
      <c r="A560" t="inlineStr">
        <is>
          <t>A 50020-2025</t>
        </is>
      </c>
      <c r="B560" s="1" t="n">
        <v>45943.36899305556</v>
      </c>
      <c r="C560" s="1" t="n">
        <v>46129</v>
      </c>
      <c r="D560" t="inlineStr">
        <is>
          <t>JÄMTLANDS LÄN</t>
        </is>
      </c>
      <c r="E560" t="inlineStr">
        <is>
          <t>BERG</t>
        </is>
      </c>
      <c r="G560" t="n">
        <v>0.6</v>
      </c>
      <c r="H560" t="n">
        <v>0</v>
      </c>
      <c r="I560" t="n">
        <v>0</v>
      </c>
      <c r="J560" t="n">
        <v>0</v>
      </c>
      <c r="K560" t="n">
        <v>0</v>
      </c>
      <c r="L560" t="n">
        <v>0</v>
      </c>
      <c r="M560" t="n">
        <v>0</v>
      </c>
      <c r="N560" t="n">
        <v>0</v>
      </c>
      <c r="O560" t="n">
        <v>0</v>
      </c>
      <c r="P560" t="n">
        <v>0</v>
      </c>
      <c r="Q560" t="n">
        <v>0</v>
      </c>
      <c r="R560" s="2" t="inlineStr"/>
    </row>
    <row r="561" ht="15" customHeight="1">
      <c r="A561" t="inlineStr">
        <is>
          <t>A 50231-2025</t>
        </is>
      </c>
      <c r="B561" s="1" t="n">
        <v>45943.70643518519</v>
      </c>
      <c r="C561" s="1" t="n">
        <v>46129</v>
      </c>
      <c r="D561" t="inlineStr">
        <is>
          <t>JÄMTLANDS LÄN</t>
        </is>
      </c>
      <c r="E561" t="inlineStr">
        <is>
          <t>BERG</t>
        </is>
      </c>
      <c r="G561" t="n">
        <v>4.6</v>
      </c>
      <c r="H561" t="n">
        <v>0</v>
      </c>
      <c r="I561" t="n">
        <v>0</v>
      </c>
      <c r="J561" t="n">
        <v>0</v>
      </c>
      <c r="K561" t="n">
        <v>0</v>
      </c>
      <c r="L561" t="n">
        <v>0</v>
      </c>
      <c r="M561" t="n">
        <v>0</v>
      </c>
      <c r="N561" t="n">
        <v>0</v>
      </c>
      <c r="O561" t="n">
        <v>0</v>
      </c>
      <c r="P561" t="n">
        <v>0</v>
      </c>
      <c r="Q561" t="n">
        <v>0</v>
      </c>
      <c r="R561" s="2" t="inlineStr"/>
    </row>
    <row r="562" ht="15" customHeight="1">
      <c r="A562" t="inlineStr">
        <is>
          <t>A 50233-2025</t>
        </is>
      </c>
      <c r="B562" s="1" t="n">
        <v>45943.71228009259</v>
      </c>
      <c r="C562" s="1" t="n">
        <v>46129</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50227-2025</t>
        </is>
      </c>
      <c r="B563" s="1" t="n">
        <v>45943.69686342592</v>
      </c>
      <c r="C563" s="1" t="n">
        <v>46129</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50230-2025</t>
        </is>
      </c>
      <c r="B564" s="1" t="n">
        <v>45943.70216435185</v>
      </c>
      <c r="C564" s="1" t="n">
        <v>46129</v>
      </c>
      <c r="D564" t="inlineStr">
        <is>
          <t>JÄMTLANDS LÄN</t>
        </is>
      </c>
      <c r="E564" t="inlineStr">
        <is>
          <t>BERG</t>
        </is>
      </c>
      <c r="G564" t="n">
        <v>6.3</v>
      </c>
      <c r="H564" t="n">
        <v>0</v>
      </c>
      <c r="I564" t="n">
        <v>0</v>
      </c>
      <c r="J564" t="n">
        <v>0</v>
      </c>
      <c r="K564" t="n">
        <v>0</v>
      </c>
      <c r="L564" t="n">
        <v>0</v>
      </c>
      <c r="M564" t="n">
        <v>0</v>
      </c>
      <c r="N564" t="n">
        <v>0</v>
      </c>
      <c r="O564" t="n">
        <v>0</v>
      </c>
      <c r="P564" t="n">
        <v>0</v>
      </c>
      <c r="Q564" t="n">
        <v>0</v>
      </c>
      <c r="R564" s="2" t="inlineStr"/>
    </row>
    <row r="565" ht="15" customHeight="1">
      <c r="A565" t="inlineStr">
        <is>
          <t>A 8711-2024</t>
        </is>
      </c>
      <c r="B565" s="1" t="n">
        <v>45356</v>
      </c>
      <c r="C565" s="1" t="n">
        <v>46129</v>
      </c>
      <c r="D565" t="inlineStr">
        <is>
          <t>JÄMTLANDS LÄN</t>
        </is>
      </c>
      <c r="E565" t="inlineStr">
        <is>
          <t>BERG</t>
        </is>
      </c>
      <c r="G565" t="n">
        <v>5.2</v>
      </c>
      <c r="H565" t="n">
        <v>0</v>
      </c>
      <c r="I565" t="n">
        <v>0</v>
      </c>
      <c r="J565" t="n">
        <v>0</v>
      </c>
      <c r="K565" t="n">
        <v>0</v>
      </c>
      <c r="L565" t="n">
        <v>0</v>
      </c>
      <c r="M565" t="n">
        <v>0</v>
      </c>
      <c r="N565" t="n">
        <v>0</v>
      </c>
      <c r="O565" t="n">
        <v>0</v>
      </c>
      <c r="P565" t="n">
        <v>0</v>
      </c>
      <c r="Q565" t="n">
        <v>0</v>
      </c>
      <c r="R565" s="2" t="inlineStr"/>
    </row>
    <row r="566" ht="15" customHeight="1">
      <c r="A566" t="inlineStr">
        <is>
          <t>A 14198-2023</t>
        </is>
      </c>
      <c r="B566" s="1" t="n">
        <v>45009.57518518518</v>
      </c>
      <c r="C566" s="1" t="n">
        <v>46129</v>
      </c>
      <c r="D566" t="inlineStr">
        <is>
          <t>JÄMTLANDS LÄN</t>
        </is>
      </c>
      <c r="E566" t="inlineStr">
        <is>
          <t>BERG</t>
        </is>
      </c>
      <c r="G566" t="n">
        <v>2.3</v>
      </c>
      <c r="H566" t="n">
        <v>0</v>
      </c>
      <c r="I566" t="n">
        <v>0</v>
      </c>
      <c r="J566" t="n">
        <v>0</v>
      </c>
      <c r="K566" t="n">
        <v>0</v>
      </c>
      <c r="L566" t="n">
        <v>0</v>
      </c>
      <c r="M566" t="n">
        <v>0</v>
      </c>
      <c r="N566" t="n">
        <v>0</v>
      </c>
      <c r="O566" t="n">
        <v>0</v>
      </c>
      <c r="P566" t="n">
        <v>0</v>
      </c>
      <c r="Q566" t="n">
        <v>0</v>
      </c>
      <c r="R566" s="2" t="inlineStr"/>
    </row>
    <row r="567" ht="15" customHeight="1">
      <c r="A567" t="inlineStr">
        <is>
          <t>A 35681-2025</t>
        </is>
      </c>
      <c r="B567" s="1" t="n">
        <v>45859.77703703703</v>
      </c>
      <c r="C567" s="1" t="n">
        <v>46129</v>
      </c>
      <c r="D567" t="inlineStr">
        <is>
          <t>JÄMTLANDS LÄN</t>
        </is>
      </c>
      <c r="E567" t="inlineStr">
        <is>
          <t>BERG</t>
        </is>
      </c>
      <c r="G567" t="n">
        <v>27</v>
      </c>
      <c r="H567" t="n">
        <v>0</v>
      </c>
      <c r="I567" t="n">
        <v>0</v>
      </c>
      <c r="J567" t="n">
        <v>0</v>
      </c>
      <c r="K567" t="n">
        <v>0</v>
      </c>
      <c r="L567" t="n">
        <v>0</v>
      </c>
      <c r="M567" t="n">
        <v>0</v>
      </c>
      <c r="N567" t="n">
        <v>0</v>
      </c>
      <c r="O567" t="n">
        <v>0</v>
      </c>
      <c r="P567" t="n">
        <v>0</v>
      </c>
      <c r="Q567" t="n">
        <v>0</v>
      </c>
      <c r="R567" s="2" t="inlineStr"/>
    </row>
    <row r="568" ht="15" customHeight="1">
      <c r="A568" t="inlineStr">
        <is>
          <t>A 35683-2025</t>
        </is>
      </c>
      <c r="B568" s="1" t="n">
        <v>45859</v>
      </c>
      <c r="C568" s="1" t="n">
        <v>46129</v>
      </c>
      <c r="D568" t="inlineStr">
        <is>
          <t>JÄMTLANDS LÄN</t>
        </is>
      </c>
      <c r="E568" t="inlineStr">
        <is>
          <t>BERG</t>
        </is>
      </c>
      <c r="G568" t="n">
        <v>3.4</v>
      </c>
      <c r="H568" t="n">
        <v>0</v>
      </c>
      <c r="I568" t="n">
        <v>0</v>
      </c>
      <c r="J568" t="n">
        <v>0</v>
      </c>
      <c r="K568" t="n">
        <v>0</v>
      </c>
      <c r="L568" t="n">
        <v>0</v>
      </c>
      <c r="M568" t="n">
        <v>0</v>
      </c>
      <c r="N568" t="n">
        <v>0</v>
      </c>
      <c r="O568" t="n">
        <v>0</v>
      </c>
      <c r="P568" t="n">
        <v>0</v>
      </c>
      <c r="Q568" t="n">
        <v>0</v>
      </c>
      <c r="R568" s="2" t="inlineStr"/>
    </row>
    <row r="569" ht="15" customHeight="1">
      <c r="A569" t="inlineStr">
        <is>
          <t>A 50435-2025</t>
        </is>
      </c>
      <c r="B569" s="1" t="n">
        <v>45944.6984837963</v>
      </c>
      <c r="C569" s="1" t="n">
        <v>46129</v>
      </c>
      <c r="D569" t="inlineStr">
        <is>
          <t>JÄMTLANDS LÄN</t>
        </is>
      </c>
      <c r="E569" t="inlineStr">
        <is>
          <t>BERG</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1596-2024</t>
        </is>
      </c>
      <c r="B570" s="1" t="n">
        <v>45306</v>
      </c>
      <c r="C570" s="1" t="n">
        <v>46129</v>
      </c>
      <c r="D570" t="inlineStr">
        <is>
          <t>JÄMTLANDS LÄN</t>
        </is>
      </c>
      <c r="E570" t="inlineStr">
        <is>
          <t>BERG</t>
        </is>
      </c>
      <c r="G570" t="n">
        <v>0.8</v>
      </c>
      <c r="H570" t="n">
        <v>0</v>
      </c>
      <c r="I570" t="n">
        <v>0</v>
      </c>
      <c r="J570" t="n">
        <v>0</v>
      </c>
      <c r="K570" t="n">
        <v>0</v>
      </c>
      <c r="L570" t="n">
        <v>0</v>
      </c>
      <c r="M570" t="n">
        <v>0</v>
      </c>
      <c r="N570" t="n">
        <v>0</v>
      </c>
      <c r="O570" t="n">
        <v>0</v>
      </c>
      <c r="P570" t="n">
        <v>0</v>
      </c>
      <c r="Q570" t="n">
        <v>0</v>
      </c>
      <c r="R570" s="2" t="inlineStr"/>
    </row>
    <row r="571" ht="15" customHeight="1">
      <c r="A571" t="inlineStr">
        <is>
          <t>A 50273-2025</t>
        </is>
      </c>
      <c r="B571" s="1" t="n">
        <v>45944.36600694444</v>
      </c>
      <c r="C571" s="1" t="n">
        <v>46129</v>
      </c>
      <c r="D571" t="inlineStr">
        <is>
          <t>JÄMTLANDS LÄN</t>
        </is>
      </c>
      <c r="E571" t="inlineStr">
        <is>
          <t>BERG</t>
        </is>
      </c>
      <c r="G571" t="n">
        <v>5.7</v>
      </c>
      <c r="H571" t="n">
        <v>0</v>
      </c>
      <c r="I571" t="n">
        <v>0</v>
      </c>
      <c r="J571" t="n">
        <v>0</v>
      </c>
      <c r="K571" t="n">
        <v>0</v>
      </c>
      <c r="L571" t="n">
        <v>0</v>
      </c>
      <c r="M571" t="n">
        <v>0</v>
      </c>
      <c r="N571" t="n">
        <v>0</v>
      </c>
      <c r="O571" t="n">
        <v>0</v>
      </c>
      <c r="P571" t="n">
        <v>0</v>
      </c>
      <c r="Q571" t="n">
        <v>0</v>
      </c>
      <c r="R571" s="2" t="inlineStr"/>
    </row>
    <row r="572" ht="15" customHeight="1">
      <c r="A572" t="inlineStr">
        <is>
          <t>A 50408-2025</t>
        </is>
      </c>
      <c r="B572" s="1" t="n">
        <v>45944.64006944445</v>
      </c>
      <c r="C572" s="1" t="n">
        <v>46129</v>
      </c>
      <c r="D572" t="inlineStr">
        <is>
          <t>JÄMTLANDS LÄN</t>
        </is>
      </c>
      <c r="E572" t="inlineStr">
        <is>
          <t>BERG</t>
        </is>
      </c>
      <c r="G572" t="n">
        <v>1.2</v>
      </c>
      <c r="H572" t="n">
        <v>0</v>
      </c>
      <c r="I572" t="n">
        <v>0</v>
      </c>
      <c r="J572" t="n">
        <v>0</v>
      </c>
      <c r="K572" t="n">
        <v>0</v>
      </c>
      <c r="L572" t="n">
        <v>0</v>
      </c>
      <c r="M572" t="n">
        <v>0</v>
      </c>
      <c r="N572" t="n">
        <v>0</v>
      </c>
      <c r="O572" t="n">
        <v>0</v>
      </c>
      <c r="P572" t="n">
        <v>0</v>
      </c>
      <c r="Q572" t="n">
        <v>0</v>
      </c>
      <c r="R572" s="2" t="inlineStr"/>
    </row>
    <row r="573" ht="15" customHeight="1">
      <c r="A573" t="inlineStr">
        <is>
          <t>A 43458-2025</t>
        </is>
      </c>
      <c r="B573" s="1" t="n">
        <v>45911.46315972223</v>
      </c>
      <c r="C573" s="1" t="n">
        <v>46129</v>
      </c>
      <c r="D573" t="inlineStr">
        <is>
          <t>JÄMTLANDS LÄN</t>
        </is>
      </c>
      <c r="E573" t="inlineStr">
        <is>
          <t>BERG</t>
        </is>
      </c>
      <c r="G573" t="n">
        <v>11.2</v>
      </c>
      <c r="H573" t="n">
        <v>0</v>
      </c>
      <c r="I573" t="n">
        <v>0</v>
      </c>
      <c r="J573" t="n">
        <v>0</v>
      </c>
      <c r="K573" t="n">
        <v>0</v>
      </c>
      <c r="L573" t="n">
        <v>0</v>
      </c>
      <c r="M573" t="n">
        <v>0</v>
      </c>
      <c r="N573" t="n">
        <v>0</v>
      </c>
      <c r="O573" t="n">
        <v>0</v>
      </c>
      <c r="P573" t="n">
        <v>0</v>
      </c>
      <c r="Q573" t="n">
        <v>0</v>
      </c>
      <c r="R573" s="2" t="inlineStr"/>
    </row>
    <row r="574" ht="15" customHeight="1">
      <c r="A574" t="inlineStr">
        <is>
          <t>A 50562-2025</t>
        </is>
      </c>
      <c r="B574" s="1" t="n">
        <v>45945.55256944444</v>
      </c>
      <c r="C574" s="1" t="n">
        <v>46129</v>
      </c>
      <c r="D574" t="inlineStr">
        <is>
          <t>JÄMTLANDS LÄN</t>
        </is>
      </c>
      <c r="E574" t="inlineStr">
        <is>
          <t>BERG</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50531-2025</t>
        </is>
      </c>
      <c r="B575" s="1" t="n">
        <v>45945.47693287037</v>
      </c>
      <c r="C575" s="1" t="n">
        <v>46129</v>
      </c>
      <c r="D575" t="inlineStr">
        <is>
          <t>JÄMTLANDS LÄN</t>
        </is>
      </c>
      <c r="E575" t="inlineStr">
        <is>
          <t>BERG</t>
        </is>
      </c>
      <c r="G575" t="n">
        <v>13.9</v>
      </c>
      <c r="H575" t="n">
        <v>0</v>
      </c>
      <c r="I575" t="n">
        <v>0</v>
      </c>
      <c r="J575" t="n">
        <v>0</v>
      </c>
      <c r="K575" t="n">
        <v>0</v>
      </c>
      <c r="L575" t="n">
        <v>0</v>
      </c>
      <c r="M575" t="n">
        <v>0</v>
      </c>
      <c r="N575" t="n">
        <v>0</v>
      </c>
      <c r="O575" t="n">
        <v>0</v>
      </c>
      <c r="P575" t="n">
        <v>0</v>
      </c>
      <c r="Q575" t="n">
        <v>0</v>
      </c>
      <c r="R575" s="2" t="inlineStr"/>
    </row>
    <row r="576" ht="15" customHeight="1">
      <c r="A576" t="inlineStr">
        <is>
          <t>A 1520-2022</t>
        </is>
      </c>
      <c r="B576" s="1" t="n">
        <v>44572</v>
      </c>
      <c r="C576" s="1" t="n">
        <v>46129</v>
      </c>
      <c r="D576" t="inlineStr">
        <is>
          <t>JÄMTLANDS LÄN</t>
        </is>
      </c>
      <c r="E576" t="inlineStr">
        <is>
          <t>BERG</t>
        </is>
      </c>
      <c r="G576" t="n">
        <v>7.7</v>
      </c>
      <c r="H576" t="n">
        <v>0</v>
      </c>
      <c r="I576" t="n">
        <v>0</v>
      </c>
      <c r="J576" t="n">
        <v>0</v>
      </c>
      <c r="K576" t="n">
        <v>0</v>
      </c>
      <c r="L576" t="n">
        <v>0</v>
      </c>
      <c r="M576" t="n">
        <v>0</v>
      </c>
      <c r="N576" t="n">
        <v>0</v>
      </c>
      <c r="O576" t="n">
        <v>0</v>
      </c>
      <c r="P576" t="n">
        <v>0</v>
      </c>
      <c r="Q576" t="n">
        <v>0</v>
      </c>
      <c r="R576" s="2" t="inlineStr"/>
    </row>
    <row r="577" ht="15" customHeight="1">
      <c r="A577" t="inlineStr">
        <is>
          <t>A 27239-2023</t>
        </is>
      </c>
      <c r="B577" s="1" t="n">
        <v>45092</v>
      </c>
      <c r="C577" s="1" t="n">
        <v>46129</v>
      </c>
      <c r="D577" t="inlineStr">
        <is>
          <t>JÄMTLANDS LÄN</t>
        </is>
      </c>
      <c r="E577" t="inlineStr">
        <is>
          <t>BERG</t>
        </is>
      </c>
      <c r="G577" t="n">
        <v>5.3</v>
      </c>
      <c r="H577" t="n">
        <v>0</v>
      </c>
      <c r="I577" t="n">
        <v>0</v>
      </c>
      <c r="J577" t="n">
        <v>0</v>
      </c>
      <c r="K577" t="n">
        <v>0</v>
      </c>
      <c r="L577" t="n">
        <v>0</v>
      </c>
      <c r="M577" t="n">
        <v>0</v>
      </c>
      <c r="N577" t="n">
        <v>0</v>
      </c>
      <c r="O577" t="n">
        <v>0</v>
      </c>
      <c r="P577" t="n">
        <v>0</v>
      </c>
      <c r="Q577" t="n">
        <v>0</v>
      </c>
      <c r="R577" s="2" t="inlineStr"/>
    </row>
    <row r="578" ht="15" customHeight="1">
      <c r="A578" t="inlineStr">
        <is>
          <t>A 32248-2024</t>
        </is>
      </c>
      <c r="B578" s="1" t="n">
        <v>45511.95144675926</v>
      </c>
      <c r="C578" s="1" t="n">
        <v>46129</v>
      </c>
      <c r="D578" t="inlineStr">
        <is>
          <t>JÄMTLANDS LÄN</t>
        </is>
      </c>
      <c r="E578" t="inlineStr">
        <is>
          <t>BERG</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39103-2024</t>
        </is>
      </c>
      <c r="B579" s="1" t="n">
        <v>45548.57025462963</v>
      </c>
      <c r="C579" s="1" t="n">
        <v>46129</v>
      </c>
      <c r="D579" t="inlineStr">
        <is>
          <t>JÄMTLANDS LÄN</t>
        </is>
      </c>
      <c r="E579" t="inlineStr">
        <is>
          <t>BERG</t>
        </is>
      </c>
      <c r="G579" t="n">
        <v>38.4</v>
      </c>
      <c r="H579" t="n">
        <v>0</v>
      </c>
      <c r="I579" t="n">
        <v>0</v>
      </c>
      <c r="J579" t="n">
        <v>0</v>
      </c>
      <c r="K579" t="n">
        <v>0</v>
      </c>
      <c r="L579" t="n">
        <v>0</v>
      </c>
      <c r="M579" t="n">
        <v>0</v>
      </c>
      <c r="N579" t="n">
        <v>0</v>
      </c>
      <c r="O579" t="n">
        <v>0</v>
      </c>
      <c r="P579" t="n">
        <v>0</v>
      </c>
      <c r="Q579" t="n">
        <v>0</v>
      </c>
      <c r="R579" s="2" t="inlineStr"/>
    </row>
    <row r="580" ht="15" customHeight="1">
      <c r="A580" t="inlineStr">
        <is>
          <t>A 8191-2025</t>
        </is>
      </c>
      <c r="B580" s="1" t="n">
        <v>45708.40821759259</v>
      </c>
      <c r="C580" s="1" t="n">
        <v>46129</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51203-2025</t>
        </is>
      </c>
      <c r="B581" s="1" t="n">
        <v>45947.63592592593</v>
      </c>
      <c r="C581" s="1" t="n">
        <v>46129</v>
      </c>
      <c r="D581" t="inlineStr">
        <is>
          <t>JÄMTLANDS LÄN</t>
        </is>
      </c>
      <c r="E581" t="inlineStr">
        <is>
          <t>BERG</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14431-2025</t>
        </is>
      </c>
      <c r="B582" s="1" t="n">
        <v>45741</v>
      </c>
      <c r="C582" s="1" t="n">
        <v>46129</v>
      </c>
      <c r="D582" t="inlineStr">
        <is>
          <t>JÄMTLANDS LÄN</t>
        </is>
      </c>
      <c r="E582" t="inlineStr">
        <is>
          <t>BERG</t>
        </is>
      </c>
      <c r="G582" t="n">
        <v>1.7</v>
      </c>
      <c r="H582" t="n">
        <v>0</v>
      </c>
      <c r="I582" t="n">
        <v>0</v>
      </c>
      <c r="J582" t="n">
        <v>0</v>
      </c>
      <c r="K582" t="n">
        <v>0</v>
      </c>
      <c r="L582" t="n">
        <v>0</v>
      </c>
      <c r="M582" t="n">
        <v>0</v>
      </c>
      <c r="N582" t="n">
        <v>0</v>
      </c>
      <c r="O582" t="n">
        <v>0</v>
      </c>
      <c r="P582" t="n">
        <v>0</v>
      </c>
      <c r="Q582" t="n">
        <v>0</v>
      </c>
      <c r="R582" s="2" t="inlineStr"/>
    </row>
    <row r="583" ht="15" customHeight="1">
      <c r="A583" t="inlineStr">
        <is>
          <t>A 61459-2025</t>
        </is>
      </c>
      <c r="B583" s="1" t="n">
        <v>46001.59416666667</v>
      </c>
      <c r="C583" s="1" t="n">
        <v>46129</v>
      </c>
      <c r="D583" t="inlineStr">
        <is>
          <t>JÄMTLANDS LÄN</t>
        </is>
      </c>
      <c r="E583" t="inlineStr">
        <is>
          <t>BERG</t>
        </is>
      </c>
      <c r="G583" t="n">
        <v>2.7</v>
      </c>
      <c r="H583" t="n">
        <v>0</v>
      </c>
      <c r="I583" t="n">
        <v>0</v>
      </c>
      <c r="J583" t="n">
        <v>0</v>
      </c>
      <c r="K583" t="n">
        <v>0</v>
      </c>
      <c r="L583" t="n">
        <v>0</v>
      </c>
      <c r="M583" t="n">
        <v>0</v>
      </c>
      <c r="N583" t="n">
        <v>0</v>
      </c>
      <c r="O583" t="n">
        <v>0</v>
      </c>
      <c r="P583" t="n">
        <v>0</v>
      </c>
      <c r="Q583" t="n">
        <v>0</v>
      </c>
      <c r="R583" s="2" t="inlineStr"/>
    </row>
    <row r="584" ht="15" customHeight="1">
      <c r="A584" t="inlineStr">
        <is>
          <t>A 61460-2025</t>
        </is>
      </c>
      <c r="B584" s="1" t="n">
        <v>46001.59425925926</v>
      </c>
      <c r="C584" s="1" t="n">
        <v>46129</v>
      </c>
      <c r="D584" t="inlineStr">
        <is>
          <t>JÄMTLANDS LÄN</t>
        </is>
      </c>
      <c r="E584" t="inlineStr">
        <is>
          <t>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22030-2025</t>
        </is>
      </c>
      <c r="B585" s="1" t="n">
        <v>45785.25814814815</v>
      </c>
      <c r="C585" s="1" t="n">
        <v>46129</v>
      </c>
      <c r="D585" t="inlineStr">
        <is>
          <t>JÄMTLANDS LÄN</t>
        </is>
      </c>
      <c r="E585" t="inlineStr">
        <is>
          <t>BERG</t>
        </is>
      </c>
      <c r="G585" t="n">
        <v>5</v>
      </c>
      <c r="H585" t="n">
        <v>0</v>
      </c>
      <c r="I585" t="n">
        <v>0</v>
      </c>
      <c r="J585" t="n">
        <v>0</v>
      </c>
      <c r="K585" t="n">
        <v>0</v>
      </c>
      <c r="L585" t="n">
        <v>0</v>
      </c>
      <c r="M585" t="n">
        <v>0</v>
      </c>
      <c r="N585" t="n">
        <v>0</v>
      </c>
      <c r="O585" t="n">
        <v>0</v>
      </c>
      <c r="P585" t="n">
        <v>0</v>
      </c>
      <c r="Q585" t="n">
        <v>0</v>
      </c>
      <c r="R585" s="2" t="inlineStr"/>
    </row>
    <row r="586" ht="15" customHeight="1">
      <c r="A586" t="inlineStr">
        <is>
          <t>A 36377-2025</t>
        </is>
      </c>
      <c r="B586" s="1" t="n">
        <v>45868.57342592593</v>
      </c>
      <c r="C586" s="1" t="n">
        <v>46129</v>
      </c>
      <c r="D586" t="inlineStr">
        <is>
          <t>JÄMTLANDS LÄN</t>
        </is>
      </c>
      <c r="E586" t="inlineStr">
        <is>
          <t>BERG</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50698-2025</t>
        </is>
      </c>
      <c r="B587" s="1" t="n">
        <v>45945.91894675926</v>
      </c>
      <c r="C587" s="1" t="n">
        <v>46129</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51083-2025</t>
        </is>
      </c>
      <c r="B588" s="1" t="n">
        <v>45947.4678587963</v>
      </c>
      <c r="C588" s="1" t="n">
        <v>46129</v>
      </c>
      <c r="D588" t="inlineStr">
        <is>
          <t>JÄMTLANDS LÄN</t>
        </is>
      </c>
      <c r="E588" t="inlineStr">
        <is>
          <t>BERG</t>
        </is>
      </c>
      <c r="F588" t="inlineStr">
        <is>
          <t>Övriga Aktiebolag</t>
        </is>
      </c>
      <c r="G588" t="n">
        <v>10.4</v>
      </c>
      <c r="H588" t="n">
        <v>0</v>
      </c>
      <c r="I588" t="n">
        <v>0</v>
      </c>
      <c r="J588" t="n">
        <v>0</v>
      </c>
      <c r="K588" t="n">
        <v>0</v>
      </c>
      <c r="L588" t="n">
        <v>0</v>
      </c>
      <c r="M588" t="n">
        <v>0</v>
      </c>
      <c r="N588" t="n">
        <v>0</v>
      </c>
      <c r="O588" t="n">
        <v>0</v>
      </c>
      <c r="P588" t="n">
        <v>0</v>
      </c>
      <c r="Q588" t="n">
        <v>0</v>
      </c>
      <c r="R588" s="2" t="inlineStr"/>
    </row>
    <row r="589" ht="15" customHeight="1">
      <c r="A589" t="inlineStr">
        <is>
          <t>A 51079-2025</t>
        </is>
      </c>
      <c r="B589" s="1" t="n">
        <v>45947.465</v>
      </c>
      <c r="C589" s="1" t="n">
        <v>46129</v>
      </c>
      <c r="D589" t="inlineStr">
        <is>
          <t>JÄMTLANDS LÄN</t>
        </is>
      </c>
      <c r="E589" t="inlineStr">
        <is>
          <t>BERG</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4337-2026</t>
        </is>
      </c>
      <c r="B590" s="1" t="n">
        <v>46045</v>
      </c>
      <c r="C590" s="1" t="n">
        <v>46129</v>
      </c>
      <c r="D590" t="inlineStr">
        <is>
          <t>JÄMTLANDS LÄN</t>
        </is>
      </c>
      <c r="E590" t="inlineStr">
        <is>
          <t>BERG</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51080-2025</t>
        </is>
      </c>
      <c r="B591" s="1" t="n">
        <v>45947.46655092593</v>
      </c>
      <c r="C591" s="1" t="n">
        <v>46129</v>
      </c>
      <c r="D591" t="inlineStr">
        <is>
          <t>JÄMTLANDS LÄN</t>
        </is>
      </c>
      <c r="E591" t="inlineStr">
        <is>
          <t>BERG</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51301-2025</t>
        </is>
      </c>
      <c r="B592" s="1" t="n">
        <v>45950.36480324074</v>
      </c>
      <c r="C592" s="1" t="n">
        <v>46129</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25565-2023</t>
        </is>
      </c>
      <c r="B593" s="1" t="n">
        <v>45082</v>
      </c>
      <c r="C593" s="1" t="n">
        <v>46129</v>
      </c>
      <c r="D593" t="inlineStr">
        <is>
          <t>JÄMTLANDS LÄN</t>
        </is>
      </c>
      <c r="E593" t="inlineStr">
        <is>
          <t>BERG</t>
        </is>
      </c>
      <c r="G593" t="n">
        <v>3.1</v>
      </c>
      <c r="H593" t="n">
        <v>0</v>
      </c>
      <c r="I593" t="n">
        <v>0</v>
      </c>
      <c r="J593" t="n">
        <v>0</v>
      </c>
      <c r="K593" t="n">
        <v>0</v>
      </c>
      <c r="L593" t="n">
        <v>0</v>
      </c>
      <c r="M593" t="n">
        <v>0</v>
      </c>
      <c r="N593" t="n">
        <v>0</v>
      </c>
      <c r="O593" t="n">
        <v>0</v>
      </c>
      <c r="P593" t="n">
        <v>0</v>
      </c>
      <c r="Q593" t="n">
        <v>0</v>
      </c>
      <c r="R593" s="2" t="inlineStr"/>
    </row>
    <row r="594" ht="15" customHeight="1">
      <c r="A594" t="inlineStr">
        <is>
          <t>A 57661-2024</t>
        </is>
      </c>
      <c r="B594" s="1" t="n">
        <v>45630.6140162037</v>
      </c>
      <c r="C594" s="1" t="n">
        <v>46129</v>
      </c>
      <c r="D594" t="inlineStr">
        <is>
          <t>JÄMTLANDS LÄN</t>
        </is>
      </c>
      <c r="E594" t="inlineStr">
        <is>
          <t>BERG</t>
        </is>
      </c>
      <c r="G594" t="n">
        <v>0.8</v>
      </c>
      <c r="H594" t="n">
        <v>0</v>
      </c>
      <c r="I594" t="n">
        <v>0</v>
      </c>
      <c r="J594" t="n">
        <v>0</v>
      </c>
      <c r="K594" t="n">
        <v>0</v>
      </c>
      <c r="L594" t="n">
        <v>0</v>
      </c>
      <c r="M594" t="n">
        <v>0</v>
      </c>
      <c r="N594" t="n">
        <v>0</v>
      </c>
      <c r="O594" t="n">
        <v>0</v>
      </c>
      <c r="P594" t="n">
        <v>0</v>
      </c>
      <c r="Q594" t="n">
        <v>0</v>
      </c>
      <c r="R594" s="2" t="inlineStr"/>
    </row>
    <row r="595" ht="15" customHeight="1">
      <c r="A595" t="inlineStr">
        <is>
          <t>A 51675-2025</t>
        </is>
      </c>
      <c r="B595" s="1" t="n">
        <v>45951.50565972222</v>
      </c>
      <c r="C595" s="1" t="n">
        <v>46129</v>
      </c>
      <c r="D595" t="inlineStr">
        <is>
          <t>JÄMTLANDS LÄN</t>
        </is>
      </c>
      <c r="E595" t="inlineStr">
        <is>
          <t>BERG</t>
        </is>
      </c>
      <c r="G595" t="n">
        <v>1</v>
      </c>
      <c r="H595" t="n">
        <v>0</v>
      </c>
      <c r="I595" t="n">
        <v>0</v>
      </c>
      <c r="J595" t="n">
        <v>0</v>
      </c>
      <c r="K595" t="n">
        <v>0</v>
      </c>
      <c r="L595" t="n">
        <v>0</v>
      </c>
      <c r="M595" t="n">
        <v>0</v>
      </c>
      <c r="N595" t="n">
        <v>0</v>
      </c>
      <c r="O595" t="n">
        <v>0</v>
      </c>
      <c r="P595" t="n">
        <v>0</v>
      </c>
      <c r="Q595" t="n">
        <v>0</v>
      </c>
      <c r="R595" s="2" t="inlineStr"/>
    </row>
    <row r="596" ht="15" customHeight="1">
      <c r="A596" t="inlineStr">
        <is>
          <t>A 45208-2024</t>
        </is>
      </c>
      <c r="B596" s="1" t="n">
        <v>45575.7077662037</v>
      </c>
      <c r="C596" s="1" t="n">
        <v>46129</v>
      </c>
      <c r="D596" t="inlineStr">
        <is>
          <t>JÄMTLANDS LÄN</t>
        </is>
      </c>
      <c r="E596" t="inlineStr">
        <is>
          <t>BERG</t>
        </is>
      </c>
      <c r="G596" t="n">
        <v>1.9</v>
      </c>
      <c r="H596" t="n">
        <v>0</v>
      </c>
      <c r="I596" t="n">
        <v>0</v>
      </c>
      <c r="J596" t="n">
        <v>0</v>
      </c>
      <c r="K596" t="n">
        <v>0</v>
      </c>
      <c r="L596" t="n">
        <v>0</v>
      </c>
      <c r="M596" t="n">
        <v>0</v>
      </c>
      <c r="N596" t="n">
        <v>0</v>
      </c>
      <c r="O596" t="n">
        <v>0</v>
      </c>
      <c r="P596" t="n">
        <v>0</v>
      </c>
      <c r="Q596" t="n">
        <v>0</v>
      </c>
      <c r="R596" s="2" t="inlineStr"/>
    </row>
    <row r="597" ht="15" customHeight="1">
      <c r="A597" t="inlineStr">
        <is>
          <t>A 51495-2025</t>
        </is>
      </c>
      <c r="B597" s="1" t="n">
        <v>45950.6366550926</v>
      </c>
      <c r="C597" s="1" t="n">
        <v>46129</v>
      </c>
      <c r="D597" t="inlineStr">
        <is>
          <t>JÄMTLANDS LÄN</t>
        </is>
      </c>
      <c r="E597" t="inlineStr">
        <is>
          <t>BERG</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36668-2025</t>
        </is>
      </c>
      <c r="B598" s="1" t="n">
        <v>45873.38351851852</v>
      </c>
      <c r="C598" s="1" t="n">
        <v>46129</v>
      </c>
      <c r="D598" t="inlineStr">
        <is>
          <t>JÄMTLANDS LÄN</t>
        </is>
      </c>
      <c r="E598" t="inlineStr">
        <is>
          <t>BERG</t>
        </is>
      </c>
      <c r="G598" t="n">
        <v>6.7</v>
      </c>
      <c r="H598" t="n">
        <v>0</v>
      </c>
      <c r="I598" t="n">
        <v>0</v>
      </c>
      <c r="J598" t="n">
        <v>0</v>
      </c>
      <c r="K598" t="n">
        <v>0</v>
      </c>
      <c r="L598" t="n">
        <v>0</v>
      </c>
      <c r="M598" t="n">
        <v>0</v>
      </c>
      <c r="N598" t="n">
        <v>0</v>
      </c>
      <c r="O598" t="n">
        <v>0</v>
      </c>
      <c r="P598" t="n">
        <v>0</v>
      </c>
      <c r="Q598" t="n">
        <v>0</v>
      </c>
      <c r="R598" s="2" t="inlineStr"/>
    </row>
    <row r="599" ht="15" customHeight="1">
      <c r="A599" t="inlineStr">
        <is>
          <t>A 35866-2024</t>
        </is>
      </c>
      <c r="B599" s="1" t="n">
        <v>45533.3422337963</v>
      </c>
      <c r="C599" s="1" t="n">
        <v>46129</v>
      </c>
      <c r="D599" t="inlineStr">
        <is>
          <t>JÄMTLANDS LÄN</t>
        </is>
      </c>
      <c r="E599" t="inlineStr">
        <is>
          <t>BERG</t>
        </is>
      </c>
      <c r="G599" t="n">
        <v>2.5</v>
      </c>
      <c r="H599" t="n">
        <v>0</v>
      </c>
      <c r="I599" t="n">
        <v>0</v>
      </c>
      <c r="J599" t="n">
        <v>0</v>
      </c>
      <c r="K599" t="n">
        <v>0</v>
      </c>
      <c r="L599" t="n">
        <v>0</v>
      </c>
      <c r="M599" t="n">
        <v>0</v>
      </c>
      <c r="N599" t="n">
        <v>0</v>
      </c>
      <c r="O599" t="n">
        <v>0</v>
      </c>
      <c r="P599" t="n">
        <v>0</v>
      </c>
      <c r="Q599" t="n">
        <v>0</v>
      </c>
      <c r="R599" s="2" t="inlineStr"/>
    </row>
    <row r="600" ht="15" customHeight="1">
      <c r="A600" t="inlineStr">
        <is>
          <t>A 18775-2024</t>
        </is>
      </c>
      <c r="B600" s="1" t="n">
        <v>45426</v>
      </c>
      <c r="C600" s="1" t="n">
        <v>46129</v>
      </c>
      <c r="D600" t="inlineStr">
        <is>
          <t>JÄMTLANDS LÄN</t>
        </is>
      </c>
      <c r="E600" t="inlineStr">
        <is>
          <t>BERG</t>
        </is>
      </c>
      <c r="G600" t="n">
        <v>13.9</v>
      </c>
      <c r="H600" t="n">
        <v>0</v>
      </c>
      <c r="I600" t="n">
        <v>0</v>
      </c>
      <c r="J600" t="n">
        <v>0</v>
      </c>
      <c r="K600" t="n">
        <v>0</v>
      </c>
      <c r="L600" t="n">
        <v>0</v>
      </c>
      <c r="M600" t="n">
        <v>0</v>
      </c>
      <c r="N600" t="n">
        <v>0</v>
      </c>
      <c r="O600" t="n">
        <v>0</v>
      </c>
      <c r="P600" t="n">
        <v>0</v>
      </c>
      <c r="Q600" t="n">
        <v>0</v>
      </c>
      <c r="R600" s="2" t="inlineStr"/>
    </row>
    <row r="601" ht="15" customHeight="1">
      <c r="A601" t="inlineStr">
        <is>
          <t>A 52341-2025</t>
        </is>
      </c>
      <c r="B601" s="1" t="n">
        <v>45953.71564814815</v>
      </c>
      <c r="C601" s="1" t="n">
        <v>46129</v>
      </c>
      <c r="D601" t="inlineStr">
        <is>
          <t>JÄMTLANDS LÄN</t>
        </is>
      </c>
      <c r="E601" t="inlineStr">
        <is>
          <t>BERG</t>
        </is>
      </c>
      <c r="G601" t="n">
        <v>12.2</v>
      </c>
      <c r="H601" t="n">
        <v>0</v>
      </c>
      <c r="I601" t="n">
        <v>0</v>
      </c>
      <c r="J601" t="n">
        <v>0</v>
      </c>
      <c r="K601" t="n">
        <v>0</v>
      </c>
      <c r="L601" t="n">
        <v>0</v>
      </c>
      <c r="M601" t="n">
        <v>0</v>
      </c>
      <c r="N601" t="n">
        <v>0</v>
      </c>
      <c r="O601" t="n">
        <v>0</v>
      </c>
      <c r="P601" t="n">
        <v>0</v>
      </c>
      <c r="Q601" t="n">
        <v>0</v>
      </c>
      <c r="R601" s="2" t="inlineStr"/>
    </row>
    <row r="602" ht="15" customHeight="1">
      <c r="A602" t="inlineStr">
        <is>
          <t>A 52128-2025</t>
        </is>
      </c>
      <c r="B602" s="1" t="n">
        <v>45952.72754629629</v>
      </c>
      <c r="C602" s="1" t="n">
        <v>46129</v>
      </c>
      <c r="D602" t="inlineStr">
        <is>
          <t>JÄMTLANDS LÄN</t>
        </is>
      </c>
      <c r="E602" t="inlineStr">
        <is>
          <t>BERG</t>
        </is>
      </c>
      <c r="G602" t="n">
        <v>2.1</v>
      </c>
      <c r="H602" t="n">
        <v>0</v>
      </c>
      <c r="I602" t="n">
        <v>0</v>
      </c>
      <c r="J602" t="n">
        <v>0</v>
      </c>
      <c r="K602" t="n">
        <v>0</v>
      </c>
      <c r="L602" t="n">
        <v>0</v>
      </c>
      <c r="M602" t="n">
        <v>0</v>
      </c>
      <c r="N602" t="n">
        <v>0</v>
      </c>
      <c r="O602" t="n">
        <v>0</v>
      </c>
      <c r="P602" t="n">
        <v>0</v>
      </c>
      <c r="Q602" t="n">
        <v>0</v>
      </c>
      <c r="R602" s="2" t="inlineStr"/>
    </row>
    <row r="603" ht="15" customHeight="1">
      <c r="A603" t="inlineStr">
        <is>
          <t>A 52256-2025</t>
        </is>
      </c>
      <c r="B603" s="1" t="n">
        <v>45953.50086805555</v>
      </c>
      <c r="C603" s="1" t="n">
        <v>46129</v>
      </c>
      <c r="D603" t="inlineStr">
        <is>
          <t>JÄMTLANDS LÄN</t>
        </is>
      </c>
      <c r="E603" t="inlineStr">
        <is>
          <t>BERG</t>
        </is>
      </c>
      <c r="G603" t="n">
        <v>3.9</v>
      </c>
      <c r="H603" t="n">
        <v>0</v>
      </c>
      <c r="I603" t="n">
        <v>0</v>
      </c>
      <c r="J603" t="n">
        <v>0</v>
      </c>
      <c r="K603" t="n">
        <v>0</v>
      </c>
      <c r="L603" t="n">
        <v>0</v>
      </c>
      <c r="M603" t="n">
        <v>0</v>
      </c>
      <c r="N603" t="n">
        <v>0</v>
      </c>
      <c r="O603" t="n">
        <v>0</v>
      </c>
      <c r="P603" t="n">
        <v>0</v>
      </c>
      <c r="Q603" t="n">
        <v>0</v>
      </c>
      <c r="R603" s="2" t="inlineStr"/>
    </row>
    <row r="604" ht="15" customHeight="1">
      <c r="A604" t="inlineStr">
        <is>
          <t>A 37201-2025</t>
        </is>
      </c>
      <c r="B604" s="1" t="n">
        <v>45875.67797453704</v>
      </c>
      <c r="C604" s="1" t="n">
        <v>46129</v>
      </c>
      <c r="D604" t="inlineStr">
        <is>
          <t>JÄMTLANDS LÄN</t>
        </is>
      </c>
      <c r="E604" t="inlineStr">
        <is>
          <t>BERG</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52340-2025</t>
        </is>
      </c>
      <c r="B605" s="1" t="n">
        <v>45953.70571759259</v>
      </c>
      <c r="C605" s="1" t="n">
        <v>46129</v>
      </c>
      <c r="D605" t="inlineStr">
        <is>
          <t>JÄMTLANDS LÄN</t>
        </is>
      </c>
      <c r="E605" t="inlineStr">
        <is>
          <t>BERG</t>
        </is>
      </c>
      <c r="G605" t="n">
        <v>6.7</v>
      </c>
      <c r="H605" t="n">
        <v>0</v>
      </c>
      <c r="I605" t="n">
        <v>0</v>
      </c>
      <c r="J605" t="n">
        <v>0</v>
      </c>
      <c r="K605" t="n">
        <v>0</v>
      </c>
      <c r="L605" t="n">
        <v>0</v>
      </c>
      <c r="M605" t="n">
        <v>0</v>
      </c>
      <c r="N605" t="n">
        <v>0</v>
      </c>
      <c r="O605" t="n">
        <v>0</v>
      </c>
      <c r="P605" t="n">
        <v>0</v>
      </c>
      <c r="Q605" t="n">
        <v>0</v>
      </c>
      <c r="R605" s="2" t="inlineStr"/>
    </row>
    <row r="606" ht="15" customHeight="1">
      <c r="A606" t="inlineStr">
        <is>
          <t>A 52260-2025</t>
        </is>
      </c>
      <c r="B606" s="1" t="n">
        <v>45953.51113425926</v>
      </c>
      <c r="C606" s="1" t="n">
        <v>46129</v>
      </c>
      <c r="D606" t="inlineStr">
        <is>
          <t>JÄMTLANDS LÄN</t>
        </is>
      </c>
      <c r="E606" t="inlineStr">
        <is>
          <t>BERG</t>
        </is>
      </c>
      <c r="G606" t="n">
        <v>0.8</v>
      </c>
      <c r="H606" t="n">
        <v>0</v>
      </c>
      <c r="I606" t="n">
        <v>0</v>
      </c>
      <c r="J606" t="n">
        <v>0</v>
      </c>
      <c r="K606" t="n">
        <v>0</v>
      </c>
      <c r="L606" t="n">
        <v>0</v>
      </c>
      <c r="M606" t="n">
        <v>0</v>
      </c>
      <c r="N606" t="n">
        <v>0</v>
      </c>
      <c r="O606" t="n">
        <v>0</v>
      </c>
      <c r="P606" t="n">
        <v>0</v>
      </c>
      <c r="Q606" t="n">
        <v>0</v>
      </c>
      <c r="R606" s="2" t="inlineStr"/>
    </row>
    <row r="607" ht="15" customHeight="1">
      <c r="A607" t="inlineStr">
        <is>
          <t>A 51883-2025</t>
        </is>
      </c>
      <c r="B607" s="1" t="n">
        <v>45952.40701388889</v>
      </c>
      <c r="C607" s="1" t="n">
        <v>46129</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31682-2022</t>
        </is>
      </c>
      <c r="B608" s="1" t="n">
        <v>44776</v>
      </c>
      <c r="C608" s="1" t="n">
        <v>46129</v>
      </c>
      <c r="D608" t="inlineStr">
        <is>
          <t>JÄMTLANDS LÄN</t>
        </is>
      </c>
      <c r="E608" t="inlineStr">
        <is>
          <t>BERG</t>
        </is>
      </c>
      <c r="G608" t="n">
        <v>8</v>
      </c>
      <c r="H608" t="n">
        <v>0</v>
      </c>
      <c r="I608" t="n">
        <v>0</v>
      </c>
      <c r="J608" t="n">
        <v>0</v>
      </c>
      <c r="K608" t="n">
        <v>0</v>
      </c>
      <c r="L608" t="n">
        <v>0</v>
      </c>
      <c r="M608" t="n">
        <v>0</v>
      </c>
      <c r="N608" t="n">
        <v>0</v>
      </c>
      <c r="O608" t="n">
        <v>0</v>
      </c>
      <c r="P608" t="n">
        <v>0</v>
      </c>
      <c r="Q608" t="n">
        <v>0</v>
      </c>
      <c r="R608" s="2" t="inlineStr"/>
    </row>
    <row r="609" ht="15" customHeight="1">
      <c r="A609" t="inlineStr">
        <is>
          <t>A 52348-2025</t>
        </is>
      </c>
      <c r="B609" s="1" t="n">
        <v>45953.72064814815</v>
      </c>
      <c r="C609" s="1" t="n">
        <v>46129</v>
      </c>
      <c r="D609" t="inlineStr">
        <is>
          <t>JÄMTLANDS LÄN</t>
        </is>
      </c>
      <c r="E609" t="inlineStr">
        <is>
          <t>BERG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36896-2025</t>
        </is>
      </c>
      <c r="B610" s="1" t="n">
        <v>45874.4740625</v>
      </c>
      <c r="C610" s="1" t="n">
        <v>46129</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36714-2025</t>
        </is>
      </c>
      <c r="B611" s="1" t="n">
        <v>45873.46881944445</v>
      </c>
      <c r="C611" s="1" t="n">
        <v>46129</v>
      </c>
      <c r="D611" t="inlineStr">
        <is>
          <t>JÄMTLANDS LÄN</t>
        </is>
      </c>
      <c r="E611" t="inlineStr">
        <is>
          <t>BERG</t>
        </is>
      </c>
      <c r="F611" t="inlineStr">
        <is>
          <t>Sveaskog</t>
        </is>
      </c>
      <c r="G611" t="n">
        <v>3</v>
      </c>
      <c r="H611" t="n">
        <v>0</v>
      </c>
      <c r="I611" t="n">
        <v>0</v>
      </c>
      <c r="J611" t="n">
        <v>0</v>
      </c>
      <c r="K611" t="n">
        <v>0</v>
      </c>
      <c r="L611" t="n">
        <v>0</v>
      </c>
      <c r="M611" t="n">
        <v>0</v>
      </c>
      <c r="N611" t="n">
        <v>0</v>
      </c>
      <c r="O611" t="n">
        <v>0</v>
      </c>
      <c r="P611" t="n">
        <v>0</v>
      </c>
      <c r="Q611" t="n">
        <v>0</v>
      </c>
      <c r="R611" s="2" t="inlineStr"/>
    </row>
    <row r="612" ht="15" customHeight="1">
      <c r="A612" t="inlineStr">
        <is>
          <t>A 36718-2025</t>
        </is>
      </c>
      <c r="B612" s="1" t="n">
        <v>45873.47069444445</v>
      </c>
      <c r="C612" s="1" t="n">
        <v>46129</v>
      </c>
      <c r="D612" t="inlineStr">
        <is>
          <t>JÄMTLANDS LÄN</t>
        </is>
      </c>
      <c r="E612" t="inlineStr">
        <is>
          <t>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52062-2025</t>
        </is>
      </c>
      <c r="B613" s="1" t="n">
        <v>45952.63679398148</v>
      </c>
      <c r="C613" s="1" t="n">
        <v>46129</v>
      </c>
      <c r="D613" t="inlineStr">
        <is>
          <t>JÄMTLANDS LÄN</t>
        </is>
      </c>
      <c r="E613" t="inlineStr">
        <is>
          <t>BERG</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36341-2025</t>
        </is>
      </c>
      <c r="B614" s="1" t="n">
        <v>45868</v>
      </c>
      <c r="C614" s="1" t="n">
        <v>46129</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61647-2025</t>
        </is>
      </c>
      <c r="B615" s="1" t="n">
        <v>46002.4403587963</v>
      </c>
      <c r="C615" s="1" t="n">
        <v>46129</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52225-2025</t>
        </is>
      </c>
      <c r="B616" s="1" t="n">
        <v>45953.44831018519</v>
      </c>
      <c r="C616" s="1" t="n">
        <v>46129</v>
      </c>
      <c r="D616" t="inlineStr">
        <is>
          <t>JÄMTLANDS LÄN</t>
        </is>
      </c>
      <c r="E616" t="inlineStr">
        <is>
          <t>BERG</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37488-2025</t>
        </is>
      </c>
      <c r="B617" s="1" t="n">
        <v>45877.63582175926</v>
      </c>
      <c r="C617" s="1" t="n">
        <v>46129</v>
      </c>
      <c r="D617" t="inlineStr">
        <is>
          <t>JÄMTLANDS LÄN</t>
        </is>
      </c>
      <c r="E617" t="inlineStr">
        <is>
          <t>BERG</t>
        </is>
      </c>
      <c r="F617" t="inlineStr">
        <is>
          <t>SCA</t>
        </is>
      </c>
      <c r="G617" t="n">
        <v>5.7</v>
      </c>
      <c r="H617" t="n">
        <v>0</v>
      </c>
      <c r="I617" t="n">
        <v>0</v>
      </c>
      <c r="J617" t="n">
        <v>0</v>
      </c>
      <c r="K617" t="n">
        <v>0</v>
      </c>
      <c r="L617" t="n">
        <v>0</v>
      </c>
      <c r="M617" t="n">
        <v>0</v>
      </c>
      <c r="N617" t="n">
        <v>0</v>
      </c>
      <c r="O617" t="n">
        <v>0</v>
      </c>
      <c r="P617" t="n">
        <v>0</v>
      </c>
      <c r="Q617" t="n">
        <v>0</v>
      </c>
      <c r="R617" s="2" t="inlineStr"/>
    </row>
    <row r="618" ht="15" customHeight="1">
      <c r="A618" t="inlineStr">
        <is>
          <t>A 37455-2025</t>
        </is>
      </c>
      <c r="B618" s="1" t="n">
        <v>45877.56710648148</v>
      </c>
      <c r="C618" s="1" t="n">
        <v>46129</v>
      </c>
      <c r="D618" t="inlineStr">
        <is>
          <t>JÄMTLANDS LÄN</t>
        </is>
      </c>
      <c r="E618" t="inlineStr">
        <is>
          <t>BERG</t>
        </is>
      </c>
      <c r="G618" t="n">
        <v>5.6</v>
      </c>
      <c r="H618" t="n">
        <v>0</v>
      </c>
      <c r="I618" t="n">
        <v>0</v>
      </c>
      <c r="J618" t="n">
        <v>0</v>
      </c>
      <c r="K618" t="n">
        <v>0</v>
      </c>
      <c r="L618" t="n">
        <v>0</v>
      </c>
      <c r="M618" t="n">
        <v>0</v>
      </c>
      <c r="N618" t="n">
        <v>0</v>
      </c>
      <c r="O618" t="n">
        <v>0</v>
      </c>
      <c r="P618" t="n">
        <v>0</v>
      </c>
      <c r="Q618" t="n">
        <v>0</v>
      </c>
      <c r="R618" s="2" t="inlineStr"/>
    </row>
    <row r="619" ht="15" customHeight="1">
      <c r="A619" t="inlineStr">
        <is>
          <t>A 37101-2024</t>
        </is>
      </c>
      <c r="B619" s="1" t="n">
        <v>45539.5029050926</v>
      </c>
      <c r="C619" s="1" t="n">
        <v>46129</v>
      </c>
      <c r="D619" t="inlineStr">
        <is>
          <t>JÄMTLANDS LÄN</t>
        </is>
      </c>
      <c r="E619" t="inlineStr">
        <is>
          <t>BERG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52562-2025</t>
        </is>
      </c>
      <c r="B620" s="1" t="n">
        <v>45954.57357638889</v>
      </c>
      <c r="C620" s="1" t="n">
        <v>46129</v>
      </c>
      <c r="D620" t="inlineStr">
        <is>
          <t>JÄMTLANDS LÄN</t>
        </is>
      </c>
      <c r="E620" t="inlineStr">
        <is>
          <t>BERG</t>
        </is>
      </c>
      <c r="F620" t="inlineStr">
        <is>
          <t>SCA</t>
        </is>
      </c>
      <c r="G620" t="n">
        <v>5.4</v>
      </c>
      <c r="H620" t="n">
        <v>0</v>
      </c>
      <c r="I620" t="n">
        <v>0</v>
      </c>
      <c r="J620" t="n">
        <v>0</v>
      </c>
      <c r="K620" t="n">
        <v>0</v>
      </c>
      <c r="L620" t="n">
        <v>0</v>
      </c>
      <c r="M620" t="n">
        <v>0</v>
      </c>
      <c r="N620" t="n">
        <v>0</v>
      </c>
      <c r="O620" t="n">
        <v>0</v>
      </c>
      <c r="P620" t="n">
        <v>0</v>
      </c>
      <c r="Q620" t="n">
        <v>0</v>
      </c>
      <c r="R620" s="2" t="inlineStr"/>
    </row>
    <row r="621" ht="15" customHeight="1">
      <c r="A621" t="inlineStr">
        <is>
          <t>A 37463-2025</t>
        </is>
      </c>
      <c r="B621" s="1" t="n">
        <v>45877.5738425926</v>
      </c>
      <c r="C621" s="1" t="n">
        <v>46129</v>
      </c>
      <c r="D621" t="inlineStr">
        <is>
          <t>JÄMTLANDS LÄN</t>
        </is>
      </c>
      <c r="E621" t="inlineStr">
        <is>
          <t>BERG</t>
        </is>
      </c>
      <c r="F621" t="inlineStr">
        <is>
          <t>SCA</t>
        </is>
      </c>
      <c r="G621" t="n">
        <v>13.3</v>
      </c>
      <c r="H621" t="n">
        <v>0</v>
      </c>
      <c r="I621" t="n">
        <v>0</v>
      </c>
      <c r="J621" t="n">
        <v>0</v>
      </c>
      <c r="K621" t="n">
        <v>0</v>
      </c>
      <c r="L621" t="n">
        <v>0</v>
      </c>
      <c r="M621" t="n">
        <v>0</v>
      </c>
      <c r="N621" t="n">
        <v>0</v>
      </c>
      <c r="O621" t="n">
        <v>0</v>
      </c>
      <c r="P621" t="n">
        <v>0</v>
      </c>
      <c r="Q621" t="n">
        <v>0</v>
      </c>
      <c r="R621" s="2" t="inlineStr"/>
    </row>
    <row r="622" ht="15" customHeight="1">
      <c r="A622" t="inlineStr">
        <is>
          <t>A 37067-2023</t>
        </is>
      </c>
      <c r="B622" s="1" t="n">
        <v>45154</v>
      </c>
      <c r="C622" s="1" t="n">
        <v>46129</v>
      </c>
      <c r="D622" t="inlineStr">
        <is>
          <t>JÄMTLANDS LÄN</t>
        </is>
      </c>
      <c r="E622" t="inlineStr">
        <is>
          <t>BERG</t>
        </is>
      </c>
      <c r="G622" t="n">
        <v>7.4</v>
      </c>
      <c r="H622" t="n">
        <v>0</v>
      </c>
      <c r="I622" t="n">
        <v>0</v>
      </c>
      <c r="J622" t="n">
        <v>0</v>
      </c>
      <c r="K622" t="n">
        <v>0</v>
      </c>
      <c r="L622" t="n">
        <v>0</v>
      </c>
      <c r="M622" t="n">
        <v>0</v>
      </c>
      <c r="N622" t="n">
        <v>0</v>
      </c>
      <c r="O622" t="n">
        <v>0</v>
      </c>
      <c r="P622" t="n">
        <v>0</v>
      </c>
      <c r="Q622" t="n">
        <v>0</v>
      </c>
      <c r="R622" s="2" t="inlineStr"/>
    </row>
    <row r="623" ht="15" customHeight="1">
      <c r="A623" t="inlineStr">
        <is>
          <t>A 52933-2025</t>
        </is>
      </c>
      <c r="B623" s="1" t="n">
        <v>45957.62528935185</v>
      </c>
      <c r="C623" s="1" t="n">
        <v>46129</v>
      </c>
      <c r="D623" t="inlineStr">
        <is>
          <t>JÄMTLANDS LÄN</t>
        </is>
      </c>
      <c r="E623" t="inlineStr">
        <is>
          <t>BERG</t>
        </is>
      </c>
      <c r="G623" t="n">
        <v>10.1</v>
      </c>
      <c r="H623" t="n">
        <v>0</v>
      </c>
      <c r="I623" t="n">
        <v>0</v>
      </c>
      <c r="J623" t="n">
        <v>0</v>
      </c>
      <c r="K623" t="n">
        <v>0</v>
      </c>
      <c r="L623" t="n">
        <v>0</v>
      </c>
      <c r="M623" t="n">
        <v>0</v>
      </c>
      <c r="N623" t="n">
        <v>0</v>
      </c>
      <c r="O623" t="n">
        <v>0</v>
      </c>
      <c r="P623" t="n">
        <v>0</v>
      </c>
      <c r="Q623" t="n">
        <v>0</v>
      </c>
      <c r="R623" s="2" t="inlineStr"/>
    </row>
    <row r="624" ht="15" customHeight="1">
      <c r="A624" t="inlineStr">
        <is>
          <t>A 29087-2024</t>
        </is>
      </c>
      <c r="B624" s="1" t="n">
        <v>45481.92946759259</v>
      </c>
      <c r="C624" s="1" t="n">
        <v>46129</v>
      </c>
      <c r="D624" t="inlineStr">
        <is>
          <t>JÄMTLANDS LÄN</t>
        </is>
      </c>
      <c r="E624" t="inlineStr">
        <is>
          <t>BERG</t>
        </is>
      </c>
      <c r="G624" t="n">
        <v>10.7</v>
      </c>
      <c r="H624" t="n">
        <v>0</v>
      </c>
      <c r="I624" t="n">
        <v>0</v>
      </c>
      <c r="J624" t="n">
        <v>0</v>
      </c>
      <c r="K624" t="n">
        <v>0</v>
      </c>
      <c r="L624" t="n">
        <v>0</v>
      </c>
      <c r="M624" t="n">
        <v>0</v>
      </c>
      <c r="N624" t="n">
        <v>0</v>
      </c>
      <c r="O624" t="n">
        <v>0</v>
      </c>
      <c r="P624" t="n">
        <v>0</v>
      </c>
      <c r="Q624" t="n">
        <v>0</v>
      </c>
      <c r="R624" s="2" t="inlineStr"/>
    </row>
    <row r="625" ht="15" customHeight="1">
      <c r="A625" t="inlineStr">
        <is>
          <t>A 37431-2025</t>
        </is>
      </c>
      <c r="B625" s="1" t="n">
        <v>45877.51092592593</v>
      </c>
      <c r="C625" s="1" t="n">
        <v>46129</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8733-2025</t>
        </is>
      </c>
      <c r="B626" s="1" t="n">
        <v>45712.53197916667</v>
      </c>
      <c r="C626" s="1" t="n">
        <v>46129</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52938-2025</t>
        </is>
      </c>
      <c r="B627" s="1" t="n">
        <v>45957.63680555556</v>
      </c>
      <c r="C627" s="1" t="n">
        <v>46129</v>
      </c>
      <c r="D627" t="inlineStr">
        <is>
          <t>JÄMTLANDS LÄN</t>
        </is>
      </c>
      <c r="E627" t="inlineStr">
        <is>
          <t>BERG</t>
        </is>
      </c>
      <c r="G627" t="n">
        <v>3.6</v>
      </c>
      <c r="H627" t="n">
        <v>0</v>
      </c>
      <c r="I627" t="n">
        <v>0</v>
      </c>
      <c r="J627" t="n">
        <v>0</v>
      </c>
      <c r="K627" t="n">
        <v>0</v>
      </c>
      <c r="L627" t="n">
        <v>0</v>
      </c>
      <c r="M627" t="n">
        <v>0</v>
      </c>
      <c r="N627" t="n">
        <v>0</v>
      </c>
      <c r="O627" t="n">
        <v>0</v>
      </c>
      <c r="P627" t="n">
        <v>0</v>
      </c>
      <c r="Q627" t="n">
        <v>0</v>
      </c>
      <c r="R627" s="2" t="inlineStr"/>
    </row>
    <row r="628" ht="15" customHeight="1">
      <c r="A628" t="inlineStr">
        <is>
          <t>A 61987-2025</t>
        </is>
      </c>
      <c r="B628" s="1" t="n">
        <v>46003.62914351852</v>
      </c>
      <c r="C628" s="1" t="n">
        <v>46129</v>
      </c>
      <c r="D628" t="inlineStr">
        <is>
          <t>JÄMTLANDS LÄN</t>
        </is>
      </c>
      <c r="E628" t="inlineStr">
        <is>
          <t>BERG</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34601-2024</t>
        </is>
      </c>
      <c r="B629" s="1" t="n">
        <v>45526.4034375</v>
      </c>
      <c r="C629" s="1" t="n">
        <v>46129</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61977-2025</t>
        </is>
      </c>
      <c r="B630" s="1" t="n">
        <v>46003.61158564815</v>
      </c>
      <c r="C630" s="1" t="n">
        <v>46129</v>
      </c>
      <c r="D630" t="inlineStr">
        <is>
          <t>JÄMTLANDS LÄN</t>
        </is>
      </c>
      <c r="E630" t="inlineStr">
        <is>
          <t>BERG</t>
        </is>
      </c>
      <c r="G630" t="n">
        <v>2.7</v>
      </c>
      <c r="H630" t="n">
        <v>0</v>
      </c>
      <c r="I630" t="n">
        <v>0</v>
      </c>
      <c r="J630" t="n">
        <v>0</v>
      </c>
      <c r="K630" t="n">
        <v>0</v>
      </c>
      <c r="L630" t="n">
        <v>0</v>
      </c>
      <c r="M630" t="n">
        <v>0</v>
      </c>
      <c r="N630" t="n">
        <v>0</v>
      </c>
      <c r="O630" t="n">
        <v>0</v>
      </c>
      <c r="P630" t="n">
        <v>0</v>
      </c>
      <c r="Q630" t="n">
        <v>0</v>
      </c>
      <c r="R630" s="2" t="inlineStr"/>
    </row>
    <row r="631" ht="15" customHeight="1">
      <c r="A631" t="inlineStr">
        <is>
          <t>A 61991-2025</t>
        </is>
      </c>
      <c r="B631" s="1" t="n">
        <v>46003.62962962963</v>
      </c>
      <c r="C631" s="1" t="n">
        <v>46129</v>
      </c>
      <c r="D631" t="inlineStr">
        <is>
          <t>JÄMTLANDS LÄN</t>
        </is>
      </c>
      <c r="E631" t="inlineStr">
        <is>
          <t>BERG</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53155-2025</t>
        </is>
      </c>
      <c r="B632" s="1" t="n">
        <v>45958.49011574074</v>
      </c>
      <c r="C632" s="1" t="n">
        <v>46129</v>
      </c>
      <c r="D632" t="inlineStr">
        <is>
          <t>JÄMTLANDS LÄN</t>
        </is>
      </c>
      <c r="E632" t="inlineStr">
        <is>
          <t>BERG</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53157-2025</t>
        </is>
      </c>
      <c r="B633" s="1" t="n">
        <v>45958.49056712963</v>
      </c>
      <c r="C633" s="1" t="n">
        <v>46129</v>
      </c>
      <c r="D633" t="inlineStr">
        <is>
          <t>JÄMTLANDS LÄN</t>
        </is>
      </c>
      <c r="E633" t="inlineStr">
        <is>
          <t>BERG</t>
        </is>
      </c>
      <c r="F633" t="inlineStr">
        <is>
          <t>SCA</t>
        </is>
      </c>
      <c r="G633" t="n">
        <v>9.5</v>
      </c>
      <c r="H633" t="n">
        <v>0</v>
      </c>
      <c r="I633" t="n">
        <v>0</v>
      </c>
      <c r="J633" t="n">
        <v>0</v>
      </c>
      <c r="K633" t="n">
        <v>0</v>
      </c>
      <c r="L633" t="n">
        <v>0</v>
      </c>
      <c r="M633" t="n">
        <v>0</v>
      </c>
      <c r="N633" t="n">
        <v>0</v>
      </c>
      <c r="O633" t="n">
        <v>0</v>
      </c>
      <c r="P633" t="n">
        <v>0</v>
      </c>
      <c r="Q633" t="n">
        <v>0</v>
      </c>
      <c r="R633" s="2" t="inlineStr"/>
    </row>
    <row r="634" ht="15" customHeight="1">
      <c r="A634" t="inlineStr">
        <is>
          <t>A 19258-2025</t>
        </is>
      </c>
      <c r="B634" s="1" t="n">
        <v>45769.49987268518</v>
      </c>
      <c r="C634" s="1" t="n">
        <v>46129</v>
      </c>
      <c r="D634" t="inlineStr">
        <is>
          <t>JÄMTLANDS LÄN</t>
        </is>
      </c>
      <c r="E634" t="inlineStr">
        <is>
          <t>BERG</t>
        </is>
      </c>
      <c r="G634" t="n">
        <v>10.9</v>
      </c>
      <c r="H634" t="n">
        <v>0</v>
      </c>
      <c r="I634" t="n">
        <v>0</v>
      </c>
      <c r="J634" t="n">
        <v>0</v>
      </c>
      <c r="K634" t="n">
        <v>0</v>
      </c>
      <c r="L634" t="n">
        <v>0</v>
      </c>
      <c r="M634" t="n">
        <v>0</v>
      </c>
      <c r="N634" t="n">
        <v>0</v>
      </c>
      <c r="O634" t="n">
        <v>0</v>
      </c>
      <c r="P634" t="n">
        <v>0</v>
      </c>
      <c r="Q634" t="n">
        <v>0</v>
      </c>
      <c r="R634" s="2" t="inlineStr"/>
    </row>
    <row r="635" ht="15" customHeight="1">
      <c r="A635" t="inlineStr">
        <is>
          <t>A 16022-2025</t>
        </is>
      </c>
      <c r="B635" s="1" t="n">
        <v>45749.60973379629</v>
      </c>
      <c r="C635" s="1" t="n">
        <v>46129</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38082-2025</t>
        </is>
      </c>
      <c r="B636" s="1" t="n">
        <v>45882</v>
      </c>
      <c r="C636" s="1" t="n">
        <v>46129</v>
      </c>
      <c r="D636" t="inlineStr">
        <is>
          <t>JÄMTLANDS LÄN</t>
        </is>
      </c>
      <c r="E636" t="inlineStr">
        <is>
          <t>BERG</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38408-2025</t>
        </is>
      </c>
      <c r="B637" s="1" t="n">
        <v>45883.59412037037</v>
      </c>
      <c r="C637" s="1" t="n">
        <v>46129</v>
      </c>
      <c r="D637" t="inlineStr">
        <is>
          <t>JÄMTLANDS LÄN</t>
        </is>
      </c>
      <c r="E637" t="inlineStr">
        <is>
          <t>BERG</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28098-2024</t>
        </is>
      </c>
      <c r="B638" s="1" t="n">
        <v>45476.61347222222</v>
      </c>
      <c r="C638" s="1" t="n">
        <v>46129</v>
      </c>
      <c r="D638" t="inlineStr">
        <is>
          <t>JÄMTLANDS LÄN</t>
        </is>
      </c>
      <c r="E638" t="inlineStr">
        <is>
          <t>BERG</t>
        </is>
      </c>
      <c r="G638" t="n">
        <v>0.4</v>
      </c>
      <c r="H638" t="n">
        <v>0</v>
      </c>
      <c r="I638" t="n">
        <v>0</v>
      </c>
      <c r="J638" t="n">
        <v>0</v>
      </c>
      <c r="K638" t="n">
        <v>0</v>
      </c>
      <c r="L638" t="n">
        <v>0</v>
      </c>
      <c r="M638" t="n">
        <v>0</v>
      </c>
      <c r="N638" t="n">
        <v>0</v>
      </c>
      <c r="O638" t="n">
        <v>0</v>
      </c>
      <c r="P638" t="n">
        <v>0</v>
      </c>
      <c r="Q638" t="n">
        <v>0</v>
      </c>
      <c r="R638" s="2" t="inlineStr"/>
    </row>
    <row r="639" ht="15" customHeight="1">
      <c r="A639" t="inlineStr">
        <is>
          <t>A 47099-2024</t>
        </is>
      </c>
      <c r="B639" s="1" t="n">
        <v>45586.53743055555</v>
      </c>
      <c r="C639" s="1" t="n">
        <v>46129</v>
      </c>
      <c r="D639" t="inlineStr">
        <is>
          <t>JÄMTLANDS LÄN</t>
        </is>
      </c>
      <c r="E639" t="inlineStr">
        <is>
          <t>BERG</t>
        </is>
      </c>
      <c r="G639" t="n">
        <v>5.9</v>
      </c>
      <c r="H639" t="n">
        <v>0</v>
      </c>
      <c r="I639" t="n">
        <v>0</v>
      </c>
      <c r="J639" t="n">
        <v>0</v>
      </c>
      <c r="K639" t="n">
        <v>0</v>
      </c>
      <c r="L639" t="n">
        <v>0</v>
      </c>
      <c r="M639" t="n">
        <v>0</v>
      </c>
      <c r="N639" t="n">
        <v>0</v>
      </c>
      <c r="O639" t="n">
        <v>0</v>
      </c>
      <c r="P639" t="n">
        <v>0</v>
      </c>
      <c r="Q639" t="n">
        <v>0</v>
      </c>
      <c r="R639" s="2" t="inlineStr"/>
    </row>
    <row r="640" ht="15" customHeight="1">
      <c r="A640" t="inlineStr">
        <is>
          <t>A 53349-2025</t>
        </is>
      </c>
      <c r="B640" s="1" t="n">
        <v>45959.43579861111</v>
      </c>
      <c r="C640" s="1" t="n">
        <v>46129</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38388-2025</t>
        </is>
      </c>
      <c r="B641" s="1" t="n">
        <v>45883.57467592593</v>
      </c>
      <c r="C641" s="1" t="n">
        <v>46129</v>
      </c>
      <c r="D641" t="inlineStr">
        <is>
          <t>JÄMTLANDS LÄN</t>
        </is>
      </c>
      <c r="E641" t="inlineStr">
        <is>
          <t>BERG</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38428-2025</t>
        </is>
      </c>
      <c r="B642" s="1" t="n">
        <v>45883.63628472222</v>
      </c>
      <c r="C642" s="1" t="n">
        <v>46129</v>
      </c>
      <c r="D642" t="inlineStr">
        <is>
          <t>JÄMTLANDS LÄN</t>
        </is>
      </c>
      <c r="E642" t="inlineStr">
        <is>
          <t>BERG</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38080-2025</t>
        </is>
      </c>
      <c r="B643" s="1" t="n">
        <v>45882</v>
      </c>
      <c r="C643" s="1" t="n">
        <v>46129</v>
      </c>
      <c r="D643" t="inlineStr">
        <is>
          <t>JÄMTLANDS LÄN</t>
        </is>
      </c>
      <c r="E643" t="inlineStr">
        <is>
          <t>BERG</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53085-2025</t>
        </is>
      </c>
      <c r="B644" s="1" t="n">
        <v>45958.40675925926</v>
      </c>
      <c r="C644" s="1" t="n">
        <v>46129</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53625-2025</t>
        </is>
      </c>
      <c r="B645" s="1" t="n">
        <v>45960.49020833334</v>
      </c>
      <c r="C645" s="1" t="n">
        <v>46129</v>
      </c>
      <c r="D645" t="inlineStr">
        <is>
          <t>JÄMTLANDS LÄN</t>
        </is>
      </c>
      <c r="E645" t="inlineStr">
        <is>
          <t>BERG</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53610-2025</t>
        </is>
      </c>
      <c r="B646" s="1" t="n">
        <v>45960.46951388889</v>
      </c>
      <c r="C646" s="1" t="n">
        <v>46129</v>
      </c>
      <c r="D646" t="inlineStr">
        <is>
          <t>JÄMTLANDS LÄN</t>
        </is>
      </c>
      <c r="E646" t="inlineStr">
        <is>
          <t>BERG</t>
        </is>
      </c>
      <c r="F646" t="inlineStr">
        <is>
          <t>SCA</t>
        </is>
      </c>
      <c r="G646" t="n">
        <v>30.7</v>
      </c>
      <c r="H646" t="n">
        <v>0</v>
      </c>
      <c r="I646" t="n">
        <v>0</v>
      </c>
      <c r="J646" t="n">
        <v>0</v>
      </c>
      <c r="K646" t="n">
        <v>0</v>
      </c>
      <c r="L646" t="n">
        <v>0</v>
      </c>
      <c r="M646" t="n">
        <v>0</v>
      </c>
      <c r="N646" t="n">
        <v>0</v>
      </c>
      <c r="O646" t="n">
        <v>0</v>
      </c>
      <c r="P646" t="n">
        <v>0</v>
      </c>
      <c r="Q646" t="n">
        <v>0</v>
      </c>
      <c r="R646" s="2" t="inlineStr"/>
    </row>
    <row r="647" ht="15" customHeight="1">
      <c r="A647" t="inlineStr">
        <is>
          <t>A 53680-2025</t>
        </is>
      </c>
      <c r="B647" s="1" t="n">
        <v>45960.57361111111</v>
      </c>
      <c r="C647" s="1" t="n">
        <v>46129</v>
      </c>
      <c r="D647" t="inlineStr">
        <is>
          <t>JÄMTLANDS LÄN</t>
        </is>
      </c>
      <c r="E647" t="inlineStr">
        <is>
          <t>BERG</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53712-2025</t>
        </is>
      </c>
      <c r="B648" s="1" t="n">
        <v>45960.61547453704</v>
      </c>
      <c r="C648" s="1" t="n">
        <v>46129</v>
      </c>
      <c r="D648" t="inlineStr">
        <is>
          <t>JÄMTLANDS LÄN</t>
        </is>
      </c>
      <c r="E648" t="inlineStr">
        <is>
          <t>BERG</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62052-2025</t>
        </is>
      </c>
      <c r="B649" s="1" t="n">
        <v>46006.32145833333</v>
      </c>
      <c r="C649" s="1" t="n">
        <v>46129</v>
      </c>
      <c r="D649" t="inlineStr">
        <is>
          <t>JÄMTLANDS LÄN</t>
        </is>
      </c>
      <c r="E649" t="inlineStr">
        <is>
          <t>BERG</t>
        </is>
      </c>
      <c r="G649" t="n">
        <v>11</v>
      </c>
      <c r="H649" t="n">
        <v>0</v>
      </c>
      <c r="I649" t="n">
        <v>0</v>
      </c>
      <c r="J649" t="n">
        <v>0</v>
      </c>
      <c r="K649" t="n">
        <v>0</v>
      </c>
      <c r="L649" t="n">
        <v>0</v>
      </c>
      <c r="M649" t="n">
        <v>0</v>
      </c>
      <c r="N649" t="n">
        <v>0</v>
      </c>
      <c r="O649" t="n">
        <v>0</v>
      </c>
      <c r="P649" t="n">
        <v>0</v>
      </c>
      <c r="Q649" t="n">
        <v>0</v>
      </c>
      <c r="R649" s="2" t="inlineStr"/>
    </row>
    <row r="650" ht="15" customHeight="1">
      <c r="A650" t="inlineStr">
        <is>
          <t>A 53859-2025</t>
        </is>
      </c>
      <c r="B650" s="1" t="n">
        <v>45961</v>
      </c>
      <c r="C650" s="1" t="n">
        <v>46129</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39809-2025</t>
        </is>
      </c>
      <c r="B651" s="1" t="n">
        <v>45891</v>
      </c>
      <c r="C651" s="1" t="n">
        <v>46129</v>
      </c>
      <c r="D651" t="inlineStr">
        <is>
          <t>JÄMTLANDS LÄN</t>
        </is>
      </c>
      <c r="E651" t="inlineStr">
        <is>
          <t>BERG</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1495-2025</t>
        </is>
      </c>
      <c r="B652" s="1" t="n">
        <v>45670.40652777778</v>
      </c>
      <c r="C652" s="1" t="n">
        <v>46129</v>
      </c>
      <c r="D652" t="inlineStr">
        <is>
          <t>JÄMTLANDS LÄN</t>
        </is>
      </c>
      <c r="E652" t="inlineStr">
        <is>
          <t>BERG</t>
        </is>
      </c>
      <c r="G652" t="n">
        <v>0.3</v>
      </c>
      <c r="H652" t="n">
        <v>0</v>
      </c>
      <c r="I652" t="n">
        <v>0</v>
      </c>
      <c r="J652" t="n">
        <v>0</v>
      </c>
      <c r="K652" t="n">
        <v>0</v>
      </c>
      <c r="L652" t="n">
        <v>0</v>
      </c>
      <c r="M652" t="n">
        <v>0</v>
      </c>
      <c r="N652" t="n">
        <v>0</v>
      </c>
      <c r="O652" t="n">
        <v>0</v>
      </c>
      <c r="P652" t="n">
        <v>0</v>
      </c>
      <c r="Q652" t="n">
        <v>0</v>
      </c>
      <c r="R652" s="2" t="inlineStr"/>
    </row>
    <row r="653" ht="15" customHeight="1">
      <c r="A653" t="inlineStr">
        <is>
          <t>A 34367-2024</t>
        </is>
      </c>
      <c r="B653" s="1" t="n">
        <v>45525.38040509259</v>
      </c>
      <c r="C653" s="1" t="n">
        <v>46129</v>
      </c>
      <c r="D653" t="inlineStr">
        <is>
          <t>JÄMTLANDS LÄN</t>
        </is>
      </c>
      <c r="E653" t="inlineStr">
        <is>
          <t>BERG</t>
        </is>
      </c>
      <c r="G653" t="n">
        <v>0.4</v>
      </c>
      <c r="H653" t="n">
        <v>0</v>
      </c>
      <c r="I653" t="n">
        <v>0</v>
      </c>
      <c r="J653" t="n">
        <v>0</v>
      </c>
      <c r="K653" t="n">
        <v>0</v>
      </c>
      <c r="L653" t="n">
        <v>0</v>
      </c>
      <c r="M653" t="n">
        <v>0</v>
      </c>
      <c r="N653" t="n">
        <v>0</v>
      </c>
      <c r="O653" t="n">
        <v>0</v>
      </c>
      <c r="P653" t="n">
        <v>0</v>
      </c>
      <c r="Q653" t="n">
        <v>0</v>
      </c>
      <c r="R653" s="2" t="inlineStr"/>
    </row>
    <row r="654" ht="15" customHeight="1">
      <c r="A654" t="inlineStr">
        <is>
          <t>A 34369-2024</t>
        </is>
      </c>
      <c r="B654" s="1" t="n">
        <v>45525.38228009259</v>
      </c>
      <c r="C654" s="1" t="n">
        <v>46129</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166-2024</t>
        </is>
      </c>
      <c r="B655" s="1" t="n">
        <v>45294</v>
      </c>
      <c r="C655" s="1" t="n">
        <v>46129</v>
      </c>
      <c r="D655" t="inlineStr">
        <is>
          <t>JÄMTLANDS LÄN</t>
        </is>
      </c>
      <c r="E655" t="inlineStr">
        <is>
          <t>BERG</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3964-2025</t>
        </is>
      </c>
      <c r="B656" s="1" t="n">
        <v>45684.50761574074</v>
      </c>
      <c r="C656" s="1" t="n">
        <v>46129</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47982-2022</t>
        </is>
      </c>
      <c r="B657" s="1" t="n">
        <v>44853</v>
      </c>
      <c r="C657" s="1" t="n">
        <v>46129</v>
      </c>
      <c r="D657" t="inlineStr">
        <is>
          <t>JÄMTLANDS LÄN</t>
        </is>
      </c>
      <c r="E657" t="inlineStr">
        <is>
          <t>BERG</t>
        </is>
      </c>
      <c r="G657" t="n">
        <v>5.1</v>
      </c>
      <c r="H657" t="n">
        <v>0</v>
      </c>
      <c r="I657" t="n">
        <v>0</v>
      </c>
      <c r="J657" t="n">
        <v>0</v>
      </c>
      <c r="K657" t="n">
        <v>0</v>
      </c>
      <c r="L657" t="n">
        <v>0</v>
      </c>
      <c r="M657" t="n">
        <v>0</v>
      </c>
      <c r="N657" t="n">
        <v>0</v>
      </c>
      <c r="O657" t="n">
        <v>0</v>
      </c>
      <c r="P657" t="n">
        <v>0</v>
      </c>
      <c r="Q657" t="n">
        <v>0</v>
      </c>
      <c r="R657" s="2" t="inlineStr"/>
    </row>
    <row r="658" ht="15" customHeight="1">
      <c r="A658" t="inlineStr">
        <is>
          <t>A 61239-2022</t>
        </is>
      </c>
      <c r="B658" s="1" t="n">
        <v>44909</v>
      </c>
      <c r="C658" s="1" t="n">
        <v>46129</v>
      </c>
      <c r="D658" t="inlineStr">
        <is>
          <t>JÄMTLANDS LÄN</t>
        </is>
      </c>
      <c r="E658" t="inlineStr">
        <is>
          <t>BERG</t>
        </is>
      </c>
      <c r="G658" t="n">
        <v>13.5</v>
      </c>
      <c r="H658" t="n">
        <v>0</v>
      </c>
      <c r="I658" t="n">
        <v>0</v>
      </c>
      <c r="J658" t="n">
        <v>0</v>
      </c>
      <c r="K658" t="n">
        <v>0</v>
      </c>
      <c r="L658" t="n">
        <v>0</v>
      </c>
      <c r="M658" t="n">
        <v>0</v>
      </c>
      <c r="N658" t="n">
        <v>0</v>
      </c>
      <c r="O658" t="n">
        <v>0</v>
      </c>
      <c r="P658" t="n">
        <v>0</v>
      </c>
      <c r="Q658" t="n">
        <v>0</v>
      </c>
      <c r="R658" s="2" t="inlineStr"/>
    </row>
    <row r="659" ht="15" customHeight="1">
      <c r="A659" t="inlineStr">
        <is>
          <t>A 7021-2025</t>
        </is>
      </c>
      <c r="B659" s="1" t="n">
        <v>45701.61520833334</v>
      </c>
      <c r="C659" s="1" t="n">
        <v>46129</v>
      </c>
      <c r="D659" t="inlineStr">
        <is>
          <t>JÄMTLANDS LÄN</t>
        </is>
      </c>
      <c r="E659" t="inlineStr">
        <is>
          <t>BERG</t>
        </is>
      </c>
      <c r="G659" t="n">
        <v>4.2</v>
      </c>
      <c r="H659" t="n">
        <v>0</v>
      </c>
      <c r="I659" t="n">
        <v>0</v>
      </c>
      <c r="J659" t="n">
        <v>0</v>
      </c>
      <c r="K659" t="n">
        <v>0</v>
      </c>
      <c r="L659" t="n">
        <v>0</v>
      </c>
      <c r="M659" t="n">
        <v>0</v>
      </c>
      <c r="N659" t="n">
        <v>0</v>
      </c>
      <c r="O659" t="n">
        <v>0</v>
      </c>
      <c r="P659" t="n">
        <v>0</v>
      </c>
      <c r="Q659" t="n">
        <v>0</v>
      </c>
      <c r="R659" s="2" t="inlineStr"/>
    </row>
    <row r="660" ht="15" customHeight="1">
      <c r="A660" t="inlineStr">
        <is>
          <t>A 62826-2025</t>
        </is>
      </c>
      <c r="B660" s="1" t="n">
        <v>46008.65883101852</v>
      </c>
      <c r="C660" s="1" t="n">
        <v>46129</v>
      </c>
      <c r="D660" t="inlineStr">
        <is>
          <t>JÄMTLANDS LÄN</t>
        </is>
      </c>
      <c r="E660" t="inlineStr">
        <is>
          <t>BERG</t>
        </is>
      </c>
      <c r="G660" t="n">
        <v>4</v>
      </c>
      <c r="H660" t="n">
        <v>0</v>
      </c>
      <c r="I660" t="n">
        <v>0</v>
      </c>
      <c r="J660" t="n">
        <v>0</v>
      </c>
      <c r="K660" t="n">
        <v>0</v>
      </c>
      <c r="L660" t="n">
        <v>0</v>
      </c>
      <c r="M660" t="n">
        <v>0</v>
      </c>
      <c r="N660" t="n">
        <v>0</v>
      </c>
      <c r="O660" t="n">
        <v>0</v>
      </c>
      <c r="P660" t="n">
        <v>0</v>
      </c>
      <c r="Q660" t="n">
        <v>0</v>
      </c>
      <c r="R660" s="2" t="inlineStr"/>
    </row>
    <row r="661" ht="15" customHeight="1">
      <c r="A661" t="inlineStr">
        <is>
          <t>A 19429-2025</t>
        </is>
      </c>
      <c r="B661" s="1" t="n">
        <v>45769.8025462963</v>
      </c>
      <c r="C661" s="1" t="n">
        <v>46129</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53427-2025</t>
        </is>
      </c>
      <c r="B662" s="1" t="n">
        <v>45959</v>
      </c>
      <c r="C662" s="1" t="n">
        <v>46129</v>
      </c>
      <c r="D662" t="inlineStr">
        <is>
          <t>JÄMTLANDS LÄN</t>
        </is>
      </c>
      <c r="E662" t="inlineStr">
        <is>
          <t>BERG</t>
        </is>
      </c>
      <c r="F662" t="inlineStr">
        <is>
          <t>SCA</t>
        </is>
      </c>
      <c r="G662" t="n">
        <v>7.1</v>
      </c>
      <c r="H662" t="n">
        <v>0</v>
      </c>
      <c r="I662" t="n">
        <v>0</v>
      </c>
      <c r="J662" t="n">
        <v>0</v>
      </c>
      <c r="K662" t="n">
        <v>0</v>
      </c>
      <c r="L662" t="n">
        <v>0</v>
      </c>
      <c r="M662" t="n">
        <v>0</v>
      </c>
      <c r="N662" t="n">
        <v>0</v>
      </c>
      <c r="O662" t="n">
        <v>0</v>
      </c>
      <c r="P662" t="n">
        <v>0</v>
      </c>
      <c r="Q662" t="n">
        <v>0</v>
      </c>
      <c r="R662" s="2" t="inlineStr"/>
    </row>
    <row r="663" ht="15" customHeight="1">
      <c r="A663" t="inlineStr">
        <is>
          <t>A 54852-2025</t>
        </is>
      </c>
      <c r="B663" s="1" t="n">
        <v>45966.71946759259</v>
      </c>
      <c r="C663" s="1" t="n">
        <v>46129</v>
      </c>
      <c r="D663" t="inlineStr">
        <is>
          <t>JÄMTLANDS LÄN</t>
        </is>
      </c>
      <c r="E663" t="inlineStr">
        <is>
          <t>BERG</t>
        </is>
      </c>
      <c r="G663" t="n">
        <v>1.7</v>
      </c>
      <c r="H663" t="n">
        <v>0</v>
      </c>
      <c r="I663" t="n">
        <v>0</v>
      </c>
      <c r="J663" t="n">
        <v>0</v>
      </c>
      <c r="K663" t="n">
        <v>0</v>
      </c>
      <c r="L663" t="n">
        <v>0</v>
      </c>
      <c r="M663" t="n">
        <v>0</v>
      </c>
      <c r="N663" t="n">
        <v>0</v>
      </c>
      <c r="O663" t="n">
        <v>0</v>
      </c>
      <c r="P663" t="n">
        <v>0</v>
      </c>
      <c r="Q663" t="n">
        <v>0</v>
      </c>
      <c r="R663" s="2" t="inlineStr"/>
    </row>
    <row r="664" ht="15" customHeight="1">
      <c r="A664" t="inlineStr">
        <is>
          <t>A 54720-2025</t>
        </is>
      </c>
      <c r="B664" s="1" t="n">
        <v>45966.53177083333</v>
      </c>
      <c r="C664" s="1" t="n">
        <v>46129</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54825-2025</t>
        </is>
      </c>
      <c r="B665" s="1" t="n">
        <v>45966.66768518519</v>
      </c>
      <c r="C665" s="1" t="n">
        <v>46129</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18872-2023</t>
        </is>
      </c>
      <c r="B666" s="1" t="n">
        <v>45042</v>
      </c>
      <c r="C666" s="1" t="n">
        <v>46129</v>
      </c>
      <c r="D666" t="inlineStr">
        <is>
          <t>JÄMTLANDS LÄN</t>
        </is>
      </c>
      <c r="E666" t="inlineStr">
        <is>
          <t>BERG</t>
        </is>
      </c>
      <c r="G666" t="n">
        <v>13.2</v>
      </c>
      <c r="H666" t="n">
        <v>0</v>
      </c>
      <c r="I666" t="n">
        <v>0</v>
      </c>
      <c r="J666" t="n">
        <v>0</v>
      </c>
      <c r="K666" t="n">
        <v>0</v>
      </c>
      <c r="L666" t="n">
        <v>0</v>
      </c>
      <c r="M666" t="n">
        <v>0</v>
      </c>
      <c r="N666" t="n">
        <v>0</v>
      </c>
      <c r="O666" t="n">
        <v>0</v>
      </c>
      <c r="P666" t="n">
        <v>0</v>
      </c>
      <c r="Q666" t="n">
        <v>0</v>
      </c>
      <c r="R666" s="2" t="inlineStr"/>
    </row>
    <row r="667" ht="15" customHeight="1">
      <c r="A667" t="inlineStr">
        <is>
          <t>A 32178-2024</t>
        </is>
      </c>
      <c r="B667" s="1" t="n">
        <v>45511</v>
      </c>
      <c r="C667" s="1" t="n">
        <v>46129</v>
      </c>
      <c r="D667" t="inlineStr">
        <is>
          <t>JÄMTLANDS LÄN</t>
        </is>
      </c>
      <c r="E667" t="inlineStr">
        <is>
          <t>BERG</t>
        </is>
      </c>
      <c r="G667" t="n">
        <v>11.4</v>
      </c>
      <c r="H667" t="n">
        <v>0</v>
      </c>
      <c r="I667" t="n">
        <v>0</v>
      </c>
      <c r="J667" t="n">
        <v>0</v>
      </c>
      <c r="K667" t="n">
        <v>0</v>
      </c>
      <c r="L667" t="n">
        <v>0</v>
      </c>
      <c r="M667" t="n">
        <v>0</v>
      </c>
      <c r="N667" t="n">
        <v>0</v>
      </c>
      <c r="O667" t="n">
        <v>0</v>
      </c>
      <c r="P667" t="n">
        <v>0</v>
      </c>
      <c r="Q667" t="n">
        <v>0</v>
      </c>
      <c r="R667" s="2" t="inlineStr"/>
    </row>
    <row r="668" ht="15" customHeight="1">
      <c r="A668" t="inlineStr">
        <is>
          <t>A 62814-2025</t>
        </is>
      </c>
      <c r="B668" s="1" t="n">
        <v>46008.6502662037</v>
      </c>
      <c r="C668" s="1" t="n">
        <v>46129</v>
      </c>
      <c r="D668" t="inlineStr">
        <is>
          <t>JÄMTLANDS LÄN</t>
        </is>
      </c>
      <c r="E668" t="inlineStr">
        <is>
          <t>BERG</t>
        </is>
      </c>
      <c r="G668" t="n">
        <v>7.8</v>
      </c>
      <c r="H668" t="n">
        <v>0</v>
      </c>
      <c r="I668" t="n">
        <v>0</v>
      </c>
      <c r="J668" t="n">
        <v>0</v>
      </c>
      <c r="K668" t="n">
        <v>0</v>
      </c>
      <c r="L668" t="n">
        <v>0</v>
      </c>
      <c r="M668" t="n">
        <v>0</v>
      </c>
      <c r="N668" t="n">
        <v>0</v>
      </c>
      <c r="O668" t="n">
        <v>0</v>
      </c>
      <c r="P668" t="n">
        <v>0</v>
      </c>
      <c r="Q668" t="n">
        <v>0</v>
      </c>
      <c r="R668" s="2" t="inlineStr"/>
    </row>
    <row r="669" ht="15" customHeight="1">
      <c r="A669" t="inlineStr">
        <is>
          <t>A 55022-2025</t>
        </is>
      </c>
      <c r="B669" s="1" t="n">
        <v>45967.62862268519</v>
      </c>
      <c r="C669" s="1" t="n">
        <v>46129</v>
      </c>
      <c r="D669" t="inlineStr">
        <is>
          <t>JÄMTLANDS LÄN</t>
        </is>
      </c>
      <c r="E669" t="inlineStr">
        <is>
          <t>BERG</t>
        </is>
      </c>
      <c r="G669" t="n">
        <v>0.5</v>
      </c>
      <c r="H669" t="n">
        <v>0</v>
      </c>
      <c r="I669" t="n">
        <v>0</v>
      </c>
      <c r="J669" t="n">
        <v>0</v>
      </c>
      <c r="K669" t="n">
        <v>0</v>
      </c>
      <c r="L669" t="n">
        <v>0</v>
      </c>
      <c r="M669" t="n">
        <v>0</v>
      </c>
      <c r="N669" t="n">
        <v>0</v>
      </c>
      <c r="O669" t="n">
        <v>0</v>
      </c>
      <c r="P669" t="n">
        <v>0</v>
      </c>
      <c r="Q669" t="n">
        <v>0</v>
      </c>
      <c r="R669" s="2" t="inlineStr"/>
    </row>
    <row r="670" ht="15" customHeight="1">
      <c r="A670" t="inlineStr">
        <is>
          <t>A 55043-2025</t>
        </is>
      </c>
      <c r="B670" s="1" t="n">
        <v>45967.65983796296</v>
      </c>
      <c r="C670" s="1" t="n">
        <v>46129</v>
      </c>
      <c r="D670" t="inlineStr">
        <is>
          <t>JÄMTLANDS LÄN</t>
        </is>
      </c>
      <c r="E670" t="inlineStr">
        <is>
          <t>BERG</t>
        </is>
      </c>
      <c r="G670" t="n">
        <v>3</v>
      </c>
      <c r="H670" t="n">
        <v>0</v>
      </c>
      <c r="I670" t="n">
        <v>0</v>
      </c>
      <c r="J670" t="n">
        <v>0</v>
      </c>
      <c r="K670" t="n">
        <v>0</v>
      </c>
      <c r="L670" t="n">
        <v>0</v>
      </c>
      <c r="M670" t="n">
        <v>0</v>
      </c>
      <c r="N670" t="n">
        <v>0</v>
      </c>
      <c r="O670" t="n">
        <v>0</v>
      </c>
      <c r="P670" t="n">
        <v>0</v>
      </c>
      <c r="Q670" t="n">
        <v>0</v>
      </c>
      <c r="R670" s="2" t="inlineStr"/>
    </row>
    <row r="671" ht="15" customHeight="1">
      <c r="A671" t="inlineStr">
        <is>
          <t>A 43616-2024</t>
        </is>
      </c>
      <c r="B671" s="1" t="n">
        <v>45569</v>
      </c>
      <c r="C671" s="1" t="n">
        <v>46129</v>
      </c>
      <c r="D671" t="inlineStr">
        <is>
          <t>JÄMTLANDS LÄN</t>
        </is>
      </c>
      <c r="E671" t="inlineStr">
        <is>
          <t>BERG</t>
        </is>
      </c>
      <c r="G671" t="n">
        <v>12.3</v>
      </c>
      <c r="H671" t="n">
        <v>0</v>
      </c>
      <c r="I671" t="n">
        <v>0</v>
      </c>
      <c r="J671" t="n">
        <v>0</v>
      </c>
      <c r="K671" t="n">
        <v>0</v>
      </c>
      <c r="L671" t="n">
        <v>0</v>
      </c>
      <c r="M671" t="n">
        <v>0</v>
      </c>
      <c r="N671" t="n">
        <v>0</v>
      </c>
      <c r="O671" t="n">
        <v>0</v>
      </c>
      <c r="P671" t="n">
        <v>0</v>
      </c>
      <c r="Q671" t="n">
        <v>0</v>
      </c>
      <c r="R671" s="2" t="inlineStr"/>
    </row>
    <row r="672" ht="15" customHeight="1">
      <c r="A672" t="inlineStr">
        <is>
          <t>A 47176-2023</t>
        </is>
      </c>
      <c r="B672" s="1" t="n">
        <v>45201.94844907407</v>
      </c>
      <c r="C672" s="1" t="n">
        <v>46129</v>
      </c>
      <c r="D672" t="inlineStr">
        <is>
          <t>JÄMTLANDS LÄN</t>
        </is>
      </c>
      <c r="E672" t="inlineStr">
        <is>
          <t>BERG</t>
        </is>
      </c>
      <c r="F672" t="inlineStr">
        <is>
          <t>SCA</t>
        </is>
      </c>
      <c r="G672" t="n">
        <v>32.3</v>
      </c>
      <c r="H672" t="n">
        <v>0</v>
      </c>
      <c r="I672" t="n">
        <v>0</v>
      </c>
      <c r="J672" t="n">
        <v>0</v>
      </c>
      <c r="K672" t="n">
        <v>0</v>
      </c>
      <c r="L672" t="n">
        <v>0</v>
      </c>
      <c r="M672" t="n">
        <v>0</v>
      </c>
      <c r="N672" t="n">
        <v>0</v>
      </c>
      <c r="O672" t="n">
        <v>0</v>
      </c>
      <c r="P672" t="n">
        <v>0</v>
      </c>
      <c r="Q672" t="n">
        <v>0</v>
      </c>
      <c r="R672" s="2" t="inlineStr"/>
    </row>
    <row r="673" ht="15" customHeight="1">
      <c r="A673" t="inlineStr">
        <is>
          <t>A 55553-2025</t>
        </is>
      </c>
      <c r="B673" s="1" t="n">
        <v>45971.64445601852</v>
      </c>
      <c r="C673" s="1" t="n">
        <v>46129</v>
      </c>
      <c r="D673" t="inlineStr">
        <is>
          <t>JÄMTLANDS LÄN</t>
        </is>
      </c>
      <c r="E673" t="inlineStr">
        <is>
          <t>BERG</t>
        </is>
      </c>
      <c r="G673" t="n">
        <v>2.9</v>
      </c>
      <c r="H673" t="n">
        <v>0</v>
      </c>
      <c r="I673" t="n">
        <v>0</v>
      </c>
      <c r="J673" t="n">
        <v>0</v>
      </c>
      <c r="K673" t="n">
        <v>0</v>
      </c>
      <c r="L673" t="n">
        <v>0</v>
      </c>
      <c r="M673" t="n">
        <v>0</v>
      </c>
      <c r="N673" t="n">
        <v>0</v>
      </c>
      <c r="O673" t="n">
        <v>0</v>
      </c>
      <c r="P673" t="n">
        <v>0</v>
      </c>
      <c r="Q673" t="n">
        <v>0</v>
      </c>
      <c r="R673" s="2" t="inlineStr"/>
    </row>
    <row r="674" ht="15" customHeight="1">
      <c r="A674" t="inlineStr">
        <is>
          <t>A 13672-2024</t>
        </is>
      </c>
      <c r="B674" s="1" t="n">
        <v>45390</v>
      </c>
      <c r="C674" s="1" t="n">
        <v>46129</v>
      </c>
      <c r="D674" t="inlineStr">
        <is>
          <t>JÄMTLANDS LÄN</t>
        </is>
      </c>
      <c r="E674" t="inlineStr">
        <is>
          <t>BERG</t>
        </is>
      </c>
      <c r="G674" t="n">
        <v>0.3</v>
      </c>
      <c r="H674" t="n">
        <v>0</v>
      </c>
      <c r="I674" t="n">
        <v>0</v>
      </c>
      <c r="J674" t="n">
        <v>0</v>
      </c>
      <c r="K674" t="n">
        <v>0</v>
      </c>
      <c r="L674" t="n">
        <v>0</v>
      </c>
      <c r="M674" t="n">
        <v>0</v>
      </c>
      <c r="N674" t="n">
        <v>0</v>
      </c>
      <c r="O674" t="n">
        <v>0</v>
      </c>
      <c r="P674" t="n">
        <v>0</v>
      </c>
      <c r="Q674" t="n">
        <v>0</v>
      </c>
      <c r="R674" s="2" t="inlineStr"/>
    </row>
    <row r="675" ht="15" customHeight="1">
      <c r="A675" t="inlineStr">
        <is>
          <t>A 63345-2025</t>
        </is>
      </c>
      <c r="B675" s="1" t="n">
        <v>46010.65959490741</v>
      </c>
      <c r="C675" s="1" t="n">
        <v>46129</v>
      </c>
      <c r="D675" t="inlineStr">
        <is>
          <t>JÄMTLANDS LÄN</t>
        </is>
      </c>
      <c r="E675" t="inlineStr">
        <is>
          <t>BERG</t>
        </is>
      </c>
      <c r="G675" t="n">
        <v>15</v>
      </c>
      <c r="H675" t="n">
        <v>0</v>
      </c>
      <c r="I675" t="n">
        <v>0</v>
      </c>
      <c r="J675" t="n">
        <v>0</v>
      </c>
      <c r="K675" t="n">
        <v>0</v>
      </c>
      <c r="L675" t="n">
        <v>0</v>
      </c>
      <c r="M675" t="n">
        <v>0</v>
      </c>
      <c r="N675" t="n">
        <v>0</v>
      </c>
      <c r="O675" t="n">
        <v>0</v>
      </c>
      <c r="P675" t="n">
        <v>0</v>
      </c>
      <c r="Q675" t="n">
        <v>0</v>
      </c>
      <c r="R675" s="2" t="inlineStr"/>
    </row>
    <row r="676" ht="15" customHeight="1">
      <c r="A676" t="inlineStr">
        <is>
          <t>A 55472-2025</t>
        </is>
      </c>
      <c r="B676" s="1" t="n">
        <v>45971.54526620371</v>
      </c>
      <c r="C676" s="1" t="n">
        <v>46129</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55497-2025</t>
        </is>
      </c>
      <c r="B677" s="1" t="n">
        <v>45971.58337962963</v>
      </c>
      <c r="C677" s="1" t="n">
        <v>46129</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55237-2025</t>
        </is>
      </c>
      <c r="B678" s="1" t="n">
        <v>45968</v>
      </c>
      <c r="C678" s="1" t="n">
        <v>46129</v>
      </c>
      <c r="D678" t="inlineStr">
        <is>
          <t>JÄMTLANDS LÄN</t>
        </is>
      </c>
      <c r="E678" t="inlineStr">
        <is>
          <t>BERG</t>
        </is>
      </c>
      <c r="G678" t="n">
        <v>11.9</v>
      </c>
      <c r="H678" t="n">
        <v>0</v>
      </c>
      <c r="I678" t="n">
        <v>0</v>
      </c>
      <c r="J678" t="n">
        <v>0</v>
      </c>
      <c r="K678" t="n">
        <v>0</v>
      </c>
      <c r="L678" t="n">
        <v>0</v>
      </c>
      <c r="M678" t="n">
        <v>0</v>
      </c>
      <c r="N678" t="n">
        <v>0</v>
      </c>
      <c r="O678" t="n">
        <v>0</v>
      </c>
      <c r="P678" t="n">
        <v>0</v>
      </c>
      <c r="Q678" t="n">
        <v>0</v>
      </c>
      <c r="R678" s="2" t="inlineStr"/>
    </row>
    <row r="679" ht="15" customHeight="1">
      <c r="A679" t="inlineStr">
        <is>
          <t>A 55267-2025</t>
        </is>
      </c>
      <c r="B679" s="1" t="n">
        <v>45968.66726851852</v>
      </c>
      <c r="C679" s="1" t="n">
        <v>46129</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63332-2025</t>
        </is>
      </c>
      <c r="B680" s="1" t="n">
        <v>46010.64340277778</v>
      </c>
      <c r="C680" s="1" t="n">
        <v>46129</v>
      </c>
      <c r="D680" t="inlineStr">
        <is>
          <t>JÄMTLANDS LÄN</t>
        </is>
      </c>
      <c r="E680" t="inlineStr">
        <is>
          <t>BERG</t>
        </is>
      </c>
      <c r="G680" t="n">
        <v>5.4</v>
      </c>
      <c r="H680" t="n">
        <v>0</v>
      </c>
      <c r="I680" t="n">
        <v>0</v>
      </c>
      <c r="J680" t="n">
        <v>0</v>
      </c>
      <c r="K680" t="n">
        <v>0</v>
      </c>
      <c r="L680" t="n">
        <v>0</v>
      </c>
      <c r="M680" t="n">
        <v>0</v>
      </c>
      <c r="N680" t="n">
        <v>0</v>
      </c>
      <c r="O680" t="n">
        <v>0</v>
      </c>
      <c r="P680" t="n">
        <v>0</v>
      </c>
      <c r="Q680" t="n">
        <v>0</v>
      </c>
      <c r="R680" s="2" t="inlineStr"/>
    </row>
    <row r="681" ht="15" customHeight="1">
      <c r="A681" t="inlineStr">
        <is>
          <t>A 55239-2025</t>
        </is>
      </c>
      <c r="B681" s="1" t="n">
        <v>45968</v>
      </c>
      <c r="C681" s="1" t="n">
        <v>46129</v>
      </c>
      <c r="D681" t="inlineStr">
        <is>
          <t>JÄMTLANDS LÄN</t>
        </is>
      </c>
      <c r="E681" t="inlineStr">
        <is>
          <t>BERG</t>
        </is>
      </c>
      <c r="G681" t="n">
        <v>6.3</v>
      </c>
      <c r="H681" t="n">
        <v>0</v>
      </c>
      <c r="I681" t="n">
        <v>0</v>
      </c>
      <c r="J681" t="n">
        <v>0</v>
      </c>
      <c r="K681" t="n">
        <v>0</v>
      </c>
      <c r="L681" t="n">
        <v>0</v>
      </c>
      <c r="M681" t="n">
        <v>0</v>
      </c>
      <c r="N681" t="n">
        <v>0</v>
      </c>
      <c r="O681" t="n">
        <v>0</v>
      </c>
      <c r="P681" t="n">
        <v>0</v>
      </c>
      <c r="Q681" t="n">
        <v>0</v>
      </c>
      <c r="R681" s="2" t="inlineStr"/>
    </row>
    <row r="682" ht="15" customHeight="1">
      <c r="A682" t="inlineStr">
        <is>
          <t>A 55240-2025</t>
        </is>
      </c>
      <c r="B682" s="1" t="n">
        <v>45968</v>
      </c>
      <c r="C682" s="1" t="n">
        <v>46129</v>
      </c>
      <c r="D682" t="inlineStr">
        <is>
          <t>JÄMTLANDS LÄN</t>
        </is>
      </c>
      <c r="E682" t="inlineStr">
        <is>
          <t>BERG</t>
        </is>
      </c>
      <c r="G682" t="n">
        <v>11.2</v>
      </c>
      <c r="H682" t="n">
        <v>0</v>
      </c>
      <c r="I682" t="n">
        <v>0</v>
      </c>
      <c r="J682" t="n">
        <v>0</v>
      </c>
      <c r="K682" t="n">
        <v>0</v>
      </c>
      <c r="L682" t="n">
        <v>0</v>
      </c>
      <c r="M682" t="n">
        <v>0</v>
      </c>
      <c r="N682" t="n">
        <v>0</v>
      </c>
      <c r="O682" t="n">
        <v>0</v>
      </c>
      <c r="P682" t="n">
        <v>0</v>
      </c>
      <c r="Q682" t="n">
        <v>0</v>
      </c>
      <c r="R682" s="2" t="inlineStr"/>
    </row>
    <row r="683" ht="15" customHeight="1">
      <c r="A683" t="inlineStr">
        <is>
          <t>A 50612-2023</t>
        </is>
      </c>
      <c r="B683" s="1" t="n">
        <v>45217.444375</v>
      </c>
      <c r="C683" s="1" t="n">
        <v>46129</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63381-2025</t>
        </is>
      </c>
      <c r="B684" s="1" t="n">
        <v>46010.89377314815</v>
      </c>
      <c r="C684" s="1" t="n">
        <v>46129</v>
      </c>
      <c r="D684" t="inlineStr">
        <is>
          <t>JÄMTLANDS LÄN</t>
        </is>
      </c>
      <c r="E684" t="inlineStr">
        <is>
          <t>BERG</t>
        </is>
      </c>
      <c r="G684" t="n">
        <v>3.6</v>
      </c>
      <c r="H684" t="n">
        <v>0</v>
      </c>
      <c r="I684" t="n">
        <v>0</v>
      </c>
      <c r="J684" t="n">
        <v>0</v>
      </c>
      <c r="K684" t="n">
        <v>0</v>
      </c>
      <c r="L684" t="n">
        <v>0</v>
      </c>
      <c r="M684" t="n">
        <v>0</v>
      </c>
      <c r="N684" t="n">
        <v>0</v>
      </c>
      <c r="O684" t="n">
        <v>0</v>
      </c>
      <c r="P684" t="n">
        <v>0</v>
      </c>
      <c r="Q684" t="n">
        <v>0</v>
      </c>
      <c r="R684" s="2" t="inlineStr"/>
    </row>
    <row r="685" ht="15" customHeight="1">
      <c r="A685" t="inlineStr">
        <is>
          <t>A 162-2024</t>
        </is>
      </c>
      <c r="B685" s="1" t="n">
        <v>45294</v>
      </c>
      <c r="C685" s="1" t="n">
        <v>46129</v>
      </c>
      <c r="D685" t="inlineStr">
        <is>
          <t>JÄMTLANDS LÄN</t>
        </is>
      </c>
      <c r="E685" t="inlineStr">
        <is>
          <t>BERG</t>
        </is>
      </c>
      <c r="F685" t="inlineStr">
        <is>
          <t>Kyrkan</t>
        </is>
      </c>
      <c r="G685" t="n">
        <v>2.2</v>
      </c>
      <c r="H685" t="n">
        <v>0</v>
      </c>
      <c r="I685" t="n">
        <v>0</v>
      </c>
      <c r="J685" t="n">
        <v>0</v>
      </c>
      <c r="K685" t="n">
        <v>0</v>
      </c>
      <c r="L685" t="n">
        <v>0</v>
      </c>
      <c r="M685" t="n">
        <v>0</v>
      </c>
      <c r="N685" t="n">
        <v>0</v>
      </c>
      <c r="O685" t="n">
        <v>0</v>
      </c>
      <c r="P685" t="n">
        <v>0</v>
      </c>
      <c r="Q685" t="n">
        <v>0</v>
      </c>
      <c r="R685" s="2" t="inlineStr"/>
    </row>
    <row r="686" ht="15" customHeight="1">
      <c r="A686" t="inlineStr">
        <is>
          <t>A 32654-2025</t>
        </is>
      </c>
      <c r="B686" s="1" t="n">
        <v>45838.6778587963</v>
      </c>
      <c r="C686" s="1" t="n">
        <v>46129</v>
      </c>
      <c r="D686" t="inlineStr">
        <is>
          <t>JÄMTLANDS LÄN</t>
        </is>
      </c>
      <c r="E686" t="inlineStr">
        <is>
          <t>BERG</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46298-2024</t>
        </is>
      </c>
      <c r="B687" s="1" t="n">
        <v>45581.67739583334</v>
      </c>
      <c r="C687" s="1" t="n">
        <v>46129</v>
      </c>
      <c r="D687" t="inlineStr">
        <is>
          <t>JÄMTLANDS LÄN</t>
        </is>
      </c>
      <c r="E687" t="inlineStr">
        <is>
          <t>BERG</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36-2024</t>
        </is>
      </c>
      <c r="B688" s="1" t="n">
        <v>45293</v>
      </c>
      <c r="C688" s="1" t="n">
        <v>46129</v>
      </c>
      <c r="D688" t="inlineStr">
        <is>
          <t>JÄMTLANDS LÄN</t>
        </is>
      </c>
      <c r="E688" t="inlineStr">
        <is>
          <t>BERG</t>
        </is>
      </c>
      <c r="G688" t="n">
        <v>2.6</v>
      </c>
      <c r="H688" t="n">
        <v>0</v>
      </c>
      <c r="I688" t="n">
        <v>0</v>
      </c>
      <c r="J688" t="n">
        <v>0</v>
      </c>
      <c r="K688" t="n">
        <v>0</v>
      </c>
      <c r="L688" t="n">
        <v>0</v>
      </c>
      <c r="M688" t="n">
        <v>0</v>
      </c>
      <c r="N688" t="n">
        <v>0</v>
      </c>
      <c r="O688" t="n">
        <v>0</v>
      </c>
      <c r="P688" t="n">
        <v>0</v>
      </c>
      <c r="Q688" t="n">
        <v>0</v>
      </c>
      <c r="R688" s="2" t="inlineStr"/>
    </row>
    <row r="689" ht="15" customHeight="1">
      <c r="A689" t="inlineStr">
        <is>
          <t>A 63559-2025</t>
        </is>
      </c>
      <c r="B689" s="1" t="n">
        <v>46013.61951388889</v>
      </c>
      <c r="C689" s="1" t="n">
        <v>46129</v>
      </c>
      <c r="D689" t="inlineStr">
        <is>
          <t>JÄMTLANDS LÄN</t>
        </is>
      </c>
      <c r="E689" t="inlineStr">
        <is>
          <t>BERG</t>
        </is>
      </c>
      <c r="G689" t="n">
        <v>0.6</v>
      </c>
      <c r="H689" t="n">
        <v>0</v>
      </c>
      <c r="I689" t="n">
        <v>0</v>
      </c>
      <c r="J689" t="n">
        <v>0</v>
      </c>
      <c r="K689" t="n">
        <v>0</v>
      </c>
      <c r="L689" t="n">
        <v>0</v>
      </c>
      <c r="M689" t="n">
        <v>0</v>
      </c>
      <c r="N689" t="n">
        <v>0</v>
      </c>
      <c r="O689" t="n">
        <v>0</v>
      </c>
      <c r="P689" t="n">
        <v>0</v>
      </c>
      <c r="Q689" t="n">
        <v>0</v>
      </c>
      <c r="R689" s="2" t="inlineStr"/>
    </row>
    <row r="690" ht="15" customHeight="1">
      <c r="A690" t="inlineStr">
        <is>
          <t>A 45206-2024</t>
        </is>
      </c>
      <c r="B690" s="1" t="n">
        <v>45575.69966435185</v>
      </c>
      <c r="C690" s="1" t="n">
        <v>46129</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63562-2025</t>
        </is>
      </c>
      <c r="B691" s="1" t="n">
        <v>46013.62353009259</v>
      </c>
      <c r="C691" s="1" t="n">
        <v>46129</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63597-2025</t>
        </is>
      </c>
      <c r="B692" s="1" t="n">
        <v>46014.28792824074</v>
      </c>
      <c r="C692" s="1" t="n">
        <v>46129</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23877-2024</t>
        </is>
      </c>
      <c r="B693" s="1" t="n">
        <v>45455.63024305556</v>
      </c>
      <c r="C693" s="1" t="n">
        <v>46129</v>
      </c>
      <c r="D693" t="inlineStr">
        <is>
          <t>JÄMTLANDS LÄN</t>
        </is>
      </c>
      <c r="E693" t="inlineStr">
        <is>
          <t>BERG</t>
        </is>
      </c>
      <c r="G693" t="n">
        <v>2</v>
      </c>
      <c r="H693" t="n">
        <v>0</v>
      </c>
      <c r="I693" t="n">
        <v>0</v>
      </c>
      <c r="J693" t="n">
        <v>0</v>
      </c>
      <c r="K693" t="n">
        <v>0</v>
      </c>
      <c r="L693" t="n">
        <v>0</v>
      </c>
      <c r="M693" t="n">
        <v>0</v>
      </c>
      <c r="N693" t="n">
        <v>0</v>
      </c>
      <c r="O693" t="n">
        <v>0</v>
      </c>
      <c r="P693" t="n">
        <v>0</v>
      </c>
      <c r="Q693" t="n">
        <v>0</v>
      </c>
      <c r="R693" s="2" t="inlineStr"/>
    </row>
    <row r="694" ht="15" customHeight="1">
      <c r="A694" t="inlineStr">
        <is>
          <t>A 23880-2024</t>
        </is>
      </c>
      <c r="B694" s="1" t="n">
        <v>45455.63731481481</v>
      </c>
      <c r="C694" s="1" t="n">
        <v>46129</v>
      </c>
      <c r="D694" t="inlineStr">
        <is>
          <t>JÄMTLANDS LÄN</t>
        </is>
      </c>
      <c r="E694" t="inlineStr">
        <is>
          <t>BERG</t>
        </is>
      </c>
      <c r="G694" t="n">
        <v>1.2</v>
      </c>
      <c r="H694" t="n">
        <v>0</v>
      </c>
      <c r="I694" t="n">
        <v>0</v>
      </c>
      <c r="J694" t="n">
        <v>0</v>
      </c>
      <c r="K694" t="n">
        <v>0</v>
      </c>
      <c r="L694" t="n">
        <v>0</v>
      </c>
      <c r="M694" t="n">
        <v>0</v>
      </c>
      <c r="N694" t="n">
        <v>0</v>
      </c>
      <c r="O694" t="n">
        <v>0</v>
      </c>
      <c r="P694" t="n">
        <v>0</v>
      </c>
      <c r="Q694" t="n">
        <v>0</v>
      </c>
      <c r="R694" s="2" t="inlineStr"/>
    </row>
    <row r="695" ht="15" customHeight="1">
      <c r="A695" t="inlineStr">
        <is>
          <t>A 62299-2023</t>
        </is>
      </c>
      <c r="B695" s="1" t="n">
        <v>45266</v>
      </c>
      <c r="C695" s="1" t="n">
        <v>46129</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36142-2025</t>
        </is>
      </c>
      <c r="B696" s="1" t="n">
        <v>45866</v>
      </c>
      <c r="C696" s="1" t="n">
        <v>46129</v>
      </c>
      <c r="D696" t="inlineStr">
        <is>
          <t>JÄMTLANDS LÄN</t>
        </is>
      </c>
      <c r="E696" t="inlineStr">
        <is>
          <t>BERG</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48209-2025</t>
        </is>
      </c>
      <c r="B697" s="1" t="n">
        <v>45933.4900462963</v>
      </c>
      <c r="C697" s="1" t="n">
        <v>46129</v>
      </c>
      <c r="D697" t="inlineStr">
        <is>
          <t>JÄMTLANDS LÄN</t>
        </is>
      </c>
      <c r="E697" t="inlineStr">
        <is>
          <t>BERG</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45570-2025</t>
        </is>
      </c>
      <c r="B698" s="1" t="n">
        <v>45922.65715277778</v>
      </c>
      <c r="C698" s="1" t="n">
        <v>46129</v>
      </c>
      <c r="D698" t="inlineStr">
        <is>
          <t>JÄMTLANDS LÄN</t>
        </is>
      </c>
      <c r="E698" t="inlineStr">
        <is>
          <t>BERG</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48190-2025</t>
        </is>
      </c>
      <c r="B699" s="1" t="n">
        <v>45933.46930555555</v>
      </c>
      <c r="C699" s="1" t="n">
        <v>46129</v>
      </c>
      <c r="D699" t="inlineStr">
        <is>
          <t>JÄMTLANDS LÄN</t>
        </is>
      </c>
      <c r="E699" t="inlineStr">
        <is>
          <t>BERG</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60831-2025</t>
        </is>
      </c>
      <c r="B700" s="1" t="n">
        <v>45999.46935185185</v>
      </c>
      <c r="C700" s="1" t="n">
        <v>46129</v>
      </c>
      <c r="D700" t="inlineStr">
        <is>
          <t>JÄMTLANDS LÄN</t>
        </is>
      </c>
      <c r="E700" t="inlineStr">
        <is>
          <t>BERG</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46908-2025</t>
        </is>
      </c>
      <c r="B701" s="1" t="n">
        <v>45929.40664351852</v>
      </c>
      <c r="C701" s="1" t="n">
        <v>46129</v>
      </c>
      <c r="D701" t="inlineStr">
        <is>
          <t>JÄMTLANDS LÄN</t>
        </is>
      </c>
      <c r="E701" t="inlineStr">
        <is>
          <t>BERG</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55223-2025</t>
        </is>
      </c>
      <c r="B702" s="1" t="n">
        <v>45968.59439814815</v>
      </c>
      <c r="C702" s="1" t="n">
        <v>46129</v>
      </c>
      <c r="D702" t="inlineStr">
        <is>
          <t>JÄMTLANDS LÄN</t>
        </is>
      </c>
      <c r="E702" t="inlineStr">
        <is>
          <t>BERG</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57271-2025</t>
        </is>
      </c>
      <c r="B703" s="1" t="n">
        <v>45979.67789351852</v>
      </c>
      <c r="C703" s="1" t="n">
        <v>46129</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40339-2025</t>
        </is>
      </c>
      <c r="B704" s="1" t="n">
        <v>45895</v>
      </c>
      <c r="C704" s="1" t="n">
        <v>46129</v>
      </c>
      <c r="D704" t="inlineStr">
        <is>
          <t>JÄMTLANDS LÄN</t>
        </is>
      </c>
      <c r="E704" t="inlineStr">
        <is>
          <t>BERG</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40340-2025</t>
        </is>
      </c>
      <c r="B705" s="1" t="n">
        <v>45895.46922453704</v>
      </c>
      <c r="C705" s="1" t="n">
        <v>46129</v>
      </c>
      <c r="D705" t="inlineStr">
        <is>
          <t>JÄMTLANDS LÄN</t>
        </is>
      </c>
      <c r="E705" t="inlineStr">
        <is>
          <t>BERG</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48056-2025</t>
        </is>
      </c>
      <c r="B706" s="1" t="n">
        <v>45932.67946759259</v>
      </c>
      <c r="C706" s="1" t="n">
        <v>46129</v>
      </c>
      <c r="D706" t="inlineStr">
        <is>
          <t>JÄMTLANDS LÄN</t>
        </is>
      </c>
      <c r="E706" t="inlineStr">
        <is>
          <t>BERG</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55224-2025</t>
        </is>
      </c>
      <c r="B707" s="1" t="n">
        <v>45968.59447916667</v>
      </c>
      <c r="C707" s="1" t="n">
        <v>46129</v>
      </c>
      <c r="D707" t="inlineStr">
        <is>
          <t>JÄMTLANDS LÄN</t>
        </is>
      </c>
      <c r="E707" t="inlineStr">
        <is>
          <t>BERG</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55770-2025</t>
        </is>
      </c>
      <c r="B708" s="1" t="n">
        <v>45972</v>
      </c>
      <c r="C708" s="1" t="n">
        <v>46129</v>
      </c>
      <c r="D708" t="inlineStr">
        <is>
          <t>JÄMTLANDS LÄN</t>
        </is>
      </c>
      <c r="E708" t="inlineStr">
        <is>
          <t>BERG</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44051-2025</t>
        </is>
      </c>
      <c r="B709" s="1" t="n">
        <v>45915.51079861111</v>
      </c>
      <c r="C709" s="1" t="n">
        <v>46129</v>
      </c>
      <c r="D709" t="inlineStr">
        <is>
          <t>JÄMTLANDS LÄN</t>
        </is>
      </c>
      <c r="E709" t="inlineStr">
        <is>
          <t>BERG</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5644-2025</t>
        </is>
      </c>
      <c r="B710" s="1" t="n">
        <v>45693.6833449074</v>
      </c>
      <c r="C710" s="1" t="n">
        <v>46129</v>
      </c>
      <c r="D710" t="inlineStr">
        <is>
          <t>JÄMTLANDS LÄN</t>
        </is>
      </c>
      <c r="E710" t="inlineStr">
        <is>
          <t>BERG</t>
        </is>
      </c>
      <c r="G710" t="n">
        <v>2.1</v>
      </c>
      <c r="H710" t="n">
        <v>0</v>
      </c>
      <c r="I710" t="n">
        <v>0</v>
      </c>
      <c r="J710" t="n">
        <v>0</v>
      </c>
      <c r="K710" t="n">
        <v>0</v>
      </c>
      <c r="L710" t="n">
        <v>0</v>
      </c>
      <c r="M710" t="n">
        <v>0</v>
      </c>
      <c r="N710" t="n">
        <v>0</v>
      </c>
      <c r="O710" t="n">
        <v>0</v>
      </c>
      <c r="P710" t="n">
        <v>0</v>
      </c>
      <c r="Q710" t="n">
        <v>0</v>
      </c>
      <c r="R710" s="2" t="inlineStr"/>
    </row>
    <row r="711" ht="15" customHeight="1">
      <c r="A711" t="inlineStr">
        <is>
          <t>A 29424-2024</t>
        </is>
      </c>
      <c r="B711" s="1" t="n">
        <v>45483.71451388889</v>
      </c>
      <c r="C711" s="1" t="n">
        <v>46129</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60249-2022</t>
        </is>
      </c>
      <c r="B712" s="1" t="n">
        <v>44903</v>
      </c>
      <c r="C712" s="1" t="n">
        <v>46129</v>
      </c>
      <c r="D712" t="inlineStr">
        <is>
          <t>JÄMTLANDS LÄN</t>
        </is>
      </c>
      <c r="E712" t="inlineStr">
        <is>
          <t>BERG</t>
        </is>
      </c>
      <c r="G712" t="n">
        <v>6</v>
      </c>
      <c r="H712" t="n">
        <v>0</v>
      </c>
      <c r="I712" t="n">
        <v>0</v>
      </c>
      <c r="J712" t="n">
        <v>0</v>
      </c>
      <c r="K712" t="n">
        <v>0</v>
      </c>
      <c r="L712" t="n">
        <v>0</v>
      </c>
      <c r="M712" t="n">
        <v>0</v>
      </c>
      <c r="N712" t="n">
        <v>0</v>
      </c>
      <c r="O712" t="n">
        <v>0</v>
      </c>
      <c r="P712" t="n">
        <v>0</v>
      </c>
      <c r="Q712" t="n">
        <v>0</v>
      </c>
      <c r="R712" s="2" t="inlineStr"/>
    </row>
    <row r="713" ht="15" customHeight="1">
      <c r="A713" t="inlineStr">
        <is>
          <t>A 8065-2024</t>
        </is>
      </c>
      <c r="B713" s="1" t="n">
        <v>45351.40697916667</v>
      </c>
      <c r="C713" s="1" t="n">
        <v>46129</v>
      </c>
      <c r="D713" t="inlineStr">
        <is>
          <t>JÄMTLANDS LÄN</t>
        </is>
      </c>
      <c r="E713" t="inlineStr">
        <is>
          <t>BERG</t>
        </is>
      </c>
      <c r="G713" t="n">
        <v>6.9</v>
      </c>
      <c r="H713" t="n">
        <v>0</v>
      </c>
      <c r="I713" t="n">
        <v>0</v>
      </c>
      <c r="J713" t="n">
        <v>0</v>
      </c>
      <c r="K713" t="n">
        <v>0</v>
      </c>
      <c r="L713" t="n">
        <v>0</v>
      </c>
      <c r="M713" t="n">
        <v>0</v>
      </c>
      <c r="N713" t="n">
        <v>0</v>
      </c>
      <c r="O713" t="n">
        <v>0</v>
      </c>
      <c r="P713" t="n">
        <v>0</v>
      </c>
      <c r="Q713" t="n">
        <v>0</v>
      </c>
      <c r="R713" s="2" t="inlineStr"/>
    </row>
    <row r="714" ht="15" customHeight="1">
      <c r="A714" t="inlineStr">
        <is>
          <t>A 47821-2025</t>
        </is>
      </c>
      <c r="B714" s="1" t="n">
        <v>45932.34421296296</v>
      </c>
      <c r="C714" s="1" t="n">
        <v>46129</v>
      </c>
      <c r="D714" t="inlineStr">
        <is>
          <t>JÄMTLANDS LÄN</t>
        </is>
      </c>
      <c r="E714" t="inlineStr">
        <is>
          <t>BERG</t>
        </is>
      </c>
      <c r="F714" t="inlineStr">
        <is>
          <t>SCA</t>
        </is>
      </c>
      <c r="G714" t="n">
        <v>7.6</v>
      </c>
      <c r="H714" t="n">
        <v>0</v>
      </c>
      <c r="I714" t="n">
        <v>0</v>
      </c>
      <c r="J714" t="n">
        <v>0</v>
      </c>
      <c r="K714" t="n">
        <v>0</v>
      </c>
      <c r="L714" t="n">
        <v>0</v>
      </c>
      <c r="M714" t="n">
        <v>0</v>
      </c>
      <c r="N714" t="n">
        <v>0</v>
      </c>
      <c r="O714" t="n">
        <v>0</v>
      </c>
      <c r="P714" t="n">
        <v>0</v>
      </c>
      <c r="Q714" t="n">
        <v>0</v>
      </c>
      <c r="R714" s="2" t="inlineStr"/>
    </row>
    <row r="715" ht="15" customHeight="1">
      <c r="A715" t="inlineStr">
        <is>
          <t>A 49749-2025</t>
        </is>
      </c>
      <c r="B715" s="1" t="n">
        <v>45940.34486111111</v>
      </c>
      <c r="C715" s="1" t="n">
        <v>46129</v>
      </c>
      <c r="D715" t="inlineStr">
        <is>
          <t>JÄMTLANDS LÄN</t>
        </is>
      </c>
      <c r="E715" t="inlineStr">
        <is>
          <t>BERG</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53778-2025</t>
        </is>
      </c>
      <c r="B716" s="1" t="n">
        <v>45960.69841435185</v>
      </c>
      <c r="C716" s="1" t="n">
        <v>46129</v>
      </c>
      <c r="D716" t="inlineStr">
        <is>
          <t>JÄMTLANDS LÄN</t>
        </is>
      </c>
      <c r="E716" t="inlineStr">
        <is>
          <t>BERG</t>
        </is>
      </c>
      <c r="F716" t="inlineStr">
        <is>
          <t>SCA</t>
        </is>
      </c>
      <c r="G716" t="n">
        <v>18.7</v>
      </c>
      <c r="H716" t="n">
        <v>0</v>
      </c>
      <c r="I716" t="n">
        <v>0</v>
      </c>
      <c r="J716" t="n">
        <v>0</v>
      </c>
      <c r="K716" t="n">
        <v>0</v>
      </c>
      <c r="L716" t="n">
        <v>0</v>
      </c>
      <c r="M716" t="n">
        <v>0</v>
      </c>
      <c r="N716" t="n">
        <v>0</v>
      </c>
      <c r="O716" t="n">
        <v>0</v>
      </c>
      <c r="P716" t="n">
        <v>0</v>
      </c>
      <c r="Q716" t="n">
        <v>0</v>
      </c>
      <c r="R716" s="2" t="inlineStr"/>
      <c r="U716">
        <f>HYPERLINK("https://klasma.github.io/Logging_2326/knärot/A 53778-2025 karta knärot.png", "A 53778-2025")</f>
        <v/>
      </c>
      <c r="V716">
        <f>HYPERLINK("https://klasma.github.io/Logging_2326/klagomål/A 53778-2025 FSC-klagomål.docx", "A 53778-2025")</f>
        <v/>
      </c>
      <c r="W716">
        <f>HYPERLINK("https://klasma.github.io/Logging_2326/klagomålsmail/A 53778-2025 FSC-klagomål mail.docx", "A 53778-2025")</f>
        <v/>
      </c>
      <c r="X716">
        <f>HYPERLINK("https://klasma.github.io/Logging_2326/tillsyn/A 53778-2025 tillsynsbegäran.docx", "A 53778-2025")</f>
        <v/>
      </c>
      <c r="Y716">
        <f>HYPERLINK("https://klasma.github.io/Logging_2326/tillsynsmail/A 53778-2025 tillsynsbegäran mail.docx", "A 53778-2025")</f>
        <v/>
      </c>
    </row>
    <row r="717" ht="15" customHeight="1">
      <c r="A717" t="inlineStr">
        <is>
          <t>A 58237-2025</t>
        </is>
      </c>
      <c r="B717" s="1" t="n">
        <v>45985.38751157407</v>
      </c>
      <c r="C717" s="1" t="n">
        <v>46129</v>
      </c>
      <c r="D717" t="inlineStr">
        <is>
          <t>JÄMTLANDS LÄN</t>
        </is>
      </c>
      <c r="E717" t="inlineStr">
        <is>
          <t>BERG</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59824-2025</t>
        </is>
      </c>
      <c r="B718" s="1" t="n">
        <v>45992.65116898148</v>
      </c>
      <c r="C718" s="1" t="n">
        <v>46129</v>
      </c>
      <c r="D718" t="inlineStr">
        <is>
          <t>JÄMTLANDS LÄN</t>
        </is>
      </c>
      <c r="E718" t="inlineStr">
        <is>
          <t>BERG</t>
        </is>
      </c>
      <c r="G718" t="n">
        <v>0.7</v>
      </c>
      <c r="H718" t="n">
        <v>0</v>
      </c>
      <c r="I718" t="n">
        <v>0</v>
      </c>
      <c r="J718" t="n">
        <v>0</v>
      </c>
      <c r="K718" t="n">
        <v>0</v>
      </c>
      <c r="L718" t="n">
        <v>0</v>
      </c>
      <c r="M718" t="n">
        <v>0</v>
      </c>
      <c r="N718" t="n">
        <v>0</v>
      </c>
      <c r="O718" t="n">
        <v>0</v>
      </c>
      <c r="P718" t="n">
        <v>0</v>
      </c>
      <c r="Q718" t="n">
        <v>0</v>
      </c>
      <c r="R718" s="2" t="inlineStr"/>
    </row>
    <row r="719" ht="15" customHeight="1">
      <c r="A719" t="inlineStr">
        <is>
          <t>A 62158-2025</t>
        </is>
      </c>
      <c r="B719" s="1" t="n">
        <v>46006.490625</v>
      </c>
      <c r="C719" s="1" t="n">
        <v>46129</v>
      </c>
      <c r="D719" t="inlineStr">
        <is>
          <t>JÄMTLANDS LÄN</t>
        </is>
      </c>
      <c r="E719" t="inlineStr">
        <is>
          <t>BERG</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568-2026</t>
        </is>
      </c>
      <c r="B720" s="1" t="n">
        <v>46029.46987268519</v>
      </c>
      <c r="C720" s="1" t="n">
        <v>46129</v>
      </c>
      <c r="D720" t="inlineStr">
        <is>
          <t>JÄMTLANDS LÄN</t>
        </is>
      </c>
      <c r="E720" t="inlineStr">
        <is>
          <t>BERG</t>
        </is>
      </c>
      <c r="G720" t="n">
        <v>2.7</v>
      </c>
      <c r="H720" t="n">
        <v>0</v>
      </c>
      <c r="I720" t="n">
        <v>0</v>
      </c>
      <c r="J720" t="n">
        <v>0</v>
      </c>
      <c r="K720" t="n">
        <v>0</v>
      </c>
      <c r="L720" t="n">
        <v>0</v>
      </c>
      <c r="M720" t="n">
        <v>0</v>
      </c>
      <c r="N720" t="n">
        <v>0</v>
      </c>
      <c r="O720" t="n">
        <v>0</v>
      </c>
      <c r="P720" t="n">
        <v>0</v>
      </c>
      <c r="Q720" t="n">
        <v>0</v>
      </c>
      <c r="R720" s="2" t="inlineStr"/>
    </row>
    <row r="721" ht="15" customHeight="1">
      <c r="A721" t="inlineStr">
        <is>
          <t>A 50458-2025</t>
        </is>
      </c>
      <c r="B721" s="1" t="n">
        <v>45945</v>
      </c>
      <c r="C721" s="1" t="n">
        <v>46129</v>
      </c>
      <c r="D721" t="inlineStr">
        <is>
          <t>JÄMTLANDS LÄN</t>
        </is>
      </c>
      <c r="E721" t="inlineStr">
        <is>
          <t>BERG</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679-2026</t>
        </is>
      </c>
      <c r="B722" s="1" t="n">
        <v>46029.60032407408</v>
      </c>
      <c r="C722" s="1" t="n">
        <v>46129</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35911-2024</t>
        </is>
      </c>
      <c r="B723" s="1" t="n">
        <v>45533.41498842592</v>
      </c>
      <c r="C723" s="1" t="n">
        <v>46129</v>
      </c>
      <c r="D723" t="inlineStr">
        <is>
          <t>JÄMTLANDS LÄN</t>
        </is>
      </c>
      <c r="E723" t="inlineStr">
        <is>
          <t>BERG</t>
        </is>
      </c>
      <c r="G723" t="n">
        <v>4.1</v>
      </c>
      <c r="H723" t="n">
        <v>0</v>
      </c>
      <c r="I723" t="n">
        <v>0</v>
      </c>
      <c r="J723" t="n">
        <v>0</v>
      </c>
      <c r="K723" t="n">
        <v>0</v>
      </c>
      <c r="L723" t="n">
        <v>0</v>
      </c>
      <c r="M723" t="n">
        <v>0</v>
      </c>
      <c r="N723" t="n">
        <v>0</v>
      </c>
      <c r="O723" t="n">
        <v>0</v>
      </c>
      <c r="P723" t="n">
        <v>0</v>
      </c>
      <c r="Q723" t="n">
        <v>0</v>
      </c>
      <c r="R723" s="2" t="inlineStr"/>
    </row>
    <row r="724" ht="15" customHeight="1">
      <c r="A724" t="inlineStr">
        <is>
          <t>A 1287-2026</t>
        </is>
      </c>
      <c r="B724" s="1" t="n">
        <v>46031.49944444445</v>
      </c>
      <c r="C724" s="1" t="n">
        <v>46129</v>
      </c>
      <c r="D724" t="inlineStr">
        <is>
          <t>JÄMTLANDS LÄN</t>
        </is>
      </c>
      <c r="E724" t="inlineStr">
        <is>
          <t>BERG</t>
        </is>
      </c>
      <c r="G724" t="n">
        <v>2.2</v>
      </c>
      <c r="H724" t="n">
        <v>0</v>
      </c>
      <c r="I724" t="n">
        <v>0</v>
      </c>
      <c r="J724" t="n">
        <v>0</v>
      </c>
      <c r="K724" t="n">
        <v>0</v>
      </c>
      <c r="L724" t="n">
        <v>0</v>
      </c>
      <c r="M724" t="n">
        <v>0</v>
      </c>
      <c r="N724" t="n">
        <v>0</v>
      </c>
      <c r="O724" t="n">
        <v>0</v>
      </c>
      <c r="P724" t="n">
        <v>0</v>
      </c>
      <c r="Q724" t="n">
        <v>0</v>
      </c>
      <c r="R724" s="2" t="inlineStr"/>
    </row>
    <row r="725" ht="15" customHeight="1">
      <c r="A725" t="inlineStr">
        <is>
          <t>A 1401-2026</t>
        </is>
      </c>
      <c r="B725" s="1" t="n">
        <v>46031.64333333333</v>
      </c>
      <c r="C725" s="1" t="n">
        <v>46129</v>
      </c>
      <c r="D725" t="inlineStr">
        <is>
          <t>JÄMTLANDS LÄN</t>
        </is>
      </c>
      <c r="E725" t="inlineStr">
        <is>
          <t>BERG</t>
        </is>
      </c>
      <c r="G725" t="n">
        <v>2.1</v>
      </c>
      <c r="H725" t="n">
        <v>0</v>
      </c>
      <c r="I725" t="n">
        <v>0</v>
      </c>
      <c r="J725" t="n">
        <v>0</v>
      </c>
      <c r="K725" t="n">
        <v>0</v>
      </c>
      <c r="L725" t="n">
        <v>0</v>
      </c>
      <c r="M725" t="n">
        <v>0</v>
      </c>
      <c r="N725" t="n">
        <v>0</v>
      </c>
      <c r="O725" t="n">
        <v>0</v>
      </c>
      <c r="P725" t="n">
        <v>0</v>
      </c>
      <c r="Q725" t="n">
        <v>0</v>
      </c>
      <c r="R725" s="2" t="inlineStr"/>
    </row>
    <row r="726" ht="15" customHeight="1">
      <c r="A726" t="inlineStr">
        <is>
          <t>A 61837-2023</t>
        </is>
      </c>
      <c r="B726" s="1" t="n">
        <v>45264</v>
      </c>
      <c r="C726" s="1" t="n">
        <v>46129</v>
      </c>
      <c r="D726" t="inlineStr">
        <is>
          <t>JÄMTLANDS LÄN</t>
        </is>
      </c>
      <c r="E726" t="inlineStr">
        <is>
          <t>BERG</t>
        </is>
      </c>
      <c r="G726" t="n">
        <v>0.6</v>
      </c>
      <c r="H726" t="n">
        <v>0</v>
      </c>
      <c r="I726" t="n">
        <v>0</v>
      </c>
      <c r="J726" t="n">
        <v>0</v>
      </c>
      <c r="K726" t="n">
        <v>0</v>
      </c>
      <c r="L726" t="n">
        <v>0</v>
      </c>
      <c r="M726" t="n">
        <v>0</v>
      </c>
      <c r="N726" t="n">
        <v>0</v>
      </c>
      <c r="O726" t="n">
        <v>0</v>
      </c>
      <c r="P726" t="n">
        <v>0</v>
      </c>
      <c r="Q726" t="n">
        <v>0</v>
      </c>
      <c r="R726" s="2" t="inlineStr"/>
    </row>
    <row r="727" ht="15" customHeight="1">
      <c r="A727" t="inlineStr">
        <is>
          <t>A 62104-2023</t>
        </is>
      </c>
      <c r="B727" s="1" t="n">
        <v>45266.95052083334</v>
      </c>
      <c r="C727" s="1" t="n">
        <v>46129</v>
      </c>
      <c r="D727" t="inlineStr">
        <is>
          <t>JÄMTLANDS LÄN</t>
        </is>
      </c>
      <c r="E727" t="inlineStr">
        <is>
          <t>BERG</t>
        </is>
      </c>
      <c r="G727" t="n">
        <v>1.5</v>
      </c>
      <c r="H727" t="n">
        <v>0</v>
      </c>
      <c r="I727" t="n">
        <v>0</v>
      </c>
      <c r="J727" t="n">
        <v>0</v>
      </c>
      <c r="K727" t="n">
        <v>0</v>
      </c>
      <c r="L727" t="n">
        <v>0</v>
      </c>
      <c r="M727" t="n">
        <v>0</v>
      </c>
      <c r="N727" t="n">
        <v>0</v>
      </c>
      <c r="O727" t="n">
        <v>0</v>
      </c>
      <c r="P727" t="n">
        <v>0</v>
      </c>
      <c r="Q727" t="n">
        <v>0</v>
      </c>
      <c r="R727" s="2" t="inlineStr"/>
    </row>
    <row r="728" ht="15" customHeight="1">
      <c r="A728" t="inlineStr">
        <is>
          <t>A 62105-2023</t>
        </is>
      </c>
      <c r="B728" s="1" t="n">
        <v>45266.95074074074</v>
      </c>
      <c r="C728" s="1" t="n">
        <v>46129</v>
      </c>
      <c r="D728" t="inlineStr">
        <is>
          <t>JÄMTLANDS LÄN</t>
        </is>
      </c>
      <c r="E728" t="inlineStr">
        <is>
          <t>BERG</t>
        </is>
      </c>
      <c r="F728" t="inlineStr">
        <is>
          <t>SCA</t>
        </is>
      </c>
      <c r="G728" t="n">
        <v>13.1</v>
      </c>
      <c r="H728" t="n">
        <v>0</v>
      </c>
      <c r="I728" t="n">
        <v>0</v>
      </c>
      <c r="J728" t="n">
        <v>0</v>
      </c>
      <c r="K728" t="n">
        <v>0</v>
      </c>
      <c r="L728" t="n">
        <v>0</v>
      </c>
      <c r="M728" t="n">
        <v>0</v>
      </c>
      <c r="N728" t="n">
        <v>0</v>
      </c>
      <c r="O728" t="n">
        <v>0</v>
      </c>
      <c r="P728" t="n">
        <v>0</v>
      </c>
      <c r="Q728" t="n">
        <v>0</v>
      </c>
      <c r="R728" s="2" t="inlineStr"/>
    </row>
    <row r="729" ht="15" customHeight="1">
      <c r="A729" t="inlineStr">
        <is>
          <t>A 60028-2022</t>
        </is>
      </c>
      <c r="B729" s="1" t="n">
        <v>44902</v>
      </c>
      <c r="C729" s="1" t="n">
        <v>46129</v>
      </c>
      <c r="D729" t="inlineStr">
        <is>
          <t>JÄMTLANDS LÄN</t>
        </is>
      </c>
      <c r="E729" t="inlineStr">
        <is>
          <t>BERG</t>
        </is>
      </c>
      <c r="G729" t="n">
        <v>20</v>
      </c>
      <c r="H729" t="n">
        <v>0</v>
      </c>
      <c r="I729" t="n">
        <v>0</v>
      </c>
      <c r="J729" t="n">
        <v>0</v>
      </c>
      <c r="K729" t="n">
        <v>0</v>
      </c>
      <c r="L729" t="n">
        <v>0</v>
      </c>
      <c r="M729" t="n">
        <v>0</v>
      </c>
      <c r="N729" t="n">
        <v>0</v>
      </c>
      <c r="O729" t="n">
        <v>0</v>
      </c>
      <c r="P729" t="n">
        <v>0</v>
      </c>
      <c r="Q729" t="n">
        <v>0</v>
      </c>
      <c r="R729" s="2" t="inlineStr"/>
    </row>
    <row r="730" ht="15" customHeight="1">
      <c r="A730" t="inlineStr">
        <is>
          <t>A 1282-2026</t>
        </is>
      </c>
      <c r="B730" s="1" t="n">
        <v>46031.49096064815</v>
      </c>
      <c r="C730" s="1" t="n">
        <v>46129</v>
      </c>
      <c r="D730" t="inlineStr">
        <is>
          <t>JÄMTLANDS LÄN</t>
        </is>
      </c>
      <c r="E730" t="inlineStr">
        <is>
          <t>BERG</t>
        </is>
      </c>
      <c r="G730" t="n">
        <v>3.5</v>
      </c>
      <c r="H730" t="n">
        <v>0</v>
      </c>
      <c r="I730" t="n">
        <v>0</v>
      </c>
      <c r="J730" t="n">
        <v>0</v>
      </c>
      <c r="K730" t="n">
        <v>0</v>
      </c>
      <c r="L730" t="n">
        <v>0</v>
      </c>
      <c r="M730" t="n">
        <v>0</v>
      </c>
      <c r="N730" t="n">
        <v>0</v>
      </c>
      <c r="O730" t="n">
        <v>0</v>
      </c>
      <c r="P730" t="n">
        <v>0</v>
      </c>
      <c r="Q730" t="n">
        <v>0</v>
      </c>
      <c r="R730" s="2" t="inlineStr"/>
    </row>
    <row r="731" ht="15" customHeight="1">
      <c r="A731" t="inlineStr">
        <is>
          <t>A 1386-2026</t>
        </is>
      </c>
      <c r="B731" s="1" t="n">
        <v>46031.62633101852</v>
      </c>
      <c r="C731" s="1" t="n">
        <v>46129</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1391-2026</t>
        </is>
      </c>
      <c r="B732" s="1" t="n">
        <v>46031.63359953704</v>
      </c>
      <c r="C732" s="1" t="n">
        <v>46129</v>
      </c>
      <c r="D732" t="inlineStr">
        <is>
          <t>JÄMTLANDS LÄN</t>
        </is>
      </c>
      <c r="E732" t="inlineStr">
        <is>
          <t>BERG</t>
        </is>
      </c>
      <c r="G732" t="n">
        <v>1.5</v>
      </c>
      <c r="H732" t="n">
        <v>0</v>
      </c>
      <c r="I732" t="n">
        <v>0</v>
      </c>
      <c r="J732" t="n">
        <v>0</v>
      </c>
      <c r="K732" t="n">
        <v>0</v>
      </c>
      <c r="L732" t="n">
        <v>0</v>
      </c>
      <c r="M732" t="n">
        <v>0</v>
      </c>
      <c r="N732" t="n">
        <v>0</v>
      </c>
      <c r="O732" t="n">
        <v>0</v>
      </c>
      <c r="P732" t="n">
        <v>0</v>
      </c>
      <c r="Q732" t="n">
        <v>0</v>
      </c>
      <c r="R732" s="2" t="inlineStr"/>
    </row>
    <row r="733" ht="15" customHeight="1">
      <c r="A733" t="inlineStr">
        <is>
          <t>A 1407-2026</t>
        </is>
      </c>
      <c r="B733" s="1" t="n">
        <v>46031.64733796296</v>
      </c>
      <c r="C733" s="1" t="n">
        <v>46129</v>
      </c>
      <c r="D733" t="inlineStr">
        <is>
          <t>JÄMTLANDS LÄN</t>
        </is>
      </c>
      <c r="E733" t="inlineStr">
        <is>
          <t>BERG</t>
        </is>
      </c>
      <c r="G733" t="n">
        <v>0.9</v>
      </c>
      <c r="H733" t="n">
        <v>0</v>
      </c>
      <c r="I733" t="n">
        <v>0</v>
      </c>
      <c r="J733" t="n">
        <v>0</v>
      </c>
      <c r="K733" t="n">
        <v>0</v>
      </c>
      <c r="L733" t="n">
        <v>0</v>
      </c>
      <c r="M733" t="n">
        <v>0</v>
      </c>
      <c r="N733" t="n">
        <v>0</v>
      </c>
      <c r="O733" t="n">
        <v>0</v>
      </c>
      <c r="P733" t="n">
        <v>0</v>
      </c>
      <c r="Q733" t="n">
        <v>0</v>
      </c>
      <c r="R733" s="2" t="inlineStr"/>
    </row>
    <row r="734" ht="15" customHeight="1">
      <c r="A734" t="inlineStr">
        <is>
          <t>A 32465-2024</t>
        </is>
      </c>
      <c r="B734" s="1" t="n">
        <v>45512.96096064815</v>
      </c>
      <c r="C734" s="1" t="n">
        <v>46129</v>
      </c>
      <c r="D734" t="inlineStr">
        <is>
          <t>JÄMTLANDS LÄN</t>
        </is>
      </c>
      <c r="E734" t="inlineStr">
        <is>
          <t>BERG</t>
        </is>
      </c>
      <c r="G734" t="n">
        <v>6.7</v>
      </c>
      <c r="H734" t="n">
        <v>0</v>
      </c>
      <c r="I734" t="n">
        <v>0</v>
      </c>
      <c r="J734" t="n">
        <v>0</v>
      </c>
      <c r="K734" t="n">
        <v>0</v>
      </c>
      <c r="L734" t="n">
        <v>0</v>
      </c>
      <c r="M734" t="n">
        <v>0</v>
      </c>
      <c r="N734" t="n">
        <v>0</v>
      </c>
      <c r="O734" t="n">
        <v>0</v>
      </c>
      <c r="P734" t="n">
        <v>0</v>
      </c>
      <c r="Q734" t="n">
        <v>0</v>
      </c>
      <c r="R734" s="2" t="inlineStr"/>
    </row>
    <row r="735" ht="15" customHeight="1">
      <c r="A735" t="inlineStr">
        <is>
          <t>A 1939-2026</t>
        </is>
      </c>
      <c r="B735" s="1" t="n">
        <v>46035.58862268519</v>
      </c>
      <c r="C735" s="1" t="n">
        <v>46129</v>
      </c>
      <c r="D735" t="inlineStr">
        <is>
          <t>JÄMTLANDS LÄN</t>
        </is>
      </c>
      <c r="E735" t="inlineStr">
        <is>
          <t>BERG</t>
        </is>
      </c>
      <c r="G735" t="n">
        <v>3.9</v>
      </c>
      <c r="H735" t="n">
        <v>0</v>
      </c>
      <c r="I735" t="n">
        <v>0</v>
      </c>
      <c r="J735" t="n">
        <v>0</v>
      </c>
      <c r="K735" t="n">
        <v>0</v>
      </c>
      <c r="L735" t="n">
        <v>0</v>
      </c>
      <c r="M735" t="n">
        <v>0</v>
      </c>
      <c r="N735" t="n">
        <v>0</v>
      </c>
      <c r="O735" t="n">
        <v>0</v>
      </c>
      <c r="P735" t="n">
        <v>0</v>
      </c>
      <c r="Q735" t="n">
        <v>0</v>
      </c>
      <c r="R735" s="2" t="inlineStr"/>
    </row>
    <row r="736" ht="15" customHeight="1">
      <c r="A736" t="inlineStr">
        <is>
          <t>A 51548-2023</t>
        </is>
      </c>
      <c r="B736" s="1" t="n">
        <v>45215</v>
      </c>
      <c r="C736" s="1" t="n">
        <v>46129</v>
      </c>
      <c r="D736" t="inlineStr">
        <is>
          <t>JÄMTLANDS LÄN</t>
        </is>
      </c>
      <c r="E736" t="inlineStr">
        <is>
          <t>BERG</t>
        </is>
      </c>
      <c r="G736" t="n">
        <v>4.8</v>
      </c>
      <c r="H736" t="n">
        <v>0</v>
      </c>
      <c r="I736" t="n">
        <v>0</v>
      </c>
      <c r="J736" t="n">
        <v>0</v>
      </c>
      <c r="K736" t="n">
        <v>0</v>
      </c>
      <c r="L736" t="n">
        <v>0</v>
      </c>
      <c r="M736" t="n">
        <v>0</v>
      </c>
      <c r="N736" t="n">
        <v>0</v>
      </c>
      <c r="O736" t="n">
        <v>0</v>
      </c>
      <c r="P736" t="n">
        <v>0</v>
      </c>
      <c r="Q736" t="n">
        <v>0</v>
      </c>
      <c r="R736" s="2" t="inlineStr"/>
    </row>
    <row r="737" ht="15" customHeight="1">
      <c r="A737" t="inlineStr">
        <is>
          <t>A 60068-2022</t>
        </is>
      </c>
      <c r="B737" s="1" t="n">
        <v>44902</v>
      </c>
      <c r="C737" s="1" t="n">
        <v>46129</v>
      </c>
      <c r="D737" t="inlineStr">
        <is>
          <t>JÄMTLANDS LÄN</t>
        </is>
      </c>
      <c r="E737" t="inlineStr">
        <is>
          <t>BERG</t>
        </is>
      </c>
      <c r="G737" t="n">
        <v>5.2</v>
      </c>
      <c r="H737" t="n">
        <v>0</v>
      </c>
      <c r="I737" t="n">
        <v>0</v>
      </c>
      <c r="J737" t="n">
        <v>0</v>
      </c>
      <c r="K737" t="n">
        <v>0</v>
      </c>
      <c r="L737" t="n">
        <v>0</v>
      </c>
      <c r="M737" t="n">
        <v>0</v>
      </c>
      <c r="N737" t="n">
        <v>0</v>
      </c>
      <c r="O737" t="n">
        <v>0</v>
      </c>
      <c r="P737" t="n">
        <v>0</v>
      </c>
      <c r="Q737" t="n">
        <v>0</v>
      </c>
      <c r="R737" s="2" t="inlineStr"/>
    </row>
    <row r="738" ht="15" customHeight="1">
      <c r="A738" t="inlineStr">
        <is>
          <t>A 7482-2022</t>
        </is>
      </c>
      <c r="B738" s="1" t="n">
        <v>44606</v>
      </c>
      <c r="C738" s="1" t="n">
        <v>46129</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1498-2026</t>
        </is>
      </c>
      <c r="B739" s="1" t="n">
        <v>46034.331875</v>
      </c>
      <c r="C739" s="1" t="n">
        <v>46129</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2632-2026</t>
        </is>
      </c>
      <c r="B740" s="1" t="n">
        <v>46035</v>
      </c>
      <c r="C740" s="1" t="n">
        <v>46129</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1495-2026</t>
        </is>
      </c>
      <c r="B741" s="1" t="n">
        <v>46034.32285879629</v>
      </c>
      <c r="C741" s="1" t="n">
        <v>46129</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1684-2026</t>
        </is>
      </c>
      <c r="B742" s="1" t="n">
        <v>46034.58386574074</v>
      </c>
      <c r="C742" s="1" t="n">
        <v>46129</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31641-2022</t>
        </is>
      </c>
      <c r="B743" s="1" t="n">
        <v>44775.94119212963</v>
      </c>
      <c r="C743" s="1" t="n">
        <v>46129</v>
      </c>
      <c r="D743" t="inlineStr">
        <is>
          <t>JÄMTLANDS LÄN</t>
        </is>
      </c>
      <c r="E743" t="inlineStr">
        <is>
          <t>BERG</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2312-2026</t>
        </is>
      </c>
      <c r="B744" s="1" t="n">
        <v>46036.59519675926</v>
      </c>
      <c r="C744" s="1" t="n">
        <v>46129</v>
      </c>
      <c r="D744" t="inlineStr">
        <is>
          <t>JÄMTLANDS LÄN</t>
        </is>
      </c>
      <c r="E744" t="inlineStr">
        <is>
          <t>BERG</t>
        </is>
      </c>
      <c r="G744" t="n">
        <v>5.4</v>
      </c>
      <c r="H744" t="n">
        <v>0</v>
      </c>
      <c r="I744" t="n">
        <v>0</v>
      </c>
      <c r="J744" t="n">
        <v>0</v>
      </c>
      <c r="K744" t="n">
        <v>0</v>
      </c>
      <c r="L744" t="n">
        <v>0</v>
      </c>
      <c r="M744" t="n">
        <v>0</v>
      </c>
      <c r="N744" t="n">
        <v>0</v>
      </c>
      <c r="O744" t="n">
        <v>0</v>
      </c>
      <c r="P744" t="n">
        <v>0</v>
      </c>
      <c r="Q744" t="n">
        <v>0</v>
      </c>
      <c r="R744" s="2" t="inlineStr"/>
    </row>
    <row r="745" ht="15" customHeight="1">
      <c r="A745" t="inlineStr">
        <is>
          <t>A 2346-2026</t>
        </is>
      </c>
      <c r="B745" s="1" t="n">
        <v>46036.62737268519</v>
      </c>
      <c r="C745" s="1" t="n">
        <v>46129</v>
      </c>
      <c r="D745" t="inlineStr">
        <is>
          <t>JÄMTLANDS LÄN</t>
        </is>
      </c>
      <c r="E745" t="inlineStr">
        <is>
          <t>BERG</t>
        </is>
      </c>
      <c r="G745" t="n">
        <v>4.2</v>
      </c>
      <c r="H745" t="n">
        <v>0</v>
      </c>
      <c r="I745" t="n">
        <v>0</v>
      </c>
      <c r="J745" t="n">
        <v>0</v>
      </c>
      <c r="K745" t="n">
        <v>0</v>
      </c>
      <c r="L745" t="n">
        <v>0</v>
      </c>
      <c r="M745" t="n">
        <v>0</v>
      </c>
      <c r="N745" t="n">
        <v>0</v>
      </c>
      <c r="O745" t="n">
        <v>0</v>
      </c>
      <c r="P745" t="n">
        <v>0</v>
      </c>
      <c r="Q745" t="n">
        <v>0</v>
      </c>
      <c r="R745" s="2" t="inlineStr"/>
    </row>
    <row r="746" ht="15" customHeight="1">
      <c r="A746" t="inlineStr">
        <is>
          <t>A 16247-2024</t>
        </is>
      </c>
      <c r="B746" s="1" t="n">
        <v>45407.05797453703</v>
      </c>
      <c r="C746" s="1" t="n">
        <v>46129</v>
      </c>
      <c r="D746" t="inlineStr">
        <is>
          <t>JÄMTLANDS LÄN</t>
        </is>
      </c>
      <c r="E746" t="inlineStr">
        <is>
          <t>BERG</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46268-2023</t>
        </is>
      </c>
      <c r="B747" s="1" t="n">
        <v>45196</v>
      </c>
      <c r="C747" s="1" t="n">
        <v>46129</v>
      </c>
      <c r="D747" t="inlineStr">
        <is>
          <t>JÄMTLANDS LÄN</t>
        </is>
      </c>
      <c r="E747" t="inlineStr">
        <is>
          <t>BERG</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8069-2024</t>
        </is>
      </c>
      <c r="B748" s="1" t="n">
        <v>45351.41600694445</v>
      </c>
      <c r="C748" s="1" t="n">
        <v>46129</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61788-2023</t>
        </is>
      </c>
      <c r="B749" s="1" t="n">
        <v>45265.9577199074</v>
      </c>
      <c r="C749" s="1" t="n">
        <v>46129</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39785-2024</t>
        </is>
      </c>
      <c r="B750" s="1" t="n">
        <v>45553.29927083333</v>
      </c>
      <c r="C750" s="1" t="n">
        <v>46129</v>
      </c>
      <c r="D750" t="inlineStr">
        <is>
          <t>JÄMTLANDS LÄN</t>
        </is>
      </c>
      <c r="E750" t="inlineStr">
        <is>
          <t>BERG</t>
        </is>
      </c>
      <c r="G750" t="n">
        <v>16.1</v>
      </c>
      <c r="H750" t="n">
        <v>0</v>
      </c>
      <c r="I750" t="n">
        <v>0</v>
      </c>
      <c r="J750" t="n">
        <v>0</v>
      </c>
      <c r="K750" t="n">
        <v>0</v>
      </c>
      <c r="L750" t="n">
        <v>0</v>
      </c>
      <c r="M750" t="n">
        <v>0</v>
      </c>
      <c r="N750" t="n">
        <v>0</v>
      </c>
      <c r="O750" t="n">
        <v>0</v>
      </c>
      <c r="P750" t="n">
        <v>0</v>
      </c>
      <c r="Q750" t="n">
        <v>0</v>
      </c>
      <c r="R750" s="2" t="inlineStr"/>
    </row>
    <row r="751" ht="15" customHeight="1">
      <c r="A751" t="inlineStr">
        <is>
          <t>A 35691-2025</t>
        </is>
      </c>
      <c r="B751" s="1" t="n">
        <v>45860.344375</v>
      </c>
      <c r="C751" s="1" t="n">
        <v>46129</v>
      </c>
      <c r="D751" t="inlineStr">
        <is>
          <t>JÄMTLANDS LÄN</t>
        </is>
      </c>
      <c r="E751" t="inlineStr">
        <is>
          <t>BERG</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51201-2023</t>
        </is>
      </c>
      <c r="B752" s="1" t="n">
        <v>45219.42320601852</v>
      </c>
      <c r="C752" s="1" t="n">
        <v>46129</v>
      </c>
      <c r="D752" t="inlineStr">
        <is>
          <t>JÄMTLANDS LÄN</t>
        </is>
      </c>
      <c r="E752" t="inlineStr">
        <is>
          <t>BERG</t>
        </is>
      </c>
      <c r="G752" t="n">
        <v>1.2</v>
      </c>
      <c r="H752" t="n">
        <v>0</v>
      </c>
      <c r="I752" t="n">
        <v>0</v>
      </c>
      <c r="J752" t="n">
        <v>0</v>
      </c>
      <c r="K752" t="n">
        <v>0</v>
      </c>
      <c r="L752" t="n">
        <v>0</v>
      </c>
      <c r="M752" t="n">
        <v>0</v>
      </c>
      <c r="N752" t="n">
        <v>0</v>
      </c>
      <c r="O752" t="n">
        <v>0</v>
      </c>
      <c r="P752" t="n">
        <v>0</v>
      </c>
      <c r="Q752" t="n">
        <v>0</v>
      </c>
      <c r="R752" s="2" t="inlineStr"/>
    </row>
    <row r="753" ht="15" customHeight="1">
      <c r="A753" t="inlineStr">
        <is>
          <t>A 35576-2025</t>
        </is>
      </c>
      <c r="B753" s="1" t="n">
        <v>45856.63608796296</v>
      </c>
      <c r="C753" s="1" t="n">
        <v>46129</v>
      </c>
      <c r="D753" t="inlineStr">
        <is>
          <t>JÄMTLANDS LÄN</t>
        </is>
      </c>
      <c r="E753" t="inlineStr">
        <is>
          <t>BERG</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56226-2024</t>
        </is>
      </c>
      <c r="B754" s="1" t="n">
        <v>45624.61572916667</v>
      </c>
      <c r="C754" s="1" t="n">
        <v>46129</v>
      </c>
      <c r="D754" t="inlineStr">
        <is>
          <t>JÄMTLANDS LÄN</t>
        </is>
      </c>
      <c r="E754" t="inlineStr">
        <is>
          <t>BERG</t>
        </is>
      </c>
      <c r="F754" t="inlineStr">
        <is>
          <t>SCA</t>
        </is>
      </c>
      <c r="G754" t="n">
        <v>7.2</v>
      </c>
      <c r="H754" t="n">
        <v>0</v>
      </c>
      <c r="I754" t="n">
        <v>0</v>
      </c>
      <c r="J754" t="n">
        <v>0</v>
      </c>
      <c r="K754" t="n">
        <v>0</v>
      </c>
      <c r="L754" t="n">
        <v>0</v>
      </c>
      <c r="M754" t="n">
        <v>0</v>
      </c>
      <c r="N754" t="n">
        <v>0</v>
      </c>
      <c r="O754" t="n">
        <v>0</v>
      </c>
      <c r="P754" t="n">
        <v>0</v>
      </c>
      <c r="Q754" t="n">
        <v>0</v>
      </c>
      <c r="R754" s="2" t="inlineStr"/>
    </row>
    <row r="755" ht="15" customHeight="1">
      <c r="A755" t="inlineStr">
        <is>
          <t>A 41868-2024</t>
        </is>
      </c>
      <c r="B755" s="1" t="n">
        <v>45561.46900462963</v>
      </c>
      <c r="C755" s="1" t="n">
        <v>46129</v>
      </c>
      <c r="D755" t="inlineStr">
        <is>
          <t>JÄMTLANDS LÄN</t>
        </is>
      </c>
      <c r="E755" t="inlineStr">
        <is>
          <t>BERG</t>
        </is>
      </c>
      <c r="G755" t="n">
        <v>2.3</v>
      </c>
      <c r="H755" t="n">
        <v>0</v>
      </c>
      <c r="I755" t="n">
        <v>0</v>
      </c>
      <c r="J755" t="n">
        <v>0</v>
      </c>
      <c r="K755" t="n">
        <v>0</v>
      </c>
      <c r="L755" t="n">
        <v>0</v>
      </c>
      <c r="M755" t="n">
        <v>0</v>
      </c>
      <c r="N755" t="n">
        <v>0</v>
      </c>
      <c r="O755" t="n">
        <v>0</v>
      </c>
      <c r="P755" t="n">
        <v>0</v>
      </c>
      <c r="Q755" t="n">
        <v>0</v>
      </c>
      <c r="R755" s="2" t="inlineStr"/>
    </row>
    <row r="756" ht="15" customHeight="1">
      <c r="A756" t="inlineStr">
        <is>
          <t>A 3241-2026</t>
        </is>
      </c>
      <c r="B756" s="1" t="n">
        <v>46041.56872685185</v>
      </c>
      <c r="C756" s="1" t="n">
        <v>46129</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18261-2022</t>
        </is>
      </c>
      <c r="B757" s="1" t="n">
        <v>44685.45633101852</v>
      </c>
      <c r="C757" s="1" t="n">
        <v>46129</v>
      </c>
      <c r="D757" t="inlineStr">
        <is>
          <t>JÄMTLANDS LÄN</t>
        </is>
      </c>
      <c r="E757" t="inlineStr">
        <is>
          <t>BERG</t>
        </is>
      </c>
      <c r="G757" t="n">
        <v>3</v>
      </c>
      <c r="H757" t="n">
        <v>0</v>
      </c>
      <c r="I757" t="n">
        <v>0</v>
      </c>
      <c r="J757" t="n">
        <v>0</v>
      </c>
      <c r="K757" t="n">
        <v>0</v>
      </c>
      <c r="L757" t="n">
        <v>0</v>
      </c>
      <c r="M757" t="n">
        <v>0</v>
      </c>
      <c r="N757" t="n">
        <v>0</v>
      </c>
      <c r="O757" t="n">
        <v>0</v>
      </c>
      <c r="P757" t="n">
        <v>0</v>
      </c>
      <c r="Q757" t="n">
        <v>0</v>
      </c>
      <c r="R757" s="2" t="inlineStr"/>
    </row>
    <row r="758" ht="15" customHeight="1">
      <c r="A758" t="inlineStr">
        <is>
          <t>A 3810-2026</t>
        </is>
      </c>
      <c r="B758" s="1" t="n">
        <v>46043.58373842593</v>
      </c>
      <c r="C758" s="1" t="n">
        <v>46129</v>
      </c>
      <c r="D758" t="inlineStr">
        <is>
          <t>JÄMTLANDS LÄN</t>
        </is>
      </c>
      <c r="E758" t="inlineStr">
        <is>
          <t>BERG</t>
        </is>
      </c>
      <c r="G758" t="n">
        <v>2.5</v>
      </c>
      <c r="H758" t="n">
        <v>0</v>
      </c>
      <c r="I758" t="n">
        <v>0</v>
      </c>
      <c r="J758" t="n">
        <v>0</v>
      </c>
      <c r="K758" t="n">
        <v>0</v>
      </c>
      <c r="L758" t="n">
        <v>0</v>
      </c>
      <c r="M758" t="n">
        <v>0</v>
      </c>
      <c r="N758" t="n">
        <v>0</v>
      </c>
      <c r="O758" t="n">
        <v>0</v>
      </c>
      <c r="P758" t="n">
        <v>0</v>
      </c>
      <c r="Q758" t="n">
        <v>0</v>
      </c>
      <c r="R758" s="2" t="inlineStr"/>
    </row>
    <row r="759" ht="15" customHeight="1">
      <c r="A759" t="inlineStr">
        <is>
          <t>A 3796-2026</t>
        </is>
      </c>
      <c r="B759" s="1" t="n">
        <v>46043.57982638889</v>
      </c>
      <c r="C759" s="1" t="n">
        <v>46129</v>
      </c>
      <c r="D759" t="inlineStr">
        <is>
          <t>JÄMTLANDS LÄN</t>
        </is>
      </c>
      <c r="E759" t="inlineStr">
        <is>
          <t>BERG</t>
        </is>
      </c>
      <c r="G759" t="n">
        <v>2.5</v>
      </c>
      <c r="H759" t="n">
        <v>0</v>
      </c>
      <c r="I759" t="n">
        <v>0</v>
      </c>
      <c r="J759" t="n">
        <v>0</v>
      </c>
      <c r="K759" t="n">
        <v>0</v>
      </c>
      <c r="L759" t="n">
        <v>0</v>
      </c>
      <c r="M759" t="n">
        <v>0</v>
      </c>
      <c r="N759" t="n">
        <v>0</v>
      </c>
      <c r="O759" t="n">
        <v>0</v>
      </c>
      <c r="P759" t="n">
        <v>0</v>
      </c>
      <c r="Q759" t="n">
        <v>0</v>
      </c>
      <c r="R759" s="2" t="inlineStr"/>
    </row>
    <row r="760" ht="15" customHeight="1">
      <c r="A760" t="inlineStr">
        <is>
          <t>A 44997-2021</t>
        </is>
      </c>
      <c r="B760" s="1" t="n">
        <v>44438</v>
      </c>
      <c r="C760" s="1" t="n">
        <v>46129</v>
      </c>
      <c r="D760" t="inlineStr">
        <is>
          <t>JÄMTLANDS LÄN</t>
        </is>
      </c>
      <c r="E760" t="inlineStr">
        <is>
          <t>BERG</t>
        </is>
      </c>
      <c r="G760" t="n">
        <v>3.8</v>
      </c>
      <c r="H760" t="n">
        <v>0</v>
      </c>
      <c r="I760" t="n">
        <v>0</v>
      </c>
      <c r="J760" t="n">
        <v>0</v>
      </c>
      <c r="K760" t="n">
        <v>0</v>
      </c>
      <c r="L760" t="n">
        <v>0</v>
      </c>
      <c r="M760" t="n">
        <v>0</v>
      </c>
      <c r="N760" t="n">
        <v>0</v>
      </c>
      <c r="O760" t="n">
        <v>0</v>
      </c>
      <c r="P760" t="n">
        <v>0</v>
      </c>
      <c r="Q760" t="n">
        <v>0</v>
      </c>
      <c r="R760" s="2" t="inlineStr"/>
    </row>
    <row r="761" ht="15" customHeight="1">
      <c r="A761" t="inlineStr">
        <is>
          <t>A 4383-2026</t>
        </is>
      </c>
      <c r="B761" s="1" t="n">
        <v>46045.56296296296</v>
      </c>
      <c r="C761" s="1" t="n">
        <v>46129</v>
      </c>
      <c r="D761" t="inlineStr">
        <is>
          <t>JÄMTLANDS LÄN</t>
        </is>
      </c>
      <c r="E761" t="inlineStr">
        <is>
          <t>BERG</t>
        </is>
      </c>
      <c r="G761" t="n">
        <v>0.9</v>
      </c>
      <c r="H761" t="n">
        <v>0</v>
      </c>
      <c r="I761" t="n">
        <v>0</v>
      </c>
      <c r="J761" t="n">
        <v>0</v>
      </c>
      <c r="K761" t="n">
        <v>0</v>
      </c>
      <c r="L761" t="n">
        <v>0</v>
      </c>
      <c r="M761" t="n">
        <v>0</v>
      </c>
      <c r="N761" t="n">
        <v>0</v>
      </c>
      <c r="O761" t="n">
        <v>0</v>
      </c>
      <c r="P761" t="n">
        <v>0</v>
      </c>
      <c r="Q761" t="n">
        <v>0</v>
      </c>
      <c r="R761" s="2" t="inlineStr"/>
    </row>
    <row r="762" ht="15" customHeight="1">
      <c r="A762" t="inlineStr">
        <is>
          <t>A 13473-2025</t>
        </is>
      </c>
      <c r="B762" s="1" t="n">
        <v>45736.40671296296</v>
      </c>
      <c r="C762" s="1" t="n">
        <v>46129</v>
      </c>
      <c r="D762" t="inlineStr">
        <is>
          <t>JÄMTLANDS LÄN</t>
        </is>
      </c>
      <c r="E762" t="inlineStr">
        <is>
          <t>BERG</t>
        </is>
      </c>
      <c r="F762" t="inlineStr">
        <is>
          <t>SCA</t>
        </is>
      </c>
      <c r="G762" t="n">
        <v>13.7</v>
      </c>
      <c r="H762" t="n">
        <v>0</v>
      </c>
      <c r="I762" t="n">
        <v>0</v>
      </c>
      <c r="J762" t="n">
        <v>0</v>
      </c>
      <c r="K762" t="n">
        <v>0</v>
      </c>
      <c r="L762" t="n">
        <v>0</v>
      </c>
      <c r="M762" t="n">
        <v>0</v>
      </c>
      <c r="N762" t="n">
        <v>0</v>
      </c>
      <c r="O762" t="n">
        <v>0</v>
      </c>
      <c r="P762" t="n">
        <v>0</v>
      </c>
      <c r="Q762" t="n">
        <v>0</v>
      </c>
      <c r="R762" s="2" t="inlineStr"/>
    </row>
    <row r="763" ht="15" customHeight="1">
      <c r="A763" t="inlineStr">
        <is>
          <t>A 59498-2024</t>
        </is>
      </c>
      <c r="B763" s="1" t="n">
        <v>45638.54635416667</v>
      </c>
      <c r="C763" s="1" t="n">
        <v>46129</v>
      </c>
      <c r="D763" t="inlineStr">
        <is>
          <t>JÄMTLANDS LÄN</t>
        </is>
      </c>
      <c r="E763" t="inlineStr">
        <is>
          <t>BERG</t>
        </is>
      </c>
      <c r="G763" t="n">
        <v>2.4</v>
      </c>
      <c r="H763" t="n">
        <v>0</v>
      </c>
      <c r="I763" t="n">
        <v>0</v>
      </c>
      <c r="J763" t="n">
        <v>0</v>
      </c>
      <c r="K763" t="n">
        <v>0</v>
      </c>
      <c r="L763" t="n">
        <v>0</v>
      </c>
      <c r="M763" t="n">
        <v>0</v>
      </c>
      <c r="N763" t="n">
        <v>0</v>
      </c>
      <c r="O763" t="n">
        <v>0</v>
      </c>
      <c r="P763" t="n">
        <v>0</v>
      </c>
      <c r="Q763" t="n">
        <v>0</v>
      </c>
      <c r="R763" s="2" t="inlineStr"/>
    </row>
    <row r="764" ht="15" customHeight="1">
      <c r="A764" t="inlineStr">
        <is>
          <t>A 47119-2024</t>
        </is>
      </c>
      <c r="B764" s="1" t="n">
        <v>45586.56431712963</v>
      </c>
      <c r="C764" s="1" t="n">
        <v>46129</v>
      </c>
      <c r="D764" t="inlineStr">
        <is>
          <t>JÄMTLANDS LÄN</t>
        </is>
      </c>
      <c r="E764" t="inlineStr">
        <is>
          <t>BERG</t>
        </is>
      </c>
      <c r="G764" t="n">
        <v>5</v>
      </c>
      <c r="H764" t="n">
        <v>0</v>
      </c>
      <c r="I764" t="n">
        <v>0</v>
      </c>
      <c r="J764" t="n">
        <v>0</v>
      </c>
      <c r="K764" t="n">
        <v>0</v>
      </c>
      <c r="L764" t="n">
        <v>0</v>
      </c>
      <c r="M764" t="n">
        <v>0</v>
      </c>
      <c r="N764" t="n">
        <v>0</v>
      </c>
      <c r="O764" t="n">
        <v>0</v>
      </c>
      <c r="P764" t="n">
        <v>0</v>
      </c>
      <c r="Q764" t="n">
        <v>0</v>
      </c>
      <c r="R764" s="2" t="inlineStr"/>
    </row>
    <row r="765" ht="15" customHeight="1">
      <c r="A765" t="inlineStr">
        <is>
          <t>A 12196-2026</t>
        </is>
      </c>
      <c r="B765" s="1" t="n">
        <v>46086.87208333334</v>
      </c>
      <c r="C765" s="1" t="n">
        <v>46129</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50169-2023</t>
        </is>
      </c>
      <c r="B766" s="1" t="n">
        <v>45208</v>
      </c>
      <c r="C766" s="1" t="n">
        <v>46129</v>
      </c>
      <c r="D766" t="inlineStr">
        <is>
          <t>JÄMTLANDS LÄN</t>
        </is>
      </c>
      <c r="E766" t="inlineStr">
        <is>
          <t>BERG</t>
        </is>
      </c>
      <c r="G766" t="n">
        <v>3.9</v>
      </c>
      <c r="H766" t="n">
        <v>0</v>
      </c>
      <c r="I766" t="n">
        <v>0</v>
      </c>
      <c r="J766" t="n">
        <v>0</v>
      </c>
      <c r="K766" t="n">
        <v>0</v>
      </c>
      <c r="L766" t="n">
        <v>0</v>
      </c>
      <c r="M766" t="n">
        <v>0</v>
      </c>
      <c r="N766" t="n">
        <v>0</v>
      </c>
      <c r="O766" t="n">
        <v>0</v>
      </c>
      <c r="P766" t="n">
        <v>0</v>
      </c>
      <c r="Q766" t="n">
        <v>0</v>
      </c>
      <c r="R766" s="2" t="inlineStr"/>
    </row>
    <row r="767" ht="15" customHeight="1">
      <c r="A767" t="inlineStr">
        <is>
          <t>A 50172-2023</t>
        </is>
      </c>
      <c r="B767" s="1" t="n">
        <v>45208</v>
      </c>
      <c r="C767" s="1" t="n">
        <v>46129</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2474-2025</t>
        </is>
      </c>
      <c r="B768" s="1" t="n">
        <v>45674.47496527778</v>
      </c>
      <c r="C768" s="1" t="n">
        <v>46129</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41886-2024</t>
        </is>
      </c>
      <c r="B769" s="1" t="n">
        <v>45561.48825231481</v>
      </c>
      <c r="C769" s="1" t="n">
        <v>46129</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12671-2026</t>
        </is>
      </c>
      <c r="B770" s="1" t="n">
        <v>46091.53453703703</v>
      </c>
      <c r="C770" s="1" t="n">
        <v>46129</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49277-2024</t>
        </is>
      </c>
      <c r="B771" s="1" t="n">
        <v>45595.50820601852</v>
      </c>
      <c r="C771" s="1" t="n">
        <v>46129</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34225-2024</t>
        </is>
      </c>
      <c r="B772" s="1" t="n">
        <v>45524.55398148148</v>
      </c>
      <c r="C772" s="1" t="n">
        <v>46129</v>
      </c>
      <c r="D772" t="inlineStr">
        <is>
          <t>JÄMTLANDS LÄN</t>
        </is>
      </c>
      <c r="E772" t="inlineStr">
        <is>
          <t>BERG</t>
        </is>
      </c>
      <c r="G772" t="n">
        <v>1.3</v>
      </c>
      <c r="H772" t="n">
        <v>0</v>
      </c>
      <c r="I772" t="n">
        <v>0</v>
      </c>
      <c r="J772" t="n">
        <v>0</v>
      </c>
      <c r="K772" t="n">
        <v>0</v>
      </c>
      <c r="L772" t="n">
        <v>0</v>
      </c>
      <c r="M772" t="n">
        <v>0</v>
      </c>
      <c r="N772" t="n">
        <v>0</v>
      </c>
      <c r="O772" t="n">
        <v>0</v>
      </c>
      <c r="P772" t="n">
        <v>0</v>
      </c>
      <c r="Q772" t="n">
        <v>0</v>
      </c>
      <c r="R772" s="2" t="inlineStr"/>
    </row>
    <row r="773" ht="15" customHeight="1">
      <c r="A773" t="inlineStr">
        <is>
          <t>A 19538-2023</t>
        </is>
      </c>
      <c r="B773" s="1" t="n">
        <v>45050</v>
      </c>
      <c r="C773" s="1" t="n">
        <v>46129</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5089-2026</t>
        </is>
      </c>
      <c r="B774" s="1" t="n">
        <v>46049.55258101852</v>
      </c>
      <c r="C774" s="1" t="n">
        <v>46129</v>
      </c>
      <c r="D774" t="inlineStr">
        <is>
          <t>JÄMTLANDS LÄN</t>
        </is>
      </c>
      <c r="E774" t="inlineStr">
        <is>
          <t>BERG</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9077-2023</t>
        </is>
      </c>
      <c r="B775" s="1" t="n">
        <v>44979</v>
      </c>
      <c r="C775" s="1" t="n">
        <v>46129</v>
      </c>
      <c r="D775" t="inlineStr">
        <is>
          <t>JÄMTLANDS LÄN</t>
        </is>
      </c>
      <c r="E775" t="inlineStr">
        <is>
          <t>BERG</t>
        </is>
      </c>
      <c r="G775" t="n">
        <v>3.6</v>
      </c>
      <c r="H775" t="n">
        <v>0</v>
      </c>
      <c r="I775" t="n">
        <v>0</v>
      </c>
      <c r="J775" t="n">
        <v>0</v>
      </c>
      <c r="K775" t="n">
        <v>0</v>
      </c>
      <c r="L775" t="n">
        <v>0</v>
      </c>
      <c r="M775" t="n">
        <v>0</v>
      </c>
      <c r="N775" t="n">
        <v>0</v>
      </c>
      <c r="O775" t="n">
        <v>0</v>
      </c>
      <c r="P775" t="n">
        <v>0</v>
      </c>
      <c r="Q775" t="n">
        <v>0</v>
      </c>
      <c r="R775" s="2" t="inlineStr"/>
    </row>
    <row r="776" ht="15" customHeight="1">
      <c r="A776" t="inlineStr">
        <is>
          <t>A 18752-2024</t>
        </is>
      </c>
      <c r="B776" s="1" t="n">
        <v>45426.54224537037</v>
      </c>
      <c r="C776" s="1" t="n">
        <v>46129</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12571-2026</t>
        </is>
      </c>
      <c r="B777" s="1" t="n">
        <v>46090.65715277778</v>
      </c>
      <c r="C777" s="1" t="n">
        <v>46129</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64486-2023</t>
        </is>
      </c>
      <c r="B778" s="1" t="n">
        <v>45280</v>
      </c>
      <c r="C778" s="1" t="n">
        <v>46129</v>
      </c>
      <c r="D778" t="inlineStr">
        <is>
          <t>JÄMTLANDS LÄN</t>
        </is>
      </c>
      <c r="E778" t="inlineStr">
        <is>
          <t>BERG</t>
        </is>
      </c>
      <c r="G778" t="n">
        <v>2</v>
      </c>
      <c r="H778" t="n">
        <v>0</v>
      </c>
      <c r="I778" t="n">
        <v>0</v>
      </c>
      <c r="J778" t="n">
        <v>0</v>
      </c>
      <c r="K778" t="n">
        <v>0</v>
      </c>
      <c r="L778" t="n">
        <v>0</v>
      </c>
      <c r="M778" t="n">
        <v>0</v>
      </c>
      <c r="N778" t="n">
        <v>0</v>
      </c>
      <c r="O778" t="n">
        <v>0</v>
      </c>
      <c r="P778" t="n">
        <v>0</v>
      </c>
      <c r="Q778" t="n">
        <v>0</v>
      </c>
      <c r="R778" s="2" t="inlineStr"/>
    </row>
    <row r="779" ht="15" customHeight="1">
      <c r="A779" t="inlineStr">
        <is>
          <t>A 64488-2023</t>
        </is>
      </c>
      <c r="B779" s="1" t="n">
        <v>45280.92618055556</v>
      </c>
      <c r="C779" s="1" t="n">
        <v>46129</v>
      </c>
      <c r="D779" t="inlineStr">
        <is>
          <t>JÄMTLANDS LÄN</t>
        </is>
      </c>
      <c r="E779" t="inlineStr">
        <is>
          <t>BERG</t>
        </is>
      </c>
      <c r="F779" t="inlineStr">
        <is>
          <t>Övriga Aktiebolag</t>
        </is>
      </c>
      <c r="G779" t="n">
        <v>7.1</v>
      </c>
      <c r="H779" t="n">
        <v>0</v>
      </c>
      <c r="I779" t="n">
        <v>0</v>
      </c>
      <c r="J779" t="n">
        <v>0</v>
      </c>
      <c r="K779" t="n">
        <v>0</v>
      </c>
      <c r="L779" t="n">
        <v>0</v>
      </c>
      <c r="M779" t="n">
        <v>0</v>
      </c>
      <c r="N779" t="n">
        <v>0</v>
      </c>
      <c r="O779" t="n">
        <v>0</v>
      </c>
      <c r="P779" t="n">
        <v>0</v>
      </c>
      <c r="Q779" t="n">
        <v>0</v>
      </c>
      <c r="R779" s="2" t="inlineStr"/>
    </row>
    <row r="780" ht="15" customHeight="1">
      <c r="A780" t="inlineStr">
        <is>
          <t>A 58817-2024</t>
        </is>
      </c>
      <c r="B780" s="1" t="n">
        <v>45636.35909722222</v>
      </c>
      <c r="C780" s="1" t="n">
        <v>46129</v>
      </c>
      <c r="D780" t="inlineStr">
        <is>
          <t>JÄMTLANDS LÄN</t>
        </is>
      </c>
      <c r="E780" t="inlineStr">
        <is>
          <t>BERG</t>
        </is>
      </c>
      <c r="G780" t="n">
        <v>1.5</v>
      </c>
      <c r="H780" t="n">
        <v>0</v>
      </c>
      <c r="I780" t="n">
        <v>0</v>
      </c>
      <c r="J780" t="n">
        <v>0</v>
      </c>
      <c r="K780" t="n">
        <v>0</v>
      </c>
      <c r="L780" t="n">
        <v>0</v>
      </c>
      <c r="M780" t="n">
        <v>0</v>
      </c>
      <c r="N780" t="n">
        <v>0</v>
      </c>
      <c r="O780" t="n">
        <v>0</v>
      </c>
      <c r="P780" t="n">
        <v>0</v>
      </c>
      <c r="Q780" t="n">
        <v>0</v>
      </c>
      <c r="R780" s="2" t="inlineStr"/>
    </row>
    <row r="781" ht="15" customHeight="1">
      <c r="A781" t="inlineStr">
        <is>
          <t>A 12562-2026</t>
        </is>
      </c>
      <c r="B781" s="1" t="n">
        <v>46090</v>
      </c>
      <c r="C781" s="1" t="n">
        <v>46129</v>
      </c>
      <c r="D781" t="inlineStr">
        <is>
          <t>JÄMTLANDS LÄN</t>
        </is>
      </c>
      <c r="E781" t="inlineStr">
        <is>
          <t>BERG</t>
        </is>
      </c>
      <c r="F781" t="inlineStr">
        <is>
          <t>Kyrkan</t>
        </is>
      </c>
      <c r="G781" t="n">
        <v>11.1</v>
      </c>
      <c r="H781" t="n">
        <v>0</v>
      </c>
      <c r="I781" t="n">
        <v>0</v>
      </c>
      <c r="J781" t="n">
        <v>0</v>
      </c>
      <c r="K781" t="n">
        <v>0</v>
      </c>
      <c r="L781" t="n">
        <v>0</v>
      </c>
      <c r="M781" t="n">
        <v>0</v>
      </c>
      <c r="N781" t="n">
        <v>0</v>
      </c>
      <c r="O781" t="n">
        <v>0</v>
      </c>
      <c r="P781" t="n">
        <v>0</v>
      </c>
      <c r="Q781" t="n">
        <v>0</v>
      </c>
      <c r="R781" s="2" t="inlineStr"/>
    </row>
    <row r="782" ht="15" customHeight="1">
      <c r="A782" t="inlineStr">
        <is>
          <t>A 4833-2026</t>
        </is>
      </c>
      <c r="B782" s="1" t="n">
        <v>46048.60271990741</v>
      </c>
      <c r="C782" s="1" t="n">
        <v>46129</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12979-2026</t>
        </is>
      </c>
      <c r="B783" s="1" t="n">
        <v>46092.65782407407</v>
      </c>
      <c r="C783" s="1" t="n">
        <v>46129</v>
      </c>
      <c r="D783" t="inlineStr">
        <is>
          <t>JÄMTLANDS LÄN</t>
        </is>
      </c>
      <c r="E783" t="inlineStr">
        <is>
          <t>BERG</t>
        </is>
      </c>
      <c r="F783" t="inlineStr">
        <is>
          <t>SCA</t>
        </is>
      </c>
      <c r="G783" t="n">
        <v>13.9</v>
      </c>
      <c r="H783" t="n">
        <v>0</v>
      </c>
      <c r="I783" t="n">
        <v>0</v>
      </c>
      <c r="J783" t="n">
        <v>0</v>
      </c>
      <c r="K783" t="n">
        <v>0</v>
      </c>
      <c r="L783" t="n">
        <v>0</v>
      </c>
      <c r="M783" t="n">
        <v>0</v>
      </c>
      <c r="N783" t="n">
        <v>0</v>
      </c>
      <c r="O783" t="n">
        <v>0</v>
      </c>
      <c r="P783" t="n">
        <v>0</v>
      </c>
      <c r="Q783" t="n">
        <v>0</v>
      </c>
      <c r="R783" s="2" t="inlineStr"/>
    </row>
    <row r="784" ht="15" customHeight="1">
      <c r="A784" t="inlineStr">
        <is>
          <t>A 13108-2025</t>
        </is>
      </c>
      <c r="B784" s="1" t="n">
        <v>45734</v>
      </c>
      <c r="C784" s="1" t="n">
        <v>46129</v>
      </c>
      <c r="D784" t="inlineStr">
        <is>
          <t>JÄMTLANDS LÄN</t>
        </is>
      </c>
      <c r="E784" t="inlineStr">
        <is>
          <t>BERG</t>
        </is>
      </c>
      <c r="F784" t="inlineStr">
        <is>
          <t>SCA</t>
        </is>
      </c>
      <c r="G784" t="n">
        <v>7.2</v>
      </c>
      <c r="H784" t="n">
        <v>0</v>
      </c>
      <c r="I784" t="n">
        <v>0</v>
      </c>
      <c r="J784" t="n">
        <v>0</v>
      </c>
      <c r="K784" t="n">
        <v>0</v>
      </c>
      <c r="L784" t="n">
        <v>0</v>
      </c>
      <c r="M784" t="n">
        <v>0</v>
      </c>
      <c r="N784" t="n">
        <v>0</v>
      </c>
      <c r="O784" t="n">
        <v>0</v>
      </c>
      <c r="P784" t="n">
        <v>0</v>
      </c>
      <c r="Q784" t="n">
        <v>0</v>
      </c>
      <c r="R784" s="2" t="inlineStr"/>
    </row>
    <row r="785" ht="15" customHeight="1">
      <c r="A785" t="inlineStr">
        <is>
          <t>A 13067-2026</t>
        </is>
      </c>
      <c r="B785" s="1" t="n">
        <v>46093.36510416667</v>
      </c>
      <c r="C785" s="1" t="n">
        <v>46129</v>
      </c>
      <c r="D785" t="inlineStr">
        <is>
          <t>JÄMTLANDS LÄN</t>
        </is>
      </c>
      <c r="E785" t="inlineStr">
        <is>
          <t>BERG</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5491-2026</t>
        </is>
      </c>
      <c r="B786" s="1" t="n">
        <v>46050.61548611111</v>
      </c>
      <c r="C786" s="1" t="n">
        <v>46129</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5215-2024</t>
        </is>
      </c>
      <c r="B787" s="1" t="n">
        <v>45330</v>
      </c>
      <c r="C787" s="1" t="n">
        <v>46129</v>
      </c>
      <c r="D787" t="inlineStr">
        <is>
          <t>JÄMTLANDS LÄN</t>
        </is>
      </c>
      <c r="E787" t="inlineStr">
        <is>
          <t>BERG</t>
        </is>
      </c>
      <c r="G787" t="n">
        <v>0.8</v>
      </c>
      <c r="H787" t="n">
        <v>0</v>
      </c>
      <c r="I787" t="n">
        <v>0</v>
      </c>
      <c r="J787" t="n">
        <v>0</v>
      </c>
      <c r="K787" t="n">
        <v>0</v>
      </c>
      <c r="L787" t="n">
        <v>0</v>
      </c>
      <c r="M787" t="n">
        <v>0</v>
      </c>
      <c r="N787" t="n">
        <v>0</v>
      </c>
      <c r="O787" t="n">
        <v>0</v>
      </c>
      <c r="P787" t="n">
        <v>0</v>
      </c>
      <c r="Q787" t="n">
        <v>0</v>
      </c>
      <c r="R787" s="2" t="inlineStr"/>
    </row>
    <row r="788" ht="15" customHeight="1">
      <c r="A788" t="inlineStr">
        <is>
          <t>A 16002-2025</t>
        </is>
      </c>
      <c r="B788" s="1" t="n">
        <v>45749.59398148148</v>
      </c>
      <c r="C788" s="1" t="n">
        <v>46129</v>
      </c>
      <c r="D788" t="inlineStr">
        <is>
          <t>JÄMTLANDS LÄN</t>
        </is>
      </c>
      <c r="E788" t="inlineStr">
        <is>
          <t>BERG</t>
        </is>
      </c>
      <c r="G788" t="n">
        <v>0.7</v>
      </c>
      <c r="H788" t="n">
        <v>0</v>
      </c>
      <c r="I788" t="n">
        <v>0</v>
      </c>
      <c r="J788" t="n">
        <v>0</v>
      </c>
      <c r="K788" t="n">
        <v>0</v>
      </c>
      <c r="L788" t="n">
        <v>0</v>
      </c>
      <c r="M788" t="n">
        <v>0</v>
      </c>
      <c r="N788" t="n">
        <v>0</v>
      </c>
      <c r="O788" t="n">
        <v>0</v>
      </c>
      <c r="P788" t="n">
        <v>0</v>
      </c>
      <c r="Q788" t="n">
        <v>0</v>
      </c>
      <c r="R788" s="2" t="inlineStr"/>
    </row>
    <row r="789" ht="15" customHeight="1">
      <c r="A789" t="inlineStr">
        <is>
          <t>A 13152-2026</t>
        </is>
      </c>
      <c r="B789" s="1" t="n">
        <v>46093.53184027778</v>
      </c>
      <c r="C789" s="1" t="n">
        <v>46129</v>
      </c>
      <c r="D789" t="inlineStr">
        <is>
          <t>JÄMTLANDS LÄN</t>
        </is>
      </c>
      <c r="E789" t="inlineStr">
        <is>
          <t>BERG</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5688-2026</t>
        </is>
      </c>
      <c r="B790" s="1" t="n">
        <v>46051.49005787037</v>
      </c>
      <c r="C790" s="1" t="n">
        <v>46129</v>
      </c>
      <c r="D790" t="inlineStr">
        <is>
          <t>JÄMTLANDS LÄN</t>
        </is>
      </c>
      <c r="E790" t="inlineStr">
        <is>
          <t>BERG</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5816-2026</t>
        </is>
      </c>
      <c r="B791" s="1" t="n">
        <v>46051</v>
      </c>
      <c r="C791" s="1" t="n">
        <v>46129</v>
      </c>
      <c r="D791" t="inlineStr">
        <is>
          <t>JÄMTLANDS LÄN</t>
        </is>
      </c>
      <c r="E791" t="inlineStr">
        <is>
          <t>BERG</t>
        </is>
      </c>
      <c r="G791" t="n">
        <v>3.6</v>
      </c>
      <c r="H791" t="n">
        <v>0</v>
      </c>
      <c r="I791" t="n">
        <v>0</v>
      </c>
      <c r="J791" t="n">
        <v>0</v>
      </c>
      <c r="K791" t="n">
        <v>0</v>
      </c>
      <c r="L791" t="n">
        <v>0</v>
      </c>
      <c r="M791" t="n">
        <v>0</v>
      </c>
      <c r="N791" t="n">
        <v>0</v>
      </c>
      <c r="O791" t="n">
        <v>0</v>
      </c>
      <c r="P791" t="n">
        <v>0</v>
      </c>
      <c r="Q791" t="n">
        <v>0</v>
      </c>
      <c r="R791" s="2" t="inlineStr"/>
    </row>
    <row r="792" ht="15" customHeight="1">
      <c r="A792" t="inlineStr">
        <is>
          <t>A 13055-2026</t>
        </is>
      </c>
      <c r="B792" s="1" t="n">
        <v>46093.34563657407</v>
      </c>
      <c r="C792" s="1" t="n">
        <v>46129</v>
      </c>
      <c r="D792" t="inlineStr">
        <is>
          <t>JÄMTLANDS LÄN</t>
        </is>
      </c>
      <c r="E792" t="inlineStr">
        <is>
          <t>BERG</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18032-2024</t>
        </is>
      </c>
      <c r="B793" s="1" t="n">
        <v>45420.34979166667</v>
      </c>
      <c r="C793" s="1" t="n">
        <v>46129</v>
      </c>
      <c r="D793" t="inlineStr">
        <is>
          <t>JÄMTLANDS LÄN</t>
        </is>
      </c>
      <c r="E793" t="inlineStr">
        <is>
          <t>BERG</t>
        </is>
      </c>
      <c r="F793" t="inlineStr">
        <is>
          <t>Holmen skog AB</t>
        </is>
      </c>
      <c r="G793" t="n">
        <v>0.6</v>
      </c>
      <c r="H793" t="n">
        <v>0</v>
      </c>
      <c r="I793" t="n">
        <v>0</v>
      </c>
      <c r="J793" t="n">
        <v>0</v>
      </c>
      <c r="K793" t="n">
        <v>0</v>
      </c>
      <c r="L793" t="n">
        <v>0</v>
      </c>
      <c r="M793" t="n">
        <v>0</v>
      </c>
      <c r="N793" t="n">
        <v>0</v>
      </c>
      <c r="O793" t="n">
        <v>0</v>
      </c>
      <c r="P793" t="n">
        <v>0</v>
      </c>
      <c r="Q793" t="n">
        <v>0</v>
      </c>
      <c r="R793" s="2" t="inlineStr"/>
    </row>
    <row r="794" ht="15" customHeight="1">
      <c r="A794" t="inlineStr">
        <is>
          <t>A 13068-2026</t>
        </is>
      </c>
      <c r="B794" s="1" t="n">
        <v>46093.36528935185</v>
      </c>
      <c r="C794" s="1" t="n">
        <v>46129</v>
      </c>
      <c r="D794" t="inlineStr">
        <is>
          <t>JÄMTLANDS LÄN</t>
        </is>
      </c>
      <c r="E794" t="inlineStr">
        <is>
          <t>BERG</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13145-2026</t>
        </is>
      </c>
      <c r="B795" s="1" t="n">
        <v>46093.51172453703</v>
      </c>
      <c r="C795" s="1" t="n">
        <v>46129</v>
      </c>
      <c r="D795" t="inlineStr">
        <is>
          <t>JÄMTLANDS LÄN</t>
        </is>
      </c>
      <c r="E795" t="inlineStr">
        <is>
          <t>BERG</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34845-2023</t>
        </is>
      </c>
      <c r="B796" s="1" t="n">
        <v>45141.95964120371</v>
      </c>
      <c r="C796" s="1" t="n">
        <v>46129</v>
      </c>
      <c r="D796" t="inlineStr">
        <is>
          <t>JÄMTLANDS LÄN</t>
        </is>
      </c>
      <c r="E796" t="inlineStr">
        <is>
          <t>BERG</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13053-2026</t>
        </is>
      </c>
      <c r="B797" s="1" t="n">
        <v>46093.3452662037</v>
      </c>
      <c r="C797" s="1" t="n">
        <v>46129</v>
      </c>
      <c r="D797" t="inlineStr">
        <is>
          <t>JÄMTLANDS LÄN</t>
        </is>
      </c>
      <c r="E797" t="inlineStr">
        <is>
          <t>BERG</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13054-2026</t>
        </is>
      </c>
      <c r="B798" s="1" t="n">
        <v>46093.34547453704</v>
      </c>
      <c r="C798" s="1" t="n">
        <v>46129</v>
      </c>
      <c r="D798" t="inlineStr">
        <is>
          <t>JÄMTLANDS LÄN</t>
        </is>
      </c>
      <c r="E798" t="inlineStr">
        <is>
          <t>BERG</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41069-2022</t>
        </is>
      </c>
      <c r="B799" s="1" t="n">
        <v>44825.60015046296</v>
      </c>
      <c r="C799" s="1" t="n">
        <v>46129</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13069-2026</t>
        </is>
      </c>
      <c r="B800" s="1" t="n">
        <v>46093.36542824074</v>
      </c>
      <c r="C800" s="1" t="n">
        <v>46129</v>
      </c>
      <c r="D800" t="inlineStr">
        <is>
          <t>JÄMTLANDS LÄN</t>
        </is>
      </c>
      <c r="E800" t="inlineStr">
        <is>
          <t>BERG</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54863-2023</t>
        </is>
      </c>
      <c r="B801" s="1" t="n">
        <v>45236</v>
      </c>
      <c r="C801" s="1" t="n">
        <v>46129</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46167-2022</t>
        </is>
      </c>
      <c r="B802" s="1" t="n">
        <v>44845</v>
      </c>
      <c r="C802" s="1" t="n">
        <v>46129</v>
      </c>
      <c r="D802" t="inlineStr">
        <is>
          <t>JÄMTLANDS LÄN</t>
        </is>
      </c>
      <c r="E802" t="inlineStr">
        <is>
          <t>BERG</t>
        </is>
      </c>
      <c r="G802" t="n">
        <v>35.2</v>
      </c>
      <c r="H802" t="n">
        <v>0</v>
      </c>
      <c r="I802" t="n">
        <v>0</v>
      </c>
      <c r="J802" t="n">
        <v>0</v>
      </c>
      <c r="K802" t="n">
        <v>0</v>
      </c>
      <c r="L802" t="n">
        <v>0</v>
      </c>
      <c r="M802" t="n">
        <v>0</v>
      </c>
      <c r="N802" t="n">
        <v>0</v>
      </c>
      <c r="O802" t="n">
        <v>0</v>
      </c>
      <c r="P802" t="n">
        <v>0</v>
      </c>
      <c r="Q802" t="n">
        <v>0</v>
      </c>
      <c r="R802" s="2" t="inlineStr"/>
    </row>
    <row r="803" ht="15" customHeight="1">
      <c r="A803" t="inlineStr">
        <is>
          <t>A 6332-2026</t>
        </is>
      </c>
      <c r="B803" s="1" t="n">
        <v>46055.59442129629</v>
      </c>
      <c r="C803" s="1" t="n">
        <v>46129</v>
      </c>
      <c r="D803" t="inlineStr">
        <is>
          <t>JÄMTLANDS LÄN</t>
        </is>
      </c>
      <c r="E803" t="inlineStr">
        <is>
          <t>BERG</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5857-2026</t>
        </is>
      </c>
      <c r="B804" s="1" t="n">
        <v>46052.36511574074</v>
      </c>
      <c r="C804" s="1" t="n">
        <v>46129</v>
      </c>
      <c r="D804" t="inlineStr">
        <is>
          <t>JÄMTLANDS LÄN</t>
        </is>
      </c>
      <c r="E804" t="inlineStr">
        <is>
          <t>BERG</t>
        </is>
      </c>
      <c r="G804" t="n">
        <v>0.2</v>
      </c>
      <c r="H804" t="n">
        <v>0</v>
      </c>
      <c r="I804" t="n">
        <v>0</v>
      </c>
      <c r="J804" t="n">
        <v>0</v>
      </c>
      <c r="K804" t="n">
        <v>0</v>
      </c>
      <c r="L804" t="n">
        <v>0</v>
      </c>
      <c r="M804" t="n">
        <v>0</v>
      </c>
      <c r="N804" t="n">
        <v>0</v>
      </c>
      <c r="O804" t="n">
        <v>0</v>
      </c>
      <c r="P804" t="n">
        <v>0</v>
      </c>
      <c r="Q804" t="n">
        <v>0</v>
      </c>
      <c r="R804" s="2" t="inlineStr"/>
    </row>
    <row r="805" ht="15" customHeight="1">
      <c r="A805" t="inlineStr">
        <is>
          <t>A 5859-2026</t>
        </is>
      </c>
      <c r="B805" s="1" t="n">
        <v>46052.36515046296</v>
      </c>
      <c r="C805" s="1" t="n">
        <v>46129</v>
      </c>
      <c r="D805" t="inlineStr">
        <is>
          <t>JÄMTLANDS LÄN</t>
        </is>
      </c>
      <c r="E805" t="inlineStr">
        <is>
          <t>BERG</t>
        </is>
      </c>
      <c r="G805" t="n">
        <v>1.7</v>
      </c>
      <c r="H805" t="n">
        <v>0</v>
      </c>
      <c r="I805" t="n">
        <v>0</v>
      </c>
      <c r="J805" t="n">
        <v>0</v>
      </c>
      <c r="K805" t="n">
        <v>0</v>
      </c>
      <c r="L805" t="n">
        <v>0</v>
      </c>
      <c r="M805" t="n">
        <v>0</v>
      </c>
      <c r="N805" t="n">
        <v>0</v>
      </c>
      <c r="O805" t="n">
        <v>0</v>
      </c>
      <c r="P805" t="n">
        <v>0</v>
      </c>
      <c r="Q805" t="n">
        <v>0</v>
      </c>
      <c r="R805" s="2" t="inlineStr"/>
    </row>
    <row r="806" ht="15" customHeight="1">
      <c r="A806" t="inlineStr">
        <is>
          <t>A 5832-2026</t>
        </is>
      </c>
      <c r="B806" s="1" t="n">
        <v>46052.32890046296</v>
      </c>
      <c r="C806" s="1" t="n">
        <v>46129</v>
      </c>
      <c r="D806" t="inlineStr">
        <is>
          <t>JÄMTLANDS LÄN</t>
        </is>
      </c>
      <c r="E806" t="inlineStr">
        <is>
          <t>BERG</t>
        </is>
      </c>
      <c r="G806" t="n">
        <v>5.7</v>
      </c>
      <c r="H806" t="n">
        <v>0</v>
      </c>
      <c r="I806" t="n">
        <v>0</v>
      </c>
      <c r="J806" t="n">
        <v>0</v>
      </c>
      <c r="K806" t="n">
        <v>0</v>
      </c>
      <c r="L806" t="n">
        <v>0</v>
      </c>
      <c r="M806" t="n">
        <v>0</v>
      </c>
      <c r="N806" t="n">
        <v>0</v>
      </c>
      <c r="O806" t="n">
        <v>0</v>
      </c>
      <c r="P806" t="n">
        <v>0</v>
      </c>
      <c r="Q806" t="n">
        <v>0</v>
      </c>
      <c r="R806" s="2" t="inlineStr"/>
    </row>
    <row r="807" ht="15" customHeight="1">
      <c r="A807" t="inlineStr">
        <is>
          <t>A 6333-2026</t>
        </is>
      </c>
      <c r="B807" s="1" t="n">
        <v>46055.59460648148</v>
      </c>
      <c r="C807" s="1" t="n">
        <v>46129</v>
      </c>
      <c r="D807" t="inlineStr">
        <is>
          <t>JÄMTLANDS LÄN</t>
        </is>
      </c>
      <c r="E807" t="inlineStr">
        <is>
          <t>BERG</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39269-2024</t>
        </is>
      </c>
      <c r="B808" s="1" t="n">
        <v>45551.34488425926</v>
      </c>
      <c r="C808" s="1" t="n">
        <v>46129</v>
      </c>
      <c r="D808" t="inlineStr">
        <is>
          <t>JÄMTLANDS LÄN</t>
        </is>
      </c>
      <c r="E808" t="inlineStr">
        <is>
          <t>BERG</t>
        </is>
      </c>
      <c r="G808" t="n">
        <v>3.1</v>
      </c>
      <c r="H808" t="n">
        <v>0</v>
      </c>
      <c r="I808" t="n">
        <v>0</v>
      </c>
      <c r="J808" t="n">
        <v>0</v>
      </c>
      <c r="K808" t="n">
        <v>0</v>
      </c>
      <c r="L808" t="n">
        <v>0</v>
      </c>
      <c r="M808" t="n">
        <v>0</v>
      </c>
      <c r="N808" t="n">
        <v>0</v>
      </c>
      <c r="O808" t="n">
        <v>0</v>
      </c>
      <c r="P808" t="n">
        <v>0</v>
      </c>
      <c r="Q808" t="n">
        <v>0</v>
      </c>
      <c r="R808" s="2" t="inlineStr"/>
    </row>
    <row r="809" ht="15" customHeight="1">
      <c r="A809" t="inlineStr">
        <is>
          <t>A 13805-2024</t>
        </is>
      </c>
      <c r="B809" s="1" t="n">
        <v>45390</v>
      </c>
      <c r="C809" s="1" t="n">
        <v>46129</v>
      </c>
      <c r="D809" t="inlineStr">
        <is>
          <t>JÄMTLANDS LÄN</t>
        </is>
      </c>
      <c r="E809" t="inlineStr">
        <is>
          <t>BERG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37589-2021</t>
        </is>
      </c>
      <c r="B810" s="1" t="n">
        <v>44399</v>
      </c>
      <c r="C810" s="1" t="n">
        <v>46129</v>
      </c>
      <c r="D810" t="inlineStr">
        <is>
          <t>JÄMTLANDS LÄN</t>
        </is>
      </c>
      <c r="E810" t="inlineStr">
        <is>
          <t>BERG</t>
        </is>
      </c>
      <c r="G810" t="n">
        <v>8.6</v>
      </c>
      <c r="H810" t="n">
        <v>0</v>
      </c>
      <c r="I810" t="n">
        <v>0</v>
      </c>
      <c r="J810" t="n">
        <v>0</v>
      </c>
      <c r="K810" t="n">
        <v>0</v>
      </c>
      <c r="L810" t="n">
        <v>0</v>
      </c>
      <c r="M810" t="n">
        <v>0</v>
      </c>
      <c r="N810" t="n">
        <v>0</v>
      </c>
      <c r="O810" t="n">
        <v>0</v>
      </c>
      <c r="P810" t="n">
        <v>0</v>
      </c>
      <c r="Q810" t="n">
        <v>0</v>
      </c>
      <c r="R810" s="2" t="inlineStr"/>
    </row>
    <row r="811" ht="15" customHeight="1">
      <c r="A811" t="inlineStr">
        <is>
          <t>A 16491-2023</t>
        </is>
      </c>
      <c r="B811" s="1" t="n">
        <v>45027</v>
      </c>
      <c r="C811" s="1" t="n">
        <v>46129</v>
      </c>
      <c r="D811" t="inlineStr">
        <is>
          <t>JÄMTLANDS LÄN</t>
        </is>
      </c>
      <c r="E811" t="inlineStr">
        <is>
          <t>BERG</t>
        </is>
      </c>
      <c r="G811" t="n">
        <v>2.5</v>
      </c>
      <c r="H811" t="n">
        <v>0</v>
      </c>
      <c r="I811" t="n">
        <v>0</v>
      </c>
      <c r="J811" t="n">
        <v>0</v>
      </c>
      <c r="K811" t="n">
        <v>0</v>
      </c>
      <c r="L811" t="n">
        <v>0</v>
      </c>
      <c r="M811" t="n">
        <v>0</v>
      </c>
      <c r="N811" t="n">
        <v>0</v>
      </c>
      <c r="O811" t="n">
        <v>0</v>
      </c>
      <c r="P811" t="n">
        <v>0</v>
      </c>
      <c r="Q811" t="n">
        <v>0</v>
      </c>
      <c r="R811" s="2" t="inlineStr"/>
    </row>
    <row r="812" ht="15" customHeight="1">
      <c r="A812" t="inlineStr">
        <is>
          <t>A 57669-2024</t>
        </is>
      </c>
      <c r="B812" s="1" t="n">
        <v>45630.62520833333</v>
      </c>
      <c r="C812" s="1" t="n">
        <v>46129</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5858-2026</t>
        </is>
      </c>
      <c r="B813" s="1" t="n">
        <v>46052.36512731481</v>
      </c>
      <c r="C813" s="1" t="n">
        <v>46129</v>
      </c>
      <c r="D813" t="inlineStr">
        <is>
          <t>JÄMTLANDS LÄN</t>
        </is>
      </c>
      <c r="E813" t="inlineStr">
        <is>
          <t>BERG</t>
        </is>
      </c>
      <c r="G813" t="n">
        <v>1.1</v>
      </c>
      <c r="H813" t="n">
        <v>0</v>
      </c>
      <c r="I813" t="n">
        <v>0</v>
      </c>
      <c r="J813" t="n">
        <v>0</v>
      </c>
      <c r="K813" t="n">
        <v>0</v>
      </c>
      <c r="L813" t="n">
        <v>0</v>
      </c>
      <c r="M813" t="n">
        <v>0</v>
      </c>
      <c r="N813" t="n">
        <v>0</v>
      </c>
      <c r="O813" t="n">
        <v>0</v>
      </c>
      <c r="P813" t="n">
        <v>0</v>
      </c>
      <c r="Q813" t="n">
        <v>0</v>
      </c>
      <c r="R813" s="2" t="inlineStr"/>
    </row>
    <row r="814" ht="15" customHeight="1">
      <c r="A814" t="inlineStr">
        <is>
          <t>A 35921-2024</t>
        </is>
      </c>
      <c r="B814" s="1" t="n">
        <v>45533.42659722222</v>
      </c>
      <c r="C814" s="1" t="n">
        <v>46129</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64752-2023</t>
        </is>
      </c>
      <c r="B815" s="1" t="n">
        <v>45281.92891203704</v>
      </c>
      <c r="C815" s="1" t="n">
        <v>46129</v>
      </c>
      <c r="D815" t="inlineStr">
        <is>
          <t>JÄMTLANDS LÄN</t>
        </is>
      </c>
      <c r="E815" t="inlineStr">
        <is>
          <t>BERG</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14728-2025</t>
        </is>
      </c>
      <c r="B816" s="1" t="n">
        <v>45742.63574074074</v>
      </c>
      <c r="C816" s="1" t="n">
        <v>46129</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31129-2024</t>
        </is>
      </c>
      <c r="B817" s="1" t="n">
        <v>45502</v>
      </c>
      <c r="C817" s="1" t="n">
        <v>46129</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6872-2026</t>
        </is>
      </c>
      <c r="B818" s="1" t="n">
        <v>46057</v>
      </c>
      <c r="C818" s="1" t="n">
        <v>46129</v>
      </c>
      <c r="D818" t="inlineStr">
        <is>
          <t>JÄMTLANDS LÄN</t>
        </is>
      </c>
      <c r="E818" t="inlineStr">
        <is>
          <t>BERG</t>
        </is>
      </c>
      <c r="G818" t="n">
        <v>42.2</v>
      </c>
      <c r="H818" t="n">
        <v>0</v>
      </c>
      <c r="I818" t="n">
        <v>0</v>
      </c>
      <c r="J818" t="n">
        <v>0</v>
      </c>
      <c r="K818" t="n">
        <v>0</v>
      </c>
      <c r="L818" t="n">
        <v>0</v>
      </c>
      <c r="M818" t="n">
        <v>0</v>
      </c>
      <c r="N818" t="n">
        <v>0</v>
      </c>
      <c r="O818" t="n">
        <v>0</v>
      </c>
      <c r="P818" t="n">
        <v>0</v>
      </c>
      <c r="Q818" t="n">
        <v>0</v>
      </c>
      <c r="R818" s="2" t="inlineStr"/>
    </row>
    <row r="819" ht="15" customHeight="1">
      <c r="A819" t="inlineStr">
        <is>
          <t>A 3961-2025</t>
        </is>
      </c>
      <c r="B819" s="1" t="n">
        <v>45684.50217592593</v>
      </c>
      <c r="C819" s="1" t="n">
        <v>46129</v>
      </c>
      <c r="D819" t="inlineStr">
        <is>
          <t>JÄMTLANDS LÄN</t>
        </is>
      </c>
      <c r="E819" t="inlineStr">
        <is>
          <t>BERG</t>
        </is>
      </c>
      <c r="G819" t="n">
        <v>14.9</v>
      </c>
      <c r="H819" t="n">
        <v>0</v>
      </c>
      <c r="I819" t="n">
        <v>0</v>
      </c>
      <c r="J819" t="n">
        <v>0</v>
      </c>
      <c r="K819" t="n">
        <v>0</v>
      </c>
      <c r="L819" t="n">
        <v>0</v>
      </c>
      <c r="M819" t="n">
        <v>0</v>
      </c>
      <c r="N819" t="n">
        <v>0</v>
      </c>
      <c r="O819" t="n">
        <v>0</v>
      </c>
      <c r="P819" t="n">
        <v>0</v>
      </c>
      <c r="Q819" t="n">
        <v>0</v>
      </c>
      <c r="R819" s="2" t="inlineStr"/>
    </row>
    <row r="820" ht="15" customHeight="1">
      <c r="A820" t="inlineStr">
        <is>
          <t>A 35636-2023</t>
        </is>
      </c>
      <c r="B820" s="1" t="n">
        <v>45147</v>
      </c>
      <c r="C820" s="1" t="n">
        <v>46129</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45347-2023</t>
        </is>
      </c>
      <c r="B821" s="1" t="n">
        <v>45191</v>
      </c>
      <c r="C821" s="1" t="n">
        <v>46129</v>
      </c>
      <c r="D821" t="inlineStr">
        <is>
          <t>JÄMTLANDS LÄN</t>
        </is>
      </c>
      <c r="E821" t="inlineStr">
        <is>
          <t>BERG</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13820-2026</t>
        </is>
      </c>
      <c r="B822" s="1" t="n">
        <v>46098.33131944444</v>
      </c>
      <c r="C822" s="1" t="n">
        <v>46129</v>
      </c>
      <c r="D822" t="inlineStr">
        <is>
          <t>JÄMTLANDS LÄN</t>
        </is>
      </c>
      <c r="E822" t="inlineStr">
        <is>
          <t>BERG</t>
        </is>
      </c>
      <c r="G822" t="n">
        <v>0.7</v>
      </c>
      <c r="H822" t="n">
        <v>0</v>
      </c>
      <c r="I822" t="n">
        <v>0</v>
      </c>
      <c r="J822" t="n">
        <v>0</v>
      </c>
      <c r="K822" t="n">
        <v>0</v>
      </c>
      <c r="L822" t="n">
        <v>0</v>
      </c>
      <c r="M822" t="n">
        <v>0</v>
      </c>
      <c r="N822" t="n">
        <v>0</v>
      </c>
      <c r="O822" t="n">
        <v>0</v>
      </c>
      <c r="P822" t="n">
        <v>0</v>
      </c>
      <c r="Q822" t="n">
        <v>0</v>
      </c>
      <c r="R822" s="2" t="inlineStr"/>
    </row>
    <row r="823" ht="15" customHeight="1">
      <c r="A823" t="inlineStr">
        <is>
          <t>A 6885-2026</t>
        </is>
      </c>
      <c r="B823" s="1" t="n">
        <v>46057</v>
      </c>
      <c r="C823" s="1" t="n">
        <v>46129</v>
      </c>
      <c r="D823" t="inlineStr">
        <is>
          <t>JÄMTLANDS LÄN</t>
        </is>
      </c>
      <c r="E823" t="inlineStr">
        <is>
          <t>BERG</t>
        </is>
      </c>
      <c r="G823" t="n">
        <v>4.6</v>
      </c>
      <c r="H823" t="n">
        <v>0</v>
      </c>
      <c r="I823" t="n">
        <v>0</v>
      </c>
      <c r="J823" t="n">
        <v>0</v>
      </c>
      <c r="K823" t="n">
        <v>0</v>
      </c>
      <c r="L823" t="n">
        <v>0</v>
      </c>
      <c r="M823" t="n">
        <v>0</v>
      </c>
      <c r="N823" t="n">
        <v>0</v>
      </c>
      <c r="O823" t="n">
        <v>0</v>
      </c>
      <c r="P823" t="n">
        <v>0</v>
      </c>
      <c r="Q823" t="n">
        <v>0</v>
      </c>
      <c r="R823" s="2" t="inlineStr"/>
    </row>
    <row r="824" ht="15" customHeight="1">
      <c r="A824" t="inlineStr">
        <is>
          <t>A 14251-2026</t>
        </is>
      </c>
      <c r="B824" s="1" t="n">
        <v>46099.61524305555</v>
      </c>
      <c r="C824" s="1" t="n">
        <v>46129</v>
      </c>
      <c r="D824" t="inlineStr">
        <is>
          <t>JÄMTLANDS LÄN</t>
        </is>
      </c>
      <c r="E824" t="inlineStr">
        <is>
          <t>BERG</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7515-2026</t>
        </is>
      </c>
      <c r="B825" s="1" t="n">
        <v>46059.59258101852</v>
      </c>
      <c r="C825" s="1" t="n">
        <v>46129</v>
      </c>
      <c r="D825" t="inlineStr">
        <is>
          <t>JÄMTLANDS LÄN</t>
        </is>
      </c>
      <c r="E825" t="inlineStr">
        <is>
          <t>BERG</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49225-2024</t>
        </is>
      </c>
      <c r="B826" s="1" t="n">
        <v>45595.4177662037</v>
      </c>
      <c r="C826" s="1" t="n">
        <v>46129</v>
      </c>
      <c r="D826" t="inlineStr">
        <is>
          <t>JÄMTLANDS LÄN</t>
        </is>
      </c>
      <c r="E826" t="inlineStr">
        <is>
          <t>BERG</t>
        </is>
      </c>
      <c r="G826" t="n">
        <v>2</v>
      </c>
      <c r="H826" t="n">
        <v>0</v>
      </c>
      <c r="I826" t="n">
        <v>0</v>
      </c>
      <c r="J826" t="n">
        <v>0</v>
      </c>
      <c r="K826" t="n">
        <v>0</v>
      </c>
      <c r="L826" t="n">
        <v>0</v>
      </c>
      <c r="M826" t="n">
        <v>0</v>
      </c>
      <c r="N826" t="n">
        <v>0</v>
      </c>
      <c r="O826" t="n">
        <v>0</v>
      </c>
      <c r="P826" t="n">
        <v>0</v>
      </c>
      <c r="Q826" t="n">
        <v>0</v>
      </c>
      <c r="R826" s="2" t="inlineStr"/>
    </row>
    <row r="827" ht="15" customHeight="1">
      <c r="A827" t="inlineStr">
        <is>
          <t>A 15624-2023</t>
        </is>
      </c>
      <c r="B827" s="1" t="n">
        <v>45020.94496527778</v>
      </c>
      <c r="C827" s="1" t="n">
        <v>46129</v>
      </c>
      <c r="D827" t="inlineStr">
        <is>
          <t>JÄMTLANDS LÄN</t>
        </is>
      </c>
      <c r="E827" t="inlineStr">
        <is>
          <t>BERG</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20882-2023</t>
        </is>
      </c>
      <c r="B828" s="1" t="n">
        <v>45058</v>
      </c>
      <c r="C828" s="1" t="n">
        <v>46129</v>
      </c>
      <c r="D828" t="inlineStr">
        <is>
          <t>JÄMTLANDS LÄN</t>
        </is>
      </c>
      <c r="E828" t="inlineStr">
        <is>
          <t>BERG</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15276-2026</t>
        </is>
      </c>
      <c r="B829" s="1" t="n">
        <v>46105.60627314815</v>
      </c>
      <c r="C829" s="1" t="n">
        <v>46129</v>
      </c>
      <c r="D829" t="inlineStr">
        <is>
          <t>JÄMTLANDS LÄN</t>
        </is>
      </c>
      <c r="E829" t="inlineStr">
        <is>
          <t>BERG</t>
        </is>
      </c>
      <c r="G829" t="n">
        <v>1.3</v>
      </c>
      <c r="H829" t="n">
        <v>0</v>
      </c>
      <c r="I829" t="n">
        <v>0</v>
      </c>
      <c r="J829" t="n">
        <v>0</v>
      </c>
      <c r="K829" t="n">
        <v>0</v>
      </c>
      <c r="L829" t="n">
        <v>0</v>
      </c>
      <c r="M829" t="n">
        <v>0</v>
      </c>
      <c r="N829" t="n">
        <v>0</v>
      </c>
      <c r="O829" t="n">
        <v>0</v>
      </c>
      <c r="P829" t="n">
        <v>0</v>
      </c>
      <c r="Q829" t="n">
        <v>0</v>
      </c>
      <c r="R829" s="2" t="inlineStr"/>
    </row>
    <row r="830" ht="15" customHeight="1">
      <c r="A830" t="inlineStr">
        <is>
          <t>A 2270-2026</t>
        </is>
      </c>
      <c r="B830" s="1" t="n">
        <v>46029</v>
      </c>
      <c r="C830" s="1" t="n">
        <v>46129</v>
      </c>
      <c r="D830" t="inlineStr">
        <is>
          <t>JÄMTLANDS LÄN</t>
        </is>
      </c>
      <c r="E830" t="inlineStr">
        <is>
          <t>BERG</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15270-2026</t>
        </is>
      </c>
      <c r="B831" s="1" t="n">
        <v>46105.59951388889</v>
      </c>
      <c r="C831" s="1" t="n">
        <v>46129</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15292-2026</t>
        </is>
      </c>
      <c r="B832" s="1" t="n">
        <v>46105.62427083333</v>
      </c>
      <c r="C832" s="1" t="n">
        <v>46129</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14860-2026</t>
        </is>
      </c>
      <c r="B833" s="1" t="n">
        <v>46104.43082175926</v>
      </c>
      <c r="C833" s="1" t="n">
        <v>46129</v>
      </c>
      <c r="D833" t="inlineStr">
        <is>
          <t>JÄMTLANDS LÄN</t>
        </is>
      </c>
      <c r="E833" t="inlineStr">
        <is>
          <t>BERG</t>
        </is>
      </c>
      <c r="G833" t="n">
        <v>2.3</v>
      </c>
      <c r="H833" t="n">
        <v>0</v>
      </c>
      <c r="I833" t="n">
        <v>0</v>
      </c>
      <c r="J833" t="n">
        <v>0</v>
      </c>
      <c r="K833" t="n">
        <v>0</v>
      </c>
      <c r="L833" t="n">
        <v>0</v>
      </c>
      <c r="M833" t="n">
        <v>0</v>
      </c>
      <c r="N833" t="n">
        <v>0</v>
      </c>
      <c r="O833" t="n">
        <v>0</v>
      </c>
      <c r="P833" t="n">
        <v>0</v>
      </c>
      <c r="Q833" t="n">
        <v>0</v>
      </c>
      <c r="R833" s="2" t="inlineStr"/>
    </row>
    <row r="834" ht="15" customHeight="1">
      <c r="A834" t="inlineStr">
        <is>
          <t>A 15182-2026</t>
        </is>
      </c>
      <c r="B834" s="1" t="n">
        <v>46105.45504629629</v>
      </c>
      <c r="C834" s="1" t="n">
        <v>46129</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12774-2023</t>
        </is>
      </c>
      <c r="B835" s="1" t="n">
        <v>45001</v>
      </c>
      <c r="C835" s="1" t="n">
        <v>46129</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15242-2026</t>
        </is>
      </c>
      <c r="B836" s="1" t="n">
        <v>46105.56503472223</v>
      </c>
      <c r="C836" s="1" t="n">
        <v>46129</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7759-2026</t>
        </is>
      </c>
      <c r="B837" s="1" t="n">
        <v>46062.55266203704</v>
      </c>
      <c r="C837" s="1" t="n">
        <v>46129</v>
      </c>
      <c r="D837" t="inlineStr">
        <is>
          <t>JÄMTLANDS LÄN</t>
        </is>
      </c>
      <c r="E837" t="inlineStr">
        <is>
          <t>BERG</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15079-2026</t>
        </is>
      </c>
      <c r="B838" s="1" t="n">
        <v>46105.29556712963</v>
      </c>
      <c r="C838" s="1" t="n">
        <v>46129</v>
      </c>
      <c r="D838" t="inlineStr">
        <is>
          <t>JÄMTLANDS LÄN</t>
        </is>
      </c>
      <c r="E838" t="inlineStr">
        <is>
          <t>BERG</t>
        </is>
      </c>
      <c r="G838" t="n">
        <v>0.3</v>
      </c>
      <c r="H838" t="n">
        <v>0</v>
      </c>
      <c r="I838" t="n">
        <v>0</v>
      </c>
      <c r="J838" t="n">
        <v>0</v>
      </c>
      <c r="K838" t="n">
        <v>0</v>
      </c>
      <c r="L838" t="n">
        <v>0</v>
      </c>
      <c r="M838" t="n">
        <v>0</v>
      </c>
      <c r="N838" t="n">
        <v>0</v>
      </c>
      <c r="O838" t="n">
        <v>0</v>
      </c>
      <c r="P838" t="n">
        <v>0</v>
      </c>
      <c r="Q838" t="n">
        <v>0</v>
      </c>
      <c r="R838" s="2" t="inlineStr"/>
    </row>
    <row r="839" ht="15" customHeight="1">
      <c r="A839" t="inlineStr">
        <is>
          <t>A 14901-2026</t>
        </is>
      </c>
      <c r="B839" s="1" t="n">
        <v>46104.45708333333</v>
      </c>
      <c r="C839" s="1" t="n">
        <v>46129</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14914-2026</t>
        </is>
      </c>
      <c r="B840" s="1" t="n">
        <v>46104.46924768519</v>
      </c>
      <c r="C840" s="1" t="n">
        <v>46129</v>
      </c>
      <c r="D840" t="inlineStr">
        <is>
          <t>JÄMTLANDS LÄN</t>
        </is>
      </c>
      <c r="E840" t="inlineStr">
        <is>
          <t>BERG</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14917-2026</t>
        </is>
      </c>
      <c r="B841" s="1" t="n">
        <v>46104.47157407407</v>
      </c>
      <c r="C841" s="1" t="n">
        <v>46129</v>
      </c>
      <c r="D841" t="inlineStr">
        <is>
          <t>JÄMTLANDS LÄN</t>
        </is>
      </c>
      <c r="E841" t="inlineStr">
        <is>
          <t>BERG</t>
        </is>
      </c>
      <c r="G841" t="n">
        <v>2</v>
      </c>
      <c r="H841" t="n">
        <v>0</v>
      </c>
      <c r="I841" t="n">
        <v>0</v>
      </c>
      <c r="J841" t="n">
        <v>0</v>
      </c>
      <c r="K841" t="n">
        <v>0</v>
      </c>
      <c r="L841" t="n">
        <v>0</v>
      </c>
      <c r="M841" t="n">
        <v>0</v>
      </c>
      <c r="N841" t="n">
        <v>0</v>
      </c>
      <c r="O841" t="n">
        <v>0</v>
      </c>
      <c r="P841" t="n">
        <v>0</v>
      </c>
      <c r="Q841" t="n">
        <v>0</v>
      </c>
      <c r="R841" s="2" t="inlineStr"/>
    </row>
    <row r="842" ht="15" customHeight="1">
      <c r="A842" t="inlineStr">
        <is>
          <t>A 15239-2026</t>
        </is>
      </c>
      <c r="B842" s="1" t="n">
        <v>46105.56040509259</v>
      </c>
      <c r="C842" s="1" t="n">
        <v>46129</v>
      </c>
      <c r="D842" t="inlineStr">
        <is>
          <t>JÄMTLANDS LÄN</t>
        </is>
      </c>
      <c r="E842" t="inlineStr">
        <is>
          <t>BERG</t>
        </is>
      </c>
      <c r="G842" t="n">
        <v>16.1</v>
      </c>
      <c r="H842" t="n">
        <v>0</v>
      </c>
      <c r="I842" t="n">
        <v>0</v>
      </c>
      <c r="J842" t="n">
        <v>0</v>
      </c>
      <c r="K842" t="n">
        <v>0</v>
      </c>
      <c r="L842" t="n">
        <v>0</v>
      </c>
      <c r="M842" t="n">
        <v>0</v>
      </c>
      <c r="N842" t="n">
        <v>0</v>
      </c>
      <c r="O842" t="n">
        <v>0</v>
      </c>
      <c r="P842" t="n">
        <v>0</v>
      </c>
      <c r="Q842" t="n">
        <v>0</v>
      </c>
      <c r="R842" s="2" t="inlineStr"/>
    </row>
    <row r="843" ht="15" customHeight="1">
      <c r="A843" t="inlineStr">
        <is>
          <t>A 15246-2026</t>
        </is>
      </c>
      <c r="B843" s="1" t="n">
        <v>46105.56806712963</v>
      </c>
      <c r="C843" s="1" t="n">
        <v>46129</v>
      </c>
      <c r="D843" t="inlineStr">
        <is>
          <t>JÄMTLANDS LÄN</t>
        </is>
      </c>
      <c r="E843" t="inlineStr">
        <is>
          <t>BERG</t>
        </is>
      </c>
      <c r="G843" t="n">
        <v>1.3</v>
      </c>
      <c r="H843" t="n">
        <v>0</v>
      </c>
      <c r="I843" t="n">
        <v>0</v>
      </c>
      <c r="J843" t="n">
        <v>0</v>
      </c>
      <c r="K843" t="n">
        <v>0</v>
      </c>
      <c r="L843" t="n">
        <v>0</v>
      </c>
      <c r="M843" t="n">
        <v>0</v>
      </c>
      <c r="N843" t="n">
        <v>0</v>
      </c>
      <c r="O843" t="n">
        <v>0</v>
      </c>
      <c r="P843" t="n">
        <v>0</v>
      </c>
      <c r="Q843" t="n">
        <v>0</v>
      </c>
      <c r="R843" s="2" t="inlineStr"/>
    </row>
    <row r="844" ht="15" customHeight="1">
      <c r="A844" t="inlineStr">
        <is>
          <t>A 60587-2022</t>
        </is>
      </c>
      <c r="B844" s="1" t="n">
        <v>44911.58445601852</v>
      </c>
      <c r="C844" s="1" t="n">
        <v>46129</v>
      </c>
      <c r="D844" t="inlineStr">
        <is>
          <t>JÄMTLANDS LÄN</t>
        </is>
      </c>
      <c r="E844" t="inlineStr">
        <is>
          <t>BERG</t>
        </is>
      </c>
      <c r="G844" t="n">
        <v>4.8</v>
      </c>
      <c r="H844" t="n">
        <v>0</v>
      </c>
      <c r="I844" t="n">
        <v>0</v>
      </c>
      <c r="J844" t="n">
        <v>0</v>
      </c>
      <c r="K844" t="n">
        <v>0</v>
      </c>
      <c r="L844" t="n">
        <v>0</v>
      </c>
      <c r="M844" t="n">
        <v>0</v>
      </c>
      <c r="N844" t="n">
        <v>0</v>
      </c>
      <c r="O844" t="n">
        <v>0</v>
      </c>
      <c r="P844" t="n">
        <v>0</v>
      </c>
      <c r="Q844" t="n">
        <v>0</v>
      </c>
      <c r="R844" s="2" t="inlineStr"/>
    </row>
    <row r="845" ht="15" customHeight="1">
      <c r="A845" t="inlineStr">
        <is>
          <t>A 7983-2026</t>
        </is>
      </c>
      <c r="B845" s="1" t="n">
        <v>46063.49013888889</v>
      </c>
      <c r="C845" s="1" t="n">
        <v>46129</v>
      </c>
      <c r="D845" t="inlineStr">
        <is>
          <t>JÄMTLANDS LÄN</t>
        </is>
      </c>
      <c r="E845" t="inlineStr">
        <is>
          <t>BERG</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6645-2025</t>
        </is>
      </c>
      <c r="B846" s="1" t="n">
        <v>45700.39645833334</v>
      </c>
      <c r="C846" s="1" t="n">
        <v>46129</v>
      </c>
      <c r="D846" t="inlineStr">
        <is>
          <t>JÄMTLANDS LÄN</t>
        </is>
      </c>
      <c r="E846" t="inlineStr">
        <is>
          <t>BERG</t>
        </is>
      </c>
      <c r="G846" t="n">
        <v>2.6</v>
      </c>
      <c r="H846" t="n">
        <v>0</v>
      </c>
      <c r="I846" t="n">
        <v>0</v>
      </c>
      <c r="J846" t="n">
        <v>0</v>
      </c>
      <c r="K846" t="n">
        <v>0</v>
      </c>
      <c r="L846" t="n">
        <v>0</v>
      </c>
      <c r="M846" t="n">
        <v>0</v>
      </c>
      <c r="N846" t="n">
        <v>0</v>
      </c>
      <c r="O846" t="n">
        <v>0</v>
      </c>
      <c r="P846" t="n">
        <v>0</v>
      </c>
      <c r="Q846" t="n">
        <v>0</v>
      </c>
      <c r="R846" s="2" t="inlineStr"/>
    </row>
    <row r="847" ht="15" customHeight="1">
      <c r="A847" t="inlineStr">
        <is>
          <t>A 12254-2025</t>
        </is>
      </c>
      <c r="B847" s="1" t="n">
        <v>45729</v>
      </c>
      <c r="C847" s="1" t="n">
        <v>46129</v>
      </c>
      <c r="D847" t="inlineStr">
        <is>
          <t>JÄMTLANDS LÄN</t>
        </is>
      </c>
      <c r="E847" t="inlineStr">
        <is>
          <t>BERG</t>
        </is>
      </c>
      <c r="G847" t="n">
        <v>26.3</v>
      </c>
      <c r="H847" t="n">
        <v>0</v>
      </c>
      <c r="I847" t="n">
        <v>0</v>
      </c>
      <c r="J847" t="n">
        <v>0</v>
      </c>
      <c r="K847" t="n">
        <v>0</v>
      </c>
      <c r="L847" t="n">
        <v>0</v>
      </c>
      <c r="M847" t="n">
        <v>0</v>
      </c>
      <c r="N847" t="n">
        <v>0</v>
      </c>
      <c r="O847" t="n">
        <v>0</v>
      </c>
      <c r="P847" t="n">
        <v>0</v>
      </c>
      <c r="Q847" t="n">
        <v>0</v>
      </c>
      <c r="R847" s="2" t="inlineStr"/>
    </row>
    <row r="848" ht="15" customHeight="1">
      <c r="A848" t="inlineStr">
        <is>
          <t>A 8571-2026</t>
        </is>
      </c>
      <c r="B848" s="1" t="n">
        <v>46065.67915509259</v>
      </c>
      <c r="C848" s="1" t="n">
        <v>46129</v>
      </c>
      <c r="D848" t="inlineStr">
        <is>
          <t>JÄMTLANDS LÄN</t>
        </is>
      </c>
      <c r="E848" t="inlineStr">
        <is>
          <t>BERG</t>
        </is>
      </c>
      <c r="G848" t="n">
        <v>5.5</v>
      </c>
      <c r="H848" t="n">
        <v>0</v>
      </c>
      <c r="I848" t="n">
        <v>0</v>
      </c>
      <c r="J848" t="n">
        <v>0</v>
      </c>
      <c r="K848" t="n">
        <v>0</v>
      </c>
      <c r="L848" t="n">
        <v>0</v>
      </c>
      <c r="M848" t="n">
        <v>0</v>
      </c>
      <c r="N848" t="n">
        <v>0</v>
      </c>
      <c r="O848" t="n">
        <v>0</v>
      </c>
      <c r="P848" t="n">
        <v>0</v>
      </c>
      <c r="Q848" t="n">
        <v>0</v>
      </c>
      <c r="R848" s="2" t="inlineStr"/>
    </row>
    <row r="849" ht="15" customHeight="1">
      <c r="A849" t="inlineStr">
        <is>
          <t>A 27575-2025</t>
        </is>
      </c>
      <c r="B849" s="1" t="n">
        <v>45813.49083333334</v>
      </c>
      <c r="C849" s="1" t="n">
        <v>46129</v>
      </c>
      <c r="D849" t="inlineStr">
        <is>
          <t>JÄMTLANDS LÄN</t>
        </is>
      </c>
      <c r="E849" t="inlineStr">
        <is>
          <t>BERG</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27603-2025</t>
        </is>
      </c>
      <c r="B850" s="1" t="n">
        <v>45813.53174768519</v>
      </c>
      <c r="C850" s="1" t="n">
        <v>46129</v>
      </c>
      <c r="D850" t="inlineStr">
        <is>
          <t>JÄMTLANDS LÄN</t>
        </is>
      </c>
      <c r="E850" t="inlineStr">
        <is>
          <t>BERG</t>
        </is>
      </c>
      <c r="F850" t="inlineStr">
        <is>
          <t>SCA</t>
        </is>
      </c>
      <c r="G850" t="n">
        <v>11.3</v>
      </c>
      <c r="H850" t="n">
        <v>0</v>
      </c>
      <c r="I850" t="n">
        <v>0</v>
      </c>
      <c r="J850" t="n">
        <v>0</v>
      </c>
      <c r="K850" t="n">
        <v>0</v>
      </c>
      <c r="L850" t="n">
        <v>0</v>
      </c>
      <c r="M850" t="n">
        <v>0</v>
      </c>
      <c r="N850" t="n">
        <v>0</v>
      </c>
      <c r="O850" t="n">
        <v>0</v>
      </c>
      <c r="P850" t="n">
        <v>0</v>
      </c>
      <c r="Q850" t="n">
        <v>0</v>
      </c>
      <c r="R850" s="2" t="inlineStr"/>
    </row>
    <row r="851" ht="15" customHeight="1">
      <c r="A851" t="inlineStr">
        <is>
          <t>A 59763-2025</t>
        </is>
      </c>
      <c r="B851" s="1" t="n">
        <v>45992.59430555555</v>
      </c>
      <c r="C851" s="1" t="n">
        <v>46129</v>
      </c>
      <c r="D851" t="inlineStr">
        <is>
          <t>JÄMTLANDS LÄN</t>
        </is>
      </c>
      <c r="E851" t="inlineStr">
        <is>
          <t>BERG</t>
        </is>
      </c>
      <c r="F851" t="inlineStr">
        <is>
          <t>SCA</t>
        </is>
      </c>
      <c r="G851" t="n">
        <v>16.5</v>
      </c>
      <c r="H851" t="n">
        <v>0</v>
      </c>
      <c r="I851" t="n">
        <v>0</v>
      </c>
      <c r="J851" t="n">
        <v>0</v>
      </c>
      <c r="K851" t="n">
        <v>0</v>
      </c>
      <c r="L851" t="n">
        <v>0</v>
      </c>
      <c r="M851" t="n">
        <v>0</v>
      </c>
      <c r="N851" t="n">
        <v>0</v>
      </c>
      <c r="O851" t="n">
        <v>0</v>
      </c>
      <c r="P851" t="n">
        <v>0</v>
      </c>
      <c r="Q851" t="n">
        <v>0</v>
      </c>
      <c r="R851" s="2" t="inlineStr"/>
    </row>
    <row r="852" ht="15" customHeight="1">
      <c r="A852" t="inlineStr">
        <is>
          <t>A 8171-2026</t>
        </is>
      </c>
      <c r="B852" s="1" t="n">
        <v>46064.39402777778</v>
      </c>
      <c r="C852" s="1" t="n">
        <v>46129</v>
      </c>
      <c r="D852" t="inlineStr">
        <is>
          <t>JÄMTLANDS LÄN</t>
        </is>
      </c>
      <c r="E852" t="inlineStr">
        <is>
          <t>BERG</t>
        </is>
      </c>
      <c r="G852" t="n">
        <v>2.9</v>
      </c>
      <c r="H852" t="n">
        <v>0</v>
      </c>
      <c r="I852" t="n">
        <v>0</v>
      </c>
      <c r="J852" t="n">
        <v>0</v>
      </c>
      <c r="K852" t="n">
        <v>0</v>
      </c>
      <c r="L852" t="n">
        <v>0</v>
      </c>
      <c r="M852" t="n">
        <v>0</v>
      </c>
      <c r="N852" t="n">
        <v>0</v>
      </c>
      <c r="O852" t="n">
        <v>0</v>
      </c>
      <c r="P852" t="n">
        <v>0</v>
      </c>
      <c r="Q852" t="n">
        <v>0</v>
      </c>
      <c r="R852" s="2" t="inlineStr"/>
    </row>
    <row r="853" ht="15" customHeight="1">
      <c r="A853" t="inlineStr">
        <is>
          <t>A 8319-2026</t>
        </is>
      </c>
      <c r="B853" s="1" t="n">
        <v>46064.60849537037</v>
      </c>
      <c r="C853" s="1" t="n">
        <v>46129</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37066-2025</t>
        </is>
      </c>
      <c r="B854" s="1" t="n">
        <v>45875.3862962963</v>
      </c>
      <c r="C854" s="1" t="n">
        <v>46129</v>
      </c>
      <c r="D854" t="inlineStr">
        <is>
          <t>JÄMTLANDS LÄN</t>
        </is>
      </c>
      <c r="E854" t="inlineStr">
        <is>
          <t>BERG</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48250-2025</t>
        </is>
      </c>
      <c r="B855" s="1" t="n">
        <v>45933.55259259259</v>
      </c>
      <c r="C855" s="1" t="n">
        <v>46129</v>
      </c>
      <c r="D855" t="inlineStr">
        <is>
          <t>JÄMTLANDS LÄN</t>
        </is>
      </c>
      <c r="E855" t="inlineStr">
        <is>
          <t>BERG</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23560-2024</t>
        </is>
      </c>
      <c r="B856" s="1" t="n">
        <v>45453.95467592592</v>
      </c>
      <c r="C856" s="1" t="n">
        <v>46129</v>
      </c>
      <c r="D856" t="inlineStr">
        <is>
          <t>JÄMTLANDS LÄN</t>
        </is>
      </c>
      <c r="E856" t="inlineStr">
        <is>
          <t>BERG</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50547-2025</t>
        </is>
      </c>
      <c r="B857" s="1" t="n">
        <v>45945.51104166666</v>
      </c>
      <c r="C857" s="1" t="n">
        <v>46129</v>
      </c>
      <c r="D857" t="inlineStr">
        <is>
          <t>JÄMTLANDS LÄN</t>
        </is>
      </c>
      <c r="E857" t="inlineStr">
        <is>
          <t>BERG</t>
        </is>
      </c>
      <c r="F857" t="inlineStr">
        <is>
          <t>SCA</t>
        </is>
      </c>
      <c r="G857" t="n">
        <v>12.6</v>
      </c>
      <c r="H857" t="n">
        <v>0</v>
      </c>
      <c r="I857" t="n">
        <v>0</v>
      </c>
      <c r="J857" t="n">
        <v>0</v>
      </c>
      <c r="K857" t="n">
        <v>0</v>
      </c>
      <c r="L857" t="n">
        <v>0</v>
      </c>
      <c r="M857" t="n">
        <v>0</v>
      </c>
      <c r="N857" t="n">
        <v>0</v>
      </c>
      <c r="O857" t="n">
        <v>0</v>
      </c>
      <c r="P857" t="n">
        <v>0</v>
      </c>
      <c r="Q857" t="n">
        <v>0</v>
      </c>
      <c r="R857" s="2" t="inlineStr"/>
    </row>
    <row r="858" ht="15" customHeight="1">
      <c r="A858" t="inlineStr">
        <is>
          <t>A 12736-2026</t>
        </is>
      </c>
      <c r="B858" s="1" t="n">
        <v>46091.63627314815</v>
      </c>
      <c r="C858" s="1" t="n">
        <v>46129</v>
      </c>
      <c r="D858" t="inlineStr">
        <is>
          <t>JÄMTLANDS LÄN</t>
        </is>
      </c>
      <c r="E858" t="inlineStr">
        <is>
          <t>BERG</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15517-2026</t>
        </is>
      </c>
      <c r="B859" s="1" t="n">
        <v>46106.47037037037</v>
      </c>
      <c r="C859" s="1" t="n">
        <v>46129</v>
      </c>
      <c r="D859" t="inlineStr">
        <is>
          <t>JÄMTLANDS LÄN</t>
        </is>
      </c>
      <c r="E859" t="inlineStr">
        <is>
          <t>BERG</t>
        </is>
      </c>
      <c r="G859" t="n">
        <v>2.2</v>
      </c>
      <c r="H859" t="n">
        <v>0</v>
      </c>
      <c r="I859" t="n">
        <v>0</v>
      </c>
      <c r="J859" t="n">
        <v>0</v>
      </c>
      <c r="K859" t="n">
        <v>0</v>
      </c>
      <c r="L859" t="n">
        <v>0</v>
      </c>
      <c r="M859" t="n">
        <v>0</v>
      </c>
      <c r="N859" t="n">
        <v>0</v>
      </c>
      <c r="O859" t="n">
        <v>0</v>
      </c>
      <c r="P859" t="n">
        <v>0</v>
      </c>
      <c r="Q859" t="n">
        <v>0</v>
      </c>
      <c r="R859" s="2" t="inlineStr"/>
    </row>
    <row r="860" ht="15" customHeight="1">
      <c r="A860" t="inlineStr">
        <is>
          <t>A 1982-2022</t>
        </is>
      </c>
      <c r="B860" s="1" t="n">
        <v>44575</v>
      </c>
      <c r="C860" s="1" t="n">
        <v>46129</v>
      </c>
      <c r="D860" t="inlineStr">
        <is>
          <t>JÄMTLANDS LÄN</t>
        </is>
      </c>
      <c r="E860" t="inlineStr">
        <is>
          <t>BERG</t>
        </is>
      </c>
      <c r="G860" t="n">
        <v>1.6</v>
      </c>
      <c r="H860" t="n">
        <v>0</v>
      </c>
      <c r="I860" t="n">
        <v>0</v>
      </c>
      <c r="J860" t="n">
        <v>0</v>
      </c>
      <c r="K860" t="n">
        <v>0</v>
      </c>
      <c r="L860" t="n">
        <v>0</v>
      </c>
      <c r="M860" t="n">
        <v>0</v>
      </c>
      <c r="N860" t="n">
        <v>0</v>
      </c>
      <c r="O860" t="n">
        <v>0</v>
      </c>
      <c r="P860" t="n">
        <v>0</v>
      </c>
      <c r="Q860" t="n">
        <v>0</v>
      </c>
      <c r="R860" s="2" t="inlineStr"/>
    </row>
    <row r="861" ht="15" customHeight="1">
      <c r="A861" t="inlineStr">
        <is>
          <t>A 1989-2022</t>
        </is>
      </c>
      <c r="B861" s="1" t="n">
        <v>44575.55935185185</v>
      </c>
      <c r="C861" s="1" t="n">
        <v>46129</v>
      </c>
      <c r="D861" t="inlineStr">
        <is>
          <t>JÄMTLANDS LÄN</t>
        </is>
      </c>
      <c r="E861" t="inlineStr">
        <is>
          <t>BERG</t>
        </is>
      </c>
      <c r="G861" t="n">
        <v>0.7</v>
      </c>
      <c r="H861" t="n">
        <v>0</v>
      </c>
      <c r="I861" t="n">
        <v>0</v>
      </c>
      <c r="J861" t="n">
        <v>0</v>
      </c>
      <c r="K861" t="n">
        <v>0</v>
      </c>
      <c r="L861" t="n">
        <v>0</v>
      </c>
      <c r="M861" t="n">
        <v>0</v>
      </c>
      <c r="N861" t="n">
        <v>0</v>
      </c>
      <c r="O861" t="n">
        <v>0</v>
      </c>
      <c r="P861" t="n">
        <v>0</v>
      </c>
      <c r="Q861" t="n">
        <v>0</v>
      </c>
      <c r="R861" s="2" t="inlineStr"/>
    </row>
    <row r="862" ht="15" customHeight="1">
      <c r="A862" t="inlineStr">
        <is>
          <t>A 3173-2025</t>
        </is>
      </c>
      <c r="B862" s="1" t="n">
        <v>45679.38309027778</v>
      </c>
      <c r="C862" s="1" t="n">
        <v>46129</v>
      </c>
      <c r="D862" t="inlineStr">
        <is>
          <t>JÄMTLANDS LÄN</t>
        </is>
      </c>
      <c r="E862" t="inlineStr">
        <is>
          <t>BERG</t>
        </is>
      </c>
      <c r="G862" t="n">
        <v>8.9</v>
      </c>
      <c r="H862" t="n">
        <v>0</v>
      </c>
      <c r="I862" t="n">
        <v>0</v>
      </c>
      <c r="J862" t="n">
        <v>0</v>
      </c>
      <c r="K862" t="n">
        <v>0</v>
      </c>
      <c r="L862" t="n">
        <v>0</v>
      </c>
      <c r="M862" t="n">
        <v>0</v>
      </c>
      <c r="N862" t="n">
        <v>0</v>
      </c>
      <c r="O862" t="n">
        <v>0</v>
      </c>
      <c r="P862" t="n">
        <v>0</v>
      </c>
      <c r="Q862" t="n">
        <v>0</v>
      </c>
      <c r="R862" s="2" t="inlineStr"/>
    </row>
    <row r="863" ht="15" customHeight="1">
      <c r="A863" t="inlineStr">
        <is>
          <t>A 62153-2022</t>
        </is>
      </c>
      <c r="B863" s="1" t="n">
        <v>44914</v>
      </c>
      <c r="C863" s="1" t="n">
        <v>46129</v>
      </c>
      <c r="D863" t="inlineStr">
        <is>
          <t>JÄMTLANDS LÄN</t>
        </is>
      </c>
      <c r="E863" t="inlineStr">
        <is>
          <t>BERG</t>
        </is>
      </c>
      <c r="G863" t="n">
        <v>1</v>
      </c>
      <c r="H863" t="n">
        <v>0</v>
      </c>
      <c r="I863" t="n">
        <v>0</v>
      </c>
      <c r="J863" t="n">
        <v>0</v>
      </c>
      <c r="K863" t="n">
        <v>0</v>
      </c>
      <c r="L863" t="n">
        <v>0</v>
      </c>
      <c r="M863" t="n">
        <v>0</v>
      </c>
      <c r="N863" t="n">
        <v>0</v>
      </c>
      <c r="O863" t="n">
        <v>0</v>
      </c>
      <c r="P863" t="n">
        <v>0</v>
      </c>
      <c r="Q863" t="n">
        <v>0</v>
      </c>
      <c r="R863" s="2" t="inlineStr"/>
    </row>
    <row r="864" ht="15" customHeight="1">
      <c r="A864" t="inlineStr">
        <is>
          <t>A 15156-2024</t>
        </is>
      </c>
      <c r="B864" s="1" t="n">
        <v>45399.94496527778</v>
      </c>
      <c r="C864" s="1" t="n">
        <v>46129</v>
      </c>
      <c r="D864" t="inlineStr">
        <is>
          <t>JÄMTLANDS LÄN</t>
        </is>
      </c>
      <c r="E864" t="inlineStr">
        <is>
          <t>BERG</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15852-2026</t>
        </is>
      </c>
      <c r="B865" s="1" t="n">
        <v>46107.57366898148</v>
      </c>
      <c r="C865" s="1" t="n">
        <v>46129</v>
      </c>
      <c r="D865" t="inlineStr">
        <is>
          <t>JÄMTLANDS LÄN</t>
        </is>
      </c>
      <c r="E865" t="inlineStr">
        <is>
          <t>BERG</t>
        </is>
      </c>
      <c r="F865" t="inlineStr">
        <is>
          <t>SCA</t>
        </is>
      </c>
      <c r="G865" t="n">
        <v>16.4</v>
      </c>
      <c r="H865" t="n">
        <v>0</v>
      </c>
      <c r="I865" t="n">
        <v>0</v>
      </c>
      <c r="J865" t="n">
        <v>0</v>
      </c>
      <c r="K865" t="n">
        <v>0</v>
      </c>
      <c r="L865" t="n">
        <v>0</v>
      </c>
      <c r="M865" t="n">
        <v>0</v>
      </c>
      <c r="N865" t="n">
        <v>0</v>
      </c>
      <c r="O865" t="n">
        <v>0</v>
      </c>
      <c r="P865" t="n">
        <v>0</v>
      </c>
      <c r="Q865" t="n">
        <v>0</v>
      </c>
      <c r="R865" s="2" t="inlineStr"/>
    </row>
    <row r="866" ht="15" customHeight="1">
      <c r="A866" t="inlineStr">
        <is>
          <t>A 37062-2025</t>
        </is>
      </c>
      <c r="B866" s="1" t="n">
        <v>45875.38579861111</v>
      </c>
      <c r="C866" s="1" t="n">
        <v>46129</v>
      </c>
      <c r="D866" t="inlineStr">
        <is>
          <t>JÄMTLANDS LÄN</t>
        </is>
      </c>
      <c r="E866" t="inlineStr">
        <is>
          <t>BERG</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8572-2026</t>
        </is>
      </c>
      <c r="B867" s="1" t="n">
        <v>46065.68355324074</v>
      </c>
      <c r="C867" s="1" t="n">
        <v>46129</v>
      </c>
      <c r="D867" t="inlineStr">
        <is>
          <t>JÄMTLANDS LÄN</t>
        </is>
      </c>
      <c r="E867" t="inlineStr">
        <is>
          <t>BERG</t>
        </is>
      </c>
      <c r="G867" t="n">
        <v>1.3</v>
      </c>
      <c r="H867" t="n">
        <v>0</v>
      </c>
      <c r="I867" t="n">
        <v>0</v>
      </c>
      <c r="J867" t="n">
        <v>0</v>
      </c>
      <c r="K867" t="n">
        <v>0</v>
      </c>
      <c r="L867" t="n">
        <v>0</v>
      </c>
      <c r="M867" t="n">
        <v>0</v>
      </c>
      <c r="N867" t="n">
        <v>0</v>
      </c>
      <c r="O867" t="n">
        <v>0</v>
      </c>
      <c r="P867" t="n">
        <v>0</v>
      </c>
      <c r="Q867" t="n">
        <v>0</v>
      </c>
      <c r="R867" s="2" t="inlineStr"/>
    </row>
    <row r="868" ht="15" customHeight="1">
      <c r="A868" t="inlineStr">
        <is>
          <t>A 46858-2023</t>
        </is>
      </c>
      <c r="B868" s="1" t="n">
        <v>45199.97042824074</v>
      </c>
      <c r="C868" s="1" t="n">
        <v>46129</v>
      </c>
      <c r="D868" t="inlineStr">
        <is>
          <t>JÄMTLANDS LÄN</t>
        </is>
      </c>
      <c r="E868" t="inlineStr">
        <is>
          <t>BERG</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9012-2026</t>
        </is>
      </c>
      <c r="B869" s="1" t="n">
        <v>46069.4900462963</v>
      </c>
      <c r="C869" s="1" t="n">
        <v>46129</v>
      </c>
      <c r="D869" t="inlineStr">
        <is>
          <t>JÄMTLANDS LÄN</t>
        </is>
      </c>
      <c r="E869" t="inlineStr">
        <is>
          <t>BERG</t>
        </is>
      </c>
      <c r="G869" t="n">
        <v>10.7</v>
      </c>
      <c r="H869" t="n">
        <v>0</v>
      </c>
      <c r="I869" t="n">
        <v>0</v>
      </c>
      <c r="J869" t="n">
        <v>0</v>
      </c>
      <c r="K869" t="n">
        <v>0</v>
      </c>
      <c r="L869" t="n">
        <v>0</v>
      </c>
      <c r="M869" t="n">
        <v>0</v>
      </c>
      <c r="N869" t="n">
        <v>0</v>
      </c>
      <c r="O869" t="n">
        <v>0</v>
      </c>
      <c r="P869" t="n">
        <v>0</v>
      </c>
      <c r="Q869" t="n">
        <v>0</v>
      </c>
      <c r="R869" s="2" t="inlineStr"/>
    </row>
    <row r="870" ht="15" customHeight="1">
      <c r="A870" t="inlineStr">
        <is>
          <t>A 8765-2026</t>
        </is>
      </c>
      <c r="B870" s="1" t="n">
        <v>46066.56057870371</v>
      </c>
      <c r="C870" s="1" t="n">
        <v>46129</v>
      </c>
      <c r="D870" t="inlineStr">
        <is>
          <t>JÄMTLANDS LÄN</t>
        </is>
      </c>
      <c r="E870" t="inlineStr">
        <is>
          <t>BERG</t>
        </is>
      </c>
      <c r="G870" t="n">
        <v>5.6</v>
      </c>
      <c r="H870" t="n">
        <v>0</v>
      </c>
      <c r="I870" t="n">
        <v>0</v>
      </c>
      <c r="J870" t="n">
        <v>0</v>
      </c>
      <c r="K870" t="n">
        <v>0</v>
      </c>
      <c r="L870" t="n">
        <v>0</v>
      </c>
      <c r="M870" t="n">
        <v>0</v>
      </c>
      <c r="N870" t="n">
        <v>0</v>
      </c>
      <c r="O870" t="n">
        <v>0</v>
      </c>
      <c r="P870" t="n">
        <v>0</v>
      </c>
      <c r="Q870" t="n">
        <v>0</v>
      </c>
      <c r="R870" s="2" t="inlineStr"/>
    </row>
    <row r="871" ht="15" customHeight="1">
      <c r="A871" t="inlineStr">
        <is>
          <t>A 36192-2024</t>
        </is>
      </c>
      <c r="B871" s="1" t="n">
        <v>45534.42809027778</v>
      </c>
      <c r="C871" s="1" t="n">
        <v>46129</v>
      </c>
      <c r="D871" t="inlineStr">
        <is>
          <t>JÄMTLANDS LÄN</t>
        </is>
      </c>
      <c r="E871" t="inlineStr">
        <is>
          <t>BERG</t>
        </is>
      </c>
      <c r="G871" t="n">
        <v>1.4</v>
      </c>
      <c r="H871" t="n">
        <v>0</v>
      </c>
      <c r="I871" t="n">
        <v>0</v>
      </c>
      <c r="J871" t="n">
        <v>0</v>
      </c>
      <c r="K871" t="n">
        <v>0</v>
      </c>
      <c r="L871" t="n">
        <v>0</v>
      </c>
      <c r="M871" t="n">
        <v>0</v>
      </c>
      <c r="N871" t="n">
        <v>0</v>
      </c>
      <c r="O871" t="n">
        <v>0</v>
      </c>
      <c r="P871" t="n">
        <v>0</v>
      </c>
      <c r="Q871" t="n">
        <v>0</v>
      </c>
      <c r="R871" s="2" t="inlineStr"/>
    </row>
    <row r="872" ht="15" customHeight="1">
      <c r="A872" t="inlineStr">
        <is>
          <t>A 8653-2026</t>
        </is>
      </c>
      <c r="B872" s="1" t="n">
        <v>46066.36811342592</v>
      </c>
      <c r="C872" s="1" t="n">
        <v>46129</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14594-2025</t>
        </is>
      </c>
      <c r="B873" s="1" t="n">
        <v>45742.34414351852</v>
      </c>
      <c r="C873" s="1" t="n">
        <v>46129</v>
      </c>
      <c r="D873" t="inlineStr">
        <is>
          <t>JÄMTLANDS LÄN</t>
        </is>
      </c>
      <c r="E873" t="inlineStr">
        <is>
          <t>BERG</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14596-2025</t>
        </is>
      </c>
      <c r="B874" s="1" t="n">
        <v>45742.34449074074</v>
      </c>
      <c r="C874" s="1" t="n">
        <v>46129</v>
      </c>
      <c r="D874" t="inlineStr">
        <is>
          <t>JÄMTLANDS LÄN</t>
        </is>
      </c>
      <c r="E874" t="inlineStr">
        <is>
          <t>BERG</t>
        </is>
      </c>
      <c r="F874" t="inlineStr">
        <is>
          <t>SCA</t>
        </is>
      </c>
      <c r="G874" t="n">
        <v>4.6</v>
      </c>
      <c r="H874" t="n">
        <v>0</v>
      </c>
      <c r="I874" t="n">
        <v>0</v>
      </c>
      <c r="J874" t="n">
        <v>0</v>
      </c>
      <c r="K874" t="n">
        <v>0</v>
      </c>
      <c r="L874" t="n">
        <v>0</v>
      </c>
      <c r="M874" t="n">
        <v>0</v>
      </c>
      <c r="N874" t="n">
        <v>0</v>
      </c>
      <c r="O874" t="n">
        <v>0</v>
      </c>
      <c r="P874" t="n">
        <v>0</v>
      </c>
      <c r="Q874" t="n">
        <v>0</v>
      </c>
      <c r="R874" s="2" t="inlineStr"/>
    </row>
    <row r="875" ht="15" customHeight="1">
      <c r="A875" t="inlineStr">
        <is>
          <t>A 14740-2026</t>
        </is>
      </c>
      <c r="B875" s="1" t="n">
        <v>46101</v>
      </c>
      <c r="C875" s="1" t="n">
        <v>46129</v>
      </c>
      <c r="D875" t="inlineStr">
        <is>
          <t>JÄMTLANDS LÄN</t>
        </is>
      </c>
      <c r="E875" t="inlineStr">
        <is>
          <t>BERG</t>
        </is>
      </c>
      <c r="F875" t="inlineStr">
        <is>
          <t>SCA</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3798-2022</t>
        </is>
      </c>
      <c r="B876" s="1" t="n">
        <v>44586</v>
      </c>
      <c r="C876" s="1" t="n">
        <v>46129</v>
      </c>
      <c r="D876" t="inlineStr">
        <is>
          <t>JÄMTLANDS LÄN</t>
        </is>
      </c>
      <c r="E876" t="inlineStr">
        <is>
          <t>BERG</t>
        </is>
      </c>
      <c r="G876" t="n">
        <v>0.1</v>
      </c>
      <c r="H876" t="n">
        <v>0</v>
      </c>
      <c r="I876" t="n">
        <v>0</v>
      </c>
      <c r="J876" t="n">
        <v>0</v>
      </c>
      <c r="K876" t="n">
        <v>0</v>
      </c>
      <c r="L876" t="n">
        <v>0</v>
      </c>
      <c r="M876" t="n">
        <v>0</v>
      </c>
      <c r="N876" t="n">
        <v>0</v>
      </c>
      <c r="O876" t="n">
        <v>0</v>
      </c>
      <c r="P876" t="n">
        <v>0</v>
      </c>
      <c r="Q876" t="n">
        <v>0</v>
      </c>
      <c r="R876" s="2" t="inlineStr"/>
    </row>
    <row r="877" ht="15" customHeight="1">
      <c r="A877" t="inlineStr">
        <is>
          <t>A 11274-2025</t>
        </is>
      </c>
      <c r="B877" s="1" t="n">
        <v>45726.40868055556</v>
      </c>
      <c r="C877" s="1" t="n">
        <v>46129</v>
      </c>
      <c r="D877" t="inlineStr">
        <is>
          <t>JÄMTLANDS LÄN</t>
        </is>
      </c>
      <c r="E877" t="inlineStr">
        <is>
          <t>BERG</t>
        </is>
      </c>
      <c r="G877" t="n">
        <v>3</v>
      </c>
      <c r="H877" t="n">
        <v>0</v>
      </c>
      <c r="I877" t="n">
        <v>0</v>
      </c>
      <c r="J877" t="n">
        <v>0</v>
      </c>
      <c r="K877" t="n">
        <v>0</v>
      </c>
      <c r="L877" t="n">
        <v>0</v>
      </c>
      <c r="M877" t="n">
        <v>0</v>
      </c>
      <c r="N877" t="n">
        <v>0</v>
      </c>
      <c r="O877" t="n">
        <v>0</v>
      </c>
      <c r="P877" t="n">
        <v>0</v>
      </c>
      <c r="Q877" t="n">
        <v>0</v>
      </c>
      <c r="R877" s="2" t="inlineStr"/>
    </row>
    <row r="878" ht="15" customHeight="1">
      <c r="A878" t="inlineStr">
        <is>
          <t>A 16346-2026</t>
        </is>
      </c>
      <c r="B878" s="1" t="n">
        <v>46111.58641203704</v>
      </c>
      <c r="C878" s="1" t="n">
        <v>46129</v>
      </c>
      <c r="D878" t="inlineStr">
        <is>
          <t>JÄMTLANDS LÄN</t>
        </is>
      </c>
      <c r="E878" t="inlineStr">
        <is>
          <t>BERG</t>
        </is>
      </c>
      <c r="F878" t="inlineStr">
        <is>
          <t>Övriga Aktiebolag</t>
        </is>
      </c>
      <c r="G878" t="n">
        <v>10.3</v>
      </c>
      <c r="H878" t="n">
        <v>0</v>
      </c>
      <c r="I878" t="n">
        <v>0</v>
      </c>
      <c r="J878" t="n">
        <v>0</v>
      </c>
      <c r="K878" t="n">
        <v>0</v>
      </c>
      <c r="L878" t="n">
        <v>0</v>
      </c>
      <c r="M878" t="n">
        <v>0</v>
      </c>
      <c r="N878" t="n">
        <v>0</v>
      </c>
      <c r="O878" t="n">
        <v>0</v>
      </c>
      <c r="P878" t="n">
        <v>0</v>
      </c>
      <c r="Q878" t="n">
        <v>0</v>
      </c>
      <c r="R878" s="2" t="inlineStr"/>
    </row>
    <row r="879" ht="15" customHeight="1">
      <c r="A879" t="inlineStr">
        <is>
          <t>A 149-2024</t>
        </is>
      </c>
      <c r="B879" s="1" t="n">
        <v>45294</v>
      </c>
      <c r="C879" s="1" t="n">
        <v>46129</v>
      </c>
      <c r="D879" t="inlineStr">
        <is>
          <t>JÄMTLANDS LÄN</t>
        </is>
      </c>
      <c r="E879" t="inlineStr">
        <is>
          <t>BERG</t>
        </is>
      </c>
      <c r="F879" t="inlineStr">
        <is>
          <t>Kyrkan</t>
        </is>
      </c>
      <c r="G879" t="n">
        <v>3.7</v>
      </c>
      <c r="H879" t="n">
        <v>0</v>
      </c>
      <c r="I879" t="n">
        <v>0</v>
      </c>
      <c r="J879" t="n">
        <v>0</v>
      </c>
      <c r="K879" t="n">
        <v>0</v>
      </c>
      <c r="L879" t="n">
        <v>0</v>
      </c>
      <c r="M879" t="n">
        <v>0</v>
      </c>
      <c r="N879" t="n">
        <v>0</v>
      </c>
      <c r="O879" t="n">
        <v>0</v>
      </c>
      <c r="P879" t="n">
        <v>0</v>
      </c>
      <c r="Q879" t="n">
        <v>0</v>
      </c>
      <c r="R879" s="2" t="inlineStr"/>
    </row>
    <row r="880" ht="15" customHeight="1">
      <c r="A880" t="inlineStr">
        <is>
          <t>A 36708-2023</t>
        </is>
      </c>
      <c r="B880" s="1" t="n">
        <v>45153.65226851852</v>
      </c>
      <c r="C880" s="1" t="n">
        <v>46129</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9118-2026</t>
        </is>
      </c>
      <c r="B881" s="1" t="n">
        <v>46069.67773148148</v>
      </c>
      <c r="C881" s="1" t="n">
        <v>46129</v>
      </c>
      <c r="D881" t="inlineStr">
        <is>
          <t>JÄMTLANDS LÄN</t>
        </is>
      </c>
      <c r="E881" t="inlineStr">
        <is>
          <t>BERG</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33750-2023</t>
        </is>
      </c>
      <c r="B882" s="1" t="n">
        <v>45120</v>
      </c>
      <c r="C882" s="1" t="n">
        <v>46129</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9277-2026</t>
        </is>
      </c>
      <c r="B883" s="1" t="n">
        <v>46070.57337962963</v>
      </c>
      <c r="C883" s="1" t="n">
        <v>46129</v>
      </c>
      <c r="D883" t="inlineStr">
        <is>
          <t>JÄMTLANDS LÄN</t>
        </is>
      </c>
      <c r="E883" t="inlineStr">
        <is>
          <t>BERG</t>
        </is>
      </c>
      <c r="F883" t="inlineStr">
        <is>
          <t>SCA</t>
        </is>
      </c>
      <c r="G883" t="n">
        <v>12.6</v>
      </c>
      <c r="H883" t="n">
        <v>0</v>
      </c>
      <c r="I883" t="n">
        <v>0</v>
      </c>
      <c r="J883" t="n">
        <v>0</v>
      </c>
      <c r="K883" t="n">
        <v>0</v>
      </c>
      <c r="L883" t="n">
        <v>0</v>
      </c>
      <c r="M883" t="n">
        <v>0</v>
      </c>
      <c r="N883" t="n">
        <v>0</v>
      </c>
      <c r="O883" t="n">
        <v>0</v>
      </c>
      <c r="P883" t="n">
        <v>0</v>
      </c>
      <c r="Q883" t="n">
        <v>0</v>
      </c>
      <c r="R883" s="2" t="inlineStr"/>
    </row>
    <row r="884" ht="15" customHeight="1">
      <c r="A884" t="inlineStr">
        <is>
          <t>A 9282-2026</t>
        </is>
      </c>
      <c r="B884" s="1" t="n">
        <v>46070.58050925926</v>
      </c>
      <c r="C884" s="1" t="n">
        <v>46129</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8722-2024</t>
        </is>
      </c>
      <c r="B885" s="1" t="n">
        <v>45355</v>
      </c>
      <c r="C885" s="1" t="n">
        <v>46129</v>
      </c>
      <c r="D885" t="inlineStr">
        <is>
          <t>JÄMTLANDS LÄN</t>
        </is>
      </c>
      <c r="E885" t="inlineStr">
        <is>
          <t>BERG</t>
        </is>
      </c>
      <c r="G885" t="n">
        <v>2.4</v>
      </c>
      <c r="H885" t="n">
        <v>0</v>
      </c>
      <c r="I885" t="n">
        <v>0</v>
      </c>
      <c r="J885" t="n">
        <v>0</v>
      </c>
      <c r="K885" t="n">
        <v>0</v>
      </c>
      <c r="L885" t="n">
        <v>0</v>
      </c>
      <c r="M885" t="n">
        <v>0</v>
      </c>
      <c r="N885" t="n">
        <v>0</v>
      </c>
      <c r="O885" t="n">
        <v>0</v>
      </c>
      <c r="P885" t="n">
        <v>0</v>
      </c>
      <c r="Q885" t="n">
        <v>0</v>
      </c>
      <c r="R885" s="2" t="inlineStr"/>
    </row>
    <row r="886" ht="15" customHeight="1">
      <c r="A886" t="inlineStr">
        <is>
          <t>A 8726-2024</t>
        </is>
      </c>
      <c r="B886" s="1" t="n">
        <v>45355</v>
      </c>
      <c r="C886" s="1" t="n">
        <v>46129</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8733-2024</t>
        </is>
      </c>
      <c r="B887" s="1" t="n">
        <v>45355</v>
      </c>
      <c r="C887" s="1" t="n">
        <v>46129</v>
      </c>
      <c r="D887" t="inlineStr">
        <is>
          <t>JÄMTLANDS LÄN</t>
        </is>
      </c>
      <c r="E887" t="inlineStr">
        <is>
          <t>BERG</t>
        </is>
      </c>
      <c r="G887" t="n">
        <v>1.9</v>
      </c>
      <c r="H887" t="n">
        <v>0</v>
      </c>
      <c r="I887" t="n">
        <v>0</v>
      </c>
      <c r="J887" t="n">
        <v>0</v>
      </c>
      <c r="K887" t="n">
        <v>0</v>
      </c>
      <c r="L887" t="n">
        <v>0</v>
      </c>
      <c r="M887" t="n">
        <v>0</v>
      </c>
      <c r="N887" t="n">
        <v>0</v>
      </c>
      <c r="O887" t="n">
        <v>0</v>
      </c>
      <c r="P887" t="n">
        <v>0</v>
      </c>
      <c r="Q887" t="n">
        <v>0</v>
      </c>
      <c r="R887" s="2" t="inlineStr"/>
    </row>
    <row r="888" ht="15" customHeight="1">
      <c r="A888" t="inlineStr">
        <is>
          <t>A 9201-2026</t>
        </is>
      </c>
      <c r="B888" s="1" t="n">
        <v>46070.40723379629</v>
      </c>
      <c r="C888" s="1" t="n">
        <v>46129</v>
      </c>
      <c r="D888" t="inlineStr">
        <is>
          <t>JÄMTLANDS LÄN</t>
        </is>
      </c>
      <c r="E888" t="inlineStr">
        <is>
          <t>BERG</t>
        </is>
      </c>
      <c r="G888" t="n">
        <v>2.3</v>
      </c>
      <c r="H888" t="n">
        <v>0</v>
      </c>
      <c r="I888" t="n">
        <v>0</v>
      </c>
      <c r="J888" t="n">
        <v>0</v>
      </c>
      <c r="K888" t="n">
        <v>0</v>
      </c>
      <c r="L888" t="n">
        <v>0</v>
      </c>
      <c r="M888" t="n">
        <v>0</v>
      </c>
      <c r="N888" t="n">
        <v>0</v>
      </c>
      <c r="O888" t="n">
        <v>0</v>
      </c>
      <c r="P888" t="n">
        <v>0</v>
      </c>
      <c r="Q888" t="n">
        <v>0</v>
      </c>
      <c r="R888" s="2" t="inlineStr"/>
    </row>
    <row r="889" ht="15" customHeight="1">
      <c r="A889" t="inlineStr">
        <is>
          <t>A 9223-2026</t>
        </is>
      </c>
      <c r="B889" s="1" t="n">
        <v>46070.44862268519</v>
      </c>
      <c r="C889" s="1" t="n">
        <v>46129</v>
      </c>
      <c r="D889" t="inlineStr">
        <is>
          <t>JÄMTLANDS LÄN</t>
        </is>
      </c>
      <c r="E889" t="inlineStr">
        <is>
          <t>BERG</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30992-2024</t>
        </is>
      </c>
      <c r="B890" s="1" t="n">
        <v>45499</v>
      </c>
      <c r="C890" s="1" t="n">
        <v>46129</v>
      </c>
      <c r="D890" t="inlineStr">
        <is>
          <t>JÄMTLANDS LÄN</t>
        </is>
      </c>
      <c r="E890" t="inlineStr">
        <is>
          <t>BERG</t>
        </is>
      </c>
      <c r="F890" t="inlineStr">
        <is>
          <t>Sveaskog</t>
        </is>
      </c>
      <c r="G890" t="n">
        <v>5.1</v>
      </c>
      <c r="H890" t="n">
        <v>0</v>
      </c>
      <c r="I890" t="n">
        <v>0</v>
      </c>
      <c r="J890" t="n">
        <v>0</v>
      </c>
      <c r="K890" t="n">
        <v>0</v>
      </c>
      <c r="L890" t="n">
        <v>0</v>
      </c>
      <c r="M890" t="n">
        <v>0</v>
      </c>
      <c r="N890" t="n">
        <v>0</v>
      </c>
      <c r="O890" t="n">
        <v>0</v>
      </c>
      <c r="P890" t="n">
        <v>0</v>
      </c>
      <c r="Q890" t="n">
        <v>0</v>
      </c>
      <c r="R890" s="2" t="inlineStr"/>
    </row>
    <row r="891" ht="15" customHeight="1">
      <c r="A891" t="inlineStr">
        <is>
          <t>A 13463-2026</t>
        </is>
      </c>
      <c r="B891" s="1" t="n">
        <v>46094</v>
      </c>
      <c r="C891" s="1" t="n">
        <v>46129</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49048-2024</t>
        </is>
      </c>
      <c r="B892" s="1" t="n">
        <v>45594.57427083333</v>
      </c>
      <c r="C892" s="1" t="n">
        <v>46129</v>
      </c>
      <c r="D892" t="inlineStr">
        <is>
          <t>JÄMTLANDS LÄN</t>
        </is>
      </c>
      <c r="E892" t="inlineStr">
        <is>
          <t>BERG</t>
        </is>
      </c>
      <c r="G892" t="n">
        <v>1.3</v>
      </c>
      <c r="H892" t="n">
        <v>0</v>
      </c>
      <c r="I892" t="n">
        <v>0</v>
      </c>
      <c r="J892" t="n">
        <v>0</v>
      </c>
      <c r="K892" t="n">
        <v>0</v>
      </c>
      <c r="L892" t="n">
        <v>0</v>
      </c>
      <c r="M892" t="n">
        <v>0</v>
      </c>
      <c r="N892" t="n">
        <v>0</v>
      </c>
      <c r="O892" t="n">
        <v>0</v>
      </c>
      <c r="P892" t="n">
        <v>0</v>
      </c>
      <c r="Q892" t="n">
        <v>0</v>
      </c>
      <c r="R892" s="2" t="inlineStr"/>
    </row>
    <row r="893" ht="15" customHeight="1">
      <c r="A893" t="inlineStr">
        <is>
          <t>A 54071-2023</t>
        </is>
      </c>
      <c r="B893" s="1" t="n">
        <v>45231</v>
      </c>
      <c r="C893" s="1" t="n">
        <v>46129</v>
      </c>
      <c r="D893" t="inlineStr">
        <is>
          <t>JÄMTLANDS LÄN</t>
        </is>
      </c>
      <c r="E893" t="inlineStr">
        <is>
          <t>BERG</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17046-2026</t>
        </is>
      </c>
      <c r="B894" s="1" t="n">
        <v>46114.4804050926</v>
      </c>
      <c r="C894" s="1" t="n">
        <v>46129</v>
      </c>
      <c r="D894" t="inlineStr">
        <is>
          <t>JÄMTLANDS LÄN</t>
        </is>
      </c>
      <c r="E894" t="inlineStr">
        <is>
          <t>BERG</t>
        </is>
      </c>
      <c r="G894" t="n">
        <v>28.9</v>
      </c>
      <c r="H894" t="n">
        <v>0</v>
      </c>
      <c r="I894" t="n">
        <v>0</v>
      </c>
      <c r="J894" t="n">
        <v>0</v>
      </c>
      <c r="K894" t="n">
        <v>0</v>
      </c>
      <c r="L894" t="n">
        <v>0</v>
      </c>
      <c r="M894" t="n">
        <v>0</v>
      </c>
      <c r="N894" t="n">
        <v>0</v>
      </c>
      <c r="O894" t="n">
        <v>0</v>
      </c>
      <c r="P894" t="n">
        <v>0</v>
      </c>
      <c r="Q894" t="n">
        <v>0</v>
      </c>
      <c r="R894" s="2" t="inlineStr"/>
    </row>
    <row r="895" ht="15" customHeight="1">
      <c r="A895" t="inlineStr">
        <is>
          <t>A 4527-2025</t>
        </is>
      </c>
      <c r="B895" s="1" t="n">
        <v>45686</v>
      </c>
      <c r="C895" s="1" t="n">
        <v>46129</v>
      </c>
      <c r="D895" t="inlineStr">
        <is>
          <t>JÄMTLANDS LÄN</t>
        </is>
      </c>
      <c r="E895" t="inlineStr">
        <is>
          <t>BERG</t>
        </is>
      </c>
      <c r="G895" t="n">
        <v>17.8</v>
      </c>
      <c r="H895" t="n">
        <v>0</v>
      </c>
      <c r="I895" t="n">
        <v>0</v>
      </c>
      <c r="J895" t="n">
        <v>0</v>
      </c>
      <c r="K895" t="n">
        <v>0</v>
      </c>
      <c r="L895" t="n">
        <v>0</v>
      </c>
      <c r="M895" t="n">
        <v>0</v>
      </c>
      <c r="N895" t="n">
        <v>0</v>
      </c>
      <c r="O895" t="n">
        <v>0</v>
      </c>
      <c r="P895" t="n">
        <v>0</v>
      </c>
      <c r="Q895" t="n">
        <v>0</v>
      </c>
      <c r="R895" s="2" t="inlineStr"/>
    </row>
    <row r="896" ht="15" customHeight="1">
      <c r="A896" t="inlineStr">
        <is>
          <t>A 461-2023</t>
        </is>
      </c>
      <c r="B896" s="1" t="n">
        <v>44929</v>
      </c>
      <c r="C896" s="1" t="n">
        <v>46129</v>
      </c>
      <c r="D896" t="inlineStr">
        <is>
          <t>JÄMTLANDS LÄN</t>
        </is>
      </c>
      <c r="E896" t="inlineStr">
        <is>
          <t>BERG</t>
        </is>
      </c>
      <c r="G896" t="n">
        <v>5.8</v>
      </c>
      <c r="H896" t="n">
        <v>0</v>
      </c>
      <c r="I896" t="n">
        <v>0</v>
      </c>
      <c r="J896" t="n">
        <v>0</v>
      </c>
      <c r="K896" t="n">
        <v>0</v>
      </c>
      <c r="L896" t="n">
        <v>0</v>
      </c>
      <c r="M896" t="n">
        <v>0</v>
      </c>
      <c r="N896" t="n">
        <v>0</v>
      </c>
      <c r="O896" t="n">
        <v>0</v>
      </c>
      <c r="P896" t="n">
        <v>0</v>
      </c>
      <c r="Q896" t="n">
        <v>0</v>
      </c>
      <c r="R896" s="2" t="inlineStr"/>
    </row>
    <row r="897" ht="15" customHeight="1">
      <c r="A897" t="inlineStr">
        <is>
          <t>A 525-2023</t>
        </is>
      </c>
      <c r="B897" s="1" t="n">
        <v>44924</v>
      </c>
      <c r="C897" s="1" t="n">
        <v>46129</v>
      </c>
      <c r="D897" t="inlineStr">
        <is>
          <t>JÄMTLANDS LÄN</t>
        </is>
      </c>
      <c r="E897" t="inlineStr">
        <is>
          <t>BERG</t>
        </is>
      </c>
      <c r="G897" t="n">
        <v>4</v>
      </c>
      <c r="H897" t="n">
        <v>0</v>
      </c>
      <c r="I897" t="n">
        <v>0</v>
      </c>
      <c r="J897" t="n">
        <v>0</v>
      </c>
      <c r="K897" t="n">
        <v>0</v>
      </c>
      <c r="L897" t="n">
        <v>0</v>
      </c>
      <c r="M897" t="n">
        <v>0</v>
      </c>
      <c r="N897" t="n">
        <v>0</v>
      </c>
      <c r="O897" t="n">
        <v>0</v>
      </c>
      <c r="P897" t="n">
        <v>0</v>
      </c>
      <c r="Q897" t="n">
        <v>0</v>
      </c>
      <c r="R897" s="2" t="inlineStr"/>
    </row>
    <row r="898" ht="15" customHeight="1">
      <c r="A898" t="inlineStr">
        <is>
          <t>A 17420-2026</t>
        </is>
      </c>
      <c r="B898" s="1" t="n">
        <v>46120.36201388889</v>
      </c>
      <c r="C898" s="1" t="n">
        <v>46129</v>
      </c>
      <c r="D898" t="inlineStr">
        <is>
          <t>JÄMTLANDS LÄN</t>
        </is>
      </c>
      <c r="E898" t="inlineStr">
        <is>
          <t>BERG</t>
        </is>
      </c>
      <c r="G898" t="n">
        <v>5</v>
      </c>
      <c r="H898" t="n">
        <v>0</v>
      </c>
      <c r="I898" t="n">
        <v>0</v>
      </c>
      <c r="J898" t="n">
        <v>0</v>
      </c>
      <c r="K898" t="n">
        <v>0</v>
      </c>
      <c r="L898" t="n">
        <v>0</v>
      </c>
      <c r="M898" t="n">
        <v>0</v>
      </c>
      <c r="N898" t="n">
        <v>0</v>
      </c>
      <c r="O898" t="n">
        <v>0</v>
      </c>
      <c r="P898" t="n">
        <v>0</v>
      </c>
      <c r="Q898" t="n">
        <v>0</v>
      </c>
      <c r="R898" s="2" t="inlineStr"/>
    </row>
    <row r="899" ht="15" customHeight="1">
      <c r="A899" t="inlineStr">
        <is>
          <t>A 26918-2024</t>
        </is>
      </c>
      <c r="B899" s="1" t="n">
        <v>45470</v>
      </c>
      <c r="C899" s="1" t="n">
        <v>46129</v>
      </c>
      <c r="D899" t="inlineStr">
        <is>
          <t>JÄMTLANDS LÄN</t>
        </is>
      </c>
      <c r="E899" t="inlineStr">
        <is>
          <t>BERG</t>
        </is>
      </c>
      <c r="G899" t="n">
        <v>0.4</v>
      </c>
      <c r="H899" t="n">
        <v>0</v>
      </c>
      <c r="I899" t="n">
        <v>0</v>
      </c>
      <c r="J899" t="n">
        <v>0</v>
      </c>
      <c r="K899" t="n">
        <v>0</v>
      </c>
      <c r="L899" t="n">
        <v>0</v>
      </c>
      <c r="M899" t="n">
        <v>0</v>
      </c>
      <c r="N899" t="n">
        <v>0</v>
      </c>
      <c r="O899" t="n">
        <v>0</v>
      </c>
      <c r="P899" t="n">
        <v>0</v>
      </c>
      <c r="Q899" t="n">
        <v>0</v>
      </c>
      <c r="R899" s="2" t="inlineStr"/>
    </row>
    <row r="900" ht="15" customHeight="1">
      <c r="A900" t="inlineStr">
        <is>
          <t>A 27579-2024</t>
        </is>
      </c>
      <c r="B900" s="1" t="n">
        <v>45474.65244212963</v>
      </c>
      <c r="C900" s="1" t="n">
        <v>46129</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54992-2023</t>
        </is>
      </c>
      <c r="B901" s="1" t="n">
        <v>45236.96789351852</v>
      </c>
      <c r="C901" s="1" t="n">
        <v>46129</v>
      </c>
      <c r="D901" t="inlineStr">
        <is>
          <t>JÄMTLANDS LÄN</t>
        </is>
      </c>
      <c r="E901" t="inlineStr">
        <is>
          <t>BERG</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54994-2023</t>
        </is>
      </c>
      <c r="B902" s="1" t="n">
        <v>45236</v>
      </c>
      <c r="C902" s="1" t="n">
        <v>46129</v>
      </c>
      <c r="D902" t="inlineStr">
        <is>
          <t>JÄMTLANDS LÄN</t>
        </is>
      </c>
      <c r="E902" t="inlineStr">
        <is>
          <t>BERG</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57226-2022</t>
        </is>
      </c>
      <c r="B903" s="1" t="n">
        <v>44895.66629629629</v>
      </c>
      <c r="C903" s="1" t="n">
        <v>46129</v>
      </c>
      <c r="D903" t="inlineStr">
        <is>
          <t>JÄMTLANDS LÄN</t>
        </is>
      </c>
      <c r="E903" t="inlineStr">
        <is>
          <t>BERG</t>
        </is>
      </c>
      <c r="G903" t="n">
        <v>4.6</v>
      </c>
      <c r="H903" t="n">
        <v>0</v>
      </c>
      <c r="I903" t="n">
        <v>0</v>
      </c>
      <c r="J903" t="n">
        <v>0</v>
      </c>
      <c r="K903" t="n">
        <v>0</v>
      </c>
      <c r="L903" t="n">
        <v>0</v>
      </c>
      <c r="M903" t="n">
        <v>0</v>
      </c>
      <c r="N903" t="n">
        <v>0</v>
      </c>
      <c r="O903" t="n">
        <v>0</v>
      </c>
      <c r="P903" t="n">
        <v>0</v>
      </c>
      <c r="Q903" t="n">
        <v>0</v>
      </c>
      <c r="R903" s="2" t="inlineStr"/>
    </row>
    <row r="904" ht="15" customHeight="1">
      <c r="A904" t="inlineStr">
        <is>
          <t>A 5911-2024</t>
        </is>
      </c>
      <c r="B904" s="1" t="n">
        <v>45335</v>
      </c>
      <c r="C904" s="1" t="n">
        <v>46129</v>
      </c>
      <c r="D904" t="inlineStr">
        <is>
          <t>JÄMTLANDS LÄN</t>
        </is>
      </c>
      <c r="E904" t="inlineStr">
        <is>
          <t>BERG</t>
        </is>
      </c>
      <c r="F904" t="inlineStr">
        <is>
          <t>SCA</t>
        </is>
      </c>
      <c r="G904" t="n">
        <v>28.6</v>
      </c>
      <c r="H904" t="n">
        <v>0</v>
      </c>
      <c r="I904" t="n">
        <v>0</v>
      </c>
      <c r="J904" t="n">
        <v>0</v>
      </c>
      <c r="K904" t="n">
        <v>0</v>
      </c>
      <c r="L904" t="n">
        <v>0</v>
      </c>
      <c r="M904" t="n">
        <v>0</v>
      </c>
      <c r="N904" t="n">
        <v>0</v>
      </c>
      <c r="O904" t="n">
        <v>0</v>
      </c>
      <c r="P904" t="n">
        <v>0</v>
      </c>
      <c r="Q904" t="n">
        <v>0</v>
      </c>
      <c r="R904" s="2" t="inlineStr"/>
    </row>
    <row r="905" ht="15" customHeight="1">
      <c r="A905" t="inlineStr">
        <is>
          <t>A 25306-2023</t>
        </is>
      </c>
      <c r="B905" s="1" t="n">
        <v>45086</v>
      </c>
      <c r="C905" s="1" t="n">
        <v>46129</v>
      </c>
      <c r="D905" t="inlineStr">
        <is>
          <t>JÄMTLANDS LÄN</t>
        </is>
      </c>
      <c r="E905" t="inlineStr">
        <is>
          <t>BERG</t>
        </is>
      </c>
      <c r="G905" t="n">
        <v>23.3</v>
      </c>
      <c r="H905" t="n">
        <v>0</v>
      </c>
      <c r="I905" t="n">
        <v>0</v>
      </c>
      <c r="J905" t="n">
        <v>0</v>
      </c>
      <c r="K905" t="n">
        <v>0</v>
      </c>
      <c r="L905" t="n">
        <v>0</v>
      </c>
      <c r="M905" t="n">
        <v>0</v>
      </c>
      <c r="N905" t="n">
        <v>0</v>
      </c>
      <c r="O905" t="n">
        <v>0</v>
      </c>
      <c r="P905" t="n">
        <v>0</v>
      </c>
      <c r="Q905" t="n">
        <v>0</v>
      </c>
      <c r="R905" s="2" t="inlineStr"/>
    </row>
    <row r="906" ht="15" customHeight="1">
      <c r="A906" t="inlineStr">
        <is>
          <t>A 10778-2026</t>
        </is>
      </c>
      <c r="B906" s="1" t="n">
        <v>46078.5741087963</v>
      </c>
      <c r="C906" s="1" t="n">
        <v>46129</v>
      </c>
      <c r="D906" t="inlineStr">
        <is>
          <t>JÄMTLANDS LÄN</t>
        </is>
      </c>
      <c r="E906" t="inlineStr">
        <is>
          <t>BERG</t>
        </is>
      </c>
      <c r="G906" t="n">
        <v>7.1</v>
      </c>
      <c r="H906" t="n">
        <v>0</v>
      </c>
      <c r="I906" t="n">
        <v>0</v>
      </c>
      <c r="J906" t="n">
        <v>0</v>
      </c>
      <c r="K906" t="n">
        <v>0</v>
      </c>
      <c r="L906" t="n">
        <v>0</v>
      </c>
      <c r="M906" t="n">
        <v>0</v>
      </c>
      <c r="N906" t="n">
        <v>0</v>
      </c>
      <c r="O906" t="n">
        <v>0</v>
      </c>
      <c r="P906" t="n">
        <v>0</v>
      </c>
      <c r="Q906" t="n">
        <v>0</v>
      </c>
      <c r="R906" s="2" t="inlineStr"/>
    </row>
    <row r="907" ht="15" customHeight="1">
      <c r="A907" t="inlineStr">
        <is>
          <t>A 17470-2026</t>
        </is>
      </c>
      <c r="B907" s="1" t="n">
        <v>46120.51174768519</v>
      </c>
      <c r="C907" s="1" t="n">
        <v>46129</v>
      </c>
      <c r="D907" t="inlineStr">
        <is>
          <t>JÄMTLANDS LÄN</t>
        </is>
      </c>
      <c r="E907" t="inlineStr">
        <is>
          <t>BERG</t>
        </is>
      </c>
      <c r="F907" t="inlineStr">
        <is>
          <t>SCA</t>
        </is>
      </c>
      <c r="G907" t="n">
        <v>7.2</v>
      </c>
      <c r="H907" t="n">
        <v>0</v>
      </c>
      <c r="I907" t="n">
        <v>0</v>
      </c>
      <c r="J907" t="n">
        <v>0</v>
      </c>
      <c r="K907" t="n">
        <v>0</v>
      </c>
      <c r="L907" t="n">
        <v>0</v>
      </c>
      <c r="M907" t="n">
        <v>0</v>
      </c>
      <c r="N907" t="n">
        <v>0</v>
      </c>
      <c r="O907" t="n">
        <v>0</v>
      </c>
      <c r="P907" t="n">
        <v>0</v>
      </c>
      <c r="Q907" t="n">
        <v>0</v>
      </c>
      <c r="R907" s="2" t="inlineStr"/>
    </row>
    <row r="908" ht="15" customHeight="1">
      <c r="A908" t="inlineStr">
        <is>
          <t>A 11142-2026</t>
        </is>
      </c>
      <c r="B908" s="1" t="n">
        <v>46079.87018518519</v>
      </c>
      <c r="C908" s="1" t="n">
        <v>46129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11093-2026</t>
        </is>
      </c>
      <c r="B909" s="1" t="n">
        <v>46079.64143518519</v>
      </c>
      <c r="C909" s="1" t="n">
        <v>46129</v>
      </c>
      <c r="D909" t="inlineStr">
        <is>
          <t>JÄMTLANDS LÄN</t>
        </is>
      </c>
      <c r="E909" t="inlineStr">
        <is>
          <t>BERG</t>
        </is>
      </c>
      <c r="G909" t="n">
        <v>4.5</v>
      </c>
      <c r="H909" t="n">
        <v>0</v>
      </c>
      <c r="I909" t="n">
        <v>0</v>
      </c>
      <c r="J909" t="n">
        <v>0</v>
      </c>
      <c r="K909" t="n">
        <v>0</v>
      </c>
      <c r="L909" t="n">
        <v>0</v>
      </c>
      <c r="M909" t="n">
        <v>0</v>
      </c>
      <c r="N909" t="n">
        <v>0</v>
      </c>
      <c r="O909" t="n">
        <v>0</v>
      </c>
      <c r="P909" t="n">
        <v>0</v>
      </c>
      <c r="Q909" t="n">
        <v>0</v>
      </c>
      <c r="R909" s="2" t="inlineStr"/>
    </row>
    <row r="910" ht="15" customHeight="1">
      <c r="A910" t="inlineStr">
        <is>
          <t>A 11134-2026</t>
        </is>
      </c>
      <c r="B910" s="1" t="n">
        <v>46079.74704861111</v>
      </c>
      <c r="C910" s="1" t="n">
        <v>46129</v>
      </c>
      <c r="D910" t="inlineStr">
        <is>
          <t>JÄMTLANDS LÄN</t>
        </is>
      </c>
      <c r="E910" t="inlineStr">
        <is>
          <t>BERG</t>
        </is>
      </c>
      <c r="G910" t="n">
        <v>3.9</v>
      </c>
      <c r="H910" t="n">
        <v>0</v>
      </c>
      <c r="I910" t="n">
        <v>0</v>
      </c>
      <c r="J910" t="n">
        <v>0</v>
      </c>
      <c r="K910" t="n">
        <v>0</v>
      </c>
      <c r="L910" t="n">
        <v>0</v>
      </c>
      <c r="M910" t="n">
        <v>0</v>
      </c>
      <c r="N910" t="n">
        <v>0</v>
      </c>
      <c r="O910" t="n">
        <v>0</v>
      </c>
      <c r="P910" t="n">
        <v>0</v>
      </c>
      <c r="Q910" t="n">
        <v>0</v>
      </c>
      <c r="R910" s="2" t="inlineStr"/>
    </row>
    <row r="911" ht="15" customHeight="1">
      <c r="A911" t="inlineStr">
        <is>
          <t>A 17624-2026</t>
        </is>
      </c>
      <c r="B911" s="1" t="n">
        <v>46121.46959490741</v>
      </c>
      <c r="C911" s="1" t="n">
        <v>46129</v>
      </c>
      <c r="D911" t="inlineStr">
        <is>
          <t>JÄMTLANDS LÄN</t>
        </is>
      </c>
      <c r="E911" t="inlineStr">
        <is>
          <t>BERG</t>
        </is>
      </c>
      <c r="F911" t="inlineStr">
        <is>
          <t>SCA</t>
        </is>
      </c>
      <c r="G911" t="n">
        <v>5.8</v>
      </c>
      <c r="H911" t="n">
        <v>0</v>
      </c>
      <c r="I911" t="n">
        <v>0</v>
      </c>
      <c r="J911" t="n">
        <v>0</v>
      </c>
      <c r="K911" t="n">
        <v>0</v>
      </c>
      <c r="L911" t="n">
        <v>0</v>
      </c>
      <c r="M911" t="n">
        <v>0</v>
      </c>
      <c r="N911" t="n">
        <v>0</v>
      </c>
      <c r="O911" t="n">
        <v>0</v>
      </c>
      <c r="P911" t="n">
        <v>0</v>
      </c>
      <c r="Q911" t="n">
        <v>0</v>
      </c>
      <c r="R911" s="2" t="inlineStr"/>
    </row>
    <row r="912" ht="15" customHeight="1">
      <c r="A912" t="inlineStr">
        <is>
          <t>A 13373-2024</t>
        </is>
      </c>
      <c r="B912" s="1" t="n">
        <v>45387.37010416666</v>
      </c>
      <c r="C912" s="1" t="n">
        <v>46129</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11255-2026</t>
        </is>
      </c>
      <c r="B913" s="1" t="n">
        <v>46080</v>
      </c>
      <c r="C913" s="1" t="n">
        <v>46129</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52774-2023</t>
        </is>
      </c>
      <c r="B914" s="1" t="n">
        <v>45219</v>
      </c>
      <c r="C914" s="1" t="n">
        <v>46129</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11141-2026</t>
        </is>
      </c>
      <c r="B915" s="1" t="n">
        <v>46079.85365740741</v>
      </c>
      <c r="C915" s="1" t="n">
        <v>46129</v>
      </c>
      <c r="D915" t="inlineStr">
        <is>
          <t>JÄMTLANDS LÄN</t>
        </is>
      </c>
      <c r="E915" t="inlineStr">
        <is>
          <t>BERG</t>
        </is>
      </c>
      <c r="G915" t="n">
        <v>5.2</v>
      </c>
      <c r="H915" t="n">
        <v>0</v>
      </c>
      <c r="I915" t="n">
        <v>0</v>
      </c>
      <c r="J915" t="n">
        <v>0</v>
      </c>
      <c r="K915" t="n">
        <v>0</v>
      </c>
      <c r="L915" t="n">
        <v>0</v>
      </c>
      <c r="M915" t="n">
        <v>0</v>
      </c>
      <c r="N915" t="n">
        <v>0</v>
      </c>
      <c r="O915" t="n">
        <v>0</v>
      </c>
      <c r="P915" t="n">
        <v>0</v>
      </c>
      <c r="Q915" t="n">
        <v>0</v>
      </c>
      <c r="R915" s="2" t="inlineStr"/>
    </row>
    <row r="916" ht="15" customHeight="1">
      <c r="A916" t="inlineStr">
        <is>
          <t>A 11143-2026</t>
        </is>
      </c>
      <c r="B916" s="1" t="n">
        <v>46079.87586805555</v>
      </c>
      <c r="C916" s="1" t="n">
        <v>46129</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11322-2026</t>
        </is>
      </c>
      <c r="B917" s="1" t="n">
        <v>46080</v>
      </c>
      <c r="C917" s="1" t="n">
        <v>46129</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11144-2026</t>
        </is>
      </c>
      <c r="B918" s="1" t="n">
        <v>46079.88511574074</v>
      </c>
      <c r="C918" s="1" t="n">
        <v>46129</v>
      </c>
      <c r="D918" t="inlineStr">
        <is>
          <t>JÄMTLANDS LÄN</t>
        </is>
      </c>
      <c r="E918" t="inlineStr">
        <is>
          <t>BERG</t>
        </is>
      </c>
      <c r="G918" t="n">
        <v>3.7</v>
      </c>
      <c r="H918" t="n">
        <v>0</v>
      </c>
      <c r="I918" t="n">
        <v>0</v>
      </c>
      <c r="J918" t="n">
        <v>0</v>
      </c>
      <c r="K918" t="n">
        <v>0</v>
      </c>
      <c r="L918" t="n">
        <v>0</v>
      </c>
      <c r="M918" t="n">
        <v>0</v>
      </c>
      <c r="N918" t="n">
        <v>0</v>
      </c>
      <c r="O918" t="n">
        <v>0</v>
      </c>
      <c r="P918" t="n">
        <v>0</v>
      </c>
      <c r="Q918" t="n">
        <v>0</v>
      </c>
      <c r="R918" s="2" t="inlineStr"/>
    </row>
    <row r="919" ht="15" customHeight="1">
      <c r="A919" t="inlineStr">
        <is>
          <t>A 24011-2023</t>
        </is>
      </c>
      <c r="B919" s="1" t="n">
        <v>45078</v>
      </c>
      <c r="C919" s="1" t="n">
        <v>46129</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11704-2023</t>
        </is>
      </c>
      <c r="B920" s="1" t="n">
        <v>44994.54274305556</v>
      </c>
      <c r="C920" s="1" t="n">
        <v>46129</v>
      </c>
      <c r="D920" t="inlineStr">
        <is>
          <t>JÄMTLANDS LÄN</t>
        </is>
      </c>
      <c r="E920" t="inlineStr">
        <is>
          <t>BERG</t>
        </is>
      </c>
      <c r="G920" t="n">
        <v>1</v>
      </c>
      <c r="H920" t="n">
        <v>0</v>
      </c>
      <c r="I920" t="n">
        <v>0</v>
      </c>
      <c r="J920" t="n">
        <v>0</v>
      </c>
      <c r="K920" t="n">
        <v>0</v>
      </c>
      <c r="L920" t="n">
        <v>0</v>
      </c>
      <c r="M920" t="n">
        <v>0</v>
      </c>
      <c r="N920" t="n">
        <v>0</v>
      </c>
      <c r="O920" t="n">
        <v>0</v>
      </c>
      <c r="P920" t="n">
        <v>0</v>
      </c>
      <c r="Q920" t="n">
        <v>0</v>
      </c>
      <c r="R920" s="2" t="inlineStr"/>
    </row>
    <row r="921" ht="15" customHeight="1">
      <c r="A921" t="inlineStr">
        <is>
          <t>A 11292-2026</t>
        </is>
      </c>
      <c r="B921" s="1" t="n">
        <v>46080.6150462963</v>
      </c>
      <c r="C921" s="1" t="n">
        <v>46129</v>
      </c>
      <c r="D921" t="inlineStr">
        <is>
          <t>JÄMTLANDS LÄN</t>
        </is>
      </c>
      <c r="E921" t="inlineStr">
        <is>
          <t>BERG</t>
        </is>
      </c>
      <c r="G921" t="n">
        <v>1.7</v>
      </c>
      <c r="H921" t="n">
        <v>0</v>
      </c>
      <c r="I921" t="n">
        <v>0</v>
      </c>
      <c r="J921" t="n">
        <v>0</v>
      </c>
      <c r="K921" t="n">
        <v>0</v>
      </c>
      <c r="L921" t="n">
        <v>0</v>
      </c>
      <c r="M921" t="n">
        <v>0</v>
      </c>
      <c r="N921" t="n">
        <v>0</v>
      </c>
      <c r="O921" t="n">
        <v>0</v>
      </c>
      <c r="P921" t="n">
        <v>0</v>
      </c>
      <c r="Q921" t="n">
        <v>0</v>
      </c>
      <c r="R921" s="2" t="inlineStr"/>
    </row>
    <row r="922" ht="15" customHeight="1">
      <c r="A922" t="inlineStr">
        <is>
          <t>A 59459-2024</t>
        </is>
      </c>
      <c r="B922" s="1" t="n">
        <v>45638</v>
      </c>
      <c r="C922" s="1" t="n">
        <v>46129</v>
      </c>
      <c r="D922" t="inlineStr">
        <is>
          <t>JÄMTLANDS LÄN</t>
        </is>
      </c>
      <c r="E922" t="inlineStr">
        <is>
          <t>BERG</t>
        </is>
      </c>
      <c r="G922" t="n">
        <v>1.1</v>
      </c>
      <c r="H922" t="n">
        <v>0</v>
      </c>
      <c r="I922" t="n">
        <v>0</v>
      </c>
      <c r="J922" t="n">
        <v>0</v>
      </c>
      <c r="K922" t="n">
        <v>0</v>
      </c>
      <c r="L922" t="n">
        <v>0</v>
      </c>
      <c r="M922" t="n">
        <v>0</v>
      </c>
      <c r="N922" t="n">
        <v>0</v>
      </c>
      <c r="O922" t="n">
        <v>0</v>
      </c>
      <c r="P922" t="n">
        <v>0</v>
      </c>
      <c r="Q922" t="n">
        <v>0</v>
      </c>
      <c r="R922" s="2" t="inlineStr"/>
    </row>
    <row r="923" ht="15" customHeight="1">
      <c r="A923" t="inlineStr">
        <is>
          <t>A 14153-2023</t>
        </is>
      </c>
      <c r="B923" s="1" t="n">
        <v>45008</v>
      </c>
      <c r="C923" s="1" t="n">
        <v>46129</v>
      </c>
      <c r="D923" t="inlineStr">
        <is>
          <t>JÄMTLANDS LÄN</t>
        </is>
      </c>
      <c r="E923" t="inlineStr">
        <is>
          <t>BERG</t>
        </is>
      </c>
      <c r="G923" t="n">
        <v>1.1</v>
      </c>
      <c r="H923" t="n">
        <v>0</v>
      </c>
      <c r="I923" t="n">
        <v>0</v>
      </c>
      <c r="J923" t="n">
        <v>0</v>
      </c>
      <c r="K923" t="n">
        <v>0</v>
      </c>
      <c r="L923" t="n">
        <v>0</v>
      </c>
      <c r="M923" t="n">
        <v>0</v>
      </c>
      <c r="N923" t="n">
        <v>0</v>
      </c>
      <c r="O923" t="n">
        <v>0</v>
      </c>
      <c r="P923" t="n">
        <v>0</v>
      </c>
      <c r="Q923" t="n">
        <v>0</v>
      </c>
      <c r="R923" s="2" t="inlineStr"/>
    </row>
    <row r="924" ht="15" customHeight="1">
      <c r="A924" t="inlineStr">
        <is>
          <t>A 20899-2023</t>
        </is>
      </c>
      <c r="B924" s="1" t="n">
        <v>45060</v>
      </c>
      <c r="C924" s="1" t="n">
        <v>46129</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41106-2023</t>
        </is>
      </c>
      <c r="B925" s="1" t="n">
        <v>45170</v>
      </c>
      <c r="C925" s="1" t="n">
        <v>46129</v>
      </c>
      <c r="D925" t="inlineStr">
        <is>
          <t>JÄMTLANDS LÄN</t>
        </is>
      </c>
      <c r="E925" t="inlineStr">
        <is>
          <t>BERG</t>
        </is>
      </c>
      <c r="G925" t="n">
        <v>0.7</v>
      </c>
      <c r="H925" t="n">
        <v>0</v>
      </c>
      <c r="I925" t="n">
        <v>0</v>
      </c>
      <c r="J925" t="n">
        <v>0</v>
      </c>
      <c r="K925" t="n">
        <v>0</v>
      </c>
      <c r="L925" t="n">
        <v>0</v>
      </c>
      <c r="M925" t="n">
        <v>0</v>
      </c>
      <c r="N925" t="n">
        <v>0</v>
      </c>
      <c r="O925" t="n">
        <v>0</v>
      </c>
      <c r="P925" t="n">
        <v>0</v>
      </c>
      <c r="Q925" t="n">
        <v>0</v>
      </c>
      <c r="R925" s="2" t="inlineStr"/>
    </row>
    <row r="926" ht="15" customHeight="1">
      <c r="A926" t="inlineStr">
        <is>
          <t>A 7744-2024</t>
        </is>
      </c>
      <c r="B926" s="1" t="n">
        <v>45349</v>
      </c>
      <c r="C926" s="1" t="n">
        <v>46129</v>
      </c>
      <c r="D926" t="inlineStr">
        <is>
          <t>JÄMTLANDS LÄN</t>
        </is>
      </c>
      <c r="E926" t="inlineStr">
        <is>
          <t>BERG</t>
        </is>
      </c>
      <c r="G926" t="n">
        <v>1.7</v>
      </c>
      <c r="H926" t="n">
        <v>0</v>
      </c>
      <c r="I926" t="n">
        <v>0</v>
      </c>
      <c r="J926" t="n">
        <v>0</v>
      </c>
      <c r="K926" t="n">
        <v>0</v>
      </c>
      <c r="L926" t="n">
        <v>0</v>
      </c>
      <c r="M926" t="n">
        <v>0</v>
      </c>
      <c r="N926" t="n">
        <v>0</v>
      </c>
      <c r="O926" t="n">
        <v>0</v>
      </c>
      <c r="P926" t="n">
        <v>0</v>
      </c>
      <c r="Q926" t="n">
        <v>0</v>
      </c>
      <c r="R926" s="2" t="inlineStr"/>
    </row>
    <row r="927" ht="15" customHeight="1">
      <c r="A927" t="inlineStr">
        <is>
          <t>A 11390-2026</t>
        </is>
      </c>
      <c r="B927" s="1" t="n">
        <v>46083.42858796296</v>
      </c>
      <c r="C927" s="1" t="n">
        <v>46129</v>
      </c>
      <c r="D927" t="inlineStr">
        <is>
          <t>JÄMTLANDS LÄN</t>
        </is>
      </c>
      <c r="E927" t="inlineStr">
        <is>
          <t>BERG</t>
        </is>
      </c>
      <c r="G927" t="n">
        <v>7</v>
      </c>
      <c r="H927" t="n">
        <v>0</v>
      </c>
      <c r="I927" t="n">
        <v>0</v>
      </c>
      <c r="J927" t="n">
        <v>0</v>
      </c>
      <c r="K927" t="n">
        <v>0</v>
      </c>
      <c r="L927" t="n">
        <v>0</v>
      </c>
      <c r="M927" t="n">
        <v>0</v>
      </c>
      <c r="N927" t="n">
        <v>0</v>
      </c>
      <c r="O927" t="n">
        <v>0</v>
      </c>
      <c r="P927" t="n">
        <v>0</v>
      </c>
      <c r="Q927" t="n">
        <v>0</v>
      </c>
      <c r="R927" s="2" t="inlineStr"/>
    </row>
    <row r="928" ht="15" customHeight="1">
      <c r="A928" t="inlineStr">
        <is>
          <t>A 11400-2026</t>
        </is>
      </c>
      <c r="B928" s="1" t="n">
        <v>46083.44576388889</v>
      </c>
      <c r="C928" s="1" t="n">
        <v>46129</v>
      </c>
      <c r="D928" t="inlineStr">
        <is>
          <t>JÄMTLANDS LÄN</t>
        </is>
      </c>
      <c r="E928" t="inlineStr">
        <is>
          <t>BERG</t>
        </is>
      </c>
      <c r="G928" t="n">
        <v>2</v>
      </c>
      <c r="H928" t="n">
        <v>0</v>
      </c>
      <c r="I928" t="n">
        <v>0</v>
      </c>
      <c r="J928" t="n">
        <v>0</v>
      </c>
      <c r="K928" t="n">
        <v>0</v>
      </c>
      <c r="L928" t="n">
        <v>0</v>
      </c>
      <c r="M928" t="n">
        <v>0</v>
      </c>
      <c r="N928" t="n">
        <v>0</v>
      </c>
      <c r="O928" t="n">
        <v>0</v>
      </c>
      <c r="P928" t="n">
        <v>0</v>
      </c>
      <c r="Q928" t="n">
        <v>0</v>
      </c>
      <c r="R928" s="2" t="inlineStr"/>
    </row>
    <row r="929" ht="15" customHeight="1">
      <c r="A929" t="inlineStr">
        <is>
          <t>A 11428-2026</t>
        </is>
      </c>
      <c r="B929" s="1" t="n">
        <v>46083.49012731481</v>
      </c>
      <c r="C929" s="1" t="n">
        <v>46129</v>
      </c>
      <c r="D929" t="inlineStr">
        <is>
          <t>JÄMTLANDS LÄN</t>
        </is>
      </c>
      <c r="E929" t="inlineStr">
        <is>
          <t>BERG</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18007-2026</t>
        </is>
      </c>
      <c r="B930" s="1" t="n">
        <v>46125.31802083334</v>
      </c>
      <c r="C930" s="1" t="n">
        <v>46129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511-2025</t>
        </is>
      </c>
      <c r="B931" s="1" t="n">
        <v>45664.47284722222</v>
      </c>
      <c r="C931" s="1" t="n">
        <v>46129</v>
      </c>
      <c r="D931" t="inlineStr">
        <is>
          <t>JÄMTLANDS LÄN</t>
        </is>
      </c>
      <c r="E931" t="inlineStr">
        <is>
          <t>BERG</t>
        </is>
      </c>
      <c r="G931" t="n">
        <v>4.5</v>
      </c>
      <c r="H931" t="n">
        <v>0</v>
      </c>
      <c r="I931" t="n">
        <v>0</v>
      </c>
      <c r="J931" t="n">
        <v>0</v>
      </c>
      <c r="K931" t="n">
        <v>0</v>
      </c>
      <c r="L931" t="n">
        <v>0</v>
      </c>
      <c r="M931" t="n">
        <v>0</v>
      </c>
      <c r="N931" t="n">
        <v>0</v>
      </c>
      <c r="O931" t="n">
        <v>0</v>
      </c>
      <c r="P931" t="n">
        <v>0</v>
      </c>
      <c r="Q931" t="n">
        <v>0</v>
      </c>
      <c r="R931" s="2" t="inlineStr"/>
    </row>
    <row r="932" ht="15" customHeight="1">
      <c r="A932" t="inlineStr">
        <is>
          <t>A 43137-2025</t>
        </is>
      </c>
      <c r="B932" s="1" t="n">
        <v>45909.85438657407</v>
      </c>
      <c r="C932" s="1" t="n">
        <v>46129</v>
      </c>
      <c r="D932" t="inlineStr">
        <is>
          <t>JÄMTLANDS LÄN</t>
        </is>
      </c>
      <c r="E932" t="inlineStr">
        <is>
          <t>BERG</t>
        </is>
      </c>
      <c r="F932" t="inlineStr">
        <is>
          <t>Övriga statliga verk och myndigheter</t>
        </is>
      </c>
      <c r="G932" t="n">
        <v>11.6</v>
      </c>
      <c r="H932" t="n">
        <v>0</v>
      </c>
      <c r="I932" t="n">
        <v>0</v>
      </c>
      <c r="J932" t="n">
        <v>0</v>
      </c>
      <c r="K932" t="n">
        <v>0</v>
      </c>
      <c r="L932" t="n">
        <v>0</v>
      </c>
      <c r="M932" t="n">
        <v>0</v>
      </c>
      <c r="N932" t="n">
        <v>0</v>
      </c>
      <c r="O932" t="n">
        <v>0</v>
      </c>
      <c r="P932" t="n">
        <v>0</v>
      </c>
      <c r="Q932" t="n">
        <v>0</v>
      </c>
      <c r="R932" s="2" t="inlineStr"/>
    </row>
    <row r="933" ht="15" customHeight="1">
      <c r="A933" t="inlineStr">
        <is>
          <t>A 40415-2023</t>
        </is>
      </c>
      <c r="B933" s="1" t="n">
        <v>45169.93925925926</v>
      </c>
      <c r="C933" s="1" t="n">
        <v>46129</v>
      </c>
      <c r="D933" t="inlineStr">
        <is>
          <t>JÄMTLANDS LÄN</t>
        </is>
      </c>
      <c r="E933" t="inlineStr">
        <is>
          <t>BERG</t>
        </is>
      </c>
      <c r="F933" t="inlineStr">
        <is>
          <t>SCA</t>
        </is>
      </c>
      <c r="G933" t="n">
        <v>10.2</v>
      </c>
      <c r="H933" t="n">
        <v>0</v>
      </c>
      <c r="I933" t="n">
        <v>0</v>
      </c>
      <c r="J933" t="n">
        <v>0</v>
      </c>
      <c r="K933" t="n">
        <v>0</v>
      </c>
      <c r="L933" t="n">
        <v>0</v>
      </c>
      <c r="M933" t="n">
        <v>0</v>
      </c>
      <c r="N933" t="n">
        <v>0</v>
      </c>
      <c r="O933" t="n">
        <v>0</v>
      </c>
      <c r="P933" t="n">
        <v>0</v>
      </c>
      <c r="Q933" t="n">
        <v>0</v>
      </c>
      <c r="R933" s="2" t="inlineStr"/>
    </row>
    <row r="934" ht="15" customHeight="1">
      <c r="A934" t="inlineStr">
        <is>
          <t>A 12611-2025</t>
        </is>
      </c>
      <c r="B934" s="1" t="n">
        <v>45733.33921296296</v>
      </c>
      <c r="C934" s="1" t="n">
        <v>46129</v>
      </c>
      <c r="D934" t="inlineStr">
        <is>
          <t>JÄMTLANDS LÄN</t>
        </is>
      </c>
      <c r="E934" t="inlineStr">
        <is>
          <t>BERG</t>
        </is>
      </c>
      <c r="G934" t="n">
        <v>7.7</v>
      </c>
      <c r="H934" t="n">
        <v>0</v>
      </c>
      <c r="I934" t="n">
        <v>0</v>
      </c>
      <c r="J934" t="n">
        <v>0</v>
      </c>
      <c r="K934" t="n">
        <v>0</v>
      </c>
      <c r="L934" t="n">
        <v>0</v>
      </c>
      <c r="M934" t="n">
        <v>0</v>
      </c>
      <c r="N934" t="n">
        <v>0</v>
      </c>
      <c r="O934" t="n">
        <v>0</v>
      </c>
      <c r="P934" t="n">
        <v>0</v>
      </c>
      <c r="Q934" t="n">
        <v>0</v>
      </c>
      <c r="R934" s="2" t="inlineStr"/>
    </row>
    <row r="935" ht="15" customHeight="1">
      <c r="A935" t="inlineStr">
        <is>
          <t>A 11395-2026</t>
        </is>
      </c>
      <c r="B935" s="1" t="n">
        <v>46083.43694444445</v>
      </c>
      <c r="C935" s="1" t="n">
        <v>46129</v>
      </c>
      <c r="D935" t="inlineStr">
        <is>
          <t>JÄMTLANDS LÄN</t>
        </is>
      </c>
      <c r="E935" t="inlineStr">
        <is>
          <t>BERG</t>
        </is>
      </c>
      <c r="G935" t="n">
        <v>8.6</v>
      </c>
      <c r="H935" t="n">
        <v>0</v>
      </c>
      <c r="I935" t="n">
        <v>0</v>
      </c>
      <c r="J935" t="n">
        <v>0</v>
      </c>
      <c r="K935" t="n">
        <v>0</v>
      </c>
      <c r="L935" t="n">
        <v>0</v>
      </c>
      <c r="M935" t="n">
        <v>0</v>
      </c>
      <c r="N935" t="n">
        <v>0</v>
      </c>
      <c r="O935" t="n">
        <v>0</v>
      </c>
      <c r="P935" t="n">
        <v>0</v>
      </c>
      <c r="Q935" t="n">
        <v>0</v>
      </c>
      <c r="R935" s="2" t="inlineStr"/>
    </row>
    <row r="936" ht="15" customHeight="1">
      <c r="A936" t="inlineStr">
        <is>
          <t>A 11409-2026</t>
        </is>
      </c>
      <c r="B936" s="1" t="n">
        <v>46083.4584375</v>
      </c>
      <c r="C936" s="1" t="n">
        <v>46129</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11442-2026</t>
        </is>
      </c>
      <c r="B937" s="1" t="n">
        <v>46083.52256944445</v>
      </c>
      <c r="C937" s="1" t="n">
        <v>46129</v>
      </c>
      <c r="D937" t="inlineStr">
        <is>
          <t>JÄMTLANDS LÄN</t>
        </is>
      </c>
      <c r="E937" t="inlineStr">
        <is>
          <t>BERG</t>
        </is>
      </c>
      <c r="G937" t="n">
        <v>2</v>
      </c>
      <c r="H937" t="n">
        <v>0</v>
      </c>
      <c r="I937" t="n">
        <v>0</v>
      </c>
      <c r="J937" t="n">
        <v>0</v>
      </c>
      <c r="K937" t="n">
        <v>0</v>
      </c>
      <c r="L937" t="n">
        <v>0</v>
      </c>
      <c r="M937" t="n">
        <v>0</v>
      </c>
      <c r="N937" t="n">
        <v>0</v>
      </c>
      <c r="O937" t="n">
        <v>0</v>
      </c>
      <c r="P937" t="n">
        <v>0</v>
      </c>
      <c r="Q937" t="n">
        <v>0</v>
      </c>
      <c r="R937" s="2" t="inlineStr"/>
    </row>
    <row r="938" ht="15" customHeight="1">
      <c r="A938" t="inlineStr">
        <is>
          <t>A 18082-2026</t>
        </is>
      </c>
      <c r="B938" s="1" t="n">
        <v>46125.53168981482</v>
      </c>
      <c r="C938" s="1" t="n">
        <v>46129</v>
      </c>
      <c r="D938" t="inlineStr">
        <is>
          <t>JÄMTLANDS LÄN</t>
        </is>
      </c>
      <c r="E938" t="inlineStr">
        <is>
          <t>BERG</t>
        </is>
      </c>
      <c r="F938" t="inlineStr">
        <is>
          <t>SCA</t>
        </is>
      </c>
      <c r="G938" t="n">
        <v>10.3</v>
      </c>
      <c r="H938" t="n">
        <v>0</v>
      </c>
      <c r="I938" t="n">
        <v>0</v>
      </c>
      <c r="J938" t="n">
        <v>0</v>
      </c>
      <c r="K938" t="n">
        <v>0</v>
      </c>
      <c r="L938" t="n">
        <v>0</v>
      </c>
      <c r="M938" t="n">
        <v>0</v>
      </c>
      <c r="N938" t="n">
        <v>0</v>
      </c>
      <c r="O938" t="n">
        <v>0</v>
      </c>
      <c r="P938" t="n">
        <v>0</v>
      </c>
      <c r="Q938" t="n">
        <v>0</v>
      </c>
      <c r="R938" s="2" t="inlineStr"/>
    </row>
    <row r="939" ht="15" customHeight="1">
      <c r="A939" t="inlineStr">
        <is>
          <t>A 18056-2026</t>
        </is>
      </c>
      <c r="B939" s="1" t="n">
        <v>46125.43604166667</v>
      </c>
      <c r="C939" s="1" t="n">
        <v>46129</v>
      </c>
      <c r="D939" t="inlineStr">
        <is>
          <t>JÄMTLANDS LÄN</t>
        </is>
      </c>
      <c r="E939" t="inlineStr">
        <is>
          <t>BERG</t>
        </is>
      </c>
      <c r="G939" t="n">
        <v>3.4</v>
      </c>
      <c r="H939" t="n">
        <v>0</v>
      </c>
      <c r="I939" t="n">
        <v>0</v>
      </c>
      <c r="J939" t="n">
        <v>0</v>
      </c>
      <c r="K939" t="n">
        <v>0</v>
      </c>
      <c r="L939" t="n">
        <v>0</v>
      </c>
      <c r="M939" t="n">
        <v>0</v>
      </c>
      <c r="N939" t="n">
        <v>0</v>
      </c>
      <c r="O939" t="n">
        <v>0</v>
      </c>
      <c r="P939" t="n">
        <v>0</v>
      </c>
      <c r="Q939" t="n">
        <v>0</v>
      </c>
      <c r="R939" s="2" t="inlineStr"/>
    </row>
    <row r="940" ht="15" customHeight="1">
      <c r="A940" t="inlineStr">
        <is>
          <t>A 2247-2025</t>
        </is>
      </c>
      <c r="B940" s="1" t="n">
        <v>45673.49039351852</v>
      </c>
      <c r="C940" s="1" t="n">
        <v>46129</v>
      </c>
      <c r="D940" t="inlineStr">
        <is>
          <t>JÄMTLANDS LÄN</t>
        </is>
      </c>
      <c r="E940" t="inlineStr">
        <is>
          <t>BERG</t>
        </is>
      </c>
      <c r="F940" t="inlineStr">
        <is>
          <t>SCA</t>
        </is>
      </c>
      <c r="G940" t="n">
        <v>13.3</v>
      </c>
      <c r="H940" t="n">
        <v>0</v>
      </c>
      <c r="I940" t="n">
        <v>0</v>
      </c>
      <c r="J940" t="n">
        <v>0</v>
      </c>
      <c r="K940" t="n">
        <v>0</v>
      </c>
      <c r="L940" t="n">
        <v>0</v>
      </c>
      <c r="M940" t="n">
        <v>0</v>
      </c>
      <c r="N940" t="n">
        <v>0</v>
      </c>
      <c r="O940" t="n">
        <v>0</v>
      </c>
      <c r="P940" t="n">
        <v>0</v>
      </c>
      <c r="Q940" t="n">
        <v>0</v>
      </c>
      <c r="R940" s="2" t="inlineStr"/>
    </row>
    <row r="941" ht="15" customHeight="1">
      <c r="A941" t="inlineStr">
        <is>
          <t>A 11403-2026</t>
        </is>
      </c>
      <c r="B941" s="1" t="n">
        <v>46083.45075231481</v>
      </c>
      <c r="C941" s="1" t="n">
        <v>46129</v>
      </c>
      <c r="D941" t="inlineStr">
        <is>
          <t>JÄMTLANDS LÄN</t>
        </is>
      </c>
      <c r="E941" t="inlineStr">
        <is>
          <t>BERG</t>
        </is>
      </c>
      <c r="G941" t="n">
        <v>0.5</v>
      </c>
      <c r="H941" t="n">
        <v>0</v>
      </c>
      <c r="I941" t="n">
        <v>0</v>
      </c>
      <c r="J941" t="n">
        <v>0</v>
      </c>
      <c r="K941" t="n">
        <v>0</v>
      </c>
      <c r="L941" t="n">
        <v>0</v>
      </c>
      <c r="M941" t="n">
        <v>0</v>
      </c>
      <c r="N941" t="n">
        <v>0</v>
      </c>
      <c r="O941" t="n">
        <v>0</v>
      </c>
      <c r="P941" t="n">
        <v>0</v>
      </c>
      <c r="Q941" t="n">
        <v>0</v>
      </c>
      <c r="R941" s="2" t="inlineStr"/>
    </row>
    <row r="942" ht="15" customHeight="1">
      <c r="A942" t="inlineStr">
        <is>
          <t>A 11408-2026</t>
        </is>
      </c>
      <c r="B942" s="1" t="n">
        <v>46083.45653935185</v>
      </c>
      <c r="C942" s="1" t="n">
        <v>46129</v>
      </c>
      <c r="D942" t="inlineStr">
        <is>
          <t>JÄMTLANDS LÄN</t>
        </is>
      </c>
      <c r="E942" t="inlineStr">
        <is>
          <t>BERG</t>
        </is>
      </c>
      <c r="G942" t="n">
        <v>1.1</v>
      </c>
      <c r="H942" t="n">
        <v>0</v>
      </c>
      <c r="I942" t="n">
        <v>0</v>
      </c>
      <c r="J942" t="n">
        <v>0</v>
      </c>
      <c r="K942" t="n">
        <v>0</v>
      </c>
      <c r="L942" t="n">
        <v>0</v>
      </c>
      <c r="M942" t="n">
        <v>0</v>
      </c>
      <c r="N942" t="n">
        <v>0</v>
      </c>
      <c r="O942" t="n">
        <v>0</v>
      </c>
      <c r="P942" t="n">
        <v>0</v>
      </c>
      <c r="Q942" t="n">
        <v>0</v>
      </c>
      <c r="R942" s="2" t="inlineStr"/>
    </row>
    <row r="943" ht="15" customHeight="1">
      <c r="A943" t="inlineStr">
        <is>
          <t>A 11418-2026</t>
        </is>
      </c>
      <c r="B943" s="1" t="n">
        <v>46083.47025462963</v>
      </c>
      <c r="C943" s="1" t="n">
        <v>46129</v>
      </c>
      <c r="D943" t="inlineStr">
        <is>
          <t>JÄMTLANDS LÄN</t>
        </is>
      </c>
      <c r="E943" t="inlineStr">
        <is>
          <t>BERG</t>
        </is>
      </c>
      <c r="G943" t="n">
        <v>17.8</v>
      </c>
      <c r="H943" t="n">
        <v>0</v>
      </c>
      <c r="I943" t="n">
        <v>0</v>
      </c>
      <c r="J943" t="n">
        <v>0</v>
      </c>
      <c r="K943" t="n">
        <v>0</v>
      </c>
      <c r="L943" t="n">
        <v>0</v>
      </c>
      <c r="M943" t="n">
        <v>0</v>
      </c>
      <c r="N943" t="n">
        <v>0</v>
      </c>
      <c r="O943" t="n">
        <v>0</v>
      </c>
      <c r="P943" t="n">
        <v>0</v>
      </c>
      <c r="Q943" t="n">
        <v>0</v>
      </c>
      <c r="R943" s="2" t="inlineStr"/>
    </row>
    <row r="944" ht="15" customHeight="1">
      <c r="A944" t="inlineStr">
        <is>
          <t>A 16362-2026</t>
        </is>
      </c>
      <c r="B944" s="1" t="n">
        <v>46111</v>
      </c>
      <c r="C944" s="1" t="n">
        <v>46129</v>
      </c>
      <c r="D944" t="inlineStr">
        <is>
          <t>JÄMTLANDS LÄN</t>
        </is>
      </c>
      <c r="E944" t="inlineStr">
        <is>
          <t>BERG</t>
        </is>
      </c>
      <c r="G944" t="n">
        <v>11.9</v>
      </c>
      <c r="H944" t="n">
        <v>0</v>
      </c>
      <c r="I944" t="n">
        <v>0</v>
      </c>
      <c r="J944" t="n">
        <v>0</v>
      </c>
      <c r="K944" t="n">
        <v>0</v>
      </c>
      <c r="L944" t="n">
        <v>0</v>
      </c>
      <c r="M944" t="n">
        <v>0</v>
      </c>
      <c r="N944" t="n">
        <v>0</v>
      </c>
      <c r="O944" t="n">
        <v>0</v>
      </c>
      <c r="P944" t="n">
        <v>0</v>
      </c>
      <c r="Q944" t="n">
        <v>0</v>
      </c>
      <c r="R944" s="2" t="inlineStr"/>
    </row>
    <row r="945" ht="15" customHeight="1">
      <c r="A945" t="inlineStr">
        <is>
          <t>A 11566-2026</t>
        </is>
      </c>
      <c r="B945" s="1" t="n">
        <v>46084</v>
      </c>
      <c r="C945" s="1" t="n">
        <v>46129</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11399-2026</t>
        </is>
      </c>
      <c r="B946" s="1" t="n">
        <v>46083.4437962963</v>
      </c>
      <c r="C946" s="1" t="n">
        <v>46129</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17631-2026</t>
        </is>
      </c>
      <c r="B947" s="1" t="n">
        <v>46121</v>
      </c>
      <c r="C947" s="1" t="n">
        <v>46129</v>
      </c>
      <c r="D947" t="inlineStr">
        <is>
          <t>JÄMTLANDS LÄN</t>
        </is>
      </c>
      <c r="E947" t="inlineStr">
        <is>
          <t>BERG</t>
        </is>
      </c>
      <c r="G947" t="n">
        <v>2.6</v>
      </c>
      <c r="H947" t="n">
        <v>0</v>
      </c>
      <c r="I947" t="n">
        <v>0</v>
      </c>
      <c r="J947" t="n">
        <v>0</v>
      </c>
      <c r="K947" t="n">
        <v>0</v>
      </c>
      <c r="L947" t="n">
        <v>0</v>
      </c>
      <c r="M947" t="n">
        <v>0</v>
      </c>
      <c r="N947" t="n">
        <v>0</v>
      </c>
      <c r="O947" t="n">
        <v>0</v>
      </c>
      <c r="P947" t="n">
        <v>0</v>
      </c>
      <c r="Q947" t="n">
        <v>0</v>
      </c>
      <c r="R947" s="2" t="inlineStr"/>
    </row>
    <row r="948" ht="15" customHeight="1">
      <c r="A948" t="inlineStr">
        <is>
          <t>A 1983-2022</t>
        </is>
      </c>
      <c r="B948" s="1" t="n">
        <v>44575</v>
      </c>
      <c r="C948" s="1" t="n">
        <v>46129</v>
      </c>
      <c r="D948" t="inlineStr">
        <is>
          <t>JÄMTLANDS LÄN</t>
        </is>
      </c>
      <c r="E948" t="inlineStr">
        <is>
          <t>BERG</t>
        </is>
      </c>
      <c r="G948" t="n">
        <v>1.8</v>
      </c>
      <c r="H948" t="n">
        <v>0</v>
      </c>
      <c r="I948" t="n">
        <v>0</v>
      </c>
      <c r="J948" t="n">
        <v>0</v>
      </c>
      <c r="K948" t="n">
        <v>0</v>
      </c>
      <c r="L948" t="n">
        <v>0</v>
      </c>
      <c r="M948" t="n">
        <v>0</v>
      </c>
      <c r="N948" t="n">
        <v>0</v>
      </c>
      <c r="O948" t="n">
        <v>0</v>
      </c>
      <c r="P948" t="n">
        <v>0</v>
      </c>
      <c r="Q948" t="n">
        <v>0</v>
      </c>
      <c r="R948" s="2" t="inlineStr"/>
    </row>
    <row r="949" ht="15" customHeight="1">
      <c r="A949" t="inlineStr">
        <is>
          <t>A 11889-2026</t>
        </is>
      </c>
      <c r="B949" s="1" t="n">
        <v>46085.51912037037</v>
      </c>
      <c r="C949" s="1" t="n">
        <v>46129</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13936-2024</t>
        </is>
      </c>
      <c r="B950" s="1" t="n">
        <v>45391.9533912037</v>
      </c>
      <c r="C950" s="1" t="n">
        <v>46129</v>
      </c>
      <c r="D950" t="inlineStr">
        <is>
          <t>JÄMTLANDS LÄN</t>
        </is>
      </c>
      <c r="E950" t="inlineStr">
        <is>
          <t>BERG</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37098-2024</t>
        </is>
      </c>
      <c r="B951" s="1" t="n">
        <v>45539.50243055556</v>
      </c>
      <c r="C951" s="1" t="n">
        <v>46129</v>
      </c>
      <c r="D951" t="inlineStr">
        <is>
          <t>JÄMTLANDS LÄN</t>
        </is>
      </c>
      <c r="E951" t="inlineStr">
        <is>
          <t>BERG</t>
        </is>
      </c>
      <c r="F951" t="inlineStr">
        <is>
          <t>Övriga Aktiebolag</t>
        </is>
      </c>
      <c r="G951" t="n">
        <v>4.5</v>
      </c>
      <c r="H951" t="n">
        <v>0</v>
      </c>
      <c r="I951" t="n">
        <v>0</v>
      </c>
      <c r="J951" t="n">
        <v>0</v>
      </c>
      <c r="K951" t="n">
        <v>0</v>
      </c>
      <c r="L951" t="n">
        <v>0</v>
      </c>
      <c r="M951" t="n">
        <v>0</v>
      </c>
      <c r="N951" t="n">
        <v>0</v>
      </c>
      <c r="O951" t="n">
        <v>0</v>
      </c>
      <c r="P951" t="n">
        <v>0</v>
      </c>
      <c r="Q951" t="n">
        <v>0</v>
      </c>
      <c r="R951" s="2" t="inlineStr"/>
    </row>
    <row r="952" ht="15" customHeight="1">
      <c r="A952" t="inlineStr">
        <is>
          <t>A 44088-2021</t>
        </is>
      </c>
      <c r="B952" s="1" t="n">
        <v>44434</v>
      </c>
      <c r="C952" s="1" t="n">
        <v>46129</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11923-2026</t>
        </is>
      </c>
      <c r="B953" s="1" t="n">
        <v>46085.57335648148</v>
      </c>
      <c r="C953" s="1" t="n">
        <v>46129</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11978-2026</t>
        </is>
      </c>
      <c r="B954" s="1" t="n">
        <v>46085.63597222222</v>
      </c>
      <c r="C954" s="1" t="n">
        <v>46129</v>
      </c>
      <c r="D954" t="inlineStr">
        <is>
          <t>JÄMTLANDS LÄN</t>
        </is>
      </c>
      <c r="E954" t="inlineStr">
        <is>
          <t>BERG</t>
        </is>
      </c>
      <c r="F954" t="inlineStr">
        <is>
          <t>SCA</t>
        </is>
      </c>
      <c r="G954" t="n">
        <v>15.6</v>
      </c>
      <c r="H954" t="n">
        <v>0</v>
      </c>
      <c r="I954" t="n">
        <v>0</v>
      </c>
      <c r="J954" t="n">
        <v>0</v>
      </c>
      <c r="K954" t="n">
        <v>0</v>
      </c>
      <c r="L954" t="n">
        <v>0</v>
      </c>
      <c r="M954" t="n">
        <v>0</v>
      </c>
      <c r="N954" t="n">
        <v>0</v>
      </c>
      <c r="O954" t="n">
        <v>0</v>
      </c>
      <c r="P954" t="n">
        <v>0</v>
      </c>
      <c r="Q954" t="n">
        <v>0</v>
      </c>
      <c r="R954" s="2" t="inlineStr"/>
    </row>
    <row r="955" ht="15" customHeight="1">
      <c r="A955" t="inlineStr">
        <is>
          <t>A 18628-2026</t>
        </is>
      </c>
      <c r="B955" s="1" t="n">
        <v>46127.86283564815</v>
      </c>
      <c r="C955" s="1" t="n">
        <v>46129</v>
      </c>
      <c r="D955" t="inlineStr">
        <is>
          <t>JÄMTLANDS LÄN</t>
        </is>
      </c>
      <c r="E955" t="inlineStr">
        <is>
          <t>BERG</t>
        </is>
      </c>
      <c r="G955" t="n">
        <v>1.8</v>
      </c>
      <c r="H955" t="n">
        <v>0</v>
      </c>
      <c r="I955" t="n">
        <v>0</v>
      </c>
      <c r="J955" t="n">
        <v>0</v>
      </c>
      <c r="K955" t="n">
        <v>0</v>
      </c>
      <c r="L955" t="n">
        <v>0</v>
      </c>
      <c r="M955" t="n">
        <v>0</v>
      </c>
      <c r="N955" t="n">
        <v>0</v>
      </c>
      <c r="O955" t="n">
        <v>0</v>
      </c>
      <c r="P955" t="n">
        <v>0</v>
      </c>
      <c r="Q955" t="n">
        <v>0</v>
      </c>
      <c r="R955" s="2" t="inlineStr"/>
    </row>
    <row r="956" ht="15" customHeight="1">
      <c r="A956" t="inlineStr">
        <is>
          <t>A 17266-2025</t>
        </is>
      </c>
      <c r="B956" s="1" t="n">
        <v>45756</v>
      </c>
      <c r="C956" s="1" t="n">
        <v>46129</v>
      </c>
      <c r="D956" t="inlineStr">
        <is>
          <t>JÄMTLANDS LÄN</t>
        </is>
      </c>
      <c r="E956" t="inlineStr">
        <is>
          <t>BERG</t>
        </is>
      </c>
      <c r="G956" t="n">
        <v>20.1</v>
      </c>
      <c r="H956" t="n">
        <v>0</v>
      </c>
      <c r="I956" t="n">
        <v>0</v>
      </c>
      <c r="J956" t="n">
        <v>0</v>
      </c>
      <c r="K956" t="n">
        <v>0</v>
      </c>
      <c r="L956" t="n">
        <v>0</v>
      </c>
      <c r="M956" t="n">
        <v>0</v>
      </c>
      <c r="N956" t="n">
        <v>0</v>
      </c>
      <c r="O956" t="n">
        <v>0</v>
      </c>
      <c r="P956" t="n">
        <v>0</v>
      </c>
      <c r="Q956" t="n">
        <v>0</v>
      </c>
      <c r="R956" s="2" t="inlineStr"/>
    </row>
    <row r="957" ht="15" customHeight="1">
      <c r="A957" t="inlineStr">
        <is>
          <t>A 26959-2022</t>
        </is>
      </c>
      <c r="B957" s="1" t="n">
        <v>44740.66048611111</v>
      </c>
      <c r="C957" s="1" t="n">
        <v>46129</v>
      </c>
      <c r="D957" t="inlineStr">
        <is>
          <t>JÄMTLANDS LÄN</t>
        </is>
      </c>
      <c r="E957" t="inlineStr">
        <is>
          <t>BERG</t>
        </is>
      </c>
      <c r="G957" t="n">
        <v>2.8</v>
      </c>
      <c r="H957" t="n">
        <v>0</v>
      </c>
      <c r="I957" t="n">
        <v>0</v>
      </c>
      <c r="J957" t="n">
        <v>0</v>
      </c>
      <c r="K957" t="n">
        <v>0</v>
      </c>
      <c r="L957" t="n">
        <v>0</v>
      </c>
      <c r="M957" t="n">
        <v>0</v>
      </c>
      <c r="N957" t="n">
        <v>0</v>
      </c>
      <c r="O957" t="n">
        <v>0</v>
      </c>
      <c r="P957" t="n">
        <v>0</v>
      </c>
      <c r="Q957" t="n">
        <v>0</v>
      </c>
      <c r="R957" s="2" t="inlineStr"/>
    </row>
    <row r="958" ht="15" customHeight="1">
      <c r="A958" t="inlineStr">
        <is>
          <t>A 2855-2025</t>
        </is>
      </c>
      <c r="B958" s="1" t="n">
        <v>45678</v>
      </c>
      <c r="C958" s="1" t="n">
        <v>46129</v>
      </c>
      <c r="D958" t="inlineStr">
        <is>
          <t>JÄMTLANDS LÄN</t>
        </is>
      </c>
      <c r="E958" t="inlineStr">
        <is>
          <t>BERG</t>
        </is>
      </c>
      <c r="G958" t="n">
        <v>1</v>
      </c>
      <c r="H958" t="n">
        <v>0</v>
      </c>
      <c r="I958" t="n">
        <v>0</v>
      </c>
      <c r="J958" t="n">
        <v>0</v>
      </c>
      <c r="K958" t="n">
        <v>0</v>
      </c>
      <c r="L958" t="n">
        <v>0</v>
      </c>
      <c r="M958" t="n">
        <v>0</v>
      </c>
      <c r="N958" t="n">
        <v>0</v>
      </c>
      <c r="O958" t="n">
        <v>0</v>
      </c>
      <c r="P958" t="n">
        <v>0</v>
      </c>
      <c r="Q958" t="n">
        <v>0</v>
      </c>
      <c r="R958" s="2" t="inlineStr"/>
    </row>
    <row r="959" ht="15" customHeight="1">
      <c r="A959" t="inlineStr">
        <is>
          <t>A 11933-2026</t>
        </is>
      </c>
      <c r="B959" s="1" t="n">
        <v>46085.58731481482</v>
      </c>
      <c r="C959" s="1" t="n">
        <v>46129</v>
      </c>
      <c r="D959" t="inlineStr">
        <is>
          <t>JÄMTLANDS LÄN</t>
        </is>
      </c>
      <c r="E959" t="inlineStr">
        <is>
          <t>BERG</t>
        </is>
      </c>
      <c r="G959" t="n">
        <v>5.8</v>
      </c>
      <c r="H959" t="n">
        <v>0</v>
      </c>
      <c r="I959" t="n">
        <v>0</v>
      </c>
      <c r="J959" t="n">
        <v>0</v>
      </c>
      <c r="K959" t="n">
        <v>0</v>
      </c>
      <c r="L959" t="n">
        <v>0</v>
      </c>
      <c r="M959" t="n">
        <v>0</v>
      </c>
      <c r="N959" t="n">
        <v>0</v>
      </c>
      <c r="O959" t="n">
        <v>0</v>
      </c>
      <c r="P959" t="n">
        <v>0</v>
      </c>
      <c r="Q959" t="n">
        <v>0</v>
      </c>
      <c r="R959" s="2" t="inlineStr"/>
    </row>
    <row r="960" ht="15" customHeight="1">
      <c r="A960" t="inlineStr">
        <is>
          <t>A 11950-2026</t>
        </is>
      </c>
      <c r="B960" s="1" t="n">
        <v>46085.60175925926</v>
      </c>
      <c r="C960" s="1" t="n">
        <v>46129</v>
      </c>
      <c r="D960" t="inlineStr">
        <is>
          <t>JÄMTLANDS LÄN</t>
        </is>
      </c>
      <c r="E960" t="inlineStr">
        <is>
          <t>BERG</t>
        </is>
      </c>
      <c r="G960" t="n">
        <v>2.1</v>
      </c>
      <c r="H960" t="n">
        <v>0</v>
      </c>
      <c r="I960" t="n">
        <v>0</v>
      </c>
      <c r="J960" t="n">
        <v>0</v>
      </c>
      <c r="K960" t="n">
        <v>0</v>
      </c>
      <c r="L960" t="n">
        <v>0</v>
      </c>
      <c r="M960" t="n">
        <v>0</v>
      </c>
      <c r="N960" t="n">
        <v>0</v>
      </c>
      <c r="O960" t="n">
        <v>0</v>
      </c>
      <c r="P960" t="n">
        <v>0</v>
      </c>
      <c r="Q960" t="n">
        <v>0</v>
      </c>
      <c r="R960" s="2" t="inlineStr"/>
    </row>
    <row r="961" ht="15" customHeight="1">
      <c r="A961" t="inlineStr">
        <is>
          <t>A 11872-2026</t>
        </is>
      </c>
      <c r="B961" s="1" t="n">
        <v>46085.49086805555</v>
      </c>
      <c r="C961" s="1" t="n">
        <v>46129</v>
      </c>
      <c r="D961" t="inlineStr">
        <is>
          <t>JÄMTLANDS LÄN</t>
        </is>
      </c>
      <c r="E961" t="inlineStr">
        <is>
          <t>BERG</t>
        </is>
      </c>
      <c r="G961" t="n">
        <v>23.6</v>
      </c>
      <c r="H961" t="n">
        <v>0</v>
      </c>
      <c r="I961" t="n">
        <v>0</v>
      </c>
      <c r="J961" t="n">
        <v>0</v>
      </c>
      <c r="K961" t="n">
        <v>0</v>
      </c>
      <c r="L961" t="n">
        <v>0</v>
      </c>
      <c r="M961" t="n">
        <v>0</v>
      </c>
      <c r="N961" t="n">
        <v>0</v>
      </c>
      <c r="O961" t="n">
        <v>0</v>
      </c>
      <c r="P961" t="n">
        <v>0</v>
      </c>
      <c r="Q961" t="n">
        <v>0</v>
      </c>
      <c r="R961" s="2" t="inlineStr"/>
    </row>
    <row r="962" ht="15" customHeight="1">
      <c r="A962" t="inlineStr">
        <is>
          <t>A 28232-2025</t>
        </is>
      </c>
      <c r="B962" s="1" t="n">
        <v>45818.48989583334</v>
      </c>
      <c r="C962" s="1" t="n">
        <v>46129</v>
      </c>
      <c r="D962" t="inlineStr">
        <is>
          <t>JÄMTLANDS LÄN</t>
        </is>
      </c>
      <c r="E962" t="inlineStr">
        <is>
          <t>BERG</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57905-2024</t>
        </is>
      </c>
      <c r="B963" s="1" t="n">
        <v>45631.48989583334</v>
      </c>
      <c r="C963" s="1" t="n">
        <v>46129</v>
      </c>
      <c r="D963" t="inlineStr">
        <is>
          <t>JÄMTLANDS LÄN</t>
        </is>
      </c>
      <c r="E963" t="inlineStr">
        <is>
          <t>BERG</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18526-2026</t>
        </is>
      </c>
      <c r="B964" s="1" t="n">
        <v>46127.53778935185</v>
      </c>
      <c r="C964" s="1" t="n">
        <v>46129</v>
      </c>
      <c r="D964" t="inlineStr">
        <is>
          <t>JÄMTLANDS LÄN</t>
        </is>
      </c>
      <c r="E964" t="inlineStr">
        <is>
          <t>BERG</t>
        </is>
      </c>
      <c r="G964" t="n">
        <v>5.1</v>
      </c>
      <c r="H964" t="n">
        <v>0</v>
      </c>
      <c r="I964" t="n">
        <v>0</v>
      </c>
      <c r="J964" t="n">
        <v>0</v>
      </c>
      <c r="K964" t="n">
        <v>0</v>
      </c>
      <c r="L964" t="n">
        <v>0</v>
      </c>
      <c r="M964" t="n">
        <v>0</v>
      </c>
      <c r="N964" t="n">
        <v>0</v>
      </c>
      <c r="O964" t="n">
        <v>0</v>
      </c>
      <c r="P964" t="n">
        <v>0</v>
      </c>
      <c r="Q964" t="n">
        <v>0</v>
      </c>
      <c r="R964" s="2" t="inlineStr"/>
    </row>
    <row r="965" ht="15" customHeight="1">
      <c r="A965" t="inlineStr">
        <is>
          <t>A 18597-2026</t>
        </is>
      </c>
      <c r="B965" s="1" t="n">
        <v>46127.65699074074</v>
      </c>
      <c r="C965" s="1" t="n">
        <v>46129</v>
      </c>
      <c r="D965" t="inlineStr">
        <is>
          <t>JÄMTLANDS LÄN</t>
        </is>
      </c>
      <c r="E965" t="inlineStr">
        <is>
          <t>BERG</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18600-2026</t>
        </is>
      </c>
      <c r="B966" s="1" t="n">
        <v>46127.65747685185</v>
      </c>
      <c r="C966" s="1" t="n">
        <v>46129</v>
      </c>
      <c r="D966" t="inlineStr">
        <is>
          <t>JÄMTLANDS LÄN</t>
        </is>
      </c>
      <c r="E966" t="inlineStr">
        <is>
          <t>BERG</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18601-2026</t>
        </is>
      </c>
      <c r="B967" s="1" t="n">
        <v>46127.65760416666</v>
      </c>
      <c r="C967" s="1" t="n">
        <v>46129</v>
      </c>
      <c r="D967" t="inlineStr">
        <is>
          <t>JÄMTLANDS LÄN</t>
        </is>
      </c>
      <c r="E967" t="inlineStr">
        <is>
          <t>BERG</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18728-2026</t>
        </is>
      </c>
      <c r="B968" s="1" t="n">
        <v>46128.49013888889</v>
      </c>
      <c r="C968" s="1" t="n">
        <v>46129</v>
      </c>
      <c r="D968" t="inlineStr">
        <is>
          <t>JÄMTLANDS LÄN</t>
        </is>
      </c>
      <c r="E968" t="inlineStr">
        <is>
          <t>BERG</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12043-2026</t>
        </is>
      </c>
      <c r="B969" s="1" t="n">
        <v>46086.34070601852</v>
      </c>
      <c r="C969" s="1" t="n">
        <v>46129</v>
      </c>
      <c r="D969" t="inlineStr">
        <is>
          <t>JÄMTLANDS LÄN</t>
        </is>
      </c>
      <c r="E969" t="inlineStr">
        <is>
          <t>BERG</t>
        </is>
      </c>
      <c r="G969" t="n">
        <v>2.8</v>
      </c>
      <c r="H969" t="n">
        <v>0</v>
      </c>
      <c r="I969" t="n">
        <v>0</v>
      </c>
      <c r="J969" t="n">
        <v>0</v>
      </c>
      <c r="K969" t="n">
        <v>0</v>
      </c>
      <c r="L969" t="n">
        <v>0</v>
      </c>
      <c r="M969" t="n">
        <v>0</v>
      </c>
      <c r="N969" t="n">
        <v>0</v>
      </c>
      <c r="O969" t="n">
        <v>0</v>
      </c>
      <c r="P969" t="n">
        <v>0</v>
      </c>
      <c r="Q969" t="n">
        <v>0</v>
      </c>
      <c r="R969" s="2" t="inlineStr"/>
    </row>
    <row r="970" ht="15" customHeight="1">
      <c r="A970" t="inlineStr">
        <is>
          <t>A 11971-2026</t>
        </is>
      </c>
      <c r="B970" s="1" t="n">
        <v>46085.62383101852</v>
      </c>
      <c r="C970" s="1" t="n">
        <v>46129</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11990-2026</t>
        </is>
      </c>
      <c r="B971" s="1" t="n">
        <v>46085.65671296296</v>
      </c>
      <c r="C971" s="1" t="n">
        <v>46129</v>
      </c>
      <c r="D971" t="inlineStr">
        <is>
          <t>JÄMTLANDS LÄN</t>
        </is>
      </c>
      <c r="E971" t="inlineStr">
        <is>
          <t>BERG</t>
        </is>
      </c>
      <c r="F971" t="inlineStr">
        <is>
          <t>SCA</t>
        </is>
      </c>
      <c r="G971" t="n">
        <v>5.8</v>
      </c>
      <c r="H971" t="n">
        <v>0</v>
      </c>
      <c r="I971" t="n">
        <v>0</v>
      </c>
      <c r="J971" t="n">
        <v>0</v>
      </c>
      <c r="K971" t="n">
        <v>0</v>
      </c>
      <c r="L971" t="n">
        <v>0</v>
      </c>
      <c r="M971" t="n">
        <v>0</v>
      </c>
      <c r="N971" t="n">
        <v>0</v>
      </c>
      <c r="O971" t="n">
        <v>0</v>
      </c>
      <c r="P971" t="n">
        <v>0</v>
      </c>
      <c r="Q971" t="n">
        <v>0</v>
      </c>
      <c r="R971" s="2" t="inlineStr"/>
    </row>
    <row r="972" ht="15" customHeight="1">
      <c r="A972" t="inlineStr">
        <is>
          <t>A 12038-2026</t>
        </is>
      </c>
      <c r="B972" s="1" t="n">
        <v>46086.32611111111</v>
      </c>
      <c r="C972" s="1" t="n">
        <v>46129</v>
      </c>
      <c r="D972" t="inlineStr">
        <is>
          <t>JÄMTLANDS LÄN</t>
        </is>
      </c>
      <c r="E972" t="inlineStr">
        <is>
          <t>BERG</t>
        </is>
      </c>
      <c r="G972" t="n">
        <v>6.3</v>
      </c>
      <c r="H972" t="n">
        <v>0</v>
      </c>
      <c r="I972" t="n">
        <v>0</v>
      </c>
      <c r="J972" t="n">
        <v>0</v>
      </c>
      <c r="K972" t="n">
        <v>0</v>
      </c>
      <c r="L972" t="n">
        <v>0</v>
      </c>
      <c r="M972" t="n">
        <v>0</v>
      </c>
      <c r="N972" t="n">
        <v>0</v>
      </c>
      <c r="O972" t="n">
        <v>0</v>
      </c>
      <c r="P972" t="n">
        <v>0</v>
      </c>
      <c r="Q972" t="n">
        <v>0</v>
      </c>
      <c r="R972" s="2" t="inlineStr"/>
    </row>
    <row r="973" ht="15" customHeight="1">
      <c r="A973" t="inlineStr">
        <is>
          <t>A 18598-2026</t>
        </is>
      </c>
      <c r="B973" s="1" t="n">
        <v>46127.65716435185</v>
      </c>
      <c r="C973" s="1" t="n">
        <v>46129</v>
      </c>
      <c r="D973" t="inlineStr">
        <is>
          <t>JÄMTLANDS LÄN</t>
        </is>
      </c>
      <c r="E973" t="inlineStr">
        <is>
          <t>BERG</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18605-2026</t>
        </is>
      </c>
      <c r="B974" s="1" t="n">
        <v>46127.65814814815</v>
      </c>
      <c r="C974" s="1" t="n">
        <v>46129</v>
      </c>
      <c r="D974" t="inlineStr">
        <is>
          <t>JÄMTLANDS LÄN</t>
        </is>
      </c>
      <c r="E974" t="inlineStr">
        <is>
          <t>BERG</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12037-2026</t>
        </is>
      </c>
      <c r="B975" s="1" t="n">
        <v>46086.32107638889</v>
      </c>
      <c r="C975" s="1" t="n">
        <v>46129</v>
      </c>
      <c r="D975" t="inlineStr">
        <is>
          <t>JÄMTLANDS LÄN</t>
        </is>
      </c>
      <c r="E975" t="inlineStr">
        <is>
          <t>BERG</t>
        </is>
      </c>
      <c r="G975" t="n">
        <v>5.1</v>
      </c>
      <c r="H975" t="n">
        <v>0</v>
      </c>
      <c r="I975" t="n">
        <v>0</v>
      </c>
      <c r="J975" t="n">
        <v>0</v>
      </c>
      <c r="K975" t="n">
        <v>0</v>
      </c>
      <c r="L975" t="n">
        <v>0</v>
      </c>
      <c r="M975" t="n">
        <v>0</v>
      </c>
      <c r="N975" t="n">
        <v>0</v>
      </c>
      <c r="O975" t="n">
        <v>0</v>
      </c>
      <c r="P975" t="n">
        <v>0</v>
      </c>
      <c r="Q975" t="n">
        <v>0</v>
      </c>
      <c r="R975" s="2" t="inlineStr"/>
    </row>
    <row r="976" ht="15" customHeight="1">
      <c r="A976" t="inlineStr">
        <is>
          <t>A 41782-2024</t>
        </is>
      </c>
      <c r="B976" s="1" t="n">
        <v>45561</v>
      </c>
      <c r="C976" s="1" t="n">
        <v>46129</v>
      </c>
      <c r="D976" t="inlineStr">
        <is>
          <t>JÄMTLANDS LÄN</t>
        </is>
      </c>
      <c r="E976" t="inlineStr">
        <is>
          <t>BERG</t>
        </is>
      </c>
      <c r="F976" t="inlineStr">
        <is>
          <t>SCA</t>
        </is>
      </c>
      <c r="G976" t="n">
        <v>0.1</v>
      </c>
      <c r="H976" t="n">
        <v>0</v>
      </c>
      <c r="I976" t="n">
        <v>0</v>
      </c>
      <c r="J976" t="n">
        <v>0</v>
      </c>
      <c r="K976" t="n">
        <v>0</v>
      </c>
      <c r="L976" t="n">
        <v>0</v>
      </c>
      <c r="M976" t="n">
        <v>0</v>
      </c>
      <c r="N976" t="n">
        <v>0</v>
      </c>
      <c r="O976" t="n">
        <v>0</v>
      </c>
      <c r="P976" t="n">
        <v>0</v>
      </c>
      <c r="Q976" t="n">
        <v>0</v>
      </c>
      <c r="R976" s="2" t="inlineStr"/>
    </row>
    <row r="977" ht="15" customHeight="1">
      <c r="A977" t="inlineStr">
        <is>
          <t>A 10465-2023</t>
        </is>
      </c>
      <c r="B977" s="1" t="n">
        <v>44987.60319444445</v>
      </c>
      <c r="C977" s="1" t="n">
        <v>46129</v>
      </c>
      <c r="D977" t="inlineStr">
        <is>
          <t>JÄMTLANDS LÄN</t>
        </is>
      </c>
      <c r="E977" t="inlineStr">
        <is>
          <t>BERG</t>
        </is>
      </c>
      <c r="G977" t="n">
        <v>3.4</v>
      </c>
      <c r="H977" t="n">
        <v>0</v>
      </c>
      <c r="I977" t="n">
        <v>0</v>
      </c>
      <c r="J977" t="n">
        <v>0</v>
      </c>
      <c r="K977" t="n">
        <v>0</v>
      </c>
      <c r="L977" t="n">
        <v>0</v>
      </c>
      <c r="M977" t="n">
        <v>0</v>
      </c>
      <c r="N977" t="n">
        <v>0</v>
      </c>
      <c r="O977" t="n">
        <v>0</v>
      </c>
      <c r="P977" t="n">
        <v>0</v>
      </c>
      <c r="Q977" t="n">
        <v>0</v>
      </c>
      <c r="R977" s="2" t="inlineStr"/>
    </row>
    <row r="978" ht="15" customHeight="1">
      <c r="A978" t="inlineStr">
        <is>
          <t>A 18551-2025</t>
        </is>
      </c>
      <c r="B978" s="1" t="n">
        <v>45763.43650462963</v>
      </c>
      <c r="C978" s="1" t="n">
        <v>46129</v>
      </c>
      <c r="D978" t="inlineStr">
        <is>
          <t>JÄMTLANDS LÄN</t>
        </is>
      </c>
      <c r="E978" t="inlineStr">
        <is>
          <t>BERG</t>
        </is>
      </c>
      <c r="G978" t="n">
        <v>3.5</v>
      </c>
      <c r="H978" t="n">
        <v>0</v>
      </c>
      <c r="I978" t="n">
        <v>0</v>
      </c>
      <c r="J978" t="n">
        <v>0</v>
      </c>
      <c r="K978" t="n">
        <v>0</v>
      </c>
      <c r="L978" t="n">
        <v>0</v>
      </c>
      <c r="M978" t="n">
        <v>0</v>
      </c>
      <c r="N978" t="n">
        <v>0</v>
      </c>
      <c r="O978" t="n">
        <v>0</v>
      </c>
      <c r="P978" t="n">
        <v>0</v>
      </c>
      <c r="Q978" t="n">
        <v>0</v>
      </c>
      <c r="R978" s="2" t="inlineStr"/>
    </row>
    <row r="979" ht="15" customHeight="1">
      <c r="A979" t="inlineStr">
        <is>
          <t>A 31131-2024</t>
        </is>
      </c>
      <c r="B979" s="1" t="n">
        <v>45502</v>
      </c>
      <c r="C979" s="1" t="n">
        <v>46129</v>
      </c>
      <c r="D979" t="inlineStr">
        <is>
          <t>JÄMTLANDS LÄN</t>
        </is>
      </c>
      <c r="E979" t="inlineStr">
        <is>
          <t>BERG</t>
        </is>
      </c>
      <c r="G979" t="n">
        <v>2.1</v>
      </c>
      <c r="H979" t="n">
        <v>0</v>
      </c>
      <c r="I979" t="n">
        <v>0</v>
      </c>
      <c r="J979" t="n">
        <v>0</v>
      </c>
      <c r="K979" t="n">
        <v>0</v>
      </c>
      <c r="L979" t="n">
        <v>0</v>
      </c>
      <c r="M979" t="n">
        <v>0</v>
      </c>
      <c r="N979" t="n">
        <v>0</v>
      </c>
      <c r="O979" t="n">
        <v>0</v>
      </c>
      <c r="P979" t="n">
        <v>0</v>
      </c>
      <c r="Q979" t="n">
        <v>0</v>
      </c>
      <c r="R979" s="2" t="inlineStr"/>
    </row>
    <row r="980" ht="15" customHeight="1">
      <c r="A980" t="inlineStr">
        <is>
          <t>A 31154-2024</t>
        </is>
      </c>
      <c r="B980" s="1" t="n">
        <v>45503.32976851852</v>
      </c>
      <c r="C980" s="1" t="n">
        <v>46129</v>
      </c>
      <c r="D980" t="inlineStr">
        <is>
          <t>JÄMTLANDS LÄN</t>
        </is>
      </c>
      <c r="E980" t="inlineStr">
        <is>
          <t>BERG</t>
        </is>
      </c>
      <c r="G980" t="n">
        <v>2.3</v>
      </c>
      <c r="H980" t="n">
        <v>0</v>
      </c>
      <c r="I980" t="n">
        <v>0</v>
      </c>
      <c r="J980" t="n">
        <v>0</v>
      </c>
      <c r="K980" t="n">
        <v>0</v>
      </c>
      <c r="L980" t="n">
        <v>0</v>
      </c>
      <c r="M980" t="n">
        <v>0</v>
      </c>
      <c r="N980" t="n">
        <v>0</v>
      </c>
      <c r="O980" t="n">
        <v>0</v>
      </c>
      <c r="P980" t="n">
        <v>0</v>
      </c>
      <c r="Q980" t="n">
        <v>0</v>
      </c>
      <c r="R980" s="2" t="inlineStr"/>
    </row>
    <row r="981" ht="15" customHeight="1">
      <c r="A981" t="inlineStr">
        <is>
          <t>A 17929-2024</t>
        </is>
      </c>
      <c r="B981" s="1" t="n">
        <v>45419.60266203704</v>
      </c>
      <c r="C981" s="1" t="n">
        <v>46129</v>
      </c>
      <c r="D981" t="inlineStr">
        <is>
          <t>JÄMTLANDS LÄN</t>
        </is>
      </c>
      <c r="E981" t="inlineStr">
        <is>
          <t>BERG</t>
        </is>
      </c>
      <c r="F981" t="inlineStr">
        <is>
          <t>Holmen skog AB</t>
        </is>
      </c>
      <c r="G981" t="n">
        <v>3</v>
      </c>
      <c r="H981" t="n">
        <v>0</v>
      </c>
      <c r="I981" t="n">
        <v>0</v>
      </c>
      <c r="J981" t="n">
        <v>0</v>
      </c>
      <c r="K981" t="n">
        <v>0</v>
      </c>
      <c r="L981" t="n">
        <v>0</v>
      </c>
      <c r="M981" t="n">
        <v>0</v>
      </c>
      <c r="N981" t="n">
        <v>0</v>
      </c>
      <c r="O981" t="n">
        <v>0</v>
      </c>
      <c r="P981" t="n">
        <v>0</v>
      </c>
      <c r="Q981" t="n">
        <v>0</v>
      </c>
      <c r="R981" s="2" t="inlineStr"/>
    </row>
    <row r="982" ht="15" customHeight="1">
      <c r="A982" t="inlineStr">
        <is>
          <t>A 7447-2022</t>
        </is>
      </c>
      <c r="B982" s="1" t="n">
        <v>44606</v>
      </c>
      <c r="C982" s="1" t="n">
        <v>46129</v>
      </c>
      <c r="D982" t="inlineStr">
        <is>
          <t>JÄMTLANDS LÄN</t>
        </is>
      </c>
      <c r="E982" t="inlineStr">
        <is>
          <t>BERG</t>
        </is>
      </c>
      <c r="G982" t="n">
        <v>0.9</v>
      </c>
      <c r="H982" t="n">
        <v>0</v>
      </c>
      <c r="I982" t="n">
        <v>0</v>
      </c>
      <c r="J982" t="n">
        <v>0</v>
      </c>
      <c r="K982" t="n">
        <v>0</v>
      </c>
      <c r="L982" t="n">
        <v>0</v>
      </c>
      <c r="M982" t="n">
        <v>0</v>
      </c>
      <c r="N982" t="n">
        <v>0</v>
      </c>
      <c r="O982" t="n">
        <v>0</v>
      </c>
      <c r="P982" t="n">
        <v>0</v>
      </c>
      <c r="Q982" t="n">
        <v>0</v>
      </c>
      <c r="R982" s="2" t="inlineStr"/>
    </row>
    <row r="983" ht="15" customHeight="1">
      <c r="A983" t="inlineStr">
        <is>
          <t>A 41105-2023</t>
        </is>
      </c>
      <c r="B983" s="1" t="n">
        <v>45170</v>
      </c>
      <c r="C983" s="1" t="n">
        <v>46129</v>
      </c>
      <c r="D983" t="inlineStr">
        <is>
          <t>JÄMTLANDS LÄN</t>
        </is>
      </c>
      <c r="E983" t="inlineStr">
        <is>
          <t>BERG</t>
        </is>
      </c>
      <c r="G983" t="n">
        <v>0.9</v>
      </c>
      <c r="H983" t="n">
        <v>0</v>
      </c>
      <c r="I983" t="n">
        <v>0</v>
      </c>
      <c r="J983" t="n">
        <v>0</v>
      </c>
      <c r="K983" t="n">
        <v>0</v>
      </c>
      <c r="L983" t="n">
        <v>0</v>
      </c>
      <c r="M983" t="n">
        <v>0</v>
      </c>
      <c r="N983" t="n">
        <v>0</v>
      </c>
      <c r="O983" t="n">
        <v>0</v>
      </c>
      <c r="P983" t="n">
        <v>0</v>
      </c>
      <c r="Q983" t="n">
        <v>0</v>
      </c>
      <c r="R983" s="2" t="inlineStr"/>
    </row>
    <row r="984" ht="15" customHeight="1">
      <c r="A984" t="inlineStr">
        <is>
          <t>A 61980-2024</t>
        </is>
      </c>
      <c r="B984" s="1" t="n">
        <v>45653.66269675926</v>
      </c>
      <c r="C984" s="1" t="n">
        <v>46129</v>
      </c>
      <c r="D984" t="inlineStr">
        <is>
          <t>JÄMTLANDS LÄN</t>
        </is>
      </c>
      <c r="E984" t="inlineStr">
        <is>
          <t>BERG</t>
        </is>
      </c>
      <c r="G984" t="n">
        <v>1.3</v>
      </c>
      <c r="H984" t="n">
        <v>0</v>
      </c>
      <c r="I984" t="n">
        <v>0</v>
      </c>
      <c r="J984" t="n">
        <v>0</v>
      </c>
      <c r="K984" t="n">
        <v>0</v>
      </c>
      <c r="L984" t="n">
        <v>0</v>
      </c>
      <c r="M984" t="n">
        <v>0</v>
      </c>
      <c r="N984" t="n">
        <v>0</v>
      </c>
      <c r="O984" t="n">
        <v>0</v>
      </c>
      <c r="P984" t="n">
        <v>0</v>
      </c>
      <c r="Q984" t="n">
        <v>0</v>
      </c>
      <c r="R984" s="2" t="inlineStr"/>
    </row>
    <row r="985" ht="15" customHeight="1">
      <c r="A985" t="inlineStr">
        <is>
          <t>A 18112-2024</t>
        </is>
      </c>
      <c r="B985" s="1" t="n">
        <v>45420.49851851852</v>
      </c>
      <c r="C985" s="1" t="n">
        <v>46129</v>
      </c>
      <c r="D985" t="inlineStr">
        <is>
          <t>JÄMTLANDS LÄN</t>
        </is>
      </c>
      <c r="E985" t="inlineStr">
        <is>
          <t>BERG</t>
        </is>
      </c>
      <c r="F985" t="inlineStr">
        <is>
          <t>Holmen skog AB</t>
        </is>
      </c>
      <c r="G985" t="n">
        <v>16.6</v>
      </c>
      <c r="H985" t="n">
        <v>0</v>
      </c>
      <c r="I985" t="n">
        <v>0</v>
      </c>
      <c r="J985" t="n">
        <v>0</v>
      </c>
      <c r="K985" t="n">
        <v>0</v>
      </c>
      <c r="L985" t="n">
        <v>0</v>
      </c>
      <c r="M985" t="n">
        <v>0</v>
      </c>
      <c r="N985" t="n">
        <v>0</v>
      </c>
      <c r="O985" t="n">
        <v>0</v>
      </c>
      <c r="P985" t="n">
        <v>0</v>
      </c>
      <c r="Q985" t="n">
        <v>0</v>
      </c>
      <c r="R985" s="2" t="inlineStr"/>
    </row>
    <row r="986" ht="15" customHeight="1">
      <c r="A986" t="inlineStr">
        <is>
          <t>A 13436-2024</t>
        </is>
      </c>
      <c r="B986" s="1" t="n">
        <v>45387.4865625</v>
      </c>
      <c r="C986" s="1" t="n">
        <v>46129</v>
      </c>
      <c r="D986" t="inlineStr">
        <is>
          <t>JÄMTLANDS LÄN</t>
        </is>
      </c>
      <c r="E986" t="inlineStr">
        <is>
          <t>BERG</t>
        </is>
      </c>
      <c r="G986" t="n">
        <v>28.9</v>
      </c>
      <c r="H986" t="n">
        <v>0</v>
      </c>
      <c r="I986" t="n">
        <v>0</v>
      </c>
      <c r="J986" t="n">
        <v>0</v>
      </c>
      <c r="K986" t="n">
        <v>0</v>
      </c>
      <c r="L986" t="n">
        <v>0</v>
      </c>
      <c r="M986" t="n">
        <v>0</v>
      </c>
      <c r="N986" t="n">
        <v>0</v>
      </c>
      <c r="O986" t="n">
        <v>0</v>
      </c>
      <c r="P986" t="n">
        <v>0</v>
      </c>
      <c r="Q986" t="n">
        <v>0</v>
      </c>
      <c r="R986" s="2" t="inlineStr"/>
    </row>
    <row r="987" ht="15" customHeight="1">
      <c r="A987" t="inlineStr">
        <is>
          <t>A 18153-2024</t>
        </is>
      </c>
      <c r="B987" s="1" t="n">
        <v>45420</v>
      </c>
      <c r="C987" s="1" t="n">
        <v>46129</v>
      </c>
      <c r="D987" t="inlineStr">
        <is>
          <t>JÄMTLANDS LÄN</t>
        </is>
      </c>
      <c r="E987" t="inlineStr">
        <is>
          <t>BERG</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46874-2023</t>
        </is>
      </c>
      <c r="B988" s="1" t="n">
        <v>45200</v>
      </c>
      <c r="C988" s="1" t="n">
        <v>46129</v>
      </c>
      <c r="D988" t="inlineStr">
        <is>
          <t>JÄMTLANDS LÄN</t>
        </is>
      </c>
      <c r="E988" t="inlineStr">
        <is>
          <t>BERG</t>
        </is>
      </c>
      <c r="F988" t="inlineStr">
        <is>
          <t>Naturvårdsverket</t>
        </is>
      </c>
      <c r="G988" t="n">
        <v>1.1</v>
      </c>
      <c r="H988" t="n">
        <v>0</v>
      </c>
      <c r="I988" t="n">
        <v>0</v>
      </c>
      <c r="J988" t="n">
        <v>0</v>
      </c>
      <c r="K988" t="n">
        <v>0</v>
      </c>
      <c r="L988" t="n">
        <v>0</v>
      </c>
      <c r="M988" t="n">
        <v>0</v>
      </c>
      <c r="N988" t="n">
        <v>0</v>
      </c>
      <c r="O988" t="n">
        <v>0</v>
      </c>
      <c r="P988" t="n">
        <v>0</v>
      </c>
      <c r="Q988" t="n">
        <v>0</v>
      </c>
      <c r="R988" s="2" t="inlineStr"/>
    </row>
    <row r="989" ht="15" customHeight="1">
      <c r="A989" t="inlineStr">
        <is>
          <t>A 47304-2023</t>
        </is>
      </c>
      <c r="B989" s="1" t="n">
        <v>45202.48180555556</v>
      </c>
      <c r="C989" s="1" t="n">
        <v>46129</v>
      </c>
      <c r="D989" t="inlineStr">
        <is>
          <t>JÄMTLANDS LÄN</t>
        </is>
      </c>
      <c r="E989" t="inlineStr">
        <is>
          <t>BERG</t>
        </is>
      </c>
      <c r="G989" t="n">
        <v>3.4</v>
      </c>
      <c r="H989" t="n">
        <v>0</v>
      </c>
      <c r="I989" t="n">
        <v>0</v>
      </c>
      <c r="J989" t="n">
        <v>0</v>
      </c>
      <c r="K989" t="n">
        <v>0</v>
      </c>
      <c r="L989" t="n">
        <v>0</v>
      </c>
      <c r="M989" t="n">
        <v>0</v>
      </c>
      <c r="N989" t="n">
        <v>0</v>
      </c>
      <c r="O989" t="n">
        <v>0</v>
      </c>
      <c r="P989" t="n">
        <v>0</v>
      </c>
      <c r="Q989" t="n">
        <v>0</v>
      </c>
      <c r="R989" s="2" t="inlineStr"/>
    </row>
    <row r="990" ht="15" customHeight="1">
      <c r="A990" t="inlineStr">
        <is>
          <t>A 14697-2025</t>
        </is>
      </c>
      <c r="B990" s="1" t="n">
        <v>45742.59415509259</v>
      </c>
      <c r="C990" s="1" t="n">
        <v>46129</v>
      </c>
      <c r="D990" t="inlineStr">
        <is>
          <t>JÄMTLANDS LÄN</t>
        </is>
      </c>
      <c r="E990" t="inlineStr">
        <is>
          <t>BERG</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54415-2023</t>
        </is>
      </c>
      <c r="B991" s="1" t="n">
        <v>45233.40039351852</v>
      </c>
      <c r="C991" s="1" t="n">
        <v>46129</v>
      </c>
      <c r="D991" t="inlineStr">
        <is>
          <t>JÄMTLANDS LÄN</t>
        </is>
      </c>
      <c r="E991" t="inlineStr">
        <is>
          <t>BERG</t>
        </is>
      </c>
      <c r="G991" t="n">
        <v>1.5</v>
      </c>
      <c r="H991" t="n">
        <v>0</v>
      </c>
      <c r="I991" t="n">
        <v>0</v>
      </c>
      <c r="J991" t="n">
        <v>0</v>
      </c>
      <c r="K991" t="n">
        <v>0</v>
      </c>
      <c r="L991" t="n">
        <v>0</v>
      </c>
      <c r="M991" t="n">
        <v>0</v>
      </c>
      <c r="N991" t="n">
        <v>0</v>
      </c>
      <c r="O991" t="n">
        <v>0</v>
      </c>
      <c r="P991" t="n">
        <v>0</v>
      </c>
      <c r="Q991" t="n">
        <v>0</v>
      </c>
      <c r="R991" s="2" t="inlineStr"/>
    </row>
    <row r="992" ht="15" customHeight="1">
      <c r="A992" t="inlineStr">
        <is>
          <t>A 24307-2023</t>
        </is>
      </c>
      <c r="B992" s="1" t="n">
        <v>45079.94229166667</v>
      </c>
      <c r="C992" s="1" t="n">
        <v>46129</v>
      </c>
      <c r="D992" t="inlineStr">
        <is>
          <t>JÄMTLANDS LÄN</t>
        </is>
      </c>
      <c r="E992" t="inlineStr">
        <is>
          <t>BERG</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40990-2022</t>
        </is>
      </c>
      <c r="B993" s="1" t="n">
        <v>44823</v>
      </c>
      <c r="C993" s="1" t="n">
        <v>46129</v>
      </c>
      <c r="D993" t="inlineStr">
        <is>
          <t>JÄMTLANDS LÄN</t>
        </is>
      </c>
      <c r="E993" t="inlineStr">
        <is>
          <t>BERG</t>
        </is>
      </c>
      <c r="G993" t="n">
        <v>11.7</v>
      </c>
      <c r="H993" t="n">
        <v>0</v>
      </c>
      <c r="I993" t="n">
        <v>0</v>
      </c>
      <c r="J993" t="n">
        <v>0</v>
      </c>
      <c r="K993" t="n">
        <v>0</v>
      </c>
      <c r="L993" t="n">
        <v>0</v>
      </c>
      <c r="M993" t="n">
        <v>0</v>
      </c>
      <c r="N993" t="n">
        <v>0</v>
      </c>
      <c r="O993" t="n">
        <v>0</v>
      </c>
      <c r="P993" t="n">
        <v>0</v>
      </c>
      <c r="Q993" t="n">
        <v>0</v>
      </c>
      <c r="R993" s="2" t="inlineStr"/>
    </row>
    <row r="994" ht="15" customHeight="1">
      <c r="A994" t="inlineStr">
        <is>
          <t>A 21521-2024</t>
        </is>
      </c>
      <c r="B994" s="1" t="n">
        <v>45441.58313657407</v>
      </c>
      <c r="C994" s="1" t="n">
        <v>46129</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54998-2023</t>
        </is>
      </c>
      <c r="B995" s="1" t="n">
        <v>45236</v>
      </c>
      <c r="C995" s="1" t="n">
        <v>46129</v>
      </c>
      <c r="D995" t="inlineStr">
        <is>
          <t>JÄMTLANDS LÄN</t>
        </is>
      </c>
      <c r="E995" t="inlineStr">
        <is>
          <t>BERG</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32156-2024</t>
        </is>
      </c>
      <c r="B996" s="1" t="n">
        <v>45511</v>
      </c>
      <c r="C996" s="1" t="n">
        <v>46129</v>
      </c>
      <c r="D996" t="inlineStr">
        <is>
          <t>JÄMTLANDS LÄN</t>
        </is>
      </c>
      <c r="E996" t="inlineStr">
        <is>
          <t>BERG</t>
        </is>
      </c>
      <c r="G996" t="n">
        <v>3.4</v>
      </c>
      <c r="H996" t="n">
        <v>0</v>
      </c>
      <c r="I996" t="n">
        <v>0</v>
      </c>
      <c r="J996" t="n">
        <v>0</v>
      </c>
      <c r="K996" t="n">
        <v>0</v>
      </c>
      <c r="L996" t="n">
        <v>0</v>
      </c>
      <c r="M996" t="n">
        <v>0</v>
      </c>
      <c r="N996" t="n">
        <v>0</v>
      </c>
      <c r="O996" t="n">
        <v>0</v>
      </c>
      <c r="P996" t="n">
        <v>0</v>
      </c>
      <c r="Q996" t="n">
        <v>0</v>
      </c>
      <c r="R996" s="2" t="inlineStr"/>
    </row>
    <row r="997" ht="15" customHeight="1">
      <c r="A997" t="inlineStr">
        <is>
          <t>A 23165-2024</t>
        </is>
      </c>
      <c r="B997" s="1" t="n">
        <v>45450</v>
      </c>
      <c r="C997" s="1" t="n">
        <v>46129</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19345-2024</t>
        </is>
      </c>
      <c r="B998" s="1" t="n">
        <v>45428.97185185185</v>
      </c>
      <c r="C998" s="1" t="n">
        <v>46129</v>
      </c>
      <c r="D998" t="inlineStr">
        <is>
          <t>JÄMTLANDS LÄN</t>
        </is>
      </c>
      <c r="E998" t="inlineStr">
        <is>
          <t>BERG</t>
        </is>
      </c>
      <c r="F998" t="inlineStr">
        <is>
          <t>SCA</t>
        </is>
      </c>
      <c r="G998" t="n">
        <v>14.7</v>
      </c>
      <c r="H998" t="n">
        <v>0</v>
      </c>
      <c r="I998" t="n">
        <v>0</v>
      </c>
      <c r="J998" t="n">
        <v>0</v>
      </c>
      <c r="K998" t="n">
        <v>0</v>
      </c>
      <c r="L998" t="n">
        <v>0</v>
      </c>
      <c r="M998" t="n">
        <v>0</v>
      </c>
      <c r="N998" t="n">
        <v>0</v>
      </c>
      <c r="O998" t="n">
        <v>0</v>
      </c>
      <c r="P998" t="n">
        <v>0</v>
      </c>
      <c r="Q998" t="n">
        <v>0</v>
      </c>
      <c r="R998" s="2" t="inlineStr"/>
    </row>
    <row r="999" ht="15" customHeight="1">
      <c r="A999" t="inlineStr">
        <is>
          <t>A 53456-2022</t>
        </is>
      </c>
      <c r="B999" s="1" t="n">
        <v>44874</v>
      </c>
      <c r="C999" s="1" t="n">
        <v>46129</v>
      </c>
      <c r="D999" t="inlineStr">
        <is>
          <t>JÄMTLANDS LÄN</t>
        </is>
      </c>
      <c r="E999" t="inlineStr">
        <is>
          <t>BERG</t>
        </is>
      </c>
      <c r="G999" t="n">
        <v>13.3</v>
      </c>
      <c r="H999" t="n">
        <v>0</v>
      </c>
      <c r="I999" t="n">
        <v>0</v>
      </c>
      <c r="J999" t="n">
        <v>0</v>
      </c>
      <c r="K999" t="n">
        <v>0</v>
      </c>
      <c r="L999" t="n">
        <v>0</v>
      </c>
      <c r="M999" t="n">
        <v>0</v>
      </c>
      <c r="N999" t="n">
        <v>0</v>
      </c>
      <c r="O999" t="n">
        <v>0</v>
      </c>
      <c r="P999" t="n">
        <v>0</v>
      </c>
      <c r="Q999" t="n">
        <v>0</v>
      </c>
      <c r="R999" s="2" t="inlineStr"/>
    </row>
    <row r="1000" ht="15" customHeight="1">
      <c r="A1000" t="inlineStr">
        <is>
          <t>A 9252-2025</t>
        </is>
      </c>
      <c r="B1000" s="1" t="n">
        <v>45714.59415509259</v>
      </c>
      <c r="C1000" s="1" t="n">
        <v>46129</v>
      </c>
      <c r="D1000" t="inlineStr">
        <is>
          <t>JÄMTLANDS LÄN</t>
        </is>
      </c>
      <c r="E1000" t="inlineStr">
        <is>
          <t>BERG</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64247-2023</t>
        </is>
      </c>
      <c r="B1001" s="1" t="n">
        <v>45279.92739583334</v>
      </c>
      <c r="C1001" s="1" t="n">
        <v>46129</v>
      </c>
      <c r="D1001" t="inlineStr">
        <is>
          <t>JÄMTLANDS LÄN</t>
        </is>
      </c>
      <c r="E1001" t="inlineStr">
        <is>
          <t>BERG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31330-2024</t>
        </is>
      </c>
      <c r="B1002" s="1" t="n">
        <v>45504</v>
      </c>
      <c r="C1002" s="1" t="n">
        <v>46129</v>
      </c>
      <c r="D1002" t="inlineStr">
        <is>
          <t>JÄMTLANDS LÄN</t>
        </is>
      </c>
      <c r="E1002" t="inlineStr">
        <is>
          <t>BERG</t>
        </is>
      </c>
      <c r="G1002" t="n">
        <v>30.5</v>
      </c>
      <c r="H1002" t="n">
        <v>0</v>
      </c>
      <c r="I1002" t="n">
        <v>0</v>
      </c>
      <c r="J1002" t="n">
        <v>0</v>
      </c>
      <c r="K1002" t="n">
        <v>0</v>
      </c>
      <c r="L1002" t="n">
        <v>0</v>
      </c>
      <c r="M1002" t="n">
        <v>0</v>
      </c>
      <c r="N1002" t="n">
        <v>0</v>
      </c>
      <c r="O1002" t="n">
        <v>0</v>
      </c>
      <c r="P1002" t="n">
        <v>0</v>
      </c>
      <c r="Q1002" t="n">
        <v>0</v>
      </c>
      <c r="R1002" s="2" t="inlineStr"/>
    </row>
    <row r="1003" ht="15" customHeight="1">
      <c r="A1003" t="inlineStr">
        <is>
          <t>A 60404-2023</t>
        </is>
      </c>
      <c r="B1003" s="1" t="n">
        <v>45259.46332175926</v>
      </c>
      <c r="C1003" s="1" t="n">
        <v>46129</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39186-2024</t>
        </is>
      </c>
      <c r="B1004" s="1" t="n">
        <v>45548.66489583333</v>
      </c>
      <c r="C1004" s="1" t="n">
        <v>46129</v>
      </c>
      <c r="D1004" t="inlineStr">
        <is>
          <t>JÄMTLANDS LÄN</t>
        </is>
      </c>
      <c r="E1004" t="inlineStr">
        <is>
          <t>BERG</t>
        </is>
      </c>
      <c r="G1004" t="n">
        <v>38.4</v>
      </c>
      <c r="H1004" t="n">
        <v>0</v>
      </c>
      <c r="I1004" t="n">
        <v>0</v>
      </c>
      <c r="J1004" t="n">
        <v>0</v>
      </c>
      <c r="K1004" t="n">
        <v>0</v>
      </c>
      <c r="L1004" t="n">
        <v>0</v>
      </c>
      <c r="M1004" t="n">
        <v>0</v>
      </c>
      <c r="N1004" t="n">
        <v>0</v>
      </c>
      <c r="O1004" t="n">
        <v>0</v>
      </c>
      <c r="P1004" t="n">
        <v>0</v>
      </c>
      <c r="Q1004" t="n">
        <v>0</v>
      </c>
      <c r="R1004" s="2" t="inlineStr"/>
    </row>
    <row r="1005" ht="15" customHeight="1">
      <c r="A1005" t="inlineStr">
        <is>
          <t>A 50706-2023</t>
        </is>
      </c>
      <c r="B1005" s="1" t="n">
        <v>45217.55832175926</v>
      </c>
      <c r="C1005" s="1" t="n">
        <v>46129</v>
      </c>
      <c r="D1005" t="inlineStr">
        <is>
          <t>JÄMTLANDS LÄN</t>
        </is>
      </c>
      <c r="E1005" t="inlineStr">
        <is>
          <t>BERG</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3625-2024</t>
        </is>
      </c>
      <c r="B1006" s="1" t="n">
        <v>45320</v>
      </c>
      <c r="C1006" s="1" t="n">
        <v>46129</v>
      </c>
      <c r="D1006" t="inlineStr">
        <is>
          <t>JÄMTLANDS LÄN</t>
        </is>
      </c>
      <c r="E1006" t="inlineStr">
        <is>
          <t>BERG</t>
        </is>
      </c>
      <c r="F1006" t="inlineStr">
        <is>
          <t>SCA</t>
        </is>
      </c>
      <c r="G1006" t="n">
        <v>23.7</v>
      </c>
      <c r="H1006" t="n">
        <v>0</v>
      </c>
      <c r="I1006" t="n">
        <v>0</v>
      </c>
      <c r="J1006" t="n">
        <v>0</v>
      </c>
      <c r="K1006" t="n">
        <v>0</v>
      </c>
      <c r="L1006" t="n">
        <v>0</v>
      </c>
      <c r="M1006" t="n">
        <v>0</v>
      </c>
      <c r="N1006" t="n">
        <v>0</v>
      </c>
      <c r="O1006" t="n">
        <v>0</v>
      </c>
      <c r="P1006" t="n">
        <v>0</v>
      </c>
      <c r="Q1006" t="n">
        <v>0</v>
      </c>
      <c r="R1006" s="2" t="inlineStr"/>
    </row>
    <row r="1007" ht="15" customHeight="1">
      <c r="A1007" t="inlineStr">
        <is>
          <t>A 18408-2025</t>
        </is>
      </c>
      <c r="B1007" s="1" t="n">
        <v>45762.61128472222</v>
      </c>
      <c r="C1007" s="1" t="n">
        <v>46129</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37086-2024</t>
        </is>
      </c>
      <c r="B1008" s="1" t="n">
        <v>45539.49776620371</v>
      </c>
      <c r="C1008" s="1" t="n">
        <v>46129</v>
      </c>
      <c r="D1008" t="inlineStr">
        <is>
          <t>JÄMTLANDS LÄN</t>
        </is>
      </c>
      <c r="E1008" t="inlineStr">
        <is>
          <t>BERG</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59968-2024</t>
        </is>
      </c>
      <c r="B1009" s="1" t="n">
        <v>45642</v>
      </c>
      <c r="C1009" s="1" t="n">
        <v>46129</v>
      </c>
      <c r="D1009" t="inlineStr">
        <is>
          <t>JÄMTLANDS LÄN</t>
        </is>
      </c>
      <c r="E1009" t="inlineStr">
        <is>
          <t>BERG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22275-2022</t>
        </is>
      </c>
      <c r="B1010" s="1" t="n">
        <v>44712</v>
      </c>
      <c r="C1010" s="1" t="n">
        <v>46129</v>
      </c>
      <c r="D1010" t="inlineStr">
        <is>
          <t>JÄMTLANDS LÄN</t>
        </is>
      </c>
      <c r="E1010" t="inlineStr">
        <is>
          <t>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4561-2024</t>
        </is>
      </c>
      <c r="B1011" s="1" t="n">
        <v>45327</v>
      </c>
      <c r="C1011" s="1" t="n">
        <v>46129</v>
      </c>
      <c r="D1011" t="inlineStr">
        <is>
          <t>JÄMTLANDS LÄN</t>
        </is>
      </c>
      <c r="E1011" t="inlineStr">
        <is>
          <t>BERG</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14190-2023</t>
        </is>
      </c>
      <c r="B1012" s="1" t="n">
        <v>45009.56106481481</v>
      </c>
      <c r="C1012" s="1" t="n">
        <v>46129</v>
      </c>
      <c r="D1012" t="inlineStr">
        <is>
          <t>JÄMTLANDS LÄN</t>
        </is>
      </c>
      <c r="E1012" t="inlineStr">
        <is>
          <t>BERG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31079-2024</t>
        </is>
      </c>
      <c r="B1013" s="1" t="n">
        <v>45502.46423611111</v>
      </c>
      <c r="C1013" s="1" t="n">
        <v>46129</v>
      </c>
      <c r="D1013" t="inlineStr">
        <is>
          <t>JÄMTLANDS LÄN</t>
        </is>
      </c>
      <c r="E1013" t="inlineStr">
        <is>
          <t>BERG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64487-2023</t>
        </is>
      </c>
      <c r="B1014" s="1" t="n">
        <v>45280.92613425926</v>
      </c>
      <c r="C1014" s="1" t="n">
        <v>46129</v>
      </c>
      <c r="D1014" t="inlineStr">
        <is>
          <t>JÄMTLANDS LÄN</t>
        </is>
      </c>
      <c r="E1014" t="inlineStr">
        <is>
          <t>BERG</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64489-2023</t>
        </is>
      </c>
      <c r="B1015" s="1" t="n">
        <v>45280</v>
      </c>
      <c r="C1015" s="1" t="n">
        <v>46129</v>
      </c>
      <c r="D1015" t="inlineStr">
        <is>
          <t>JÄMTLANDS LÄN</t>
        </is>
      </c>
      <c r="E1015" t="inlineStr">
        <is>
          <t>BERG</t>
        </is>
      </c>
      <c r="F1015" t="inlineStr">
        <is>
          <t>Övriga Aktiebolag</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39510-2023</t>
        </is>
      </c>
      <c r="B1016" s="1" t="n">
        <v>45166</v>
      </c>
      <c r="C1016" s="1" t="n">
        <v>46129</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41636-2024</t>
        </is>
      </c>
      <c r="B1017" s="1" t="n">
        <v>45560.61606481481</v>
      </c>
      <c r="C1017" s="1" t="n">
        <v>46129</v>
      </c>
      <c r="D1017" t="inlineStr">
        <is>
          <t>JÄMTLANDS LÄN</t>
        </is>
      </c>
      <c r="E1017" t="inlineStr">
        <is>
          <t>BERG</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41634-2024</t>
        </is>
      </c>
      <c r="B1018" s="1" t="n">
        <v>45560.61496527777</v>
      </c>
      <c r="C1018" s="1" t="n">
        <v>46129</v>
      </c>
      <c r="D1018" t="inlineStr">
        <is>
          <t>JÄMTLANDS LÄN</t>
        </is>
      </c>
      <c r="E1018" t="inlineStr">
        <is>
          <t>BERG</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27395-2021</t>
        </is>
      </c>
      <c r="B1019" s="1" t="n">
        <v>44350</v>
      </c>
      <c r="C1019" s="1" t="n">
        <v>46129</v>
      </c>
      <c r="D1019" t="inlineStr">
        <is>
          <t>JÄMTLANDS LÄN</t>
        </is>
      </c>
      <c r="E1019" t="inlineStr">
        <is>
          <t>BERG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5219-2022</t>
        </is>
      </c>
      <c r="B1020" s="1" t="n">
        <v>44594.48569444445</v>
      </c>
      <c r="C1020" s="1" t="n">
        <v>46129</v>
      </c>
      <c r="D1020" t="inlineStr">
        <is>
          <t>JÄMTLANDS LÄN</t>
        </is>
      </c>
      <c r="E1020" t="inlineStr">
        <is>
          <t>BERG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14672-2025</t>
        </is>
      </c>
      <c r="B1021" s="1" t="n">
        <v>45742.55269675926</v>
      </c>
      <c r="C1021" s="1" t="n">
        <v>46129</v>
      </c>
      <c r="D1021" t="inlineStr">
        <is>
          <t>JÄMTLANDS LÄN</t>
        </is>
      </c>
      <c r="E1021" t="inlineStr">
        <is>
          <t>BERG</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13149-2025</t>
        </is>
      </c>
      <c r="B1022" s="1" t="n">
        <v>45735.34424768519</v>
      </c>
      <c r="C1022" s="1" t="n">
        <v>46129</v>
      </c>
      <c r="D1022" t="inlineStr">
        <is>
          <t>JÄMTLANDS LÄN</t>
        </is>
      </c>
      <c r="E1022" t="inlineStr">
        <is>
          <t>BERG</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15013-2025</t>
        </is>
      </c>
      <c r="B1023" s="1" t="n">
        <v>45743.62734953704</v>
      </c>
      <c r="C1023" s="1" t="n">
        <v>46129</v>
      </c>
      <c r="D1023" t="inlineStr">
        <is>
          <t>JÄMTLANDS LÄN</t>
        </is>
      </c>
      <c r="E1023" t="inlineStr">
        <is>
          <t>BERG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40824-2023</t>
        </is>
      </c>
      <c r="B1024" s="1" t="n">
        <v>45171</v>
      </c>
      <c r="C1024" s="1" t="n">
        <v>46129</v>
      </c>
      <c r="D1024" t="inlineStr">
        <is>
          <t>JÄMTLANDS LÄN</t>
        </is>
      </c>
      <c r="E1024" t="inlineStr">
        <is>
          <t>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35986-2023</t>
        </is>
      </c>
      <c r="B1025" s="1" t="n">
        <v>45148</v>
      </c>
      <c r="C1025" s="1" t="n">
        <v>46129</v>
      </c>
      <c r="D1025" t="inlineStr">
        <is>
          <t>JÄMTLANDS LÄN</t>
        </is>
      </c>
      <c r="E1025" t="inlineStr">
        <is>
          <t>BERG</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171-2022</t>
        </is>
      </c>
      <c r="B1026" s="1" t="n">
        <v>44564</v>
      </c>
      <c r="C1026" s="1" t="n">
        <v>46129</v>
      </c>
      <c r="D1026" t="inlineStr">
        <is>
          <t>JÄMTLANDS LÄN</t>
        </is>
      </c>
      <c r="E1026" t="inlineStr">
        <is>
          <t>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2002-2022</t>
        </is>
      </c>
      <c r="B1027" s="1" t="n">
        <v>44575</v>
      </c>
      <c r="C1027" s="1" t="n">
        <v>46129</v>
      </c>
      <c r="D1027" t="inlineStr">
        <is>
          <t>JÄMTLANDS LÄN</t>
        </is>
      </c>
      <c r="E1027" t="inlineStr">
        <is>
          <t>BERG</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53883-2023</t>
        </is>
      </c>
      <c r="B1028" s="1" t="n">
        <v>45231.5221875</v>
      </c>
      <c r="C1028" s="1" t="n">
        <v>46129</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41875-2024</t>
        </is>
      </c>
      <c r="B1029" s="1" t="n">
        <v>45561.47431712963</v>
      </c>
      <c r="C1029" s="1" t="n">
        <v>46129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4246-2025</t>
        </is>
      </c>
      <c r="B1030" s="1" t="n">
        <v>45685.59083333334</v>
      </c>
      <c r="C1030" s="1" t="n">
        <v>46129</v>
      </c>
      <c r="D1030" t="inlineStr">
        <is>
          <t>JÄMTLANDS LÄN</t>
        </is>
      </c>
      <c r="E1030" t="inlineStr">
        <is>
          <t>BERG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8251-2023</t>
        </is>
      </c>
      <c r="B1031" s="1" t="n">
        <v>44974</v>
      </c>
      <c r="C1031" s="1" t="n">
        <v>46129</v>
      </c>
      <c r="D1031" t="inlineStr">
        <is>
          <t>JÄMTLANDS LÄN</t>
        </is>
      </c>
      <c r="E1031" t="inlineStr">
        <is>
          <t>BERG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16553-2025</t>
        </is>
      </c>
      <c r="B1032" s="1" t="n">
        <v>45751.69967592593</v>
      </c>
      <c r="C1032" s="1" t="n">
        <v>46129</v>
      </c>
      <c r="D1032" t="inlineStr">
        <is>
          <t>JÄMTLANDS LÄN</t>
        </is>
      </c>
      <c r="E1032" t="inlineStr">
        <is>
          <t>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45081-2022</t>
        </is>
      </c>
      <c r="B1033" s="1" t="n">
        <v>44841</v>
      </c>
      <c r="C1033" s="1" t="n">
        <v>46129</v>
      </c>
      <c r="D1033" t="inlineStr">
        <is>
          <t>JÄMTLANDS LÄN</t>
        </is>
      </c>
      <c r="E1033" t="inlineStr">
        <is>
          <t>BERG</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47289-2023</t>
        </is>
      </c>
      <c r="B1034" s="1" t="n">
        <v>45202.46581018518</v>
      </c>
      <c r="C1034" s="1" t="n">
        <v>46129</v>
      </c>
      <c r="D1034" t="inlineStr">
        <is>
          <t>JÄMTLANDS LÄN</t>
        </is>
      </c>
      <c r="E1034" t="inlineStr">
        <is>
          <t>BERG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8388-2022</t>
        </is>
      </c>
      <c r="B1035" s="1" t="n">
        <v>44610</v>
      </c>
      <c r="C1035" s="1" t="n">
        <v>46129</v>
      </c>
      <c r="D1035" t="inlineStr">
        <is>
          <t>JÄMTLANDS LÄN</t>
        </is>
      </c>
      <c r="E1035" t="inlineStr">
        <is>
          <t>BERG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4522-2024</t>
        </is>
      </c>
      <c r="B1036" s="1" t="n">
        <v>45327</v>
      </c>
      <c r="C1036" s="1" t="n">
        <v>46129</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11599-2025</t>
        </is>
      </c>
      <c r="B1037" s="1" t="n">
        <v>45727.4261574074</v>
      </c>
      <c r="C1037" s="1" t="n">
        <v>46129</v>
      </c>
      <c r="D1037" t="inlineStr">
        <is>
          <t>JÄMTLANDS LÄN</t>
        </is>
      </c>
      <c r="E1037" t="inlineStr">
        <is>
          <t>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48307-2024</t>
        </is>
      </c>
      <c r="B1038" s="1" t="n">
        <v>45590.47684027778</v>
      </c>
      <c r="C1038" s="1" t="n">
        <v>46129</v>
      </c>
      <c r="D1038" t="inlineStr">
        <is>
          <t>JÄMTLANDS LÄN</t>
        </is>
      </c>
      <c r="E1038" t="inlineStr">
        <is>
          <t>BERG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61652-2024</t>
        </is>
      </c>
      <c r="B1039" s="1" t="n">
        <v>45646.72293981481</v>
      </c>
      <c r="C1039" s="1" t="n">
        <v>46129</v>
      </c>
      <c r="D1039" t="inlineStr">
        <is>
          <t>JÄMTLANDS LÄN</t>
        </is>
      </c>
      <c r="E1039" t="inlineStr">
        <is>
          <t>BERG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48663-2023</t>
        </is>
      </c>
      <c r="B1040" s="1" t="n">
        <v>45202</v>
      </c>
      <c r="C1040" s="1" t="n">
        <v>46129</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38-2024</t>
        </is>
      </c>
      <c r="B1041" s="1" t="n">
        <v>45293</v>
      </c>
      <c r="C1041" s="1" t="n">
        <v>46129</v>
      </c>
      <c r="D1041" t="inlineStr">
        <is>
          <t>JÄMTLANDS LÄN</t>
        </is>
      </c>
      <c r="E1041" t="inlineStr">
        <is>
          <t>BERG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43762-2023</t>
        </is>
      </c>
      <c r="B1042" s="1" t="n">
        <v>45182</v>
      </c>
      <c r="C1042" s="1" t="n">
        <v>46129</v>
      </c>
      <c r="D1042" t="inlineStr">
        <is>
          <t>JÄMTLANDS LÄN</t>
        </is>
      </c>
      <c r="E1042" t="inlineStr">
        <is>
          <t>BERG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51039-2024</t>
        </is>
      </c>
      <c r="B1043" s="1" t="n">
        <v>45603.43164351852</v>
      </c>
      <c r="C1043" s="1" t="n">
        <v>46129</v>
      </c>
      <c r="D1043" t="inlineStr">
        <is>
          <t>JÄMTLANDS LÄN</t>
        </is>
      </c>
      <c r="E1043" t="inlineStr">
        <is>
          <t>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60076-2024</t>
        </is>
      </c>
      <c r="B1044" s="1" t="n">
        <v>45642.53166666667</v>
      </c>
      <c r="C1044" s="1" t="n">
        <v>46129</v>
      </c>
      <c r="D1044" t="inlineStr">
        <is>
          <t>JÄMTLANDS LÄN</t>
        </is>
      </c>
      <c r="E1044" t="inlineStr">
        <is>
          <t>BERG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32711-2024</t>
        </is>
      </c>
      <c r="B1045" s="1" t="n">
        <v>45516</v>
      </c>
      <c r="C1045" s="1" t="n">
        <v>46129</v>
      </c>
      <c r="D1045" t="inlineStr">
        <is>
          <t>JÄMTLANDS LÄN</t>
        </is>
      </c>
      <c r="E1045" t="inlineStr">
        <is>
          <t>BERG</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15992-2025</t>
        </is>
      </c>
      <c r="B1046" s="1" t="n">
        <v>45749.58319444444</v>
      </c>
      <c r="C1046" s="1" t="n">
        <v>46129</v>
      </c>
      <c r="D1046" t="inlineStr">
        <is>
          <t>JÄMTLANDS LÄN</t>
        </is>
      </c>
      <c r="E1046" t="inlineStr">
        <is>
          <t>BERG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2472-2025</t>
        </is>
      </c>
      <c r="B1047" s="1" t="n">
        <v>45674.47341435185</v>
      </c>
      <c r="C1047" s="1" t="n">
        <v>46129</v>
      </c>
      <c r="D1047" t="inlineStr">
        <is>
          <t>JÄMTLANDS LÄN</t>
        </is>
      </c>
      <c r="E1047" t="inlineStr">
        <is>
          <t>BERG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8239-2024</t>
        </is>
      </c>
      <c r="B1048" s="1" t="n">
        <v>45351</v>
      </c>
      <c r="C1048" s="1" t="n">
        <v>46129</v>
      </c>
      <c r="D1048" t="inlineStr">
        <is>
          <t>JÄMTLANDS LÄN</t>
        </is>
      </c>
      <c r="E1048" t="inlineStr">
        <is>
          <t>BERG</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65207-2023</t>
        </is>
      </c>
      <c r="B1049" s="1" t="n">
        <v>45289</v>
      </c>
      <c r="C1049" s="1" t="n">
        <v>46129</v>
      </c>
      <c r="D1049" t="inlineStr">
        <is>
          <t>JÄMTLANDS LÄN</t>
        </is>
      </c>
      <c r="E1049" t="inlineStr">
        <is>
          <t>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44313-2023</t>
        </is>
      </c>
      <c r="B1050" s="1" t="n">
        <v>45188.6505787037</v>
      </c>
      <c r="C1050" s="1" t="n">
        <v>46129</v>
      </c>
      <c r="D1050" t="inlineStr">
        <is>
          <t>JÄMTLANDS LÄN</t>
        </is>
      </c>
      <c r="E1050" t="inlineStr">
        <is>
          <t>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19181-2025</t>
        </is>
      </c>
      <c r="B1051" s="1" t="n">
        <v>45769.40174768519</v>
      </c>
      <c r="C1051" s="1" t="n">
        <v>46129</v>
      </c>
      <c r="D1051" t="inlineStr">
        <is>
          <t>JÄMTLANDS LÄN</t>
        </is>
      </c>
      <c r="E1051" t="inlineStr">
        <is>
          <t>BERG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19891-2025</t>
        </is>
      </c>
      <c r="B1052" s="1" t="n">
        <v>45771.5743287037</v>
      </c>
      <c r="C1052" s="1" t="n">
        <v>46129</v>
      </c>
      <c r="D1052" t="inlineStr">
        <is>
          <t>JÄMTLANDS LÄN</t>
        </is>
      </c>
      <c r="E1052" t="inlineStr">
        <is>
          <t>BERG</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30917-2024</t>
        </is>
      </c>
      <c r="B1053" s="1" t="n">
        <v>45498.66611111111</v>
      </c>
      <c r="C1053" s="1" t="n">
        <v>46129</v>
      </c>
      <c r="D1053" t="inlineStr">
        <is>
          <t>JÄMTLANDS LÄN</t>
        </is>
      </c>
      <c r="E1053" t="inlineStr">
        <is>
          <t>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14341-2025</t>
        </is>
      </c>
      <c r="B1054" s="1" t="n">
        <v>45741.26008101852</v>
      </c>
      <c r="C1054" s="1" t="n">
        <v>46129</v>
      </c>
      <c r="D1054" t="inlineStr">
        <is>
          <t>JÄMTLANDS LÄN</t>
        </is>
      </c>
      <c r="E1054" t="inlineStr">
        <is>
          <t>BERG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59634-2022</t>
        </is>
      </c>
      <c r="B1055" s="1" t="n">
        <v>44907.9645949074</v>
      </c>
      <c r="C1055" s="1" t="n">
        <v>46129</v>
      </c>
      <c r="D1055" t="inlineStr">
        <is>
          <t>JÄMTLANDS LÄN</t>
        </is>
      </c>
      <c r="E1055" t="inlineStr">
        <is>
          <t>BERG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46816-2023</t>
        </is>
      </c>
      <c r="B1056" s="1" t="n">
        <v>45198</v>
      </c>
      <c r="C1056" s="1" t="n">
        <v>46129</v>
      </c>
      <c r="D1056" t="inlineStr">
        <is>
          <t>JÄMTLANDS LÄN</t>
        </is>
      </c>
      <c r="E1056" t="inlineStr">
        <is>
          <t>BERG</t>
        </is>
      </c>
      <c r="F1056" t="inlineStr">
        <is>
          <t>SCA</t>
        </is>
      </c>
      <c r="G1056" t="n">
        <v>66.2</v>
      </c>
      <c r="H1056" t="n">
        <v>0</v>
      </c>
      <c r="I1056" t="n">
        <v>0</v>
      </c>
      <c r="J1056" t="n">
        <v>0</v>
      </c>
      <c r="K1056" t="n">
        <v>0</v>
      </c>
      <c r="L1056" t="n">
        <v>0</v>
      </c>
      <c r="M1056" t="n">
        <v>0</v>
      </c>
      <c r="N1056" t="n">
        <v>0</v>
      </c>
      <c r="O1056" t="n">
        <v>0</v>
      </c>
      <c r="P1056" t="n">
        <v>0</v>
      </c>
      <c r="Q1056" t="n">
        <v>0</v>
      </c>
      <c r="R1056" s="2" t="inlineStr"/>
    </row>
    <row r="1057" ht="15" customHeight="1">
      <c r="A1057" t="inlineStr">
        <is>
          <t>A 49555-2023</t>
        </is>
      </c>
      <c r="B1057" s="1" t="n">
        <v>45205</v>
      </c>
      <c r="C1057" s="1" t="n">
        <v>46129</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59521-2024</t>
        </is>
      </c>
      <c r="B1058" s="1" t="n">
        <v>45638.57283564815</v>
      </c>
      <c r="C1058" s="1" t="n">
        <v>46129</v>
      </c>
      <c r="D1058" t="inlineStr">
        <is>
          <t>JÄMTLANDS LÄN</t>
        </is>
      </c>
      <c r="E1058" t="inlineStr">
        <is>
          <t>BERG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19513-2025</t>
        </is>
      </c>
      <c r="B1059" s="1" t="n">
        <v>45770.42762731481</v>
      </c>
      <c r="C1059" s="1" t="n">
        <v>46129</v>
      </c>
      <c r="D1059" t="inlineStr">
        <is>
          <t>JÄMTLANDS LÄN</t>
        </is>
      </c>
      <c r="E1059" t="inlineStr">
        <is>
          <t>BERG</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9478-2024</t>
        </is>
      </c>
      <c r="B1060" s="1" t="n">
        <v>45359.5732175926</v>
      </c>
      <c r="C1060" s="1" t="n">
        <v>46129</v>
      </c>
      <c r="D1060" t="inlineStr">
        <is>
          <t>JÄMTLANDS LÄN</t>
        </is>
      </c>
      <c r="E1060" t="inlineStr">
        <is>
          <t>BERG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21156-2025</t>
        </is>
      </c>
      <c r="B1061" s="1" t="n">
        <v>45779.37599537037</v>
      </c>
      <c r="C1061" s="1" t="n">
        <v>46129</v>
      </c>
      <c r="D1061" t="inlineStr">
        <is>
          <t>JÄMTLANDS LÄN</t>
        </is>
      </c>
      <c r="E1061" t="inlineStr">
        <is>
          <t>BERG</t>
        </is>
      </c>
      <c r="F1061" t="inlineStr">
        <is>
          <t>Holmen skog AB</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21472-2025</t>
        </is>
      </c>
      <c r="B1062" s="1" t="n">
        <v>45782.59024305556</v>
      </c>
      <c r="C1062" s="1" t="n">
        <v>46129</v>
      </c>
      <c r="D1062" t="inlineStr">
        <is>
          <t>JÄMTLANDS LÄN</t>
        </is>
      </c>
      <c r="E1062" t="inlineStr">
        <is>
          <t>BERG</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21292-2025</t>
        </is>
      </c>
      <c r="B1063" s="1" t="n">
        <v>45780.39354166666</v>
      </c>
      <c r="C1063" s="1" t="n">
        <v>46129</v>
      </c>
      <c r="D1063" t="inlineStr">
        <is>
          <t>JÄMTLANDS LÄN</t>
        </is>
      </c>
      <c r="E1063" t="inlineStr">
        <is>
          <t>BERG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32020-2023</t>
        </is>
      </c>
      <c r="B1064" s="1" t="n">
        <v>45119.49261574074</v>
      </c>
      <c r="C1064" s="1" t="n">
        <v>46129</v>
      </c>
      <c r="D1064" t="inlineStr">
        <is>
          <t>JÄMTLANDS LÄN</t>
        </is>
      </c>
      <c r="E1064" t="inlineStr">
        <is>
          <t>BERG</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22180-2025</t>
        </is>
      </c>
      <c r="B1065" s="1" t="n">
        <v>45785</v>
      </c>
      <c r="C1065" s="1" t="n">
        <v>46129</v>
      </c>
      <c r="D1065" t="inlineStr">
        <is>
          <t>JÄMTLANDS LÄN</t>
        </is>
      </c>
      <c r="E1065" t="inlineStr">
        <is>
          <t>BERG</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60847-2023</t>
        </is>
      </c>
      <c r="B1066" s="1" t="n">
        <v>45260</v>
      </c>
      <c r="C1066" s="1" t="n">
        <v>46129</v>
      </c>
      <c r="D1066" t="inlineStr">
        <is>
          <t>JÄMTLANDS LÄN</t>
        </is>
      </c>
      <c r="E1066" t="inlineStr">
        <is>
          <t>BERG</t>
        </is>
      </c>
      <c r="G1066" t="n">
        <v>2.5</v>
      </c>
      <c r="H1066" t="n">
        <v>0</v>
      </c>
      <c r="I1066" t="n">
        <v>0</v>
      </c>
      <c r="J1066" t="n">
        <v>0</v>
      </c>
      <c r="K1066" t="n">
        <v>0</v>
      </c>
      <c r="L1066" t="n">
        <v>0</v>
      </c>
      <c r="M1066" t="n">
        <v>0</v>
      </c>
      <c r="N1066" t="n">
        <v>0</v>
      </c>
      <c r="O1066" t="n">
        <v>0</v>
      </c>
      <c r="P1066" t="n">
        <v>0</v>
      </c>
      <c r="Q1066" t="n">
        <v>0</v>
      </c>
      <c r="R1066" s="2" t="inlineStr"/>
    </row>
    <row r="1067">
      <c r="A1067" t="inlineStr">
        <is>
          <t>A 21851-2025</t>
        </is>
      </c>
      <c r="B1067" s="1" t="n">
        <v>45784.34417824074</v>
      </c>
      <c r="C1067" s="1" t="n">
        <v>46129</v>
      </c>
      <c r="D1067" t="inlineStr">
        <is>
          <t>JÄMTLANDS LÄN</t>
        </is>
      </c>
      <c r="E1067" t="inlineStr">
        <is>
          <t>BERG</t>
        </is>
      </c>
      <c r="F1067" t="inlineStr">
        <is>
          <t>SCA</t>
        </is>
      </c>
      <c r="G1067" t="n">
        <v>10</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2026-04-17T10:29:09Z</dcterms:created>
  <dcterms:modified xmlns:dcterms="http://purl.org/dc/terms/" xmlns:xsi="http://www.w3.org/2001/XMLSchema-instance" xsi:type="dcterms:W3CDTF">2026-04-17T10:29:10Z</dcterms:modified>
</cp:coreProperties>
</file>