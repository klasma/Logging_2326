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45629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45629</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45629</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45629</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45629</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45629</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45629</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45629</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45629</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45629</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45629</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45629</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45629</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35741-2022</t>
        </is>
      </c>
      <c r="B15" s="1" t="n">
        <v>44799</v>
      </c>
      <c r="C15" s="1" t="n">
        <v>45629</v>
      </c>
      <c r="D15" t="inlineStr">
        <is>
          <t>JÄMTLANDS LÄN</t>
        </is>
      </c>
      <c r="E15" t="inlineStr">
        <is>
          <t>BERG</t>
        </is>
      </c>
      <c r="F15" t="inlineStr">
        <is>
          <t>SCA</t>
        </is>
      </c>
      <c r="G15" t="n">
        <v>17.8</v>
      </c>
      <c r="H15" t="n">
        <v>1</v>
      </c>
      <c r="I15" t="n">
        <v>2</v>
      </c>
      <c r="J15" t="n">
        <v>10</v>
      </c>
      <c r="K15" t="n">
        <v>3</v>
      </c>
      <c r="L15" t="n">
        <v>0</v>
      </c>
      <c r="M15" t="n">
        <v>0</v>
      </c>
      <c r="N15" t="n">
        <v>0</v>
      </c>
      <c r="O15" t="n">
        <v>13</v>
      </c>
      <c r="P15" t="n">
        <v>3</v>
      </c>
      <c r="Q15" t="n">
        <v>15</v>
      </c>
      <c r="R15" s="2" t="inlineStr">
        <is>
          <t>Fläckporing
Gräddporing
Spadskinn
Blanksvart spiklav
Dvärgbägarlav
Kolflarnlav
Mörk kolflarnlav
Nordtagging
Skrovellav
Svartvit taggsvamp
Tretåig hackspett
Vedflamlav
Vedskivlav
Bårdlav
Stuplav</t>
        </is>
      </c>
      <c r="S15">
        <f>HYPERLINK("https://klasma.github.io/Logging_2326/artfynd/A 35741-2022 artfynd.xlsx", "A 35741-2022")</f>
        <v/>
      </c>
      <c r="T15">
        <f>HYPERLINK("https://klasma.github.io/Logging_2326/kartor/A 35741-2022 karta.png", "A 35741-2022")</f>
        <v/>
      </c>
      <c r="V15">
        <f>HYPERLINK("https://klasma.github.io/Logging_2326/klagomål/A 35741-2022 FSC-klagomål.docx", "A 35741-2022")</f>
        <v/>
      </c>
      <c r="W15">
        <f>HYPERLINK("https://klasma.github.io/Logging_2326/klagomålsmail/A 35741-2022 FSC-klagomål mail.docx", "A 35741-2022")</f>
        <v/>
      </c>
      <c r="X15">
        <f>HYPERLINK("https://klasma.github.io/Logging_2326/tillsyn/A 35741-2022 tillsynsbegäran.docx", "A 35741-2022")</f>
        <v/>
      </c>
      <c r="Y15">
        <f>HYPERLINK("https://klasma.github.io/Logging_2326/tillsynsmail/A 35741-2022 tillsynsbegäran mail.docx", "A 35741-2022")</f>
        <v/>
      </c>
      <c r="Z15">
        <f>HYPERLINK("https://klasma.github.io/Logging_2326/fåglar/A 35741-2022 prioriterade fågelarter.docx", "A 35741-2022")</f>
        <v/>
      </c>
    </row>
    <row r="16" ht="15" customHeight="1">
      <c r="A16" t="inlineStr">
        <is>
          <t>A 21351-2023</t>
        </is>
      </c>
      <c r="B16" s="1" t="n">
        <v>45062</v>
      </c>
      <c r="C16" s="1" t="n">
        <v>45629</v>
      </c>
      <c r="D16" t="inlineStr">
        <is>
          <t>JÄMTLANDS LÄN</t>
        </is>
      </c>
      <c r="E16" t="inlineStr">
        <is>
          <t>BERG</t>
        </is>
      </c>
      <c r="F16" t="inlineStr">
        <is>
          <t>SCA</t>
        </is>
      </c>
      <c r="G16" t="n">
        <v>26.3</v>
      </c>
      <c r="H16" t="n">
        <v>4</v>
      </c>
      <c r="I16" t="n">
        <v>4</v>
      </c>
      <c r="J16" t="n">
        <v>9</v>
      </c>
      <c r="K16" t="n">
        <v>2</v>
      </c>
      <c r="L16" t="n">
        <v>0</v>
      </c>
      <c r="M16" t="n">
        <v>0</v>
      </c>
      <c r="N16" t="n">
        <v>0</v>
      </c>
      <c r="O16" t="n">
        <v>11</v>
      </c>
      <c r="P16" t="n">
        <v>2</v>
      </c>
      <c r="Q16" t="n">
        <v>15</v>
      </c>
      <c r="R16" s="2" t="inlineStr">
        <is>
          <t>Doftticka
Knärot
Blanksvart spiklav
Dvärgbägarlav
Kolflarnlav
Lunglav
Mörk kolflarnlav
Skrovellav
Tretåig hackspett
Vedflamlav
Vedskivlav
Bårdlav
Dropptaggsvamp
Spindelblomster
Stuplav</t>
        </is>
      </c>
      <c r="S16">
        <f>HYPERLINK("https://klasma.github.io/Logging_2326/artfynd/A 21351-2023 artfynd.xlsx", "A 21351-2023")</f>
        <v/>
      </c>
      <c r="T16">
        <f>HYPERLINK("https://klasma.github.io/Logging_2326/kartor/A 21351-2023 karta.png", "A 21351-2023")</f>
        <v/>
      </c>
      <c r="U16">
        <f>HYPERLINK("https://klasma.github.io/Logging_2326/knärot/A 21351-2023 karta knärot.png", "A 21351-2023")</f>
        <v/>
      </c>
      <c r="V16">
        <f>HYPERLINK("https://klasma.github.io/Logging_2326/klagomål/A 21351-2023 FSC-klagomål.docx", "A 21351-2023")</f>
        <v/>
      </c>
      <c r="W16">
        <f>HYPERLINK("https://klasma.github.io/Logging_2326/klagomålsmail/A 21351-2023 FSC-klagomål mail.docx", "A 21351-2023")</f>
        <v/>
      </c>
      <c r="X16">
        <f>HYPERLINK("https://klasma.github.io/Logging_2326/tillsyn/A 21351-2023 tillsynsbegäran.docx", "A 21351-2023")</f>
        <v/>
      </c>
      <c r="Y16">
        <f>HYPERLINK("https://klasma.github.io/Logging_2326/tillsynsmail/A 21351-2023 tillsynsbegäran mail.docx", "A 21351-2023")</f>
        <v/>
      </c>
      <c r="Z16">
        <f>HYPERLINK("https://klasma.github.io/Logging_2326/fåglar/A 21351-2023 prioriterade fågelarter.docx", "A 21351-2023")</f>
        <v/>
      </c>
    </row>
    <row r="17" ht="15" customHeight="1">
      <c r="A17" t="inlineStr">
        <is>
          <t>A 16678-2024</t>
        </is>
      </c>
      <c r="B17" s="1" t="n">
        <v>45408</v>
      </c>
      <c r="C17" s="1" t="n">
        <v>45629</v>
      </c>
      <c r="D17" t="inlineStr">
        <is>
          <t>JÄMTLANDS LÄN</t>
        </is>
      </c>
      <c r="E17" t="inlineStr">
        <is>
          <t>BERG</t>
        </is>
      </c>
      <c r="G17" t="n">
        <v>19</v>
      </c>
      <c r="H17" t="n">
        <v>3</v>
      </c>
      <c r="I17" t="n">
        <v>2</v>
      </c>
      <c r="J17" t="n">
        <v>10</v>
      </c>
      <c r="K17" t="n">
        <v>2</v>
      </c>
      <c r="L17" t="n">
        <v>0</v>
      </c>
      <c r="M17" t="n">
        <v>0</v>
      </c>
      <c r="N17" t="n">
        <v>0</v>
      </c>
      <c r="O17" t="n">
        <v>12</v>
      </c>
      <c r="P17" t="n">
        <v>2</v>
      </c>
      <c r="Q17" t="n">
        <v>15</v>
      </c>
      <c r="R17" s="2" t="inlineStr">
        <is>
          <t>Gräddporing
Knärot
Doftskinn
Garnlav
Kolflarnlav
Lunglav
Mörk kolflarnlav
Skrovellav
Tretåig hackspett
Ullticka
Vedskivlav
Vitgrynig nållav
Norrlandslav
Stuplav
Tjäder</t>
        </is>
      </c>
      <c r="S17">
        <f>HYPERLINK("https://klasma.github.io/Logging_2326/artfynd/A 16678-2024 artfynd.xlsx", "A 16678-2024")</f>
        <v/>
      </c>
      <c r="T17">
        <f>HYPERLINK("https://klasma.github.io/Logging_2326/kartor/A 16678-2024 karta.png", "A 16678-2024")</f>
        <v/>
      </c>
      <c r="U17">
        <f>HYPERLINK("https://klasma.github.io/Logging_2326/knärot/A 16678-2024 karta knärot.png", "A 16678-2024")</f>
        <v/>
      </c>
      <c r="V17">
        <f>HYPERLINK("https://klasma.github.io/Logging_2326/klagomål/A 16678-2024 FSC-klagomål.docx", "A 16678-2024")</f>
        <v/>
      </c>
      <c r="W17">
        <f>HYPERLINK("https://klasma.github.io/Logging_2326/klagomålsmail/A 16678-2024 FSC-klagomål mail.docx", "A 16678-2024")</f>
        <v/>
      </c>
      <c r="X17">
        <f>HYPERLINK("https://klasma.github.io/Logging_2326/tillsyn/A 16678-2024 tillsynsbegäran.docx", "A 16678-2024")</f>
        <v/>
      </c>
      <c r="Y17">
        <f>HYPERLINK("https://klasma.github.io/Logging_2326/tillsynsmail/A 16678-2024 tillsynsbegäran mail.docx", "A 16678-2024")</f>
        <v/>
      </c>
      <c r="Z17">
        <f>HYPERLINK("https://klasma.github.io/Logging_2326/fåglar/A 16678-2024 prioriterade fågelarter.docx", "A 16678-2024")</f>
        <v/>
      </c>
    </row>
    <row r="18" ht="15" customHeight="1">
      <c r="A18" t="inlineStr">
        <is>
          <t>A 18411-2024</t>
        </is>
      </c>
      <c r="B18" s="1" t="n">
        <v>45425</v>
      </c>
      <c r="C18" s="1" t="n">
        <v>45629</v>
      </c>
      <c r="D18" t="inlineStr">
        <is>
          <t>JÄMTLANDS LÄN</t>
        </is>
      </c>
      <c r="E18" t="inlineStr">
        <is>
          <t>BERG</t>
        </is>
      </c>
      <c r="G18" t="n">
        <v>18.2</v>
      </c>
      <c r="H18" t="n">
        <v>4</v>
      </c>
      <c r="I18" t="n">
        <v>2</v>
      </c>
      <c r="J18" t="n">
        <v>10</v>
      </c>
      <c r="K18" t="n">
        <v>1</v>
      </c>
      <c r="L18" t="n">
        <v>0</v>
      </c>
      <c r="M18" t="n">
        <v>0</v>
      </c>
      <c r="N18" t="n">
        <v>0</v>
      </c>
      <c r="O18" t="n">
        <v>11</v>
      </c>
      <c r="P18" t="n">
        <v>1</v>
      </c>
      <c r="Q18" t="n">
        <v>15</v>
      </c>
      <c r="R18" s="2" t="inlineStr">
        <is>
          <t>Gräddporing
Dvärgbägarlav
Garnlav
Granticka
Kolflarnlav
Lunglav
Mörk kolflarnlav
Reliktbock
Tretåig hackspett
Vedflamlav
Vedskivlav
Norrlandslav
Spindelblomster
Tjäder
Revlummer</t>
        </is>
      </c>
      <c r="S18">
        <f>HYPERLINK("https://klasma.github.io/Logging_2326/artfynd/A 18411-2024 artfynd.xlsx", "A 18411-2024")</f>
        <v/>
      </c>
      <c r="T18">
        <f>HYPERLINK("https://klasma.github.io/Logging_2326/kartor/A 18411-2024 karta.png", "A 18411-2024")</f>
        <v/>
      </c>
      <c r="V18">
        <f>HYPERLINK("https://klasma.github.io/Logging_2326/klagomål/A 18411-2024 FSC-klagomål.docx", "A 18411-2024")</f>
        <v/>
      </c>
      <c r="W18">
        <f>HYPERLINK("https://klasma.github.io/Logging_2326/klagomålsmail/A 18411-2024 FSC-klagomål mail.docx", "A 18411-2024")</f>
        <v/>
      </c>
      <c r="X18">
        <f>HYPERLINK("https://klasma.github.io/Logging_2326/tillsyn/A 18411-2024 tillsynsbegäran.docx", "A 18411-2024")</f>
        <v/>
      </c>
      <c r="Y18">
        <f>HYPERLINK("https://klasma.github.io/Logging_2326/tillsynsmail/A 18411-2024 tillsynsbegäran mail.docx", "A 18411-2024")</f>
        <v/>
      </c>
      <c r="Z18">
        <f>HYPERLINK("https://klasma.github.io/Logging_2326/fåglar/A 18411-2024 prioriterade fågelarter.docx", "A 18411-2024")</f>
        <v/>
      </c>
    </row>
    <row r="19" ht="15" customHeight="1">
      <c r="A19" t="inlineStr">
        <is>
          <t>A 33400-2024</t>
        </is>
      </c>
      <c r="B19" s="1" t="n">
        <v>45519</v>
      </c>
      <c r="C19" s="1" t="n">
        <v>45629</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27975-2021</t>
        </is>
      </c>
      <c r="B20" s="1" t="n">
        <v>44354</v>
      </c>
      <c r="C20" s="1" t="n">
        <v>45629</v>
      </c>
      <c r="D20" t="inlineStr">
        <is>
          <t>JÄMTLANDS LÄN</t>
        </is>
      </c>
      <c r="E20" t="inlineStr">
        <is>
          <t>BERG</t>
        </is>
      </c>
      <c r="F20" t="inlineStr">
        <is>
          <t>SCA</t>
        </is>
      </c>
      <c r="G20" t="n">
        <v>20.2</v>
      </c>
      <c r="H20" t="n">
        <v>0</v>
      </c>
      <c r="I20" t="n">
        <v>1</v>
      </c>
      <c r="J20" t="n">
        <v>9</v>
      </c>
      <c r="K20" t="n">
        <v>4</v>
      </c>
      <c r="L20" t="n">
        <v>0</v>
      </c>
      <c r="M20" t="n">
        <v>0</v>
      </c>
      <c r="N20" t="n">
        <v>0</v>
      </c>
      <c r="O20" t="n">
        <v>13</v>
      </c>
      <c r="P20" t="n">
        <v>4</v>
      </c>
      <c r="Q20" t="n">
        <v>14</v>
      </c>
      <c r="R20" s="2" t="inlineStr">
        <is>
          <t>Fläckporing
Goliatmusseron
Gräddporing
Smalfotad taggsvamp
Blanksvart spiklav
Blå taggsvamp
Dvärgbägarlav
Nordtagging
Orange taggsvamp
Skrovlig taggsvamp
Svart taggsvamp
Talltaggsvamp
Vitplätt
Dropptaggsvamp</t>
        </is>
      </c>
      <c r="S20">
        <f>HYPERLINK("https://klasma.github.io/Logging_2326/artfynd/A 27975-2021 artfynd.xlsx", "A 27975-2021")</f>
        <v/>
      </c>
      <c r="T20">
        <f>HYPERLINK("https://klasma.github.io/Logging_2326/kartor/A 27975-2021 karta.png", "A 27975-2021")</f>
        <v/>
      </c>
      <c r="V20">
        <f>HYPERLINK("https://klasma.github.io/Logging_2326/klagomål/A 27975-2021 FSC-klagomål.docx", "A 27975-2021")</f>
        <v/>
      </c>
      <c r="W20">
        <f>HYPERLINK("https://klasma.github.io/Logging_2326/klagomålsmail/A 27975-2021 FSC-klagomål mail.docx", "A 27975-2021")</f>
        <v/>
      </c>
      <c r="X20">
        <f>HYPERLINK("https://klasma.github.io/Logging_2326/tillsyn/A 27975-2021 tillsynsbegäran.docx", "A 27975-2021")</f>
        <v/>
      </c>
      <c r="Y20">
        <f>HYPERLINK("https://klasma.github.io/Logging_2326/tillsynsmail/A 27975-2021 tillsynsbegäran mail.docx", "A 27975-2021")</f>
        <v/>
      </c>
    </row>
    <row r="21" ht="15" customHeight="1">
      <c r="A21" t="inlineStr">
        <is>
          <t>A 59093-2023</t>
        </is>
      </c>
      <c r="B21" s="1" t="n">
        <v>45253</v>
      </c>
      <c r="C21" s="1" t="n">
        <v>45629</v>
      </c>
      <c r="D21" t="inlineStr">
        <is>
          <t>JÄMTLANDS LÄN</t>
        </is>
      </c>
      <c r="E21" t="inlineStr">
        <is>
          <t>BERG</t>
        </is>
      </c>
      <c r="F21" t="inlineStr">
        <is>
          <t>SCA</t>
        </is>
      </c>
      <c r="G21" t="n">
        <v>23.2</v>
      </c>
      <c r="H21" t="n">
        <v>2</v>
      </c>
      <c r="I21" t="n">
        <v>7</v>
      </c>
      <c r="J21" t="n">
        <v>7</v>
      </c>
      <c r="K21" t="n">
        <v>0</v>
      </c>
      <c r="L21" t="n">
        <v>0</v>
      </c>
      <c r="M21" t="n">
        <v>0</v>
      </c>
      <c r="N21" t="n">
        <v>0</v>
      </c>
      <c r="O21" t="n">
        <v>7</v>
      </c>
      <c r="P21" t="n">
        <v>0</v>
      </c>
      <c r="Q21" t="n">
        <v>14</v>
      </c>
      <c r="R21" s="2" t="inlineStr">
        <is>
          <t>Blanksvart spiklav
Garnlav
Mörk kolflarnlav
Skrovellav
Vedflamlav
Vedskivlav
Vitgrynig nållav
Bårdlav
Dropptaggsvamp
Nästlav
Plattlummer
Spindelblomster
Stuplav
Svavelriska</t>
        </is>
      </c>
      <c r="S21">
        <f>HYPERLINK("https://klasma.github.io/Logging_2326/artfynd/A 59093-2023 artfynd.xlsx", "A 59093-2023")</f>
        <v/>
      </c>
      <c r="T21">
        <f>HYPERLINK("https://klasma.github.io/Logging_2326/kartor/A 59093-2023 karta.png", "A 59093-2023")</f>
        <v/>
      </c>
      <c r="V21">
        <f>HYPERLINK("https://klasma.github.io/Logging_2326/klagomål/A 59093-2023 FSC-klagomål.docx", "A 59093-2023")</f>
        <v/>
      </c>
      <c r="W21">
        <f>HYPERLINK("https://klasma.github.io/Logging_2326/klagomålsmail/A 59093-2023 FSC-klagomål mail.docx", "A 59093-2023")</f>
        <v/>
      </c>
      <c r="X21">
        <f>HYPERLINK("https://klasma.github.io/Logging_2326/tillsyn/A 59093-2023 tillsynsbegäran.docx", "A 59093-2023")</f>
        <v/>
      </c>
      <c r="Y21">
        <f>HYPERLINK("https://klasma.github.io/Logging_2326/tillsynsmail/A 59093-2023 tillsynsbegäran mail.docx", "A 59093-2023")</f>
        <v/>
      </c>
    </row>
    <row r="22" ht="15" customHeight="1">
      <c r="A22" t="inlineStr">
        <is>
          <t>A 20004-2024</t>
        </is>
      </c>
      <c r="B22" s="1" t="n">
        <v>45434</v>
      </c>
      <c r="C22" s="1" t="n">
        <v>45629</v>
      </c>
      <c r="D22" t="inlineStr">
        <is>
          <t>JÄMTLANDS LÄN</t>
        </is>
      </c>
      <c r="E22" t="inlineStr">
        <is>
          <t>BERG</t>
        </is>
      </c>
      <c r="F22" t="inlineStr">
        <is>
          <t>SCA</t>
        </is>
      </c>
      <c r="G22" t="n">
        <v>13.6</v>
      </c>
      <c r="H22" t="n">
        <v>1</v>
      </c>
      <c r="I22" t="n">
        <v>2</v>
      </c>
      <c r="J22" t="n">
        <v>10</v>
      </c>
      <c r="K22" t="n">
        <v>1</v>
      </c>
      <c r="L22" t="n">
        <v>0</v>
      </c>
      <c r="M22" t="n">
        <v>0</v>
      </c>
      <c r="N22" t="n">
        <v>0</v>
      </c>
      <c r="O22" t="n">
        <v>11</v>
      </c>
      <c r="P22" t="n">
        <v>1</v>
      </c>
      <c r="Q22" t="n">
        <v>14</v>
      </c>
      <c r="R22" s="2" t="inlineStr">
        <is>
          <t>Gräddporing
Dvärgbägarlav
Garnlav
Kolflarnlav
Mörk kolflarnlav
Nordtagging
Skrovlig taggsvamp
Vedflamlav
Vedskivlav
Violettgrå tagellav
Vitplätt
Dropptaggsvamp
Vedticka
Tjäder</t>
        </is>
      </c>
      <c r="S22">
        <f>HYPERLINK("https://klasma.github.io/Logging_2326/artfynd/A 20004-2024 artfynd.xlsx", "A 20004-2024")</f>
        <v/>
      </c>
      <c r="T22">
        <f>HYPERLINK("https://klasma.github.io/Logging_2326/kartor/A 20004-2024 karta.png", "A 20004-2024")</f>
        <v/>
      </c>
      <c r="V22">
        <f>HYPERLINK("https://klasma.github.io/Logging_2326/klagomål/A 20004-2024 FSC-klagomål.docx", "A 20004-2024")</f>
        <v/>
      </c>
      <c r="W22">
        <f>HYPERLINK("https://klasma.github.io/Logging_2326/klagomålsmail/A 20004-2024 FSC-klagomål mail.docx", "A 20004-2024")</f>
        <v/>
      </c>
      <c r="X22">
        <f>HYPERLINK("https://klasma.github.io/Logging_2326/tillsyn/A 20004-2024 tillsynsbegäran.docx", "A 20004-2024")</f>
        <v/>
      </c>
      <c r="Y22">
        <f>HYPERLINK("https://klasma.github.io/Logging_2326/tillsynsmail/A 20004-2024 tillsynsbegäran mail.docx", "A 20004-2024")</f>
        <v/>
      </c>
      <c r="Z22">
        <f>HYPERLINK("https://klasma.github.io/Logging_2326/fåglar/A 20004-2024 prioriterade fågelarter.docx", "A 20004-2024")</f>
        <v/>
      </c>
    </row>
    <row r="23" ht="15" customHeight="1">
      <c r="A23" t="inlineStr">
        <is>
          <t>A 17919-2024</t>
        </is>
      </c>
      <c r="B23" s="1" t="n">
        <v>45419</v>
      </c>
      <c r="C23" s="1" t="n">
        <v>45629</v>
      </c>
      <c r="D23" t="inlineStr">
        <is>
          <t>JÄMTLANDS LÄN</t>
        </is>
      </c>
      <c r="E23" t="inlineStr">
        <is>
          <t>BERG</t>
        </is>
      </c>
      <c r="G23" t="n">
        <v>10.3</v>
      </c>
      <c r="H23" t="n">
        <v>3</v>
      </c>
      <c r="I23" t="n">
        <v>7</v>
      </c>
      <c r="J23" t="n">
        <v>5</v>
      </c>
      <c r="K23" t="n">
        <v>0</v>
      </c>
      <c r="L23" t="n">
        <v>0</v>
      </c>
      <c r="M23" t="n">
        <v>0</v>
      </c>
      <c r="N23" t="n">
        <v>0</v>
      </c>
      <c r="O23" t="n">
        <v>5</v>
      </c>
      <c r="P23" t="n">
        <v>0</v>
      </c>
      <c r="Q23" t="n">
        <v>13</v>
      </c>
      <c r="R23" s="2" t="inlineStr">
        <is>
          <t>Granticka
Lunglav
Skorpgelélav
Tretåig hackspett
Vitgrynig nållav
Barkkornlav
Kransrams
Luddlav
Mörk husmossa
Skogshakmossa
Spindelblomster
Stuplav
Fläcknycklar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33076-2024</t>
        </is>
      </c>
      <c r="B24" s="1" t="n">
        <v>45517</v>
      </c>
      <c r="C24" s="1" t="n">
        <v>45629</v>
      </c>
      <c r="D24" t="inlineStr">
        <is>
          <t>JÄMTLANDS LÄN</t>
        </is>
      </c>
      <c r="E24" t="inlineStr">
        <is>
          <t>BERG</t>
        </is>
      </c>
      <c r="G24" t="n">
        <v>7.9</v>
      </c>
      <c r="H24" t="n">
        <v>4</v>
      </c>
      <c r="I24" t="n">
        <v>2</v>
      </c>
      <c r="J24" t="n">
        <v>8</v>
      </c>
      <c r="K24" t="n">
        <v>1</v>
      </c>
      <c r="L24" t="n">
        <v>0</v>
      </c>
      <c r="M24" t="n">
        <v>0</v>
      </c>
      <c r="N24" t="n">
        <v>0</v>
      </c>
      <c r="O24" t="n">
        <v>9</v>
      </c>
      <c r="P24" t="n">
        <v>1</v>
      </c>
      <c r="Q24" t="n">
        <v>13</v>
      </c>
      <c r="R24" s="2" t="inlineStr">
        <is>
          <t>Knärot
Blanksvart spiklav
Garnlav
Granticka
Lunglav
Mörk kolflarnlav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47127-2024</t>
        </is>
      </c>
      <c r="B25" s="1" t="n">
        <v>45586</v>
      </c>
      <c r="C25" s="1" t="n">
        <v>45629</v>
      </c>
      <c r="D25" t="inlineStr">
        <is>
          <t>JÄMTLANDS LÄN</t>
        </is>
      </c>
      <c r="E25" t="inlineStr">
        <is>
          <t>BERG</t>
        </is>
      </c>
      <c r="G25" t="n">
        <v>24.2</v>
      </c>
      <c r="H25" t="n">
        <v>6</v>
      </c>
      <c r="I25" t="n">
        <v>4</v>
      </c>
      <c r="J25" t="n">
        <v>6</v>
      </c>
      <c r="K25" t="n">
        <v>1</v>
      </c>
      <c r="L25" t="n">
        <v>0</v>
      </c>
      <c r="M25" t="n">
        <v>0</v>
      </c>
      <c r="N25" t="n">
        <v>0</v>
      </c>
      <c r="O25" t="n">
        <v>7</v>
      </c>
      <c r="P25" t="n">
        <v>1</v>
      </c>
      <c r="Q25" t="n">
        <v>13</v>
      </c>
      <c r="R25" s="2" t="inlineStr">
        <is>
          <t>Knärot
Gammelgransskål
Garnlav
Granticka
Lunglav
Talltita
Tretåig hackspett
Bollvitmossa
Dropptaggsvamp
Plattlummer
Tibast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4716-2023</t>
        </is>
      </c>
      <c r="B26" s="1" t="n">
        <v>44953</v>
      </c>
      <c r="C26" s="1" t="n">
        <v>45629</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45629</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45629</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45629</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45629</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45629</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45629</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45629</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45629</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45629</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45629</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45629</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7672-2023</t>
        </is>
      </c>
      <c r="B38" s="1" t="n">
        <v>44967</v>
      </c>
      <c r="C38" s="1" t="n">
        <v>45629</v>
      </c>
      <c r="D38" t="inlineStr">
        <is>
          <t>JÄMTLANDS LÄN</t>
        </is>
      </c>
      <c r="E38" t="inlineStr">
        <is>
          <t>BERG</t>
        </is>
      </c>
      <c r="G38" t="n">
        <v>13.1</v>
      </c>
      <c r="H38" t="n">
        <v>2</v>
      </c>
      <c r="I38" t="n">
        <v>0</v>
      </c>
      <c r="J38" t="n">
        <v>7</v>
      </c>
      <c r="K38" t="n">
        <v>1</v>
      </c>
      <c r="L38" t="n">
        <v>0</v>
      </c>
      <c r="M38" t="n">
        <v>0</v>
      </c>
      <c r="N38" t="n">
        <v>0</v>
      </c>
      <c r="O38" t="n">
        <v>8</v>
      </c>
      <c r="P38" t="n">
        <v>1</v>
      </c>
      <c r="Q38" t="n">
        <v>8</v>
      </c>
      <c r="R38" s="2" t="inlineStr">
        <is>
          <t>Knärot
Garnlav
Lunglav
Mörk kolflarnlav
Nordtagging
Skrovellav
Spillkråka
Violettgrå tagellav</t>
        </is>
      </c>
      <c r="S38">
        <f>HYPERLINK("https://klasma.github.io/Logging_2326/artfynd/A 7672-2023 artfynd.xlsx", "A 7672-2023")</f>
        <v/>
      </c>
      <c r="T38">
        <f>HYPERLINK("https://klasma.github.io/Logging_2326/kartor/A 7672-2023 karta.png", "A 7672-2023")</f>
        <v/>
      </c>
      <c r="U38">
        <f>HYPERLINK("https://klasma.github.io/Logging_2326/knärot/A 7672-2023 karta knärot.png", "A 7672-2023")</f>
        <v/>
      </c>
      <c r="V38">
        <f>HYPERLINK("https://klasma.github.io/Logging_2326/klagomål/A 7672-2023 FSC-klagomål.docx", "A 7672-2023")</f>
        <v/>
      </c>
      <c r="W38">
        <f>HYPERLINK("https://klasma.github.io/Logging_2326/klagomålsmail/A 7672-2023 FSC-klagomål mail.docx", "A 7672-2023")</f>
        <v/>
      </c>
      <c r="X38">
        <f>HYPERLINK("https://klasma.github.io/Logging_2326/tillsyn/A 7672-2023 tillsynsbegäran.docx", "A 7672-2023")</f>
        <v/>
      </c>
      <c r="Y38">
        <f>HYPERLINK("https://klasma.github.io/Logging_2326/tillsynsmail/A 7672-2023 tillsynsbegäran mail.docx", "A 7672-2023")</f>
        <v/>
      </c>
      <c r="Z38">
        <f>HYPERLINK("https://klasma.github.io/Logging_2326/fåglar/A 7672-2023 prioriterade fågelarter.docx", "A 7672-2023")</f>
        <v/>
      </c>
    </row>
    <row r="39" ht="15" customHeight="1">
      <c r="A39" t="inlineStr">
        <is>
          <t>A 43991-2023</t>
        </is>
      </c>
      <c r="B39" s="1" t="n">
        <v>45187</v>
      </c>
      <c r="C39" s="1" t="n">
        <v>45629</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14981-2024</t>
        </is>
      </c>
      <c r="B40" s="1" t="n">
        <v>45399</v>
      </c>
      <c r="C40" s="1" t="n">
        <v>45629</v>
      </c>
      <c r="D40" t="inlineStr">
        <is>
          <t>JÄMTLANDS LÄN</t>
        </is>
      </c>
      <c r="E40" t="inlineStr">
        <is>
          <t>BERG</t>
        </is>
      </c>
      <c r="F40" t="inlineStr">
        <is>
          <t>SCA</t>
        </is>
      </c>
      <c r="G40" t="n">
        <v>4.4</v>
      </c>
      <c r="H40" t="n">
        <v>2</v>
      </c>
      <c r="I40" t="n">
        <v>1</v>
      </c>
      <c r="J40" t="n">
        <v>6</v>
      </c>
      <c r="K40" t="n">
        <v>1</v>
      </c>
      <c r="L40" t="n">
        <v>0</v>
      </c>
      <c r="M40" t="n">
        <v>0</v>
      </c>
      <c r="N40" t="n">
        <v>0</v>
      </c>
      <c r="O40" t="n">
        <v>7</v>
      </c>
      <c r="P40" t="n">
        <v>1</v>
      </c>
      <c r="Q40" t="n">
        <v>8</v>
      </c>
      <c r="R40" s="2" t="inlineStr">
        <is>
          <t>Knärot
Garnlav
Granticka
Harticka
Lunglav
Tretåig hackspett
Ullticka
Luddlav</t>
        </is>
      </c>
      <c r="S40">
        <f>HYPERLINK("https://klasma.github.io/Logging_2326/artfynd/A 14981-2024 artfynd.xlsx", "A 14981-2024")</f>
        <v/>
      </c>
      <c r="T40">
        <f>HYPERLINK("https://klasma.github.io/Logging_2326/kartor/A 14981-2024 karta.png", "A 14981-2024")</f>
        <v/>
      </c>
      <c r="U40">
        <f>HYPERLINK("https://klasma.github.io/Logging_2326/knärot/A 14981-2024 karta knärot.png", "A 14981-2024")</f>
        <v/>
      </c>
      <c r="V40">
        <f>HYPERLINK("https://klasma.github.io/Logging_2326/klagomål/A 14981-2024 FSC-klagomål.docx", "A 14981-2024")</f>
        <v/>
      </c>
      <c r="W40">
        <f>HYPERLINK("https://klasma.github.io/Logging_2326/klagomålsmail/A 14981-2024 FSC-klagomål mail.docx", "A 14981-2024")</f>
        <v/>
      </c>
      <c r="X40">
        <f>HYPERLINK("https://klasma.github.io/Logging_2326/tillsyn/A 14981-2024 tillsynsbegäran.docx", "A 14981-2024")</f>
        <v/>
      </c>
      <c r="Y40">
        <f>HYPERLINK("https://klasma.github.io/Logging_2326/tillsynsmail/A 14981-2024 tillsynsbegäran mail.docx", "A 14981-2024")</f>
        <v/>
      </c>
      <c r="Z40">
        <f>HYPERLINK("https://klasma.github.io/Logging_2326/fåglar/A 14981-2024 prioriterade fågelarter.docx", "A 14981-2024")</f>
        <v/>
      </c>
    </row>
    <row r="41" ht="15" customHeight="1">
      <c r="A41" t="inlineStr">
        <is>
          <t>A 9174-2020</t>
        </is>
      </c>
      <c r="B41" s="1" t="n">
        <v>43879</v>
      </c>
      <c r="C41" s="1" t="n">
        <v>45629</v>
      </c>
      <c r="D41" t="inlineStr">
        <is>
          <t>JÄMTLANDS LÄN</t>
        </is>
      </c>
      <c r="E41" t="inlineStr">
        <is>
          <t>BERG</t>
        </is>
      </c>
      <c r="G41" t="n">
        <v>18.5</v>
      </c>
      <c r="H41" t="n">
        <v>0</v>
      </c>
      <c r="I41" t="n">
        <v>1</v>
      </c>
      <c r="J41" t="n">
        <v>6</v>
      </c>
      <c r="K41" t="n">
        <v>0</v>
      </c>
      <c r="L41" t="n">
        <v>0</v>
      </c>
      <c r="M41" t="n">
        <v>0</v>
      </c>
      <c r="N41" t="n">
        <v>0</v>
      </c>
      <c r="O41" t="n">
        <v>6</v>
      </c>
      <c r="P41" t="n">
        <v>0</v>
      </c>
      <c r="Q41" t="n">
        <v>7</v>
      </c>
      <c r="R41" s="2" t="inlineStr">
        <is>
          <t>Garnlav
Harticka
Knottrig blåslav
Rödbrun blekspik
Skrovellav
Ullticka
Stuplav</t>
        </is>
      </c>
      <c r="S41">
        <f>HYPERLINK("https://klasma.github.io/Logging_2326/artfynd/A 9174-2020 artfynd.xlsx", "A 9174-2020")</f>
        <v/>
      </c>
      <c r="T41">
        <f>HYPERLINK("https://klasma.github.io/Logging_2326/kartor/A 9174-2020 karta.png", "A 9174-2020")</f>
        <v/>
      </c>
      <c r="V41">
        <f>HYPERLINK("https://klasma.github.io/Logging_2326/klagomål/A 9174-2020 FSC-klagomål.docx", "A 9174-2020")</f>
        <v/>
      </c>
      <c r="W41">
        <f>HYPERLINK("https://klasma.github.io/Logging_2326/klagomålsmail/A 9174-2020 FSC-klagomål mail.docx", "A 9174-2020")</f>
        <v/>
      </c>
      <c r="X41">
        <f>HYPERLINK("https://klasma.github.io/Logging_2326/tillsyn/A 9174-2020 tillsynsbegäran.docx", "A 9174-2020")</f>
        <v/>
      </c>
      <c r="Y41">
        <f>HYPERLINK("https://klasma.github.io/Logging_2326/tillsynsmail/A 9174-2020 tillsynsbegäran mail.docx", "A 9174-2020")</f>
        <v/>
      </c>
    </row>
    <row r="42" ht="15" customHeight="1">
      <c r="A42" t="inlineStr">
        <is>
          <t>A 16811-2021</t>
        </is>
      </c>
      <c r="B42" s="1" t="n">
        <v>44293</v>
      </c>
      <c r="C42" s="1" t="n">
        <v>45629</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33196-2021</t>
        </is>
      </c>
      <c r="B43" s="1" t="n">
        <v>44376</v>
      </c>
      <c r="C43" s="1" t="n">
        <v>45629</v>
      </c>
      <c r="D43" t="inlineStr">
        <is>
          <t>JÄMTLANDS LÄN</t>
        </is>
      </c>
      <c r="E43" t="inlineStr">
        <is>
          <t>BERG</t>
        </is>
      </c>
      <c r="G43" t="n">
        <v>1</v>
      </c>
      <c r="H43" t="n">
        <v>2</v>
      </c>
      <c r="I43" t="n">
        <v>2</v>
      </c>
      <c r="J43" t="n">
        <v>4</v>
      </c>
      <c r="K43" t="n">
        <v>0</v>
      </c>
      <c r="L43" t="n">
        <v>0</v>
      </c>
      <c r="M43" t="n">
        <v>0</v>
      </c>
      <c r="N43" t="n">
        <v>0</v>
      </c>
      <c r="O43" t="n">
        <v>4</v>
      </c>
      <c r="P43" t="n">
        <v>0</v>
      </c>
      <c r="Q43" t="n">
        <v>7</v>
      </c>
      <c r="R43" s="2" t="inlineStr">
        <is>
          <t>Garnlav
Granticka
Knottrig blåslav
Tretåig hackspett
Norrlandslav
Ögonpyrola
Fläcknycklar</t>
        </is>
      </c>
      <c r="S43">
        <f>HYPERLINK("https://klasma.github.io/Logging_2326/artfynd/A 33196-2021 artfynd.xlsx", "A 33196-2021")</f>
        <v/>
      </c>
      <c r="T43">
        <f>HYPERLINK("https://klasma.github.io/Logging_2326/kartor/A 33196-2021 karta.png", "A 33196-2021")</f>
        <v/>
      </c>
      <c r="V43">
        <f>HYPERLINK("https://klasma.github.io/Logging_2326/klagomål/A 33196-2021 FSC-klagomål.docx", "A 33196-2021")</f>
        <v/>
      </c>
      <c r="W43">
        <f>HYPERLINK("https://klasma.github.io/Logging_2326/klagomålsmail/A 33196-2021 FSC-klagomål mail.docx", "A 33196-2021")</f>
        <v/>
      </c>
      <c r="X43">
        <f>HYPERLINK("https://klasma.github.io/Logging_2326/tillsyn/A 33196-2021 tillsynsbegäran.docx", "A 33196-2021")</f>
        <v/>
      </c>
      <c r="Y43">
        <f>HYPERLINK("https://klasma.github.io/Logging_2326/tillsynsmail/A 33196-2021 tillsynsbegäran mail.docx", "A 33196-2021")</f>
        <v/>
      </c>
      <c r="Z43">
        <f>HYPERLINK("https://klasma.github.io/Logging_2326/fåglar/A 33196-2021 prioriterade fågelarter.docx", "A 33196-2021")</f>
        <v/>
      </c>
    </row>
    <row r="44" ht="15" customHeight="1">
      <c r="A44" t="inlineStr">
        <is>
          <t>A 37406-2022</t>
        </is>
      </c>
      <c r="B44" s="1" t="n">
        <v>44806</v>
      </c>
      <c r="C44" s="1" t="n">
        <v>45629</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26369-2023</t>
        </is>
      </c>
      <c r="B45" s="1" t="n">
        <v>45091</v>
      </c>
      <c r="C45" s="1" t="n">
        <v>45629</v>
      </c>
      <c r="D45" t="inlineStr">
        <is>
          <t>JÄMTLANDS LÄN</t>
        </is>
      </c>
      <c r="E45" t="inlineStr">
        <is>
          <t>BERG</t>
        </is>
      </c>
      <c r="F45" t="inlineStr">
        <is>
          <t>SCA</t>
        </is>
      </c>
      <c r="G45" t="n">
        <v>34</v>
      </c>
      <c r="H45" t="n">
        <v>0</v>
      </c>
      <c r="I45" t="n">
        <v>1</v>
      </c>
      <c r="J45" t="n">
        <v>5</v>
      </c>
      <c r="K45" t="n">
        <v>1</v>
      </c>
      <c r="L45" t="n">
        <v>0</v>
      </c>
      <c r="M45" t="n">
        <v>0</v>
      </c>
      <c r="N45" t="n">
        <v>0</v>
      </c>
      <c r="O45" t="n">
        <v>6</v>
      </c>
      <c r="P45" t="n">
        <v>1</v>
      </c>
      <c r="Q45" t="n">
        <v>7</v>
      </c>
      <c r="R45" s="2" t="inlineStr">
        <is>
          <t>Gräddporing
Garnlav
Mörk kolflarnlav
Reliktbock
Vedflamlav
Vedskivlav
Dropptaggsvamp</t>
        </is>
      </c>
      <c r="S45">
        <f>HYPERLINK("https://klasma.github.io/Logging_2326/artfynd/A 26369-2023 artfynd.xlsx", "A 26369-2023")</f>
        <v/>
      </c>
      <c r="T45">
        <f>HYPERLINK("https://klasma.github.io/Logging_2326/kartor/A 26369-2023 karta.png", "A 26369-2023")</f>
        <v/>
      </c>
      <c r="V45">
        <f>HYPERLINK("https://klasma.github.io/Logging_2326/klagomål/A 26369-2023 FSC-klagomål.docx", "A 26369-2023")</f>
        <v/>
      </c>
      <c r="W45">
        <f>HYPERLINK("https://klasma.github.io/Logging_2326/klagomålsmail/A 26369-2023 FSC-klagomål mail.docx", "A 26369-2023")</f>
        <v/>
      </c>
      <c r="X45">
        <f>HYPERLINK("https://klasma.github.io/Logging_2326/tillsyn/A 26369-2023 tillsynsbegäran.docx", "A 26369-2023")</f>
        <v/>
      </c>
      <c r="Y45">
        <f>HYPERLINK("https://klasma.github.io/Logging_2326/tillsynsmail/A 26369-2023 tillsynsbegäran mail.docx", "A 26369-2023")</f>
        <v/>
      </c>
    </row>
    <row r="46" ht="15" customHeight="1">
      <c r="A46" t="inlineStr">
        <is>
          <t>A 48437-2023</t>
        </is>
      </c>
      <c r="B46" s="1" t="n">
        <v>45205</v>
      </c>
      <c r="C46" s="1" t="n">
        <v>45629</v>
      </c>
      <c r="D46" t="inlineStr">
        <is>
          <t>JÄMTLANDS LÄN</t>
        </is>
      </c>
      <c r="E46" t="inlineStr">
        <is>
          <t>BERG</t>
        </is>
      </c>
      <c r="F46" t="inlineStr">
        <is>
          <t>SCA</t>
        </is>
      </c>
      <c r="G46" t="n">
        <v>25.8</v>
      </c>
      <c r="H46" t="n">
        <v>1</v>
      </c>
      <c r="I46" t="n">
        <v>0</v>
      </c>
      <c r="J46" t="n">
        <v>7</v>
      </c>
      <c r="K46" t="n">
        <v>0</v>
      </c>
      <c r="L46" t="n">
        <v>0</v>
      </c>
      <c r="M46" t="n">
        <v>0</v>
      </c>
      <c r="N46" t="n">
        <v>0</v>
      </c>
      <c r="O46" t="n">
        <v>7</v>
      </c>
      <c r="P46" t="n">
        <v>0</v>
      </c>
      <c r="Q46" t="n">
        <v>7</v>
      </c>
      <c r="R46" s="2" t="inlineStr">
        <is>
          <t>Blanksvart spiklav
Garnlav
Kortskaftad ärgspik
Reliktbock
Tretåig hackspett
Vedflamlav
Vedskivlav</t>
        </is>
      </c>
      <c r="S46">
        <f>HYPERLINK("https://klasma.github.io/Logging_2326/artfynd/A 48437-2023 artfynd.xlsx", "A 48437-2023")</f>
        <v/>
      </c>
      <c r="T46">
        <f>HYPERLINK("https://klasma.github.io/Logging_2326/kartor/A 48437-2023 karta.png", "A 48437-2023")</f>
        <v/>
      </c>
      <c r="V46">
        <f>HYPERLINK("https://klasma.github.io/Logging_2326/klagomål/A 48437-2023 FSC-klagomål.docx", "A 48437-2023")</f>
        <v/>
      </c>
      <c r="W46">
        <f>HYPERLINK("https://klasma.github.io/Logging_2326/klagomålsmail/A 48437-2023 FSC-klagomål mail.docx", "A 48437-2023")</f>
        <v/>
      </c>
      <c r="X46">
        <f>HYPERLINK("https://klasma.github.io/Logging_2326/tillsyn/A 48437-2023 tillsynsbegäran.docx", "A 48437-2023")</f>
        <v/>
      </c>
      <c r="Y46">
        <f>HYPERLINK("https://klasma.github.io/Logging_2326/tillsynsmail/A 48437-2023 tillsynsbegäran mail.docx", "A 48437-2023")</f>
        <v/>
      </c>
      <c r="Z46">
        <f>HYPERLINK("https://klasma.github.io/Logging_2326/fåglar/A 48437-2023 prioriterade fågelarter.docx", "A 48437-2023")</f>
        <v/>
      </c>
    </row>
    <row r="47" ht="15" customHeight="1">
      <c r="A47" t="inlineStr">
        <is>
          <t>A 48484-2023</t>
        </is>
      </c>
      <c r="B47" s="1" t="n">
        <v>45206</v>
      </c>
      <c r="C47" s="1" t="n">
        <v>45629</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48484-2023 artfynd.xlsx", "A 48484-2023")</f>
        <v/>
      </c>
      <c r="T47">
        <f>HYPERLINK("https://klasma.github.io/Logging_2326/kartor/A 48484-2023 karta.png", "A 48484-2023")</f>
        <v/>
      </c>
      <c r="V47">
        <f>HYPERLINK("https://klasma.github.io/Logging_2326/klagomål/A 48484-2023 FSC-klagomål.docx", "A 48484-2023")</f>
        <v/>
      </c>
      <c r="W47">
        <f>HYPERLINK("https://klasma.github.io/Logging_2326/klagomålsmail/A 48484-2023 FSC-klagomål mail.docx", "A 48484-2023")</f>
        <v/>
      </c>
      <c r="X47">
        <f>HYPERLINK("https://klasma.github.io/Logging_2326/tillsyn/A 48484-2023 tillsynsbegäran.docx", "A 48484-2023")</f>
        <v/>
      </c>
      <c r="Y47">
        <f>HYPERLINK("https://klasma.github.io/Logging_2326/tillsynsmail/A 48484-2023 tillsynsbegäran mail.docx", "A 48484-2023")</f>
        <v/>
      </c>
      <c r="Z47">
        <f>HYPERLINK("https://klasma.github.io/Logging_2326/fåglar/A 48484-2023 prioriterade fågelarter.docx", "A 48484-2023")</f>
        <v/>
      </c>
    </row>
    <row r="48" ht="15" customHeight="1">
      <c r="A48" t="inlineStr">
        <is>
          <t>A 12752-2024</t>
        </is>
      </c>
      <c r="B48" s="1" t="n">
        <v>45384</v>
      </c>
      <c r="C48" s="1" t="n">
        <v>45629</v>
      </c>
      <c r="D48" t="inlineStr">
        <is>
          <t>JÄMTLANDS LÄN</t>
        </is>
      </c>
      <c r="E48" t="inlineStr">
        <is>
          <t>BERG</t>
        </is>
      </c>
      <c r="G48" t="n">
        <v>15.3</v>
      </c>
      <c r="H48" t="n">
        <v>3</v>
      </c>
      <c r="I48" t="n">
        <v>1</v>
      </c>
      <c r="J48" t="n">
        <v>4</v>
      </c>
      <c r="K48" t="n">
        <v>1</v>
      </c>
      <c r="L48" t="n">
        <v>0</v>
      </c>
      <c r="M48" t="n">
        <v>0</v>
      </c>
      <c r="N48" t="n">
        <v>0</v>
      </c>
      <c r="O48" t="n">
        <v>5</v>
      </c>
      <c r="P48" t="n">
        <v>1</v>
      </c>
      <c r="Q48" t="n">
        <v>7</v>
      </c>
      <c r="R48" s="2" t="inlineStr">
        <is>
          <t>Ulltickeporing
Garnlav
Lunglav
Tretåig hackspett
Ullticka
Spindelblomster
Fläcknycklar</t>
        </is>
      </c>
      <c r="S48">
        <f>HYPERLINK("https://klasma.github.io/Logging_2326/artfynd/A 12752-2024 artfynd.xlsx", "A 12752-2024")</f>
        <v/>
      </c>
      <c r="T48">
        <f>HYPERLINK("https://klasma.github.io/Logging_2326/kartor/A 12752-2024 karta.png", "A 12752-2024")</f>
        <v/>
      </c>
      <c r="V48">
        <f>HYPERLINK("https://klasma.github.io/Logging_2326/klagomål/A 12752-2024 FSC-klagomål.docx", "A 12752-2024")</f>
        <v/>
      </c>
      <c r="W48">
        <f>HYPERLINK("https://klasma.github.io/Logging_2326/klagomålsmail/A 12752-2024 FSC-klagomål mail.docx", "A 12752-2024")</f>
        <v/>
      </c>
      <c r="X48">
        <f>HYPERLINK("https://klasma.github.io/Logging_2326/tillsyn/A 12752-2024 tillsynsbegäran.docx", "A 12752-2024")</f>
        <v/>
      </c>
      <c r="Y48">
        <f>HYPERLINK("https://klasma.github.io/Logging_2326/tillsynsmail/A 12752-2024 tillsynsbegäran mail.docx", "A 12752-2024")</f>
        <v/>
      </c>
      <c r="Z48">
        <f>HYPERLINK("https://klasma.github.io/Logging_2326/fåglar/A 12752-2024 prioriterade fågelarter.docx", "A 12752-2024")</f>
        <v/>
      </c>
    </row>
    <row r="49" ht="15" customHeight="1">
      <c r="A49" t="inlineStr">
        <is>
          <t>A 33044-2024</t>
        </is>
      </c>
      <c r="B49" s="1" t="n">
        <v>45517</v>
      </c>
      <c r="C49" s="1" t="n">
        <v>45629</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52170-2024</t>
        </is>
      </c>
      <c r="B50" s="1" t="n">
        <v>45608</v>
      </c>
      <c r="C50" s="1" t="n">
        <v>45629</v>
      </c>
      <c r="D50" t="inlineStr">
        <is>
          <t>JÄMTLANDS LÄN</t>
        </is>
      </c>
      <c r="E50" t="inlineStr">
        <is>
          <t>BERG</t>
        </is>
      </c>
      <c r="G50" t="n">
        <v>33.8</v>
      </c>
      <c r="H50" t="n">
        <v>0</v>
      </c>
      <c r="I50" t="n">
        <v>0</v>
      </c>
      <c r="J50" t="n">
        <v>6</v>
      </c>
      <c r="K50" t="n">
        <v>1</v>
      </c>
      <c r="L50" t="n">
        <v>0</v>
      </c>
      <c r="M50" t="n">
        <v>0</v>
      </c>
      <c r="N50" t="n">
        <v>0</v>
      </c>
      <c r="O50" t="n">
        <v>7</v>
      </c>
      <c r="P50" t="n">
        <v>1</v>
      </c>
      <c r="Q50" t="n">
        <v>7</v>
      </c>
      <c r="R50" s="2" t="inlineStr">
        <is>
          <t>Sprickporing
Gammelgransskål
Garnlav
Granticka
Gränsticka
Harticka
Ullticka</t>
        </is>
      </c>
      <c r="S50">
        <f>HYPERLINK("https://klasma.github.io/Logging_2326/artfynd/A 52170-2024 artfynd.xlsx", "A 52170-2024")</f>
        <v/>
      </c>
      <c r="T50">
        <f>HYPERLINK("https://klasma.github.io/Logging_2326/kartor/A 52170-2024 karta.png", "A 52170-2024")</f>
        <v/>
      </c>
      <c r="V50">
        <f>HYPERLINK("https://klasma.github.io/Logging_2326/klagomål/A 52170-2024 FSC-klagomål.docx", "A 52170-2024")</f>
        <v/>
      </c>
      <c r="W50">
        <f>HYPERLINK("https://klasma.github.io/Logging_2326/klagomålsmail/A 52170-2024 FSC-klagomål mail.docx", "A 52170-2024")</f>
        <v/>
      </c>
      <c r="X50">
        <f>HYPERLINK("https://klasma.github.io/Logging_2326/tillsyn/A 52170-2024 tillsynsbegäran.docx", "A 52170-2024")</f>
        <v/>
      </c>
      <c r="Y50">
        <f>HYPERLINK("https://klasma.github.io/Logging_2326/tillsynsmail/A 52170-2024 tillsynsbegäran mail.docx", "A 52170-2024")</f>
        <v/>
      </c>
    </row>
    <row r="51" ht="15" customHeight="1">
      <c r="A51" t="inlineStr">
        <is>
          <t>A 16508-2021</t>
        </is>
      </c>
      <c r="B51" s="1" t="n">
        <v>44293</v>
      </c>
      <c r="C51" s="1" t="n">
        <v>45629</v>
      </c>
      <c r="D51" t="inlineStr">
        <is>
          <t>JÄMTLANDS LÄN</t>
        </is>
      </c>
      <c r="E51" t="inlineStr">
        <is>
          <t>BERG</t>
        </is>
      </c>
      <c r="G51" t="n">
        <v>18.9</v>
      </c>
      <c r="H51" t="n">
        <v>0</v>
      </c>
      <c r="I51" t="n">
        <v>1</v>
      </c>
      <c r="J51" t="n">
        <v>5</v>
      </c>
      <c r="K51" t="n">
        <v>0</v>
      </c>
      <c r="L51" t="n">
        <v>0</v>
      </c>
      <c r="M51" t="n">
        <v>0</v>
      </c>
      <c r="N51" t="n">
        <v>0</v>
      </c>
      <c r="O51" t="n">
        <v>5</v>
      </c>
      <c r="P51" t="n">
        <v>0</v>
      </c>
      <c r="Q51" t="n">
        <v>6</v>
      </c>
      <c r="R51" s="2" t="inlineStr">
        <is>
          <t>Gammelgransskål
Garnlav
Granticka
Knottrig blåslav
Rödbrun blekspik
Vedticka</t>
        </is>
      </c>
      <c r="S51">
        <f>HYPERLINK("https://klasma.github.io/Logging_2326/artfynd/A 16508-2021 artfynd.xlsx", "A 16508-2021")</f>
        <v/>
      </c>
      <c r="T51">
        <f>HYPERLINK("https://klasma.github.io/Logging_2326/kartor/A 16508-2021 karta.png", "A 16508-2021")</f>
        <v/>
      </c>
      <c r="V51">
        <f>HYPERLINK("https://klasma.github.io/Logging_2326/klagomål/A 16508-2021 FSC-klagomål.docx", "A 16508-2021")</f>
        <v/>
      </c>
      <c r="W51">
        <f>HYPERLINK("https://klasma.github.io/Logging_2326/klagomålsmail/A 16508-2021 FSC-klagomål mail.docx", "A 16508-2021")</f>
        <v/>
      </c>
      <c r="X51">
        <f>HYPERLINK("https://klasma.github.io/Logging_2326/tillsyn/A 16508-2021 tillsynsbegäran.docx", "A 16508-2021")</f>
        <v/>
      </c>
      <c r="Y51">
        <f>HYPERLINK("https://klasma.github.io/Logging_2326/tillsynsmail/A 16508-2021 tillsynsbegäran mail.docx", "A 16508-2021")</f>
        <v/>
      </c>
    </row>
    <row r="52" ht="15" customHeight="1">
      <c r="A52" t="inlineStr">
        <is>
          <t>A 31719-2022</t>
        </is>
      </c>
      <c r="B52" s="1" t="n">
        <v>44776</v>
      </c>
      <c r="C52" s="1" t="n">
        <v>45629</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45629</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54406-2023</t>
        </is>
      </c>
      <c r="B54" s="1" t="n">
        <v>45233</v>
      </c>
      <c r="C54" s="1" t="n">
        <v>45629</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49016-2024</t>
        </is>
      </c>
      <c r="B55" s="1" t="n">
        <v>45594</v>
      </c>
      <c r="C55" s="1" t="n">
        <v>45629</v>
      </c>
      <c r="D55" t="inlineStr">
        <is>
          <t>JÄMTLANDS LÄN</t>
        </is>
      </c>
      <c r="E55" t="inlineStr">
        <is>
          <t>BERG</t>
        </is>
      </c>
      <c r="G55" t="n">
        <v>4.9</v>
      </c>
      <c r="H55" t="n">
        <v>2</v>
      </c>
      <c r="I55" t="n">
        <v>1</v>
      </c>
      <c r="J55" t="n">
        <v>3</v>
      </c>
      <c r="K55" t="n">
        <v>1</v>
      </c>
      <c r="L55" t="n">
        <v>0</v>
      </c>
      <c r="M55" t="n">
        <v>0</v>
      </c>
      <c r="N55" t="n">
        <v>0</v>
      </c>
      <c r="O55" t="n">
        <v>4</v>
      </c>
      <c r="P55" t="n">
        <v>1</v>
      </c>
      <c r="Q55" t="n">
        <v>6</v>
      </c>
      <c r="R55" s="2" t="inlineStr">
        <is>
          <t>Knärot
Garnlav
Lunglav
Ullticka
Stuplav
Lavskrika</t>
        </is>
      </c>
      <c r="S55">
        <f>HYPERLINK("https://klasma.github.io/Logging_2326/artfynd/A 49016-2024 artfynd.xlsx", "A 49016-2024")</f>
        <v/>
      </c>
      <c r="T55">
        <f>HYPERLINK("https://klasma.github.io/Logging_2326/kartor/A 49016-2024 karta.png", "A 49016-2024")</f>
        <v/>
      </c>
      <c r="U55">
        <f>HYPERLINK("https://klasma.github.io/Logging_2326/knärot/A 49016-2024 karta knärot.png", "A 49016-2024")</f>
        <v/>
      </c>
      <c r="V55">
        <f>HYPERLINK("https://klasma.github.io/Logging_2326/klagomål/A 49016-2024 FSC-klagomål.docx", "A 49016-2024")</f>
        <v/>
      </c>
      <c r="W55">
        <f>HYPERLINK("https://klasma.github.io/Logging_2326/klagomålsmail/A 49016-2024 FSC-klagomål mail.docx", "A 49016-2024")</f>
        <v/>
      </c>
      <c r="X55">
        <f>HYPERLINK("https://klasma.github.io/Logging_2326/tillsyn/A 49016-2024 tillsynsbegäran.docx", "A 49016-2024")</f>
        <v/>
      </c>
      <c r="Y55">
        <f>HYPERLINK("https://klasma.github.io/Logging_2326/tillsynsmail/A 49016-2024 tillsynsbegäran mail.docx", "A 49016-2024")</f>
        <v/>
      </c>
      <c r="Z55">
        <f>HYPERLINK("https://klasma.github.io/Logging_2326/fåglar/A 49016-2024 prioriterade fågelarter.docx", "A 49016-2024")</f>
        <v/>
      </c>
    </row>
    <row r="56" ht="15" customHeight="1">
      <c r="A56" t="inlineStr">
        <is>
          <t>A 39021-2020</t>
        </is>
      </c>
      <c r="B56" s="1" t="n">
        <v>44062</v>
      </c>
      <c r="C56" s="1" t="n">
        <v>45629</v>
      </c>
      <c r="D56" t="inlineStr">
        <is>
          <t>JÄMTLANDS LÄN</t>
        </is>
      </c>
      <c r="E56" t="inlineStr">
        <is>
          <t>BERG</t>
        </is>
      </c>
      <c r="G56" t="n">
        <v>18</v>
      </c>
      <c r="H56" t="n">
        <v>0</v>
      </c>
      <c r="I56" t="n">
        <v>0</v>
      </c>
      <c r="J56" t="n">
        <v>5</v>
      </c>
      <c r="K56" t="n">
        <v>0</v>
      </c>
      <c r="L56" t="n">
        <v>0</v>
      </c>
      <c r="M56" t="n">
        <v>0</v>
      </c>
      <c r="N56" t="n">
        <v>0</v>
      </c>
      <c r="O56" t="n">
        <v>5</v>
      </c>
      <c r="P56" t="n">
        <v>0</v>
      </c>
      <c r="Q56" t="n">
        <v>5</v>
      </c>
      <c r="R56" s="2" t="inlineStr">
        <is>
          <t>Kolflarnlav
Mörk kolflarnlav
Vedflamlav
Vedskivlav
Vitplätt</t>
        </is>
      </c>
      <c r="S56">
        <f>HYPERLINK("https://klasma.github.io/Logging_2326/artfynd/A 39021-2020 artfynd.xlsx", "A 39021-2020")</f>
        <v/>
      </c>
      <c r="T56">
        <f>HYPERLINK("https://klasma.github.io/Logging_2326/kartor/A 39021-2020 karta.png", "A 39021-2020")</f>
        <v/>
      </c>
      <c r="V56">
        <f>HYPERLINK("https://klasma.github.io/Logging_2326/klagomål/A 39021-2020 FSC-klagomål.docx", "A 39021-2020")</f>
        <v/>
      </c>
      <c r="W56">
        <f>HYPERLINK("https://klasma.github.io/Logging_2326/klagomålsmail/A 39021-2020 FSC-klagomål mail.docx", "A 39021-2020")</f>
        <v/>
      </c>
      <c r="X56">
        <f>HYPERLINK("https://klasma.github.io/Logging_2326/tillsyn/A 39021-2020 tillsynsbegäran.docx", "A 39021-2020")</f>
        <v/>
      </c>
      <c r="Y56">
        <f>HYPERLINK("https://klasma.github.io/Logging_2326/tillsynsmail/A 39021-2020 tillsynsbegäran mail.docx", "A 39021-2020")</f>
        <v/>
      </c>
    </row>
    <row r="57" ht="15" customHeight="1">
      <c r="A57" t="inlineStr">
        <is>
          <t>A 56203-2021</t>
        </is>
      </c>
      <c r="B57" s="1" t="n">
        <v>44477</v>
      </c>
      <c r="C57" s="1" t="n">
        <v>45629</v>
      </c>
      <c r="D57" t="inlineStr">
        <is>
          <t>JÄMTLANDS LÄN</t>
        </is>
      </c>
      <c r="E57" t="inlineStr">
        <is>
          <t>BERG</t>
        </is>
      </c>
      <c r="F57" t="inlineStr">
        <is>
          <t>SCA</t>
        </is>
      </c>
      <c r="G57" t="n">
        <v>3.4</v>
      </c>
      <c r="H57" t="n">
        <v>2</v>
      </c>
      <c r="I57" t="n">
        <v>0</v>
      </c>
      <c r="J57" t="n">
        <v>4</v>
      </c>
      <c r="K57" t="n">
        <v>0</v>
      </c>
      <c r="L57" t="n">
        <v>0</v>
      </c>
      <c r="M57" t="n">
        <v>0</v>
      </c>
      <c r="N57" t="n">
        <v>0</v>
      </c>
      <c r="O57" t="n">
        <v>4</v>
      </c>
      <c r="P57" t="n">
        <v>0</v>
      </c>
      <c r="Q57" t="n">
        <v>5</v>
      </c>
      <c r="R57" s="2" t="inlineStr">
        <is>
          <t>Garnlav
Granticka
Lunglav
Tretåig hackspett
Tjäder</t>
        </is>
      </c>
      <c r="S57">
        <f>HYPERLINK("https://klasma.github.io/Logging_2326/artfynd/A 56203-2021 artfynd.xlsx", "A 56203-2021")</f>
        <v/>
      </c>
      <c r="T57">
        <f>HYPERLINK("https://klasma.github.io/Logging_2326/kartor/A 56203-2021 karta.png", "A 56203-2021")</f>
        <v/>
      </c>
      <c r="V57">
        <f>HYPERLINK("https://klasma.github.io/Logging_2326/klagomål/A 56203-2021 FSC-klagomål.docx", "A 56203-2021")</f>
        <v/>
      </c>
      <c r="W57">
        <f>HYPERLINK("https://klasma.github.io/Logging_2326/klagomålsmail/A 56203-2021 FSC-klagomål mail.docx", "A 56203-2021")</f>
        <v/>
      </c>
      <c r="X57">
        <f>HYPERLINK("https://klasma.github.io/Logging_2326/tillsyn/A 56203-2021 tillsynsbegäran.docx", "A 56203-2021")</f>
        <v/>
      </c>
      <c r="Y57">
        <f>HYPERLINK("https://klasma.github.io/Logging_2326/tillsynsmail/A 56203-2021 tillsynsbegäran mail.docx", "A 56203-2021")</f>
        <v/>
      </c>
      <c r="Z57">
        <f>HYPERLINK("https://klasma.github.io/Logging_2326/fåglar/A 56203-2021 prioriterade fågelarter.docx", "A 56203-2021")</f>
        <v/>
      </c>
    </row>
    <row r="58" ht="15" customHeight="1">
      <c r="A58" t="inlineStr">
        <is>
          <t>A 54841-2022</t>
        </is>
      </c>
      <c r="B58" s="1" t="n">
        <v>44883</v>
      </c>
      <c r="C58" s="1" t="n">
        <v>45629</v>
      </c>
      <c r="D58" t="inlineStr">
        <is>
          <t>JÄMTLANDS LÄN</t>
        </is>
      </c>
      <c r="E58" t="inlineStr">
        <is>
          <t>BERG</t>
        </is>
      </c>
      <c r="F58" t="inlineStr">
        <is>
          <t>SCA</t>
        </is>
      </c>
      <c r="G58" t="n">
        <v>21.9</v>
      </c>
      <c r="H58" t="n">
        <v>0</v>
      </c>
      <c r="I58" t="n">
        <v>0</v>
      </c>
      <c r="J58" t="n">
        <v>2</v>
      </c>
      <c r="K58" t="n">
        <v>3</v>
      </c>
      <c r="L58" t="n">
        <v>0</v>
      </c>
      <c r="M58" t="n">
        <v>0</v>
      </c>
      <c r="N58" t="n">
        <v>0</v>
      </c>
      <c r="O58" t="n">
        <v>5</v>
      </c>
      <c r="P58" t="n">
        <v>3</v>
      </c>
      <c r="Q58" t="n">
        <v>5</v>
      </c>
      <c r="R58" s="2" t="inlineStr">
        <is>
          <t>Fläckporing
Gräddporing
Smalfotad taggsvamp
Dvärgbägarlav
Vedflamlav</t>
        </is>
      </c>
      <c r="S58">
        <f>HYPERLINK("https://klasma.github.io/Logging_2326/artfynd/A 54841-2022 artfynd.xlsx", "A 54841-2022")</f>
        <v/>
      </c>
      <c r="T58">
        <f>HYPERLINK("https://klasma.github.io/Logging_2326/kartor/A 54841-2022 karta.png", "A 54841-2022")</f>
        <v/>
      </c>
      <c r="V58">
        <f>HYPERLINK("https://klasma.github.io/Logging_2326/klagomål/A 54841-2022 FSC-klagomål.docx", "A 54841-2022")</f>
        <v/>
      </c>
      <c r="W58">
        <f>HYPERLINK("https://klasma.github.io/Logging_2326/klagomålsmail/A 54841-2022 FSC-klagomål mail.docx", "A 54841-2022")</f>
        <v/>
      </c>
      <c r="X58">
        <f>HYPERLINK("https://klasma.github.io/Logging_2326/tillsyn/A 54841-2022 tillsynsbegäran.docx", "A 54841-2022")</f>
        <v/>
      </c>
      <c r="Y58">
        <f>HYPERLINK("https://klasma.github.io/Logging_2326/tillsynsmail/A 54841-2022 tillsynsbegäran mail.docx", "A 54841-2022")</f>
        <v/>
      </c>
    </row>
    <row r="59" ht="15" customHeight="1">
      <c r="A59" t="inlineStr">
        <is>
          <t>A 55332-2023</t>
        </is>
      </c>
      <c r="B59" s="1" t="n">
        <v>45238</v>
      </c>
      <c r="C59" s="1" t="n">
        <v>45629</v>
      </c>
      <c r="D59" t="inlineStr">
        <is>
          <t>JÄMTLANDS LÄN</t>
        </is>
      </c>
      <c r="E59" t="inlineStr">
        <is>
          <t>BERG</t>
        </is>
      </c>
      <c r="F59" t="inlineStr">
        <is>
          <t>SCA</t>
        </is>
      </c>
      <c r="G59" t="n">
        <v>13</v>
      </c>
      <c r="H59" t="n">
        <v>0</v>
      </c>
      <c r="I59" t="n">
        <v>0</v>
      </c>
      <c r="J59" t="n">
        <v>3</v>
      </c>
      <c r="K59" t="n">
        <v>2</v>
      </c>
      <c r="L59" t="n">
        <v>0</v>
      </c>
      <c r="M59" t="n">
        <v>0</v>
      </c>
      <c r="N59" t="n">
        <v>0</v>
      </c>
      <c r="O59" t="n">
        <v>5</v>
      </c>
      <c r="P59" t="n">
        <v>2</v>
      </c>
      <c r="Q59" t="n">
        <v>5</v>
      </c>
      <c r="R59" s="2" t="inlineStr">
        <is>
          <t>Smalfotad taggsvamp
Tajgataggsvamp
Blanksvart spiklav
Reliktbock
Vedflamlav</t>
        </is>
      </c>
      <c r="S59">
        <f>HYPERLINK("https://klasma.github.io/Logging_2326/artfynd/A 55332-2023 artfynd.xlsx", "A 55332-2023")</f>
        <v/>
      </c>
      <c r="T59">
        <f>HYPERLINK("https://klasma.github.io/Logging_2326/kartor/A 55332-2023 karta.png", "A 55332-2023")</f>
        <v/>
      </c>
      <c r="V59">
        <f>HYPERLINK("https://klasma.github.io/Logging_2326/klagomål/A 55332-2023 FSC-klagomål.docx", "A 55332-2023")</f>
        <v/>
      </c>
      <c r="W59">
        <f>HYPERLINK("https://klasma.github.io/Logging_2326/klagomålsmail/A 55332-2023 FSC-klagomål mail.docx", "A 55332-2023")</f>
        <v/>
      </c>
      <c r="X59">
        <f>HYPERLINK("https://klasma.github.io/Logging_2326/tillsyn/A 55332-2023 tillsynsbegäran.docx", "A 55332-2023")</f>
        <v/>
      </c>
      <c r="Y59">
        <f>HYPERLINK("https://klasma.github.io/Logging_2326/tillsynsmail/A 55332-2023 tillsynsbegäran mail.docx", "A 55332-2023")</f>
        <v/>
      </c>
    </row>
    <row r="60" ht="15" customHeight="1">
      <c r="A60" t="inlineStr">
        <is>
          <t>A 22356-2024</t>
        </is>
      </c>
      <c r="B60" s="1" t="n">
        <v>45446</v>
      </c>
      <c r="C60" s="1" t="n">
        <v>45629</v>
      </c>
      <c r="D60" t="inlineStr">
        <is>
          <t>JÄMTLANDS LÄN</t>
        </is>
      </c>
      <c r="E60" t="inlineStr">
        <is>
          <t>BERG</t>
        </is>
      </c>
      <c r="G60" t="n">
        <v>18.5</v>
      </c>
      <c r="H60" t="n">
        <v>0</v>
      </c>
      <c r="I60" t="n">
        <v>1</v>
      </c>
      <c r="J60" t="n">
        <v>4</v>
      </c>
      <c r="K60" t="n">
        <v>0</v>
      </c>
      <c r="L60" t="n">
        <v>0</v>
      </c>
      <c r="M60" t="n">
        <v>0</v>
      </c>
      <c r="N60" t="n">
        <v>0</v>
      </c>
      <c r="O60" t="n">
        <v>4</v>
      </c>
      <c r="P60" t="n">
        <v>0</v>
      </c>
      <c r="Q60" t="n">
        <v>5</v>
      </c>
      <c r="R60" s="2" t="inlineStr">
        <is>
          <t>Garnlav
Granticka
Mörk kolflarnlav
Vedflamlav
Norrlandslav</t>
        </is>
      </c>
      <c r="S60">
        <f>HYPERLINK("https://klasma.github.io/Logging_2326/artfynd/A 22356-2024 artfynd.xlsx", "A 22356-2024")</f>
        <v/>
      </c>
      <c r="T60">
        <f>HYPERLINK("https://klasma.github.io/Logging_2326/kartor/A 22356-2024 karta.png", "A 22356-2024")</f>
        <v/>
      </c>
      <c r="V60">
        <f>HYPERLINK("https://klasma.github.io/Logging_2326/klagomål/A 22356-2024 FSC-klagomål.docx", "A 22356-2024")</f>
        <v/>
      </c>
      <c r="W60">
        <f>HYPERLINK("https://klasma.github.io/Logging_2326/klagomålsmail/A 22356-2024 FSC-klagomål mail.docx", "A 22356-2024")</f>
        <v/>
      </c>
      <c r="X60">
        <f>HYPERLINK("https://klasma.github.io/Logging_2326/tillsyn/A 22356-2024 tillsynsbegäran.docx", "A 22356-2024")</f>
        <v/>
      </c>
      <c r="Y60">
        <f>HYPERLINK("https://klasma.github.io/Logging_2326/tillsynsmail/A 22356-2024 tillsynsbegäran mail.docx", "A 22356-2024")</f>
        <v/>
      </c>
    </row>
    <row r="61" ht="15" customHeight="1">
      <c r="A61" t="inlineStr">
        <is>
          <t>A 24204-2024</t>
        </is>
      </c>
      <c r="B61" s="1" t="n">
        <v>45456</v>
      </c>
      <c r="C61" s="1" t="n">
        <v>45629</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26853-2024</t>
        </is>
      </c>
      <c r="B62" s="1" t="n">
        <v>45470</v>
      </c>
      <c r="C62" s="1" t="n">
        <v>45629</v>
      </c>
      <c r="D62" t="inlineStr">
        <is>
          <t>JÄMTLANDS LÄN</t>
        </is>
      </c>
      <c r="E62" t="inlineStr">
        <is>
          <t>BERG</t>
        </is>
      </c>
      <c r="G62" t="n">
        <v>25.9</v>
      </c>
      <c r="H62" t="n">
        <v>2</v>
      </c>
      <c r="I62" t="n">
        <v>0</v>
      </c>
      <c r="J62" t="n">
        <v>4</v>
      </c>
      <c r="K62" t="n">
        <v>0</v>
      </c>
      <c r="L62" t="n">
        <v>0</v>
      </c>
      <c r="M62" t="n">
        <v>0</v>
      </c>
      <c r="N62" t="n">
        <v>0</v>
      </c>
      <c r="O62" t="n">
        <v>4</v>
      </c>
      <c r="P62" t="n">
        <v>0</v>
      </c>
      <c r="Q62" t="n">
        <v>5</v>
      </c>
      <c r="R62" s="2" t="inlineStr">
        <is>
          <t>Garnlav
Granticka
Tretåig hackspett
Ullticka
Lavskrika</t>
        </is>
      </c>
      <c r="S62">
        <f>HYPERLINK("https://klasma.github.io/Logging_2326/artfynd/A 26853-2024 artfynd.xlsx", "A 26853-2024")</f>
        <v/>
      </c>
      <c r="T62">
        <f>HYPERLINK("https://klasma.github.io/Logging_2326/kartor/A 26853-2024 karta.png", "A 26853-2024")</f>
        <v/>
      </c>
      <c r="V62">
        <f>HYPERLINK("https://klasma.github.io/Logging_2326/klagomål/A 26853-2024 FSC-klagomål.docx", "A 26853-2024")</f>
        <v/>
      </c>
      <c r="W62">
        <f>HYPERLINK("https://klasma.github.io/Logging_2326/klagomålsmail/A 26853-2024 FSC-klagomål mail.docx", "A 26853-2024")</f>
        <v/>
      </c>
      <c r="X62">
        <f>HYPERLINK("https://klasma.github.io/Logging_2326/tillsyn/A 26853-2024 tillsynsbegäran.docx", "A 26853-2024")</f>
        <v/>
      </c>
      <c r="Y62">
        <f>HYPERLINK("https://klasma.github.io/Logging_2326/tillsynsmail/A 26853-2024 tillsynsbegäran mail.docx", "A 26853-2024")</f>
        <v/>
      </c>
      <c r="Z62">
        <f>HYPERLINK("https://klasma.github.io/Logging_2326/fåglar/A 26853-2024 prioriterade fågelarter.docx", "A 26853-2024")</f>
        <v/>
      </c>
    </row>
    <row r="63" ht="15" customHeight="1">
      <c r="A63" t="inlineStr">
        <is>
          <t>A 28770-2024</t>
        </is>
      </c>
      <c r="B63" s="1" t="n">
        <v>45478</v>
      </c>
      <c r="C63" s="1" t="n">
        <v>45629</v>
      </c>
      <c r="D63" t="inlineStr">
        <is>
          <t>JÄMTLANDS LÄN</t>
        </is>
      </c>
      <c r="E63" t="inlineStr">
        <is>
          <t>BERG</t>
        </is>
      </c>
      <c r="G63" t="n">
        <v>19.5</v>
      </c>
      <c r="H63" t="n">
        <v>0</v>
      </c>
      <c r="I63" t="n">
        <v>0</v>
      </c>
      <c r="J63" t="n">
        <v>5</v>
      </c>
      <c r="K63" t="n">
        <v>0</v>
      </c>
      <c r="L63" t="n">
        <v>0</v>
      </c>
      <c r="M63" t="n">
        <v>0</v>
      </c>
      <c r="N63" t="n">
        <v>0</v>
      </c>
      <c r="O63" t="n">
        <v>5</v>
      </c>
      <c r="P63" t="n">
        <v>0</v>
      </c>
      <c r="Q63" t="n">
        <v>5</v>
      </c>
      <c r="R63" s="2" t="inlineStr">
        <is>
          <t>Blågrå svartspik
Dvärgbägarlav
Lunglav
Mörk kolflarnlav
Vedskivlav</t>
        </is>
      </c>
      <c r="S63">
        <f>HYPERLINK("https://klasma.github.io/Logging_2326/artfynd/A 28770-2024 artfynd.xlsx", "A 28770-2024")</f>
        <v/>
      </c>
      <c r="T63">
        <f>HYPERLINK("https://klasma.github.io/Logging_2326/kartor/A 28770-2024 karta.png", "A 28770-2024")</f>
        <v/>
      </c>
      <c r="V63">
        <f>HYPERLINK("https://klasma.github.io/Logging_2326/klagomål/A 28770-2024 FSC-klagomål.docx", "A 28770-2024")</f>
        <v/>
      </c>
      <c r="W63">
        <f>HYPERLINK("https://klasma.github.io/Logging_2326/klagomålsmail/A 28770-2024 FSC-klagomål mail.docx", "A 28770-2024")</f>
        <v/>
      </c>
      <c r="X63">
        <f>HYPERLINK("https://klasma.github.io/Logging_2326/tillsyn/A 28770-2024 tillsynsbegäran.docx", "A 28770-2024")</f>
        <v/>
      </c>
      <c r="Y63">
        <f>HYPERLINK("https://klasma.github.io/Logging_2326/tillsynsmail/A 28770-2024 tillsynsbegäran mail.docx", "A 28770-2024")</f>
        <v/>
      </c>
    </row>
    <row r="64" ht="15" customHeight="1">
      <c r="A64" t="inlineStr">
        <is>
          <t>A 49019-2024</t>
        </is>
      </c>
      <c r="B64" s="1" t="n">
        <v>45594</v>
      </c>
      <c r="C64" s="1" t="n">
        <v>45629</v>
      </c>
      <c r="D64" t="inlineStr">
        <is>
          <t>JÄMTLANDS LÄN</t>
        </is>
      </c>
      <c r="E64" t="inlineStr">
        <is>
          <t>BERG</t>
        </is>
      </c>
      <c r="G64" t="n">
        <v>11.6</v>
      </c>
      <c r="H64" t="n">
        <v>1</v>
      </c>
      <c r="I64" t="n">
        <v>0</v>
      </c>
      <c r="J64" t="n">
        <v>3</v>
      </c>
      <c r="K64" t="n">
        <v>2</v>
      </c>
      <c r="L64" t="n">
        <v>0</v>
      </c>
      <c r="M64" t="n">
        <v>0</v>
      </c>
      <c r="N64" t="n">
        <v>0</v>
      </c>
      <c r="O64" t="n">
        <v>5</v>
      </c>
      <c r="P64" t="n">
        <v>2</v>
      </c>
      <c r="Q64" t="n">
        <v>5</v>
      </c>
      <c r="R64" s="2" t="inlineStr">
        <is>
          <t>Knärot
Rynkskinn
Blanksvart spiklav
Granticka
Vedflamlav</t>
        </is>
      </c>
      <c r="S64">
        <f>HYPERLINK("https://klasma.github.io/Logging_2326/artfynd/A 49019-2024 artfynd.xlsx", "A 49019-2024")</f>
        <v/>
      </c>
      <c r="T64">
        <f>HYPERLINK("https://klasma.github.io/Logging_2326/kartor/A 49019-2024 karta.png", "A 49019-2024")</f>
        <v/>
      </c>
      <c r="U64">
        <f>HYPERLINK("https://klasma.github.io/Logging_2326/knärot/A 49019-2024 karta knärot.png", "A 49019-2024")</f>
        <v/>
      </c>
      <c r="V64">
        <f>HYPERLINK("https://klasma.github.io/Logging_2326/klagomål/A 49019-2024 FSC-klagomål.docx", "A 49019-2024")</f>
        <v/>
      </c>
      <c r="W64">
        <f>HYPERLINK("https://klasma.github.io/Logging_2326/klagomålsmail/A 49019-2024 FSC-klagomål mail.docx", "A 49019-2024")</f>
        <v/>
      </c>
      <c r="X64">
        <f>HYPERLINK("https://klasma.github.io/Logging_2326/tillsyn/A 49019-2024 tillsynsbegäran.docx", "A 49019-2024")</f>
        <v/>
      </c>
      <c r="Y64">
        <f>HYPERLINK("https://klasma.github.io/Logging_2326/tillsynsmail/A 49019-2024 tillsynsbegäran mail.docx", "A 49019-2024")</f>
        <v/>
      </c>
    </row>
    <row r="65" ht="15" customHeight="1">
      <c r="A65" t="inlineStr">
        <is>
          <t>A 20526-2020</t>
        </is>
      </c>
      <c r="B65" s="1" t="n">
        <v>43948</v>
      </c>
      <c r="C65" s="1" t="n">
        <v>45629</v>
      </c>
      <c r="D65" t="inlineStr">
        <is>
          <t>JÄMTLANDS LÄN</t>
        </is>
      </c>
      <c r="E65" t="inlineStr">
        <is>
          <t>BERG</t>
        </is>
      </c>
      <c r="G65" t="n">
        <v>1</v>
      </c>
      <c r="H65" t="n">
        <v>0</v>
      </c>
      <c r="I65" t="n">
        <v>0</v>
      </c>
      <c r="J65" t="n">
        <v>3</v>
      </c>
      <c r="K65" t="n">
        <v>0</v>
      </c>
      <c r="L65" t="n">
        <v>1</v>
      </c>
      <c r="M65" t="n">
        <v>0</v>
      </c>
      <c r="N65" t="n">
        <v>0</v>
      </c>
      <c r="O65" t="n">
        <v>4</v>
      </c>
      <c r="P65" t="n">
        <v>1</v>
      </c>
      <c r="Q65" t="n">
        <v>4</v>
      </c>
      <c r="R65" s="2" t="inlineStr">
        <is>
          <t>Grynlav
Olivbrun gytterlav
Skrovellav
Ullticka</t>
        </is>
      </c>
      <c r="S65">
        <f>HYPERLINK("https://klasma.github.io/Logging_2326/artfynd/A 20526-2020 artfynd.xlsx", "A 20526-2020")</f>
        <v/>
      </c>
      <c r="T65">
        <f>HYPERLINK("https://klasma.github.io/Logging_2326/kartor/A 20526-2020 karta.png", "A 20526-2020")</f>
        <v/>
      </c>
      <c r="V65">
        <f>HYPERLINK("https://klasma.github.io/Logging_2326/klagomål/A 20526-2020 FSC-klagomål.docx", "A 20526-2020")</f>
        <v/>
      </c>
      <c r="W65">
        <f>HYPERLINK("https://klasma.github.io/Logging_2326/klagomålsmail/A 20526-2020 FSC-klagomål mail.docx", "A 20526-2020")</f>
        <v/>
      </c>
      <c r="X65">
        <f>HYPERLINK("https://klasma.github.io/Logging_2326/tillsyn/A 20526-2020 tillsynsbegäran.docx", "A 20526-2020")</f>
        <v/>
      </c>
      <c r="Y65">
        <f>HYPERLINK("https://klasma.github.io/Logging_2326/tillsynsmail/A 20526-2020 tillsynsbegäran mail.docx", "A 20526-2020")</f>
        <v/>
      </c>
    </row>
    <row r="66" ht="15" customHeight="1">
      <c r="A66" t="inlineStr">
        <is>
          <t>A 36669-2020</t>
        </is>
      </c>
      <c r="B66" s="1" t="n">
        <v>44050</v>
      </c>
      <c r="C66" s="1" t="n">
        <v>45629</v>
      </c>
      <c r="D66" t="inlineStr">
        <is>
          <t>JÄMTLANDS LÄN</t>
        </is>
      </c>
      <c r="E66" t="inlineStr">
        <is>
          <t>BERG</t>
        </is>
      </c>
      <c r="F66" t="inlineStr">
        <is>
          <t>SCA</t>
        </is>
      </c>
      <c r="G66" t="n">
        <v>2.7</v>
      </c>
      <c r="H66" t="n">
        <v>0</v>
      </c>
      <c r="I66" t="n">
        <v>0</v>
      </c>
      <c r="J66" t="n">
        <v>4</v>
      </c>
      <c r="K66" t="n">
        <v>0</v>
      </c>
      <c r="L66" t="n">
        <v>0</v>
      </c>
      <c r="M66" t="n">
        <v>0</v>
      </c>
      <c r="N66" t="n">
        <v>0</v>
      </c>
      <c r="O66" t="n">
        <v>4</v>
      </c>
      <c r="P66" t="n">
        <v>0</v>
      </c>
      <c r="Q66" t="n">
        <v>4</v>
      </c>
      <c r="R66" s="2" t="inlineStr">
        <is>
          <t>Gammelgransskål
Garnlav
Harticka
Skrovellav</t>
        </is>
      </c>
      <c r="S66">
        <f>HYPERLINK("https://klasma.github.io/Logging_2326/artfynd/A 36669-2020 artfynd.xlsx", "A 36669-2020")</f>
        <v/>
      </c>
      <c r="T66">
        <f>HYPERLINK("https://klasma.github.io/Logging_2326/kartor/A 36669-2020 karta.png", "A 36669-2020")</f>
        <v/>
      </c>
      <c r="V66">
        <f>HYPERLINK("https://klasma.github.io/Logging_2326/klagomål/A 36669-2020 FSC-klagomål.docx", "A 36669-2020")</f>
        <v/>
      </c>
      <c r="W66">
        <f>HYPERLINK("https://klasma.github.io/Logging_2326/klagomålsmail/A 36669-2020 FSC-klagomål mail.docx", "A 36669-2020")</f>
        <v/>
      </c>
      <c r="X66">
        <f>HYPERLINK("https://klasma.github.io/Logging_2326/tillsyn/A 36669-2020 tillsynsbegäran.docx", "A 36669-2020")</f>
        <v/>
      </c>
      <c r="Y66">
        <f>HYPERLINK("https://klasma.github.io/Logging_2326/tillsynsmail/A 36669-2020 tillsynsbegäran mail.docx", "A 36669-2020")</f>
        <v/>
      </c>
    </row>
    <row r="67" ht="15" customHeight="1">
      <c r="A67" t="inlineStr">
        <is>
          <t>A 41872-2020</t>
        </is>
      </c>
      <c r="B67" s="1" t="n">
        <v>44074</v>
      </c>
      <c r="C67" s="1" t="n">
        <v>45629</v>
      </c>
      <c r="D67" t="inlineStr">
        <is>
          <t>JÄMTLANDS LÄN</t>
        </is>
      </c>
      <c r="E67" t="inlineStr">
        <is>
          <t>BERG</t>
        </is>
      </c>
      <c r="F67" t="inlineStr">
        <is>
          <t>SCA</t>
        </is>
      </c>
      <c r="G67" t="n">
        <v>4.9</v>
      </c>
      <c r="H67" t="n">
        <v>0</v>
      </c>
      <c r="I67" t="n">
        <v>1</v>
      </c>
      <c r="J67" t="n">
        <v>3</v>
      </c>
      <c r="K67" t="n">
        <v>0</v>
      </c>
      <c r="L67" t="n">
        <v>0</v>
      </c>
      <c r="M67" t="n">
        <v>0</v>
      </c>
      <c r="N67" t="n">
        <v>0</v>
      </c>
      <c r="O67" t="n">
        <v>3</v>
      </c>
      <c r="P67" t="n">
        <v>0</v>
      </c>
      <c r="Q67" t="n">
        <v>4</v>
      </c>
      <c r="R67" s="2" t="inlineStr">
        <is>
          <t>Garnlav
Lunglav
Vedskivlav
Dropptaggsvamp</t>
        </is>
      </c>
      <c r="S67">
        <f>HYPERLINK("https://klasma.github.io/Logging_2326/artfynd/A 41872-2020 artfynd.xlsx", "A 41872-2020")</f>
        <v/>
      </c>
      <c r="T67">
        <f>HYPERLINK("https://klasma.github.io/Logging_2326/kartor/A 41872-2020 karta.png", "A 41872-2020")</f>
        <v/>
      </c>
      <c r="V67">
        <f>HYPERLINK("https://klasma.github.io/Logging_2326/klagomål/A 41872-2020 FSC-klagomål.docx", "A 41872-2020")</f>
        <v/>
      </c>
      <c r="W67">
        <f>HYPERLINK("https://klasma.github.io/Logging_2326/klagomålsmail/A 41872-2020 FSC-klagomål mail.docx", "A 41872-2020")</f>
        <v/>
      </c>
      <c r="X67">
        <f>HYPERLINK("https://klasma.github.io/Logging_2326/tillsyn/A 41872-2020 tillsynsbegäran.docx", "A 41872-2020")</f>
        <v/>
      </c>
      <c r="Y67">
        <f>HYPERLINK("https://klasma.github.io/Logging_2326/tillsynsmail/A 41872-2020 tillsynsbegäran mail.docx", "A 41872-2020")</f>
        <v/>
      </c>
    </row>
    <row r="68" ht="15" customHeight="1">
      <c r="A68" t="inlineStr">
        <is>
          <t>A 54979-2021</t>
        </is>
      </c>
      <c r="B68" s="1" t="n">
        <v>44474</v>
      </c>
      <c r="C68" s="1" t="n">
        <v>45629</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7891-2022</t>
        </is>
      </c>
      <c r="B69" s="1" t="n">
        <v>44607</v>
      </c>
      <c r="C69" s="1" t="n">
        <v>45629</v>
      </c>
      <c r="D69" t="inlineStr">
        <is>
          <t>JÄMTLANDS LÄN</t>
        </is>
      </c>
      <c r="E69" t="inlineStr">
        <is>
          <t>BERG</t>
        </is>
      </c>
      <c r="G69" t="n">
        <v>2.5</v>
      </c>
      <c r="H69" t="n">
        <v>3</v>
      </c>
      <c r="I69" t="n">
        <v>0</v>
      </c>
      <c r="J69" t="n">
        <v>1</v>
      </c>
      <c r="K69" t="n">
        <v>1</v>
      </c>
      <c r="L69" t="n">
        <v>0</v>
      </c>
      <c r="M69" t="n">
        <v>0</v>
      </c>
      <c r="N69" t="n">
        <v>0</v>
      </c>
      <c r="O69" t="n">
        <v>2</v>
      </c>
      <c r="P69" t="n">
        <v>1</v>
      </c>
      <c r="Q69" t="n">
        <v>4</v>
      </c>
      <c r="R69" s="2" t="inlineStr">
        <is>
          <t>Knärot
Ullticka
Blåsippa
Revlummer</t>
        </is>
      </c>
      <c r="S69">
        <f>HYPERLINK("https://klasma.github.io/Logging_2326/artfynd/A 7891-2022 artfynd.xlsx", "A 7891-2022")</f>
        <v/>
      </c>
      <c r="T69">
        <f>HYPERLINK("https://klasma.github.io/Logging_2326/kartor/A 7891-2022 karta.png", "A 7891-2022")</f>
        <v/>
      </c>
      <c r="U69">
        <f>HYPERLINK("https://klasma.github.io/Logging_2326/knärot/A 7891-2022 karta knärot.png", "A 7891-2022")</f>
        <v/>
      </c>
      <c r="V69">
        <f>HYPERLINK("https://klasma.github.io/Logging_2326/klagomål/A 7891-2022 FSC-klagomål.docx", "A 7891-2022")</f>
        <v/>
      </c>
      <c r="W69">
        <f>HYPERLINK("https://klasma.github.io/Logging_2326/klagomålsmail/A 7891-2022 FSC-klagomål mail.docx", "A 7891-2022")</f>
        <v/>
      </c>
      <c r="X69">
        <f>HYPERLINK("https://klasma.github.io/Logging_2326/tillsyn/A 7891-2022 tillsynsbegäran.docx", "A 7891-2022")</f>
        <v/>
      </c>
      <c r="Y69">
        <f>HYPERLINK("https://klasma.github.io/Logging_2326/tillsynsmail/A 7891-2022 tillsynsbegäran mail.docx", "A 7891-2022")</f>
        <v/>
      </c>
    </row>
    <row r="70" ht="15" customHeight="1">
      <c r="A70" t="inlineStr">
        <is>
          <t>A 22333-2022</t>
        </is>
      </c>
      <c r="B70" s="1" t="n">
        <v>44712</v>
      </c>
      <c r="C70" s="1" t="n">
        <v>45629</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45629</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37381-2022</t>
        </is>
      </c>
      <c r="B72" s="1" t="n">
        <v>44806</v>
      </c>
      <c r="C72" s="1" t="n">
        <v>45629</v>
      </c>
      <c r="D72" t="inlineStr">
        <is>
          <t>JÄMTLANDS LÄN</t>
        </is>
      </c>
      <c r="E72" t="inlineStr">
        <is>
          <t>BERG</t>
        </is>
      </c>
      <c r="G72" t="n">
        <v>29</v>
      </c>
      <c r="H72" t="n">
        <v>1</v>
      </c>
      <c r="I72" t="n">
        <v>0</v>
      </c>
      <c r="J72" t="n">
        <v>4</v>
      </c>
      <c r="K72" t="n">
        <v>0</v>
      </c>
      <c r="L72" t="n">
        <v>0</v>
      </c>
      <c r="M72" t="n">
        <v>0</v>
      </c>
      <c r="N72" t="n">
        <v>0</v>
      </c>
      <c r="O72" t="n">
        <v>4</v>
      </c>
      <c r="P72" t="n">
        <v>0</v>
      </c>
      <c r="Q72" t="n">
        <v>4</v>
      </c>
      <c r="R72" s="2" t="inlineStr">
        <is>
          <t>Garnlav
Granticka
Harticka
Tretåig hackspett</t>
        </is>
      </c>
      <c r="S72">
        <f>HYPERLINK("https://klasma.github.io/Logging_2326/artfynd/A 37381-2022 artfynd.xlsx", "A 37381-2022")</f>
        <v/>
      </c>
      <c r="T72">
        <f>HYPERLINK("https://klasma.github.io/Logging_2326/kartor/A 37381-2022 karta.png", "A 37381-2022")</f>
        <v/>
      </c>
      <c r="V72">
        <f>HYPERLINK("https://klasma.github.io/Logging_2326/klagomål/A 37381-2022 FSC-klagomål.docx", "A 37381-2022")</f>
        <v/>
      </c>
      <c r="W72">
        <f>HYPERLINK("https://klasma.github.io/Logging_2326/klagomålsmail/A 37381-2022 FSC-klagomål mail.docx", "A 37381-2022")</f>
        <v/>
      </c>
      <c r="X72">
        <f>HYPERLINK("https://klasma.github.io/Logging_2326/tillsyn/A 37381-2022 tillsynsbegäran.docx", "A 37381-2022")</f>
        <v/>
      </c>
      <c r="Y72">
        <f>HYPERLINK("https://klasma.github.io/Logging_2326/tillsynsmail/A 37381-2022 tillsynsbegäran mail.docx", "A 37381-2022")</f>
        <v/>
      </c>
      <c r="Z72">
        <f>HYPERLINK("https://klasma.github.io/Logging_2326/fåglar/A 37381-2022 prioriterade fågelarter.docx", "A 37381-2022")</f>
        <v/>
      </c>
    </row>
    <row r="73" ht="15" customHeight="1">
      <c r="A73" t="inlineStr">
        <is>
          <t>A 7473-2023</t>
        </is>
      </c>
      <c r="B73" s="1" t="n">
        <v>44966</v>
      </c>
      <c r="C73" s="1" t="n">
        <v>45629</v>
      </c>
      <c r="D73" t="inlineStr">
        <is>
          <t>JÄMTLANDS LÄN</t>
        </is>
      </c>
      <c r="E73" t="inlineStr">
        <is>
          <t>BERG</t>
        </is>
      </c>
      <c r="G73" t="n">
        <v>26.8</v>
      </c>
      <c r="H73" t="n">
        <v>1</v>
      </c>
      <c r="I73" t="n">
        <v>1</v>
      </c>
      <c r="J73" t="n">
        <v>3</v>
      </c>
      <c r="K73" t="n">
        <v>0</v>
      </c>
      <c r="L73" t="n">
        <v>0</v>
      </c>
      <c r="M73" t="n">
        <v>0</v>
      </c>
      <c r="N73" t="n">
        <v>0</v>
      </c>
      <c r="O73" t="n">
        <v>3</v>
      </c>
      <c r="P73" t="n">
        <v>0</v>
      </c>
      <c r="Q73" t="n">
        <v>4</v>
      </c>
      <c r="R73" s="2" t="inlineStr">
        <is>
          <t>Blågrå svartspik
Tretåig hackspett
Vedflamlav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20874-2023</t>
        </is>
      </c>
      <c r="B74" s="1" t="n">
        <v>45058</v>
      </c>
      <c r="C74" s="1" t="n">
        <v>45629</v>
      </c>
      <c r="D74" t="inlineStr">
        <is>
          <t>JÄMTLANDS LÄN</t>
        </is>
      </c>
      <c r="E74" t="inlineStr">
        <is>
          <t>BERG</t>
        </is>
      </c>
      <c r="F74" t="inlineStr">
        <is>
          <t>SCA</t>
        </is>
      </c>
      <c r="G74" t="n">
        <v>2.6</v>
      </c>
      <c r="H74" t="n">
        <v>0</v>
      </c>
      <c r="I74" t="n">
        <v>1</v>
      </c>
      <c r="J74" t="n">
        <v>3</v>
      </c>
      <c r="K74" t="n">
        <v>0</v>
      </c>
      <c r="L74" t="n">
        <v>0</v>
      </c>
      <c r="M74" t="n">
        <v>0</v>
      </c>
      <c r="N74" t="n">
        <v>0</v>
      </c>
      <c r="O74" t="n">
        <v>3</v>
      </c>
      <c r="P74" t="n">
        <v>0</v>
      </c>
      <c r="Q74" t="n">
        <v>4</v>
      </c>
      <c r="R74" s="2" t="inlineStr">
        <is>
          <t>Kolflarnlav
Mörk kolflarnlav
Vedskivlav
Skinnlav</t>
        </is>
      </c>
      <c r="S74">
        <f>HYPERLINK("https://klasma.github.io/Logging_2326/artfynd/A 20874-2023 artfynd.xlsx", "A 20874-2023")</f>
        <v/>
      </c>
      <c r="T74">
        <f>HYPERLINK("https://klasma.github.io/Logging_2326/kartor/A 20874-2023 karta.png", "A 20874-2023")</f>
        <v/>
      </c>
      <c r="V74">
        <f>HYPERLINK("https://klasma.github.io/Logging_2326/klagomål/A 20874-2023 FSC-klagomål.docx", "A 20874-2023")</f>
        <v/>
      </c>
      <c r="W74">
        <f>HYPERLINK("https://klasma.github.io/Logging_2326/klagomålsmail/A 20874-2023 FSC-klagomål mail.docx", "A 20874-2023")</f>
        <v/>
      </c>
      <c r="X74">
        <f>HYPERLINK("https://klasma.github.io/Logging_2326/tillsyn/A 20874-2023 tillsynsbegäran.docx", "A 20874-2023")</f>
        <v/>
      </c>
      <c r="Y74">
        <f>HYPERLINK("https://klasma.github.io/Logging_2326/tillsynsmail/A 20874-2023 tillsynsbegäran mail.docx", "A 20874-2023")</f>
        <v/>
      </c>
    </row>
    <row r="75" ht="15" customHeight="1">
      <c r="A75" t="inlineStr">
        <is>
          <t>A 23951-2023</t>
        </is>
      </c>
      <c r="B75" s="1" t="n">
        <v>45078</v>
      </c>
      <c r="C75" s="1" t="n">
        <v>45629</v>
      </c>
      <c r="D75" t="inlineStr">
        <is>
          <t>JÄMTLANDS LÄN</t>
        </is>
      </c>
      <c r="E75" t="inlineStr">
        <is>
          <t>BERG</t>
        </is>
      </c>
      <c r="G75" t="n">
        <v>16.4</v>
      </c>
      <c r="H75" t="n">
        <v>1</v>
      </c>
      <c r="I75" t="n">
        <v>1</v>
      </c>
      <c r="J75" t="n">
        <v>2</v>
      </c>
      <c r="K75" t="n">
        <v>1</v>
      </c>
      <c r="L75" t="n">
        <v>0</v>
      </c>
      <c r="M75" t="n">
        <v>0</v>
      </c>
      <c r="N75" t="n">
        <v>0</v>
      </c>
      <c r="O75" t="n">
        <v>3</v>
      </c>
      <c r="P75" t="n">
        <v>1</v>
      </c>
      <c r="Q75" t="n">
        <v>4</v>
      </c>
      <c r="R75" s="2" t="inlineStr">
        <is>
          <t>Doftticka
Kolflarnlav
Lunglav
Stuplav</t>
        </is>
      </c>
      <c r="S75">
        <f>HYPERLINK("https://klasma.github.io/Logging_2326/artfynd/A 23951-2023 artfynd.xlsx", "A 23951-2023")</f>
        <v/>
      </c>
      <c r="T75">
        <f>HYPERLINK("https://klasma.github.io/Logging_2326/kartor/A 23951-2023 karta.png", "A 23951-2023")</f>
        <v/>
      </c>
      <c r="V75">
        <f>HYPERLINK("https://klasma.github.io/Logging_2326/klagomål/A 23951-2023 FSC-klagomål.docx", "A 23951-2023")</f>
        <v/>
      </c>
      <c r="W75">
        <f>HYPERLINK("https://klasma.github.io/Logging_2326/klagomålsmail/A 23951-2023 FSC-klagomål mail.docx", "A 23951-2023")</f>
        <v/>
      </c>
      <c r="X75">
        <f>HYPERLINK("https://klasma.github.io/Logging_2326/tillsyn/A 23951-2023 tillsynsbegäran.docx", "A 23951-2023")</f>
        <v/>
      </c>
      <c r="Y75">
        <f>HYPERLINK("https://klasma.github.io/Logging_2326/tillsynsmail/A 23951-2023 tillsynsbegäran mail.docx", "A 23951-2023")</f>
        <v/>
      </c>
    </row>
    <row r="76" ht="15" customHeight="1">
      <c r="A76" t="inlineStr">
        <is>
          <t>A 65218-2023</t>
        </is>
      </c>
      <c r="B76" s="1" t="n">
        <v>45289</v>
      </c>
      <c r="C76" s="1" t="n">
        <v>45629</v>
      </c>
      <c r="D76" t="inlineStr">
        <is>
          <t>JÄMTLANDS LÄN</t>
        </is>
      </c>
      <c r="E76" t="inlineStr">
        <is>
          <t>BERG</t>
        </is>
      </c>
      <c r="F76" t="inlineStr">
        <is>
          <t>Kyrkan</t>
        </is>
      </c>
      <c r="G76" t="n">
        <v>9.300000000000001</v>
      </c>
      <c r="H76" t="n">
        <v>3</v>
      </c>
      <c r="I76" t="n">
        <v>2</v>
      </c>
      <c r="J76" t="n">
        <v>1</v>
      </c>
      <c r="K76" t="n">
        <v>0</v>
      </c>
      <c r="L76" t="n">
        <v>0</v>
      </c>
      <c r="M76" t="n">
        <v>0</v>
      </c>
      <c r="N76" t="n">
        <v>0</v>
      </c>
      <c r="O76" t="n">
        <v>1</v>
      </c>
      <c r="P76" t="n">
        <v>0</v>
      </c>
      <c r="Q76" t="n">
        <v>4</v>
      </c>
      <c r="R76" s="2" t="inlineStr">
        <is>
          <t>Lunglav
Plattlummer
Spindelblomster
Fläcknycklar</t>
        </is>
      </c>
      <c r="S76">
        <f>HYPERLINK("https://klasma.github.io/Logging_2326/artfynd/A 65218-2023 artfynd.xlsx", "A 65218-2023")</f>
        <v/>
      </c>
      <c r="T76">
        <f>HYPERLINK("https://klasma.github.io/Logging_2326/kartor/A 65218-2023 karta.png", "A 65218-2023")</f>
        <v/>
      </c>
      <c r="V76">
        <f>HYPERLINK("https://klasma.github.io/Logging_2326/klagomål/A 65218-2023 FSC-klagomål.docx", "A 65218-2023")</f>
        <v/>
      </c>
      <c r="W76">
        <f>HYPERLINK("https://klasma.github.io/Logging_2326/klagomålsmail/A 65218-2023 FSC-klagomål mail.docx", "A 65218-2023")</f>
        <v/>
      </c>
      <c r="X76">
        <f>HYPERLINK("https://klasma.github.io/Logging_2326/tillsyn/A 65218-2023 tillsynsbegäran.docx", "A 65218-2023")</f>
        <v/>
      </c>
      <c r="Y76">
        <f>HYPERLINK("https://klasma.github.io/Logging_2326/tillsynsmail/A 65218-2023 tillsynsbegäran mail.docx", "A 65218-2023")</f>
        <v/>
      </c>
    </row>
    <row r="77" ht="15" customHeight="1">
      <c r="A77" t="inlineStr">
        <is>
          <t>A 13487-2024</t>
        </is>
      </c>
      <c r="B77" s="1" t="n">
        <v>45387</v>
      </c>
      <c r="C77" s="1" t="n">
        <v>45629</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18303-2024</t>
        </is>
      </c>
      <c r="B78" s="1" t="n">
        <v>45422</v>
      </c>
      <c r="C78" s="1" t="n">
        <v>45629</v>
      </c>
      <c r="D78" t="inlineStr">
        <is>
          <t>JÄMTLANDS LÄN</t>
        </is>
      </c>
      <c r="E78" t="inlineStr">
        <is>
          <t>BERG</t>
        </is>
      </c>
      <c r="G78" t="n">
        <v>12.3</v>
      </c>
      <c r="H78" t="n">
        <v>0</v>
      </c>
      <c r="I78" t="n">
        <v>1</v>
      </c>
      <c r="J78" t="n">
        <v>3</v>
      </c>
      <c r="K78" t="n">
        <v>0</v>
      </c>
      <c r="L78" t="n">
        <v>0</v>
      </c>
      <c r="M78" t="n">
        <v>0</v>
      </c>
      <c r="N78" t="n">
        <v>0</v>
      </c>
      <c r="O78" t="n">
        <v>3</v>
      </c>
      <c r="P78" t="n">
        <v>0</v>
      </c>
      <c r="Q78" t="n">
        <v>4</v>
      </c>
      <c r="R78" s="2" t="inlineStr">
        <is>
          <t>Lunglav
Skrovellav
Ullticka
Mörk husmossa</t>
        </is>
      </c>
      <c r="S78">
        <f>HYPERLINK("https://klasma.github.io/Logging_2326/artfynd/A 18303-2024 artfynd.xlsx", "A 18303-2024")</f>
        <v/>
      </c>
      <c r="T78">
        <f>HYPERLINK("https://klasma.github.io/Logging_2326/kartor/A 18303-2024 karta.png", "A 18303-2024")</f>
        <v/>
      </c>
      <c r="V78">
        <f>HYPERLINK("https://klasma.github.io/Logging_2326/klagomål/A 18303-2024 FSC-klagomål.docx", "A 18303-2024")</f>
        <v/>
      </c>
      <c r="W78">
        <f>HYPERLINK("https://klasma.github.io/Logging_2326/klagomålsmail/A 18303-2024 FSC-klagomål mail.docx", "A 18303-2024")</f>
        <v/>
      </c>
      <c r="X78">
        <f>HYPERLINK("https://klasma.github.io/Logging_2326/tillsyn/A 18303-2024 tillsynsbegäran.docx", "A 18303-2024")</f>
        <v/>
      </c>
      <c r="Y78">
        <f>HYPERLINK("https://klasma.github.io/Logging_2326/tillsynsmail/A 18303-2024 tillsynsbegäran mail.docx", "A 18303-2024")</f>
        <v/>
      </c>
    </row>
    <row r="79" ht="15" customHeight="1">
      <c r="A79" t="inlineStr">
        <is>
          <t>A 21529-2024</t>
        </is>
      </c>
      <c r="B79" s="1" t="n">
        <v>45441</v>
      </c>
      <c r="C79" s="1" t="n">
        <v>45629</v>
      </c>
      <c r="D79" t="inlineStr">
        <is>
          <t>JÄMTLANDS LÄN</t>
        </is>
      </c>
      <c r="E79" t="inlineStr">
        <is>
          <t>BERG</t>
        </is>
      </c>
      <c r="G79" t="n">
        <v>2.3</v>
      </c>
      <c r="H79" t="n">
        <v>1</v>
      </c>
      <c r="I79" t="n">
        <v>1</v>
      </c>
      <c r="J79" t="n">
        <v>3</v>
      </c>
      <c r="K79" t="n">
        <v>0</v>
      </c>
      <c r="L79" t="n">
        <v>0</v>
      </c>
      <c r="M79" t="n">
        <v>0</v>
      </c>
      <c r="N79" t="n">
        <v>0</v>
      </c>
      <c r="O79" t="n">
        <v>3</v>
      </c>
      <c r="P79" t="n">
        <v>0</v>
      </c>
      <c r="Q79" t="n">
        <v>4</v>
      </c>
      <c r="R79" s="2" t="inlineStr">
        <is>
          <t>Garnlav
Lunglav
Vedtrappmossa
Spindelblomster</t>
        </is>
      </c>
      <c r="S79">
        <f>HYPERLINK("https://klasma.github.io/Logging_2326/artfynd/A 21529-2024 artfynd.xlsx", "A 21529-2024")</f>
        <v/>
      </c>
      <c r="T79">
        <f>HYPERLINK("https://klasma.github.io/Logging_2326/kartor/A 21529-2024 karta.png", "A 21529-2024")</f>
        <v/>
      </c>
      <c r="V79">
        <f>HYPERLINK("https://klasma.github.io/Logging_2326/klagomål/A 21529-2024 FSC-klagomål.docx", "A 21529-2024")</f>
        <v/>
      </c>
      <c r="W79">
        <f>HYPERLINK("https://klasma.github.io/Logging_2326/klagomålsmail/A 21529-2024 FSC-klagomål mail.docx", "A 21529-2024")</f>
        <v/>
      </c>
      <c r="X79">
        <f>HYPERLINK("https://klasma.github.io/Logging_2326/tillsyn/A 21529-2024 tillsynsbegäran.docx", "A 21529-2024")</f>
        <v/>
      </c>
      <c r="Y79">
        <f>HYPERLINK("https://klasma.github.io/Logging_2326/tillsynsmail/A 21529-2024 tillsynsbegäran mail.docx", "A 21529-2024")</f>
        <v/>
      </c>
    </row>
    <row r="80" ht="15" customHeight="1">
      <c r="A80" t="inlineStr">
        <is>
          <t>A 28911-2024</t>
        </is>
      </c>
      <c r="B80" s="1" t="n">
        <v>45480</v>
      </c>
      <c r="C80" s="1" t="n">
        <v>45629</v>
      </c>
      <c r="D80" t="inlineStr">
        <is>
          <t>JÄMTLANDS LÄN</t>
        </is>
      </c>
      <c r="E80" t="inlineStr">
        <is>
          <t>BERG</t>
        </is>
      </c>
      <c r="G80" t="n">
        <v>2.5</v>
      </c>
      <c r="H80" t="n">
        <v>2</v>
      </c>
      <c r="I80" t="n">
        <v>0</v>
      </c>
      <c r="J80" t="n">
        <v>4</v>
      </c>
      <c r="K80" t="n">
        <v>0</v>
      </c>
      <c r="L80" t="n">
        <v>0</v>
      </c>
      <c r="M80" t="n">
        <v>0</v>
      </c>
      <c r="N80" t="n">
        <v>0</v>
      </c>
      <c r="O80" t="n">
        <v>4</v>
      </c>
      <c r="P80" t="n">
        <v>0</v>
      </c>
      <c r="Q80" t="n">
        <v>4</v>
      </c>
      <c r="R80" s="2" t="inlineStr">
        <is>
          <t>Granticka
Talltita
Tretåig hackspett
Ullticka</t>
        </is>
      </c>
      <c r="S80">
        <f>HYPERLINK("https://klasma.github.io/Logging_2326/artfynd/A 28911-2024 artfynd.xlsx", "A 28911-2024")</f>
        <v/>
      </c>
      <c r="T80">
        <f>HYPERLINK("https://klasma.github.io/Logging_2326/kartor/A 28911-2024 karta.png", "A 28911-2024")</f>
        <v/>
      </c>
      <c r="V80">
        <f>HYPERLINK("https://klasma.github.io/Logging_2326/klagomål/A 28911-2024 FSC-klagomål.docx", "A 28911-2024")</f>
        <v/>
      </c>
      <c r="W80">
        <f>HYPERLINK("https://klasma.github.io/Logging_2326/klagomålsmail/A 28911-2024 FSC-klagomål mail.docx", "A 28911-2024")</f>
        <v/>
      </c>
      <c r="X80">
        <f>HYPERLINK("https://klasma.github.io/Logging_2326/tillsyn/A 28911-2024 tillsynsbegäran.docx", "A 28911-2024")</f>
        <v/>
      </c>
      <c r="Y80">
        <f>HYPERLINK("https://klasma.github.io/Logging_2326/tillsynsmail/A 28911-2024 tillsynsbegäran mail.docx", "A 28911-2024")</f>
        <v/>
      </c>
      <c r="Z80">
        <f>HYPERLINK("https://klasma.github.io/Logging_2326/fåglar/A 28911-2024 prioriterade fågelarter.docx", "A 28911-2024")</f>
        <v/>
      </c>
    </row>
    <row r="81" ht="15" customHeight="1">
      <c r="A81" t="inlineStr">
        <is>
          <t>A 30335-2024</t>
        </is>
      </c>
      <c r="B81" s="1" t="n">
        <v>45491</v>
      </c>
      <c r="C81" s="1" t="n">
        <v>45629</v>
      </c>
      <c r="D81" t="inlineStr">
        <is>
          <t>JÄMTLANDS LÄN</t>
        </is>
      </c>
      <c r="E81" t="inlineStr">
        <is>
          <t>BERG</t>
        </is>
      </c>
      <c r="F81" t="inlineStr">
        <is>
          <t>SCA</t>
        </is>
      </c>
      <c r="G81" t="n">
        <v>15.4</v>
      </c>
      <c r="H81" t="n">
        <v>0</v>
      </c>
      <c r="I81" t="n">
        <v>1</v>
      </c>
      <c r="J81" t="n">
        <v>1</v>
      </c>
      <c r="K81" t="n">
        <v>2</v>
      </c>
      <c r="L81" t="n">
        <v>0</v>
      </c>
      <c r="M81" t="n">
        <v>0</v>
      </c>
      <c r="N81" t="n">
        <v>0</v>
      </c>
      <c r="O81" t="n">
        <v>3</v>
      </c>
      <c r="P81" t="n">
        <v>2</v>
      </c>
      <c r="Q81" t="n">
        <v>4</v>
      </c>
      <c r="R81" s="2" t="inlineStr">
        <is>
          <t>Fläckporing
Gräddporing
Vaddporing
Tibast</t>
        </is>
      </c>
      <c r="S81">
        <f>HYPERLINK("https://klasma.github.io/Logging_2326/artfynd/A 30335-2024 artfynd.xlsx", "A 30335-2024")</f>
        <v/>
      </c>
      <c r="T81">
        <f>HYPERLINK("https://klasma.github.io/Logging_2326/kartor/A 30335-2024 karta.png", "A 30335-2024")</f>
        <v/>
      </c>
      <c r="V81">
        <f>HYPERLINK("https://klasma.github.io/Logging_2326/klagomål/A 30335-2024 FSC-klagomål.docx", "A 30335-2024")</f>
        <v/>
      </c>
      <c r="W81">
        <f>HYPERLINK("https://klasma.github.io/Logging_2326/klagomålsmail/A 30335-2024 FSC-klagomål mail.docx", "A 30335-2024")</f>
        <v/>
      </c>
      <c r="X81">
        <f>HYPERLINK("https://klasma.github.io/Logging_2326/tillsyn/A 30335-2024 tillsynsbegäran.docx", "A 30335-2024")</f>
        <v/>
      </c>
      <c r="Y81">
        <f>HYPERLINK("https://klasma.github.io/Logging_2326/tillsynsmail/A 30335-2024 tillsynsbegäran mail.docx", "A 30335-2024")</f>
        <v/>
      </c>
    </row>
    <row r="82" ht="15" customHeight="1">
      <c r="A82" t="inlineStr">
        <is>
          <t>A 38156-2024</t>
        </is>
      </c>
      <c r="B82" s="1" t="n">
        <v>45545</v>
      </c>
      <c r="C82" s="1" t="n">
        <v>45629</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44835-2024</t>
        </is>
      </c>
      <c r="B83" s="1" t="n">
        <v>45574</v>
      </c>
      <c r="C83" s="1" t="n">
        <v>45629</v>
      </c>
      <c r="D83" t="inlineStr">
        <is>
          <t>JÄMTLANDS LÄN</t>
        </is>
      </c>
      <c r="E83" t="inlineStr">
        <is>
          <t>BERG</t>
        </is>
      </c>
      <c r="G83" t="n">
        <v>15.6</v>
      </c>
      <c r="H83" t="n">
        <v>1</v>
      </c>
      <c r="I83" t="n">
        <v>0</v>
      </c>
      <c r="J83" t="n">
        <v>4</v>
      </c>
      <c r="K83" t="n">
        <v>0</v>
      </c>
      <c r="L83" t="n">
        <v>0</v>
      </c>
      <c r="M83" t="n">
        <v>0</v>
      </c>
      <c r="N83" t="n">
        <v>0</v>
      </c>
      <c r="O83" t="n">
        <v>4</v>
      </c>
      <c r="P83" t="n">
        <v>0</v>
      </c>
      <c r="Q83" t="n">
        <v>4</v>
      </c>
      <c r="R83" s="2" t="inlineStr">
        <is>
          <t>Granticka
Rosenticka
Tretåig hackspett
Vedtrappmossa</t>
        </is>
      </c>
      <c r="S83">
        <f>HYPERLINK("https://klasma.github.io/Logging_2326/artfynd/A 44835-2024 artfynd.xlsx", "A 44835-2024")</f>
        <v/>
      </c>
      <c r="T83">
        <f>HYPERLINK("https://klasma.github.io/Logging_2326/kartor/A 44835-2024 karta.png", "A 44835-2024")</f>
        <v/>
      </c>
      <c r="V83">
        <f>HYPERLINK("https://klasma.github.io/Logging_2326/klagomål/A 44835-2024 FSC-klagomål.docx", "A 44835-2024")</f>
        <v/>
      </c>
      <c r="W83">
        <f>HYPERLINK("https://klasma.github.io/Logging_2326/klagomålsmail/A 44835-2024 FSC-klagomål mail.docx", "A 44835-2024")</f>
        <v/>
      </c>
      <c r="X83">
        <f>HYPERLINK("https://klasma.github.io/Logging_2326/tillsyn/A 44835-2024 tillsynsbegäran.docx", "A 44835-2024")</f>
        <v/>
      </c>
      <c r="Y83">
        <f>HYPERLINK("https://klasma.github.io/Logging_2326/tillsynsmail/A 44835-2024 tillsynsbegäran mail.docx", "A 44835-2024")</f>
        <v/>
      </c>
      <c r="Z83">
        <f>HYPERLINK("https://klasma.github.io/Logging_2326/fåglar/A 44835-2024 prioriterade fågelarter.docx", "A 44835-2024")</f>
        <v/>
      </c>
    </row>
    <row r="84" ht="15" customHeight="1">
      <c r="A84" t="inlineStr">
        <is>
          <t>A 45424-2024</t>
        </is>
      </c>
      <c r="B84" s="1" t="n">
        <v>45576</v>
      </c>
      <c r="C84" s="1" t="n">
        <v>45629</v>
      </c>
      <c r="D84" t="inlineStr">
        <is>
          <t>JÄMTLANDS LÄN</t>
        </is>
      </c>
      <c r="E84" t="inlineStr">
        <is>
          <t>BERG</t>
        </is>
      </c>
      <c r="G84" t="n">
        <v>11.8</v>
      </c>
      <c r="H84" t="n">
        <v>2</v>
      </c>
      <c r="I84" t="n">
        <v>1</v>
      </c>
      <c r="J84" t="n">
        <v>3</v>
      </c>
      <c r="K84" t="n">
        <v>0</v>
      </c>
      <c r="L84" t="n">
        <v>0</v>
      </c>
      <c r="M84" t="n">
        <v>0</v>
      </c>
      <c r="N84" t="n">
        <v>0</v>
      </c>
      <c r="O84" t="n">
        <v>3</v>
      </c>
      <c r="P84" t="n">
        <v>0</v>
      </c>
      <c r="Q84" t="n">
        <v>4</v>
      </c>
      <c r="R84" s="2" t="inlineStr">
        <is>
          <t>Garnlav
Lunglav
Spillkråka
Plattlummer</t>
        </is>
      </c>
      <c r="S84">
        <f>HYPERLINK("https://klasma.github.io/Logging_2326/artfynd/A 45424-2024 artfynd.xlsx", "A 45424-2024")</f>
        <v/>
      </c>
      <c r="T84">
        <f>HYPERLINK("https://klasma.github.io/Logging_2326/kartor/A 45424-2024 karta.png", "A 45424-2024")</f>
        <v/>
      </c>
      <c r="U84">
        <f>HYPERLINK("https://klasma.github.io/Logging_2326/knärot/A 45424-2024 karta knärot.png", "A 45424-2024")</f>
        <v/>
      </c>
      <c r="V84">
        <f>HYPERLINK("https://klasma.github.io/Logging_2326/klagomål/A 45424-2024 FSC-klagomål.docx", "A 45424-2024")</f>
        <v/>
      </c>
      <c r="W84">
        <f>HYPERLINK("https://klasma.github.io/Logging_2326/klagomålsmail/A 45424-2024 FSC-klagomål mail.docx", "A 45424-2024")</f>
        <v/>
      </c>
      <c r="X84">
        <f>HYPERLINK("https://klasma.github.io/Logging_2326/tillsyn/A 45424-2024 tillsynsbegäran.docx", "A 45424-2024")</f>
        <v/>
      </c>
      <c r="Y84">
        <f>HYPERLINK("https://klasma.github.io/Logging_2326/tillsynsmail/A 45424-2024 tillsynsbegäran mail.docx", "A 45424-2024")</f>
        <v/>
      </c>
      <c r="Z84">
        <f>HYPERLINK("https://klasma.github.io/Logging_2326/fåglar/A 45424-2024 prioriterade fågelarter.docx", "A 45424-2024")</f>
        <v/>
      </c>
    </row>
    <row r="85" ht="15" customHeight="1">
      <c r="A85" t="inlineStr">
        <is>
          <t>A 53455-2024</t>
        </is>
      </c>
      <c r="B85" s="1" t="n">
        <v>45614</v>
      </c>
      <c r="C85" s="1" t="n">
        <v>45629</v>
      </c>
      <c r="D85" t="inlineStr">
        <is>
          <t>JÄMTLANDS LÄN</t>
        </is>
      </c>
      <c r="E85" t="inlineStr">
        <is>
          <t>BERG</t>
        </is>
      </c>
      <c r="G85" t="n">
        <v>4</v>
      </c>
      <c r="H85" t="n">
        <v>1</v>
      </c>
      <c r="I85" t="n">
        <v>1</v>
      </c>
      <c r="J85" t="n">
        <v>2</v>
      </c>
      <c r="K85" t="n">
        <v>1</v>
      </c>
      <c r="L85" t="n">
        <v>0</v>
      </c>
      <c r="M85" t="n">
        <v>0</v>
      </c>
      <c r="N85" t="n">
        <v>0</v>
      </c>
      <c r="O85" t="n">
        <v>3</v>
      </c>
      <c r="P85" t="n">
        <v>1</v>
      </c>
      <c r="Q85" t="n">
        <v>4</v>
      </c>
      <c r="R85" s="2" t="inlineStr">
        <is>
          <t>Knärot
Garnlav
Gultoppig fingersvamp
Vedticka</t>
        </is>
      </c>
      <c r="S85">
        <f>HYPERLINK("https://klasma.github.io/Logging_2326/artfynd/A 53455-2024 artfynd.xlsx", "A 53455-2024")</f>
        <v/>
      </c>
      <c r="T85">
        <f>HYPERLINK("https://klasma.github.io/Logging_2326/kartor/A 53455-2024 karta.png", "A 53455-2024")</f>
        <v/>
      </c>
      <c r="U85">
        <f>HYPERLINK("https://klasma.github.io/Logging_2326/knärot/A 53455-2024 karta knärot.png", "A 53455-2024")</f>
        <v/>
      </c>
      <c r="V85">
        <f>HYPERLINK("https://klasma.github.io/Logging_2326/klagomål/A 53455-2024 FSC-klagomål.docx", "A 53455-2024")</f>
        <v/>
      </c>
      <c r="W85">
        <f>HYPERLINK("https://klasma.github.io/Logging_2326/klagomålsmail/A 53455-2024 FSC-klagomål mail.docx", "A 53455-2024")</f>
        <v/>
      </c>
      <c r="X85">
        <f>HYPERLINK("https://klasma.github.io/Logging_2326/tillsyn/A 53455-2024 tillsynsbegäran.docx", "A 53455-2024")</f>
        <v/>
      </c>
      <c r="Y85">
        <f>HYPERLINK("https://klasma.github.io/Logging_2326/tillsynsmail/A 53455-2024 tillsynsbegäran mail.docx", "A 53455-2024")</f>
        <v/>
      </c>
    </row>
    <row r="86" ht="15" customHeight="1">
      <c r="A86" t="inlineStr">
        <is>
          <t>A 56224-2024</t>
        </is>
      </c>
      <c r="B86" s="1" t="n">
        <v>45624</v>
      </c>
      <c r="C86" s="1" t="n">
        <v>45629</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45629</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45629</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45629</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45629</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45629</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45629</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45629</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45629</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45629</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45629</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45629</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45629</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45629</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45629</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45629</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45629</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45629</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45629</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45629</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45629</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45629</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45629</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45629</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45629</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45629</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45629</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45629</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45629</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45629</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45629</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45629</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45629</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45629</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45629</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45629</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45629</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45629</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45629</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45629</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45629</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45629</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45629</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45629</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45629</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45629</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45629</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45629</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45629</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45629</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45629</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45629</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45629</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45629</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45629</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45629</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45629</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45629</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45629</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45629</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45629</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45629</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45629</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45629</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45629</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45629</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45629</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45629</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45629</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45629</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45629</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45629</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45629</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45629</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45629</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45629</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45629</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45629</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45629</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45629</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45629</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45629</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45629</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45629</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45629</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45629</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45629</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45629</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45629</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45629</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45629</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45629</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45629</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45629</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45629</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45629</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45629</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45629</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45629</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45629</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45629</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45629</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45629</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45629</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45629</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45629</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45629</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45629</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45629</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45629</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45629</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45629</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45629</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45629</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45629</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45629</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45629</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45629</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45629</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45629</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45629</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45629</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45629</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45629</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45629</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45629</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45629</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45629</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45629</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45629</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45629</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45629</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45629</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45629</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45629</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45629</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45629</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45629</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45629</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45629</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45629</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45629</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45629</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45629</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45629</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45629</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45629</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45629</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45629</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45629</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45629</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45629</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45629</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45629</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45629</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45629</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45629</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45629</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45629</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45629</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45629</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45629</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45629</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45629</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45629</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45629</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45629</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45629</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45629</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45629</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45629</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45629</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45629</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45629</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45629</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45629</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45629</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45629</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45629</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45629</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45629</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45629</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45629</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45629</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45629</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45629</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45629</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45629</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45629</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45629</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45629</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45629</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45629</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45629</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45629</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45629</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45629</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45629</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45629</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45629</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45629</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45629</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45629</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45629</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45629</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45629</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45629</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45629</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45629</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45629</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45629</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45629</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45629</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45629</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45629</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45629</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45629</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45629</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45629</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45629</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45629</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45629</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45629</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45629</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45629</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45629</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45629</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45629</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45629</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45629</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45629</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45629</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45629</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45629</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45629</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45629</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45629</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45629</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45629</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45629</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45629</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45629</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45629</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45629</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45629</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45629</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45629</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45629</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45629</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45629</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45629</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45629</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45629</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45629</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45629</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45629</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45629</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45629</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45629</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45629</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45629</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45629</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45629</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45629</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45629</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45629</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45629</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45629</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45629</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45629</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45629</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45629</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45629</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45629</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45629</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45629</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45629</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45629</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45629</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45629</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45629</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45629</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45629</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45629</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45629</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45629</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45629</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45629</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45629</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45629</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45629</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45629</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45629</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45629</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45629</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45629</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45629</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45629</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45629</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45629</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45629</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45629</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45629</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45629</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45629</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45629</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45629</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45629</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45629</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45629</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45629</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45629</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45629</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45629</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45629</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45629</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45629</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45629</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45629</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45629</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45629</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45629</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45629</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45629</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45629</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45629</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45629</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45629</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45629</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45629</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45629</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45629</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45629</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45629</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45629</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45629</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45629</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45629</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45629</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45629</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45629</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45629</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45629</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45629</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45629</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45629</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45629</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45629</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45629</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45629</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45629</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45629</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45629</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45629</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45629</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45629</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45629</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45629</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45629</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45629</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45629</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45629</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45629</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45629</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45629</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45629</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45629</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45629</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45629</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45629</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45629</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45629</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45629</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45629</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45629</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45629</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45629</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45629</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45629</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45629</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45629</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45629</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45629</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45629</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45629</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45629</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45629</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45629</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45629</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45629</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45629</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45629</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45629</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45629</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45629</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45629</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45629</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45629</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45629</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45629</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45629</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45629</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45629</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45629</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45629</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45629</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45629</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45629</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45629</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45629</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45629</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45629</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45629</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45629</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45629</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45629</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45629</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45629</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45629</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45629</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45629</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45629</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45629</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45629</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45629</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45629</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45629</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45629</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45629</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45629</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45629</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45629</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45629</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45629</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45629</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45629</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45629</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45629</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45629</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45629</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45629</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45629</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45629</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45629</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45629</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45629</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45629</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45629</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45629</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45629</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45629</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45629</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45629</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45629</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45629</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45629</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45629</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45629</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45629</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45629</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45629</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45629</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45629</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45629</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45629</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45629</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45629</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45629</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45629</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45629</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45629</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45629</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45629</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45629</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45629</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45629</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45629</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45629</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45629</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45629</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45629</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45629</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45629</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45629</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45629</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45629</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45629</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45629</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45629</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45629</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45629</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45629</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45629</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45629</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45629</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45629</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45629</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45629</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45629</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45629</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45629</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45629</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45629</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45629</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45629</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45629</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45629</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45629</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45629</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45629</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45629</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45629</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45629</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45629</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45629</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45629</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45629</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45629</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45629</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45629</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45629</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45629</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45629</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45629</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45629</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45629</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45629</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45629</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45629</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45629</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45629</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45629</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45629</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45629</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45629</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45629</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45629</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45629</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45629</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45629</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45629</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45629</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45629</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45629</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45629</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45629</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45629</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45629</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45629</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45629</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45629</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45629</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45629</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45629</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45629</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45629</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45629</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45629</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45629</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45629</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45629</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45629</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45629</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45629</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45629</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45629</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45629</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45629</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45629</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45629</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45629</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45629</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45629</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45629</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45629</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45629</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45629</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45629</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45629</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45629</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45629</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45629</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45629</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45629</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45629</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45629</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45629</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45629</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45629</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45629</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45629</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45629</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45629</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45629</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45629</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45629</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45629</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45629</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45629</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45629</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45629</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45629</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45629</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45629</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45629</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45629</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45629</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45629</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45629</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45629</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45629</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45629</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45629</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45629</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45629</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45629</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45629</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45629</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45629</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45629</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45629</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45629</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45629</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45629</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45629</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45629</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45629</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45629</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45629</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45629</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45629</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45629</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45629</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45629</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45629</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45629</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45629</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45629</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45629</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45629</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45629</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45629</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45629</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45629</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45629</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45629</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45629</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45629</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45629</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45629</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45629</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45629</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45629</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45629</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45629</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45629</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45629</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45629</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45629</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45629</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45629</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45629</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45629</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45629</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45629</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45629</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45629</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45629</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45629</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45629</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45629</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45629</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45629</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45629</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45629</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45629</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45629</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45629</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45629</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45629</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45629</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45629</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45629</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45629</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45629</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45629</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45629</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45629</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45629</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45629</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45629</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45629</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45629</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45629</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45629</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45629</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45629</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45629</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45629</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45629</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45629</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45629</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45629</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45629</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45629</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45629</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45629</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45629</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45629</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45629</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45629</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45629</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45629</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45629</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45629</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45629</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45629</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45629</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45629</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45629</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45629</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45629</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45629</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45629</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45629</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45629</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45629</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45629</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45629</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45629</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45629</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45629</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45629</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45629</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45629</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45629</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45629</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45629</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45629</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45629</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45629</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45629</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45629</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45629</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45629</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45629</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45629</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45629</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45629</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45629</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45629</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45629</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45629</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45629</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45629</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45629</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45629</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45629</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45629</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45629</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45629</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45629</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45629</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45629</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45629</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45629</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45629</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45629</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45629</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45629</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45629</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45629</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45629</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45629</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45629</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45629</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45629</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45629</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45629</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45629</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45629</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45629</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45629</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45629</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45629</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45629</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45629</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45629</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45629</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45629</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45629</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45629</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45629</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45629</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45629</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45629</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45629</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45629</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45629</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45629</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45629</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45629</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45629</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45629</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45629</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45629</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45629</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45629</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45629</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45629</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45629</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45629</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45629</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45629</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45629</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45629</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45629</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45629</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45629</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45629</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45629</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45629</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45629</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45629</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45629</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45629</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45629</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45629</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45629</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45629</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45629</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45629</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45629</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45629</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45629</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45629</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45629</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45629</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45629</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45629</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45629</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45629</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45629</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45629</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45629</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45629</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45629</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45629</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45629</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45629</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45629</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45629</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45629</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45629</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45629</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45629</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45629</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45629</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45629</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45629</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45629</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45629</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45629</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45629</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45629</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45629</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45629</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45629</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45629</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45629</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45629</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45629</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45629</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45629</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45629</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45629</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45629</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45629</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45629</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45629</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45629</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45629</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45629</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45629</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45629</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45629</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45629</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45629</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45629</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45629</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45629</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45629</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45629</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45629</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45629</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45629</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45629</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45629</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45629</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45629</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45629</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45629</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45629</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45629</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45629</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45629</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45629</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45629</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45629</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45629</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45629</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45629</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45629</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45629</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45629</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45629</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45629</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45629</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45629</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45629</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45629</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45629</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45629</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45629</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45629</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45629</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45629</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45629</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45629</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45629</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45629</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45629</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45629</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45629</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45629</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45629</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45629</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45629</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45629</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45629</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45629</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45629</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45629</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45629</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45629</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45629</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45629</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45629</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45629</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45629</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45629</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45629</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45629</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45629</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45629</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45629</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45629</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45629</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45629</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45629</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45629</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45629</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45629</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45629</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45629</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45629</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45629</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45629</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45629</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45629</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45629</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45629</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45629</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45629</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45629</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45629</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45629</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45629</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45629</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45629</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45629</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45629</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45629</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45629</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45629</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45629</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45629</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45629</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45629</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45629</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45629</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45629</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45629</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45629</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45629</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45629</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45629</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45629</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45629</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45629</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45629</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45629</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45629</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45629</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45629</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45629</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45629</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45629</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45629</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45629</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45629</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45629</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45629</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45629</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45629</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45629</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45629</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45629</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45629</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45629</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45629</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45629</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45629</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45629</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45629</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45629</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45629</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45629</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45629</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45629</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45629</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45629</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45629</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45629</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45629</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45629</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45629</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45629</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45629</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45629</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45629</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45629</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45629</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45629</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45629</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45629</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45629</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45629</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45629</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45629</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45629</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45629</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45629</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45629</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45629</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45629</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45629</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45629</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45629</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45629</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45629</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45629</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45629</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45629</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45629</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45629</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45629</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45629</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45629</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45629</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45629</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45629</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45629</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45629</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45629</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45629</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45629</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45629</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45629</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45629</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45629</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45629</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45629</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45629</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45629</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45629</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45629</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45629</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45629</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45629</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45629</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45629</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45629</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45629</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45629</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45629</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45629</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45629</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45629</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45629</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45629</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45629</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45629</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45629</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45629</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45629</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45629</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45629</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45629</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45629</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45629</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45629</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45629</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45629</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45629</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45629</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50315-2024</t>
        </is>
      </c>
      <c r="B1202" s="1" t="n">
        <v>45600</v>
      </c>
      <c r="C1202" s="1" t="n">
        <v>45629</v>
      </c>
      <c r="D1202" t="inlineStr">
        <is>
          <t>JÄMTLANDS LÄN</t>
        </is>
      </c>
      <c r="E1202" t="inlineStr">
        <is>
          <t>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50313-2024</t>
        </is>
      </c>
      <c r="B1203" s="1" t="n">
        <v>45600</v>
      </c>
      <c r="C1203" s="1" t="n">
        <v>45629</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51155-2024</t>
        </is>
      </c>
      <c r="B1204" s="1" t="n">
        <v>45603</v>
      </c>
      <c r="C1204" s="1" t="n">
        <v>45629</v>
      </c>
      <c r="D1204" t="inlineStr">
        <is>
          <t>JÄMTLANDS LÄN</t>
        </is>
      </c>
      <c r="E1204" t="inlineStr">
        <is>
          <t>BERG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51039-2024</t>
        </is>
      </c>
      <c r="B1205" s="1" t="n">
        <v>45603</v>
      </c>
      <c r="C1205" s="1" t="n">
        <v>45629</v>
      </c>
      <c r="D1205" t="inlineStr">
        <is>
          <t>JÄMTLANDS LÄN</t>
        </is>
      </c>
      <c r="E1205" t="inlineStr">
        <is>
          <t>BERG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51172-2024</t>
        </is>
      </c>
      <c r="B1206" s="1" t="n">
        <v>45603</v>
      </c>
      <c r="C1206" s="1" t="n">
        <v>45629</v>
      </c>
      <c r="D1206" t="inlineStr">
        <is>
          <t>JÄMTLANDS LÄN</t>
        </is>
      </c>
      <c r="E1206" t="inlineStr">
        <is>
          <t>BERG</t>
        </is>
      </c>
      <c r="G1206" t="n">
        <v>12.2</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45629</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45629</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53507-2024</t>
        </is>
      </c>
      <c r="B1209" s="1" t="n">
        <v>45614</v>
      </c>
      <c r="C1209" s="1" t="n">
        <v>45629</v>
      </c>
      <c r="D1209" t="inlineStr">
        <is>
          <t>JÄMTLANDS LÄN</t>
        </is>
      </c>
      <c r="E1209" t="inlineStr">
        <is>
          <t>BERG</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53548-2024</t>
        </is>
      </c>
      <c r="B1210" s="1" t="n">
        <v>45614</v>
      </c>
      <c r="C1210" s="1" t="n">
        <v>45629</v>
      </c>
      <c r="D1210" t="inlineStr">
        <is>
          <t>JÄMTLANDS LÄN</t>
        </is>
      </c>
      <c r="E1210" t="inlineStr">
        <is>
          <t>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53707-2024</t>
        </is>
      </c>
      <c r="B1211" s="1" t="n">
        <v>45615</v>
      </c>
      <c r="C1211" s="1" t="n">
        <v>45629</v>
      </c>
      <c r="D1211" t="inlineStr">
        <is>
          <t>JÄMTLANDS LÄN</t>
        </is>
      </c>
      <c r="E1211" t="inlineStr">
        <is>
          <t>BERG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53708-2024</t>
        </is>
      </c>
      <c r="B1212" s="1" t="n">
        <v>45615</v>
      </c>
      <c r="C1212" s="1" t="n">
        <v>45629</v>
      </c>
      <c r="D1212" t="inlineStr">
        <is>
          <t>JÄMTLANDS LÄN</t>
        </is>
      </c>
      <c r="E1212" t="inlineStr">
        <is>
          <t>BERG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54112-2024</t>
        </is>
      </c>
      <c r="B1213" s="1" t="n">
        <v>45616</v>
      </c>
      <c r="C1213" s="1" t="n">
        <v>45629</v>
      </c>
      <c r="D1213" t="inlineStr">
        <is>
          <t>JÄMTLANDS LÄN</t>
        </is>
      </c>
      <c r="E1213" t="inlineStr">
        <is>
          <t>BERG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54198-2024</t>
        </is>
      </c>
      <c r="B1214" s="1" t="n">
        <v>45616</v>
      </c>
      <c r="C1214" s="1" t="n">
        <v>45629</v>
      </c>
      <c r="D1214" t="inlineStr">
        <is>
          <t>JÄMTLANDS LÄN</t>
        </is>
      </c>
      <c r="E1214" t="inlineStr">
        <is>
          <t>BERG</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54605-2024</t>
        </is>
      </c>
      <c r="B1215" s="1" t="n">
        <v>45617</v>
      </c>
      <c r="C1215" s="1" t="n">
        <v>45629</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54595-2024</t>
        </is>
      </c>
      <c r="B1216" s="1" t="n">
        <v>45617</v>
      </c>
      <c r="C1216" s="1" t="n">
        <v>45629</v>
      </c>
      <c r="D1216" t="inlineStr">
        <is>
          <t>JÄMTLANDS LÄN</t>
        </is>
      </c>
      <c r="E1216" t="inlineStr">
        <is>
          <t>BERG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45629</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56043-2024</t>
        </is>
      </c>
      <c r="B1218" s="1" t="n">
        <v>45624</v>
      </c>
      <c r="C1218" s="1" t="n">
        <v>45629</v>
      </c>
      <c r="D1218" t="inlineStr">
        <is>
          <t>JÄMTLANDS LÄN</t>
        </is>
      </c>
      <c r="E1218" t="inlineStr">
        <is>
          <t>BERG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56226-2024</t>
        </is>
      </c>
      <c r="B1219" s="1" t="n">
        <v>45624</v>
      </c>
      <c r="C1219" s="1" t="n">
        <v>45629</v>
      </c>
      <c r="D1219" t="inlineStr">
        <is>
          <t>JÄMTLANDS LÄN</t>
        </is>
      </c>
      <c r="E1219" t="inlineStr">
        <is>
          <t>BERG</t>
        </is>
      </c>
      <c r="F1219" t="inlineStr">
        <is>
          <t>SCA</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56364-2024</t>
        </is>
      </c>
      <c r="B1220" s="1" t="n">
        <v>45625</v>
      </c>
      <c r="C1220" s="1" t="n">
        <v>45629</v>
      </c>
      <c r="D1220" t="inlineStr">
        <is>
          <t>JÄMTLANDS LÄN</t>
        </is>
      </c>
      <c r="E1220" t="inlineStr">
        <is>
          <t>BERG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56420-2024</t>
        </is>
      </c>
      <c r="B1221" s="1" t="n">
        <v>45625</v>
      </c>
      <c r="C1221" s="1" t="n">
        <v>45629</v>
      </c>
      <c r="D1221" t="inlineStr">
        <is>
          <t>JÄMTLANDS LÄN</t>
        </is>
      </c>
      <c r="E1221" t="inlineStr">
        <is>
          <t>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56368-2024</t>
        </is>
      </c>
      <c r="B1222" s="1" t="n">
        <v>45625</v>
      </c>
      <c r="C1222" s="1" t="n">
        <v>45629</v>
      </c>
      <c r="D1222" t="inlineStr">
        <is>
          <t>JÄMTLANDS LÄN</t>
        </is>
      </c>
      <c r="E1222" t="inlineStr">
        <is>
          <t>BERG</t>
        </is>
      </c>
      <c r="G1222" t="n">
        <v>1.9</v>
      </c>
      <c r="H1222" t="n">
        <v>0</v>
      </c>
      <c r="I1222" t="n">
        <v>0</v>
      </c>
      <c r="J1222" t="n">
        <v>0</v>
      </c>
      <c r="K1222" t="n">
        <v>0</v>
      </c>
      <c r="L1222" t="n">
        <v>0</v>
      </c>
      <c r="M1222" t="n">
        <v>0</v>
      </c>
      <c r="N1222" t="n">
        <v>0</v>
      </c>
      <c r="O1222" t="n">
        <v>0</v>
      </c>
      <c r="P1222" t="n">
        <v>0</v>
      </c>
      <c r="Q1222" t="n">
        <v>0</v>
      </c>
      <c r="R1222" s="2" t="inlineStr"/>
    </row>
    <row r="1223">
      <c r="A1223" t="inlineStr">
        <is>
          <t>A 56490-2024</t>
        </is>
      </c>
      <c r="B1223" s="1" t="n">
        <v>45625</v>
      </c>
      <c r="C1223" s="1" t="n">
        <v>45629</v>
      </c>
      <c r="D1223" t="inlineStr">
        <is>
          <t>JÄMTLANDS LÄN</t>
        </is>
      </c>
      <c r="E1223" t="inlineStr">
        <is>
          <t>BERG</t>
        </is>
      </c>
      <c r="G1223" t="n">
        <v>5.9</v>
      </c>
      <c r="H1223" t="n">
        <v>0</v>
      </c>
      <c r="I1223" t="n">
        <v>0</v>
      </c>
      <c r="J1223" t="n">
        <v>0</v>
      </c>
      <c r="K1223" t="n">
        <v>0</v>
      </c>
      <c r="L1223" t="n">
        <v>0</v>
      </c>
      <c r="M1223" t="n">
        <v>0</v>
      </c>
      <c r="N1223" t="n">
        <v>0</v>
      </c>
      <c r="O1223" t="n">
        <v>0</v>
      </c>
      <c r="P1223" t="n">
        <v>0</v>
      </c>
      <c r="Q1223" t="n">
        <v>0</v>
      </c>
      <c r="R1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2024-12-03T15:12:03Z</dcterms:created>
  <dcterms:modified xmlns:dcterms="http://purl.org/dc/terms/" xmlns:xsi="http://www.w3.org/2001/XMLSchema-instance" xsi:type="dcterms:W3CDTF">2024-12-03T15:12:04Z</dcterms:modified>
</cp:coreProperties>
</file>