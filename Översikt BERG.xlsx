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45744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45744</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45744</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45744</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45744</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45744</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45744</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45744</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45744</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45744</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45744</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45744</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45744</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45744</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45744</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45744</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45744</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45744</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45744</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45744</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45744</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45744</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45744</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45744</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45744</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45744</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45744</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45744</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45744</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45744</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45744</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45744</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45744</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45744</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45744</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45744</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45744</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45744</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45744</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45744</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45744</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45744</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45744</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45744</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45744</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45744</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45744</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45744</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45744</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45744</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45744</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45744</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45744</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45744</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45744</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45744</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45744</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45744</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45744</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45744</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45744</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45744</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45744</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45744</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45744</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45744</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45744</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45744</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45744</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45744</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45744</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45744</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45744</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45744</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45744</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45744</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45744</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45744</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45744</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45744</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45744</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45744</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45744</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45744</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45744</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45744</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45744</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45744</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45744</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45744</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45744</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45744</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45744</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45744</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45744</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45744</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45744</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45744</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45744</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45744</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45744</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45744</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45744</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45744</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45744</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45744</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45744</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45744</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45744</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45744</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45744</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45744</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45744</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45744</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45744</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45744</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45744</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45744</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45744</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45744</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45744</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45744</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45744</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45744</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45744</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45744</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45744</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45744</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45744</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45744</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45744</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45744</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45744</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45744</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45744</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45744</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45744</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45744</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45744</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45744</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45744</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45744</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HYPERLINK("https://klasma.github.io/Logging_2326/artfynd/A 14344-2025 artfynd.xlsx", "A 14344-2025")</f>
        <v/>
      </c>
      <c r="T143">
        <f>HYPERLINK("https://klasma.github.io/Logging_2326/kartor/A 14344-2025 karta.png", "A 14344-2025")</f>
        <v/>
      </c>
      <c r="V143">
        <f>HYPERLINK("https://klasma.github.io/Logging_2326/klagomål/A 14344-2025 FSC-klagomål.docx", "A 14344-2025")</f>
        <v/>
      </c>
      <c r="W143">
        <f>HYPERLINK("https://klasma.github.io/Logging_2326/klagomålsmail/A 14344-2025 FSC-klagomål mail.docx", "A 14344-2025")</f>
        <v/>
      </c>
      <c r="X143">
        <f>HYPERLINK("https://klasma.github.io/Logging_2326/tillsyn/A 14344-2025 tillsynsbegäran.docx", "A 14344-2025")</f>
        <v/>
      </c>
      <c r="Y143">
        <f>HYPERLINK("https://klasma.github.io/Logging_2326/tillsynsmail/A 14344-2025 tillsynsbegäran mail.docx", "A 14344-2025")</f>
        <v/>
      </c>
    </row>
    <row r="144" ht="15" customHeight="1">
      <c r="A144" t="inlineStr">
        <is>
          <t>A 32121-2019</t>
        </is>
      </c>
      <c r="B144" s="1" t="n">
        <v>43643</v>
      </c>
      <c r="C144" s="1" t="n">
        <v>45744</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45744</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45744</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45744</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45744</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45744</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45744</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45744</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45744</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45744</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45744</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45744</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45744</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45744</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45744</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45744</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45744</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45744</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45744</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45744</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45744</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45744</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45744</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45744</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45744</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45744</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45744</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45744</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45744</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45744</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45744</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45744</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45744</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45744</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45744</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45744</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45744</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45744</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45744</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45744</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45744</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45744</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45744</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45744</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45744</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45744</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45744</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45744</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45744</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45744</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45744</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45744</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45744</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45744</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45744</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45744</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45744</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45744</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45744</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45744</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45744</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45744</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45744</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45744</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45744</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45744</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45744</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45744</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45744</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45744</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45744</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45744</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45744</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45744</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45744</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45744</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45744</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45744</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45744</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45744</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45744</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45744</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45744</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45744</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45744</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45744</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45744</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45744</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45744</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45744</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45744</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45744</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45744</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45744</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45744</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45744</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45744</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45744</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45744</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45744</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45744</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45744</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45744</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45744</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45744</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45744</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45744</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45744</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45744</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45744</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45744</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45744</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45744</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45744</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45744</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45744</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45744</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45744</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45744</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45744</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45744</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45744</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45744</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45744</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45744</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45744</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45744</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45744</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45744</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45744</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45744</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45744</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45744</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45744</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45744</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45744</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45744</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45744</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45744</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45744</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45744</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45744</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45744</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45744</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45744</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45744</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45744</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45744</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45744</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45744</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45744</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45744</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45744</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45744</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45744</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45744</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45744</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45744</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45744</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45744</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45744</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45744</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45744</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45744</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45744</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45744</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45744</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45744</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45744</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45744</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45744</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45744</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45744</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45744</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45744</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45744</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45744</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45744</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45744</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45744</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45744</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45744</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45744</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45744</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45744</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45744</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45744</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45744</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45744</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45744</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45744</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45744</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45744</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45744</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45744</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45744</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45744</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45744</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45744</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45744</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45744</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45744</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45744</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45744</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45744</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45744</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45744</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45744</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45744</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45744</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45744</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45744</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45744</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45744</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45744</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45744</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45744</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45744</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45744</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45744</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45744</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45744</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45744</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45744</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45744</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45744</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45744</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45744</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45744</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45744</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45744</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45744</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45744</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45744</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45744</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45744</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45744</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45744</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45744</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45744</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45744</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45744</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45744</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45744</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45744</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45744</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45744</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45744</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45744</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45744</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45744</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45744</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45744</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45744</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45744</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45744</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45744</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45744</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45744</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45744</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45744</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45744</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45744</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45744</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45744</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45744</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45744</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45744</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45744</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45744</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45744</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45744</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45744</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45744</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45744</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45744</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45744</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45744</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45744</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45744</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45744</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45744</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45744</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45744</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45744</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45744</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45744</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45744</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45744</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45744</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45744</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45744</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45744</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45744</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45744</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45744</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45744</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45744</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45744</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45744</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45744</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45744</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45744</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45744</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45744</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45744</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45744</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45744</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45744</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45744</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45744</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45744</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45744</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45744</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45744</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45744</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45744</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45744</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45744</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45744</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45744</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45744</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45744</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45744</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45744</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45744</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45744</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45744</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45744</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45744</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45744</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45744</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45744</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45744</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45744</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45744</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45744</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45744</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45744</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45744</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45744</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45744</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45744</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45744</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45744</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45744</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45744</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45744</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45744</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45744</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45744</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45744</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45744</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45744</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45744</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45744</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45744</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45744</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45744</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45744</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45744</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45744</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45744</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45744</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45744</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45744</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45744</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45744</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45744</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45744</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45744</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45744</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45744</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45744</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45744</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45744</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45744</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45744</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45744</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45744</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45744</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45744</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45744</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45744</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45744</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45744</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45744</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45744</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45744</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45744</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45744</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45744</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45744</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45744</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45744</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45744</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45744</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45744</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45744</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45744</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45744</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45744</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45744</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45744</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45744</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45744</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45744</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45744</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45744</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45744</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45744</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45744</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45744</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45744</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45744</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45744</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45744</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45744</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45744</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45744</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45744</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45744</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45744</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45744</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45744</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45744</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45744</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45744</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45744</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45744</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45744</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45744</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45744</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45744</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45744</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45744</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45744</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45744</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45744</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45744</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45744</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45744</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45744</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45744</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45744</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45744</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45744</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45744</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45744</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45744</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45744</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45744</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45744</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45744</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45744</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45744</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45744</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45744</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45744</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45744</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45744</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45744</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45744</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45744</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45744</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45744</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45744</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45744</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45744</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45744</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45744</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45744</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45744</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45744</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45744</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45744</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45744</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45744</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45744</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45744</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45744</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45744</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45744</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45744</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45744</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45744</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45744</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45744</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45744</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45744</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45744</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45744</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45744</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45744</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45744</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45744</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45744</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45744</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45744</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45744</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45744</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45744</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45744</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45744</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45744</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45744</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45744</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45744</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45744</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45744</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45744</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45744</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45744</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45744</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45744</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45744</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45744</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45744</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45744</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45744</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45744</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45744</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45744</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45744</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45744</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45744</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45744</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45744</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45744</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45744</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45744</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45744</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45744</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45744</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45744</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45744</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45744</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45744</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45744</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45744</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45744</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45744</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45744</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45744</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45744</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45744</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45744</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45744</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45744</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45744</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45744</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45744</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45744</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45744</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45744</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45744</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45744</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45744</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45744</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45744</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45744</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45744</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45744</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45744</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45744</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45744</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45744</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45744</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45744</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45744</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45744</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45744</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45744</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45744</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45744</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45744</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45744</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45744</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45744</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45744</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45744</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45744</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45744</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45744</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45744</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45744</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45744</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45744</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45744</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45744</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45744</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45744</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45744</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45744</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45744</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45744</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45744</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45744</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45744</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45744</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45744</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45744</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45744</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45744</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45744</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45744</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45744</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45744</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45744</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45744</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45744</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45744</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45744</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45744</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45744</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45744</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45744</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45744</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45744</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45744</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45744</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45744</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45744</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45744</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45744</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45744</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45744</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45744</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45744</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45744</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45744</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45744</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45744</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45744</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45744</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45744</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45744</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45744</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45744</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45744</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45744</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45744</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45744</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45744</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45744</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45744</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45744</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45744</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45744</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45744</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45744</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45744</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45744</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45744</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45744</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45744</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45744</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45744</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45744</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45744</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45744</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45744</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45744</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45744</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45744</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45744</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45744</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45744</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45744</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45744</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45744</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45744</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45744</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45744</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45744</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45744</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45744</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45744</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45744</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45744</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45744</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45744</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45744</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45744</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45744</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45744</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45744</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45744</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45744</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45744</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45744</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45744</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45744</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45744</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45744</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45744</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45744</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45744</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45744</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45744</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45744</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45744</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45744</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45744</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45744</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45744</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45744</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45744</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45744</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45744</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45744</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45744</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45744</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45744</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45744</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45744</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45744</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45744</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45744</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45744</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45744</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45744</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45744</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45744</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45744</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45744</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45744</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45744</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45744</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45744</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45744</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45744</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45744</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45744</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45744</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45744</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45744</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45744</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45744</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45744</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45744</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45744</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45744</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45744</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45744</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45744</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45744</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45744</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45744</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45744</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45744</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45744</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45744</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45744</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45744</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45744</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45744</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45744</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45744</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45744</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45744</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45744</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45744</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45744</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45744</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45744</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45744</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45744</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45744</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45744</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45744</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45744</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45744</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45744</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45744</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45744</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45744</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45744</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45744</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45744</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45744</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45744</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45744</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45744</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45744</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45744</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45744</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45744</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45744</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45744</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45744</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45744</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45744</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45744</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45744</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45744</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45744</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45744</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45744</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45744</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45744</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45744</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45744</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45744</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45744</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45744</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45744</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45744</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45744</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45744</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45744</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45744</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45744</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45744</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45744</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45744</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45744</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45744</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45744</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45744</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45744</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45744</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45744</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45744</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45744</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45744</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45744</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45744</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45744</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45744</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45744</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45744</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45744</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45744</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45744</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45744</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45744</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45744</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45744</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45744</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45744</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45744</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45744</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45744</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45744</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45744</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45744</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45744</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45744</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45744</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45744</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45744</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45744</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45744</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45744</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45744</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45744</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45744</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45744</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45744</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45744</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45744</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45744</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45744</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45744</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45744</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45744</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45744</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45744</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45744</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45744</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45744</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45744</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45744</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45744</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45744</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45744</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45744</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45744</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45744</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45744</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45744</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45744</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45744</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45744</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45744</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45744</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45744</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45744</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45744</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45744</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45744</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45744</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45744</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45744</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45744</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45744</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45744</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45744</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45744</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45744</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45744</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45744</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45744</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45744</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45744</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45744</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45744</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45744</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45744</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45744</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45744</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45744</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45744</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45744</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45744</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45744</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45744</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45744</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45744</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45744</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45744</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45744</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45744</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45744</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45744</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45744</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45744</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45744</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45744</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45744</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45744</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45744</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45744</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45744</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45744</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45744</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45744</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45744</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45744</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45744</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45744</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45744</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45744</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45744</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45744</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45744</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45744</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45744</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45744</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45744</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45744</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45744</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45744</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45744</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45744</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45744</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45744</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45744</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45744</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45744</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45744</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45744</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45744</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45744</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45744</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45744</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45744</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45744</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45744</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45744</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45744</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45744</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45744</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45744</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45744</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45744</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45744</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45744</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45744</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45744</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45744</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45744</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45744</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45744</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45744</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45744</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45744</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45744</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45744</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45744</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45744</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45744</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45744</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45744</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45744</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45744</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45744</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45744</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45744</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45744</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45744</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45744</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45744</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45744</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45744</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45744</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45744</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45744</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45744</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45744</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45744</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45744</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45744</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45744</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45744</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45744</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45744</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45744</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45744</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45744</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45744</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45744</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45744</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45744</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45744</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45744</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45744</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45744</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45744</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45744</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45744</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45744</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45744</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45744</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45744</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45744</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45744</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45744</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45744</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45744</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45744</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45744</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45744</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45744</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45744</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45744</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45744</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45744</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45744</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45744</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45744</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45744</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45744</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45744</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45744</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45744</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45744</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45744</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45744</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45744</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45744</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45744</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45744</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45744</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45744</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45744</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45744</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45744</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45744</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45744</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45744</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45744</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45744</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45744</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45744</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45744</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45744</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45744</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45744</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45744</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45744</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45744</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45744</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45744</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45744</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45744</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45744</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45744</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45744</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45744</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45744</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45744</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45744</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45744</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45744</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45744</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45744</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45744</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45744</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45744</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45744</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45744</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45744</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45744</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45744</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45744</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45744</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45744</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45744</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45744</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45744</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45744</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45744</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45744</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45744</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45744</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45744</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45744</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45744</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45744</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45744</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45744</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45744</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45744</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45744</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45744</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45744</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45744</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45744</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45744</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45744</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45744</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45744</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45744</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45744</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45744</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45744</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45744</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45744</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45744</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45744</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45744</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45744</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45744</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45744</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45744</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45744</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45744</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45744</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45744</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45744</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45744</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45744</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45744</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45744</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45744</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45744</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9626-2025</t>
        </is>
      </c>
      <c r="B1302" s="1" t="n">
        <v>45715</v>
      </c>
      <c r="C1302" s="1" t="n">
        <v>45744</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45744</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45744</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45744</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11608-2025</t>
        </is>
      </c>
      <c r="B1306" s="1" t="n">
        <v>45727</v>
      </c>
      <c r="C1306" s="1" t="n">
        <v>45744</v>
      </c>
      <c r="D1306" t="inlineStr">
        <is>
          <t>JÄMTLANDS LÄN</t>
        </is>
      </c>
      <c r="E1306" t="inlineStr">
        <is>
          <t>BERG</t>
        </is>
      </c>
      <c r="G1306" t="n">
        <v>29.1</v>
      </c>
      <c r="H1306" t="n">
        <v>0</v>
      </c>
      <c r="I1306" t="n">
        <v>0</v>
      </c>
      <c r="J1306" t="n">
        <v>0</v>
      </c>
      <c r="K1306" t="n">
        <v>0</v>
      </c>
      <c r="L1306" t="n">
        <v>0</v>
      </c>
      <c r="M1306" t="n">
        <v>0</v>
      </c>
      <c r="N1306" t="n">
        <v>0</v>
      </c>
      <c r="O1306" t="n">
        <v>0</v>
      </c>
      <c r="P1306" t="n">
        <v>0</v>
      </c>
      <c r="Q1306" t="n">
        <v>0</v>
      </c>
      <c r="R1306" s="2" t="inlineStr"/>
    </row>
    <row r="1307" ht="15" customHeight="1">
      <c r="A1307" t="inlineStr">
        <is>
          <t>A 11588-2025</t>
        </is>
      </c>
      <c r="B1307" s="1" t="n">
        <v>45727</v>
      </c>
      <c r="C1307" s="1" t="n">
        <v>45744</v>
      </c>
      <c r="D1307" t="inlineStr">
        <is>
          <t>JÄMTLANDS LÄN</t>
        </is>
      </c>
      <c r="E1307" t="inlineStr">
        <is>
          <t>BERG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11785-2025</t>
        </is>
      </c>
      <c r="B1308" s="1" t="n">
        <v>45727</v>
      </c>
      <c r="C1308" s="1" t="n">
        <v>45744</v>
      </c>
      <c r="D1308" t="inlineStr">
        <is>
          <t>JÄMTLANDS LÄN</t>
        </is>
      </c>
      <c r="E1308" t="inlineStr">
        <is>
          <t>BERG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11725-2025</t>
        </is>
      </c>
      <c r="B1309" s="1" t="n">
        <v>45727</v>
      </c>
      <c r="C1309" s="1" t="n">
        <v>45744</v>
      </c>
      <c r="D1309" t="inlineStr">
        <is>
          <t>JÄMTLANDS LÄN</t>
        </is>
      </c>
      <c r="E1309" t="inlineStr">
        <is>
          <t>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11599-2025</t>
        </is>
      </c>
      <c r="B1310" s="1" t="n">
        <v>45727</v>
      </c>
      <c r="C1310" s="1" t="n">
        <v>45744</v>
      </c>
      <c r="D1310" t="inlineStr">
        <is>
          <t>JÄMTLANDS LÄN</t>
        </is>
      </c>
      <c r="E1310" t="inlineStr">
        <is>
          <t>BERG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11786-2025</t>
        </is>
      </c>
      <c r="B1311" s="1" t="n">
        <v>45727</v>
      </c>
      <c r="C1311" s="1" t="n">
        <v>45744</v>
      </c>
      <c r="D1311" t="inlineStr">
        <is>
          <t>JÄMTLANDS LÄN</t>
        </is>
      </c>
      <c r="E1311" t="inlineStr">
        <is>
          <t>BERG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45744</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45744</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12611-2025</t>
        </is>
      </c>
      <c r="B1314" s="1" t="n">
        <v>45733</v>
      </c>
      <c r="C1314" s="1" t="n">
        <v>45744</v>
      </c>
      <c r="D1314" t="inlineStr">
        <is>
          <t>JÄMTLANDS LÄN</t>
        </is>
      </c>
      <c r="E1314" t="inlineStr">
        <is>
          <t>BERG</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12789-2025</t>
        </is>
      </c>
      <c r="B1315" s="1" t="n">
        <v>45733</v>
      </c>
      <c r="C1315" s="1" t="n">
        <v>45744</v>
      </c>
      <c r="D1315" t="inlineStr">
        <is>
          <t>JÄMTLANDS LÄN</t>
        </is>
      </c>
      <c r="E1315" t="inlineStr">
        <is>
          <t>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13097-2025</t>
        </is>
      </c>
      <c r="B1316" s="1" t="n">
        <v>45734</v>
      </c>
      <c r="C1316" s="1" t="n">
        <v>45744</v>
      </c>
      <c r="D1316" t="inlineStr">
        <is>
          <t>JÄMTLANDS LÄN</t>
        </is>
      </c>
      <c r="E1316" t="inlineStr">
        <is>
          <t>BERG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13149-2025</t>
        </is>
      </c>
      <c r="B1317" s="1" t="n">
        <v>45735</v>
      </c>
      <c r="C1317" s="1" t="n">
        <v>45744</v>
      </c>
      <c r="D1317" t="inlineStr">
        <is>
          <t>JÄMTLANDS LÄN</t>
        </is>
      </c>
      <c r="E1317" t="inlineStr">
        <is>
          <t>BERG</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13473-2025</t>
        </is>
      </c>
      <c r="B1318" s="1" t="n">
        <v>45736</v>
      </c>
      <c r="C1318" s="1" t="n">
        <v>45744</v>
      </c>
      <c r="D1318" t="inlineStr">
        <is>
          <t>JÄMTLANDS LÄN</t>
        </is>
      </c>
      <c r="E1318" t="inlineStr">
        <is>
          <t>BERG</t>
        </is>
      </c>
      <c r="F1318" t="inlineStr">
        <is>
          <t>SCA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13919-2025</t>
        </is>
      </c>
      <c r="B1319" s="1" t="n">
        <v>45737</v>
      </c>
      <c r="C1319" s="1" t="n">
        <v>45744</v>
      </c>
      <c r="D1319" t="inlineStr">
        <is>
          <t>JÄMTLANDS LÄN</t>
        </is>
      </c>
      <c r="E1319" t="inlineStr">
        <is>
          <t>BERG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14341-2025</t>
        </is>
      </c>
      <c r="B1320" s="1" t="n">
        <v>45741</v>
      </c>
      <c r="C1320" s="1" t="n">
        <v>45744</v>
      </c>
      <c r="D1320" t="inlineStr">
        <is>
          <t>JÄMTLANDS LÄN</t>
        </is>
      </c>
      <c r="E1320" t="inlineStr">
        <is>
          <t>BERG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14594-2025</t>
        </is>
      </c>
      <c r="B1321" s="1" t="n">
        <v>45742</v>
      </c>
      <c r="C1321" s="1" t="n">
        <v>45744</v>
      </c>
      <c r="D1321" t="inlineStr">
        <is>
          <t>JÄMTLANDS LÄN</t>
        </is>
      </c>
      <c r="E1321" t="inlineStr">
        <is>
          <t>BERG</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14596-2025</t>
        </is>
      </c>
      <c r="B1322" s="1" t="n">
        <v>45742</v>
      </c>
      <c r="C1322" s="1" t="n">
        <v>45744</v>
      </c>
      <c r="D1322" t="inlineStr">
        <is>
          <t>JÄMTLANDS LÄN</t>
        </is>
      </c>
      <c r="E1322" t="inlineStr">
        <is>
          <t>BERG</t>
        </is>
      </c>
      <c r="F1322" t="inlineStr">
        <is>
          <t>SCA</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14672-2025</t>
        </is>
      </c>
      <c r="B1323" s="1" t="n">
        <v>45742</v>
      </c>
      <c r="C1323" s="1" t="n">
        <v>45744</v>
      </c>
      <c r="D1323" t="inlineStr">
        <is>
          <t>JÄMTLANDS LÄN</t>
        </is>
      </c>
      <c r="E1323" t="inlineStr">
        <is>
          <t>BERG</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14728-2025</t>
        </is>
      </c>
      <c r="B1324" s="1" t="n">
        <v>45742</v>
      </c>
      <c r="C1324" s="1" t="n">
        <v>45744</v>
      </c>
      <c r="D1324" t="inlineStr">
        <is>
          <t>JÄMTLANDS LÄN</t>
        </is>
      </c>
      <c r="E1324" t="inlineStr">
        <is>
          <t>BERG</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14697-2025</t>
        </is>
      </c>
      <c r="B1325" s="1" t="n">
        <v>45742</v>
      </c>
      <c r="C1325" s="1" t="n">
        <v>45744</v>
      </c>
      <c r="D1325" t="inlineStr">
        <is>
          <t>JÄMTLANDS LÄN</t>
        </is>
      </c>
      <c r="E1325" t="inlineStr">
        <is>
          <t>BERG</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14834-2025</t>
        </is>
      </c>
      <c r="B1326" s="1" t="n">
        <v>45743</v>
      </c>
      <c r="C1326" s="1" t="n">
        <v>45744</v>
      </c>
      <c r="D1326" t="inlineStr">
        <is>
          <t>JÄMTLANDS LÄN</t>
        </is>
      </c>
      <c r="E1326" t="inlineStr">
        <is>
          <t>BERG</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14820-2025</t>
        </is>
      </c>
      <c r="B1327" s="1" t="n">
        <v>45743</v>
      </c>
      <c r="C1327" s="1" t="n">
        <v>45744</v>
      </c>
      <c r="D1327" t="inlineStr">
        <is>
          <t>JÄMTLANDS LÄN</t>
        </is>
      </c>
      <c r="E1327" t="inlineStr">
        <is>
          <t>BERG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14929-2025</t>
        </is>
      </c>
      <c r="B1328" s="1" t="n">
        <v>45743</v>
      </c>
      <c r="C1328" s="1" t="n">
        <v>45744</v>
      </c>
      <c r="D1328" t="inlineStr">
        <is>
          <t>JÄMTLANDS LÄN</t>
        </is>
      </c>
      <c r="E1328" t="inlineStr">
        <is>
          <t>BERG</t>
        </is>
      </c>
      <c r="F1328" t="inlineStr">
        <is>
          <t>SCA</t>
        </is>
      </c>
      <c r="G1328" t="n">
        <v>21.5</v>
      </c>
      <c r="H1328" t="n">
        <v>0</v>
      </c>
      <c r="I1328" t="n">
        <v>0</v>
      </c>
      <c r="J1328" t="n">
        <v>0</v>
      </c>
      <c r="K1328" t="n">
        <v>0</v>
      </c>
      <c r="L1328" t="n">
        <v>0</v>
      </c>
      <c r="M1328" t="n">
        <v>0</v>
      </c>
      <c r="N1328" t="n">
        <v>0</v>
      </c>
      <c r="O1328" t="n">
        <v>0</v>
      </c>
      <c r="P1328" t="n">
        <v>0</v>
      </c>
      <c r="Q1328" t="n">
        <v>0</v>
      </c>
      <c r="R1328" s="2" t="inlineStr"/>
    </row>
    <row r="1329" ht="15" customHeight="1">
      <c r="A1329" t="inlineStr">
        <is>
          <t>A 14930-2025</t>
        </is>
      </c>
      <c r="B1329" s="1" t="n">
        <v>45743</v>
      </c>
      <c r="C1329" s="1" t="n">
        <v>45744</v>
      </c>
      <c r="D1329" t="inlineStr">
        <is>
          <t>JÄMTLANDS LÄN</t>
        </is>
      </c>
      <c r="E1329" t="inlineStr">
        <is>
          <t>BERG</t>
        </is>
      </c>
      <c r="F1329" t="inlineStr">
        <is>
          <t>SCA</t>
        </is>
      </c>
      <c r="G1329" t="n">
        <v>27.8</v>
      </c>
      <c r="H1329" t="n">
        <v>0</v>
      </c>
      <c r="I1329" t="n">
        <v>0</v>
      </c>
      <c r="J1329" t="n">
        <v>0</v>
      </c>
      <c r="K1329" t="n">
        <v>0</v>
      </c>
      <c r="L1329" t="n">
        <v>0</v>
      </c>
      <c r="M1329" t="n">
        <v>0</v>
      </c>
      <c r="N1329" t="n">
        <v>0</v>
      </c>
      <c r="O1329" t="n">
        <v>0</v>
      </c>
      <c r="P1329" t="n">
        <v>0</v>
      </c>
      <c r="Q1329" t="n">
        <v>0</v>
      </c>
      <c r="R1329" s="2" t="inlineStr"/>
    </row>
    <row r="1330">
      <c r="A1330" t="inlineStr">
        <is>
          <t>A 15013-2025</t>
        </is>
      </c>
      <c r="B1330" s="1" t="n">
        <v>45743</v>
      </c>
      <c r="C1330" s="1" t="n">
        <v>45744</v>
      </c>
      <c r="D1330" t="inlineStr">
        <is>
          <t>JÄMTLANDS LÄN</t>
        </is>
      </c>
      <c r="E1330" t="inlineStr">
        <is>
          <t>BERG</t>
        </is>
      </c>
      <c r="G1330" t="n">
        <v>4.6</v>
      </c>
      <c r="H1330" t="n">
        <v>0</v>
      </c>
      <c r="I1330" t="n">
        <v>0</v>
      </c>
      <c r="J1330" t="n">
        <v>0</v>
      </c>
      <c r="K1330" t="n">
        <v>0</v>
      </c>
      <c r="L1330" t="n">
        <v>0</v>
      </c>
      <c r="M1330" t="n">
        <v>0</v>
      </c>
      <c r="N1330" t="n">
        <v>0</v>
      </c>
      <c r="O1330" t="n">
        <v>0</v>
      </c>
      <c r="P1330" t="n">
        <v>0</v>
      </c>
      <c r="Q1330" t="n">
        <v>0</v>
      </c>
      <c r="R1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2025-03-28T18:29:29Z</dcterms:created>
  <dcterms:modified xmlns:dcterms="http://purl.org/dc/terms/" xmlns:xsi="http://www.w3.org/2001/XMLSchema-instance" xsi:type="dcterms:W3CDTF">2025-03-28T18:29:30Z</dcterms:modified>
</cp:coreProperties>
</file>